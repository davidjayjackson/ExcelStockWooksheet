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ChartLab\"/>
    </mc:Choice>
  </mc:AlternateContent>
  <xr:revisionPtr revIDLastSave="0" documentId="13_ncr:1_{2E965C60-C602-429B-9A64-359EEA3262AB}" xr6:coauthVersionLast="47" xr6:coauthVersionMax="47" xr10:uidLastSave="{00000000-0000-0000-0000-000000000000}"/>
  <bookViews>
    <workbookView xWindow="5805" yWindow="0" windowWidth="7230" windowHeight="10905" xr2:uid="{92AFEA67-FCE1-458C-9A7E-ADF426D7B024}"/>
  </bookViews>
  <sheets>
    <sheet name="Weekly" sheetId="8" r:id="rId1"/>
    <sheet name="Data" sheetId="1" r:id="rId2"/>
    <sheet name="Dashboard" sheetId="7" r:id="rId3"/>
  </sheets>
  <definedNames>
    <definedName name="ExternalData_1" localSheetId="0" hidden="1">Weekly!$A$1:$B$121</definedName>
    <definedName name="FromArray_1">_xlfn.ANCHORARRAY(Data!$A$1)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F3" i="1" l="1"/>
  <c r="F11" i="1"/>
  <c r="F19" i="1"/>
  <c r="F27" i="1"/>
  <c r="F35" i="1"/>
  <c r="F43" i="1"/>
  <c r="F51" i="1"/>
  <c r="F59" i="1"/>
  <c r="F67" i="1"/>
  <c r="F75" i="1"/>
  <c r="F83" i="1"/>
  <c r="F91" i="1"/>
  <c r="F99" i="1"/>
  <c r="F107" i="1"/>
  <c r="F115" i="1"/>
  <c r="F123" i="1"/>
  <c r="F131" i="1"/>
  <c r="F139" i="1"/>
  <c r="F147" i="1"/>
  <c r="F155" i="1"/>
  <c r="F163" i="1"/>
  <c r="F171" i="1"/>
  <c r="F179" i="1"/>
  <c r="F187" i="1"/>
  <c r="F195" i="1"/>
  <c r="F203" i="1"/>
  <c r="F211" i="1"/>
  <c r="F219" i="1"/>
  <c r="F227" i="1"/>
  <c r="F235" i="1"/>
  <c r="F243" i="1"/>
  <c r="F251" i="1"/>
  <c r="F259" i="1"/>
  <c r="F267" i="1"/>
  <c r="F275" i="1"/>
  <c r="F283" i="1"/>
  <c r="F291" i="1"/>
  <c r="F299" i="1"/>
  <c r="F307" i="1"/>
  <c r="F315" i="1"/>
  <c r="F323" i="1"/>
  <c r="F331" i="1"/>
  <c r="F339" i="1"/>
  <c r="F347" i="1"/>
  <c r="F355" i="1"/>
  <c r="F363" i="1"/>
  <c r="F371" i="1"/>
  <c r="F379" i="1"/>
  <c r="F387" i="1"/>
  <c r="F395" i="1"/>
  <c r="F403" i="1"/>
  <c r="F411" i="1"/>
  <c r="F419" i="1"/>
  <c r="F427" i="1"/>
  <c r="F435" i="1"/>
  <c r="F443" i="1"/>
  <c r="F451" i="1"/>
  <c r="F459" i="1"/>
  <c r="F467" i="1"/>
  <c r="F475" i="1"/>
  <c r="F483" i="1"/>
  <c r="F491" i="1"/>
  <c r="F499" i="1"/>
  <c r="F507" i="1"/>
  <c r="F492" i="1"/>
  <c r="F508" i="1"/>
  <c r="F14" i="1"/>
  <c r="F54" i="1"/>
  <c r="F78" i="1"/>
  <c r="F102" i="1"/>
  <c r="F126" i="1"/>
  <c r="F142" i="1"/>
  <c r="F158" i="1"/>
  <c r="F182" i="1"/>
  <c r="F198" i="1"/>
  <c r="F222" i="1"/>
  <c r="F246" i="1"/>
  <c r="F270" i="1"/>
  <c r="F294" i="1"/>
  <c r="F310" i="1"/>
  <c r="F4" i="1"/>
  <c r="F12" i="1"/>
  <c r="F20" i="1"/>
  <c r="F28" i="1"/>
  <c r="F36" i="1"/>
  <c r="F44" i="1"/>
  <c r="F52" i="1"/>
  <c r="F60" i="1"/>
  <c r="F68" i="1"/>
  <c r="F76" i="1"/>
  <c r="F84" i="1"/>
  <c r="F92" i="1"/>
  <c r="F100" i="1"/>
  <c r="F108" i="1"/>
  <c r="F116" i="1"/>
  <c r="F124" i="1"/>
  <c r="F132" i="1"/>
  <c r="F140" i="1"/>
  <c r="F148" i="1"/>
  <c r="F156" i="1"/>
  <c r="F164" i="1"/>
  <c r="F172" i="1"/>
  <c r="F180" i="1"/>
  <c r="F188" i="1"/>
  <c r="F196" i="1"/>
  <c r="F204" i="1"/>
  <c r="F212" i="1"/>
  <c r="F220" i="1"/>
  <c r="F228" i="1"/>
  <c r="F236" i="1"/>
  <c r="F244" i="1"/>
  <c r="F252" i="1"/>
  <c r="F260" i="1"/>
  <c r="F268" i="1"/>
  <c r="F276" i="1"/>
  <c r="F284" i="1"/>
  <c r="F292" i="1"/>
  <c r="F300" i="1"/>
  <c r="F308" i="1"/>
  <c r="F316" i="1"/>
  <c r="F324" i="1"/>
  <c r="F332" i="1"/>
  <c r="F340" i="1"/>
  <c r="F348" i="1"/>
  <c r="F356" i="1"/>
  <c r="F364" i="1"/>
  <c r="F372" i="1"/>
  <c r="F380" i="1"/>
  <c r="F388" i="1"/>
  <c r="F396" i="1"/>
  <c r="F404" i="1"/>
  <c r="F412" i="1"/>
  <c r="F420" i="1"/>
  <c r="F428" i="1"/>
  <c r="F436" i="1"/>
  <c r="F444" i="1"/>
  <c r="F452" i="1"/>
  <c r="F460" i="1"/>
  <c r="F468" i="1"/>
  <c r="F476" i="1"/>
  <c r="F484" i="1"/>
  <c r="F500" i="1"/>
  <c r="F6" i="1"/>
  <c r="F38" i="1"/>
  <c r="F62" i="1"/>
  <c r="F86" i="1"/>
  <c r="F110" i="1"/>
  <c r="F150" i="1"/>
  <c r="F174" i="1"/>
  <c r="F206" i="1"/>
  <c r="F230" i="1"/>
  <c r="F254" i="1"/>
  <c r="F286" i="1"/>
  <c r="F318" i="1"/>
  <c r="F5" i="1"/>
  <c r="F13" i="1"/>
  <c r="F21" i="1"/>
  <c r="F29" i="1"/>
  <c r="F37" i="1"/>
  <c r="F45" i="1"/>
  <c r="F53" i="1"/>
  <c r="F61" i="1"/>
  <c r="F69" i="1"/>
  <c r="F77" i="1"/>
  <c r="F85" i="1"/>
  <c r="F93" i="1"/>
  <c r="F101" i="1"/>
  <c r="F109" i="1"/>
  <c r="F117" i="1"/>
  <c r="F125" i="1"/>
  <c r="F133" i="1"/>
  <c r="F141" i="1"/>
  <c r="F149" i="1"/>
  <c r="F157" i="1"/>
  <c r="F165" i="1"/>
  <c r="F173" i="1"/>
  <c r="F181" i="1"/>
  <c r="F189" i="1"/>
  <c r="F197" i="1"/>
  <c r="F205" i="1"/>
  <c r="F213" i="1"/>
  <c r="F221" i="1"/>
  <c r="F229" i="1"/>
  <c r="F237" i="1"/>
  <c r="F245" i="1"/>
  <c r="F253" i="1"/>
  <c r="F261" i="1"/>
  <c r="F269" i="1"/>
  <c r="F277" i="1"/>
  <c r="F285" i="1"/>
  <c r="F293" i="1"/>
  <c r="F301" i="1"/>
  <c r="F309" i="1"/>
  <c r="F317" i="1"/>
  <c r="F325" i="1"/>
  <c r="F333" i="1"/>
  <c r="F341" i="1"/>
  <c r="F349" i="1"/>
  <c r="F357" i="1"/>
  <c r="F365" i="1"/>
  <c r="F373" i="1"/>
  <c r="F381" i="1"/>
  <c r="F389" i="1"/>
  <c r="F397" i="1"/>
  <c r="F405" i="1"/>
  <c r="F413" i="1"/>
  <c r="F421" i="1"/>
  <c r="F429" i="1"/>
  <c r="F437" i="1"/>
  <c r="F445" i="1"/>
  <c r="F453" i="1"/>
  <c r="F461" i="1"/>
  <c r="F469" i="1"/>
  <c r="F477" i="1"/>
  <c r="F485" i="1"/>
  <c r="F493" i="1"/>
  <c r="F501" i="1"/>
  <c r="F509" i="1"/>
  <c r="F22" i="1"/>
  <c r="F30" i="1"/>
  <c r="F46" i="1"/>
  <c r="F70" i="1"/>
  <c r="F94" i="1"/>
  <c r="F118" i="1"/>
  <c r="F134" i="1"/>
  <c r="F166" i="1"/>
  <c r="F190" i="1"/>
  <c r="F214" i="1"/>
  <c r="F238" i="1"/>
  <c r="F262" i="1"/>
  <c r="F278" i="1"/>
  <c r="F302" i="1"/>
  <c r="F8" i="1"/>
  <c r="F16" i="1"/>
  <c r="F24" i="1"/>
  <c r="F32" i="1"/>
  <c r="F40" i="1"/>
  <c r="F48" i="1"/>
  <c r="F56" i="1"/>
  <c r="F64" i="1"/>
  <c r="F72" i="1"/>
  <c r="F80" i="1"/>
  <c r="F88" i="1"/>
  <c r="F96" i="1"/>
  <c r="F104" i="1"/>
  <c r="F112" i="1"/>
  <c r="F120" i="1"/>
  <c r="F128" i="1"/>
  <c r="F136" i="1"/>
  <c r="F144" i="1"/>
  <c r="F152" i="1"/>
  <c r="F160" i="1"/>
  <c r="F168" i="1"/>
  <c r="F176" i="1"/>
  <c r="F184" i="1"/>
  <c r="F192" i="1"/>
  <c r="F200" i="1"/>
  <c r="F208" i="1"/>
  <c r="F216" i="1"/>
  <c r="F224" i="1"/>
  <c r="F232" i="1"/>
  <c r="F240" i="1"/>
  <c r="F248" i="1"/>
  <c r="F256" i="1"/>
  <c r="F264" i="1"/>
  <c r="F272" i="1"/>
  <c r="F280" i="1"/>
  <c r="F288" i="1"/>
  <c r="F296" i="1"/>
  <c r="F304" i="1"/>
  <c r="F312" i="1"/>
  <c r="F320" i="1"/>
  <c r="F328" i="1"/>
  <c r="F336" i="1"/>
  <c r="F344" i="1"/>
  <c r="F352" i="1"/>
  <c r="F360" i="1"/>
  <c r="F368" i="1"/>
  <c r="F376" i="1"/>
  <c r="F384" i="1"/>
  <c r="F392" i="1"/>
  <c r="F400" i="1"/>
  <c r="F408" i="1"/>
  <c r="F416" i="1"/>
  <c r="F424" i="1"/>
  <c r="F432" i="1"/>
  <c r="F440" i="1"/>
  <c r="F448" i="1"/>
  <c r="F456" i="1"/>
  <c r="F464" i="1"/>
  <c r="F472" i="1"/>
  <c r="F480" i="1"/>
  <c r="F488" i="1"/>
  <c r="F496" i="1"/>
  <c r="F504" i="1"/>
  <c r="F512" i="1"/>
  <c r="F9" i="1"/>
  <c r="F17" i="1"/>
  <c r="F25" i="1"/>
  <c r="F33" i="1"/>
  <c r="F41" i="1"/>
  <c r="F49" i="1"/>
  <c r="F57" i="1"/>
  <c r="F65" i="1"/>
  <c r="F73" i="1"/>
  <c r="F81" i="1"/>
  <c r="F89" i="1"/>
  <c r="F97" i="1"/>
  <c r="F105" i="1"/>
  <c r="F113" i="1"/>
  <c r="F121" i="1"/>
  <c r="F129" i="1"/>
  <c r="F137" i="1"/>
  <c r="F145" i="1"/>
  <c r="F153" i="1"/>
  <c r="F161" i="1"/>
  <c r="F169" i="1"/>
  <c r="F7" i="1"/>
  <c r="F39" i="1"/>
  <c r="F71" i="1"/>
  <c r="F103" i="1"/>
  <c r="F135" i="1"/>
  <c r="F167" i="1"/>
  <c r="F191" i="1"/>
  <c r="F210" i="1"/>
  <c r="F233" i="1"/>
  <c r="F255" i="1"/>
  <c r="F274" i="1"/>
  <c r="F297" i="1"/>
  <c r="F319" i="1"/>
  <c r="F335" i="1"/>
  <c r="F351" i="1"/>
  <c r="F367" i="1"/>
  <c r="F383" i="1"/>
  <c r="F399" i="1"/>
  <c r="F415" i="1"/>
  <c r="F431" i="1"/>
  <c r="F447" i="1"/>
  <c r="F463" i="1"/>
  <c r="F479" i="1"/>
  <c r="F495" i="1"/>
  <c r="F511" i="1"/>
  <c r="F82" i="1"/>
  <c r="F241" i="1"/>
  <c r="F326" i="1"/>
  <c r="F374" i="1"/>
  <c r="F422" i="1"/>
  <c r="F470" i="1"/>
  <c r="F23" i="1"/>
  <c r="F119" i="1"/>
  <c r="F201" i="1"/>
  <c r="F265" i="1"/>
  <c r="F327" i="1"/>
  <c r="F375" i="1"/>
  <c r="F439" i="1"/>
  <c r="F503" i="1"/>
  <c r="F361" i="1"/>
  <c r="F409" i="1"/>
  <c r="F473" i="1"/>
  <c r="F63" i="1"/>
  <c r="F249" i="1"/>
  <c r="F346" i="1"/>
  <c r="F410" i="1"/>
  <c r="F474" i="1"/>
  <c r="F130" i="1"/>
  <c r="F186" i="1"/>
  <c r="F250" i="1"/>
  <c r="F334" i="1"/>
  <c r="F398" i="1"/>
  <c r="F462" i="1"/>
  <c r="F10" i="1"/>
  <c r="F42" i="1"/>
  <c r="F74" i="1"/>
  <c r="F106" i="1"/>
  <c r="F138" i="1"/>
  <c r="F170" i="1"/>
  <c r="F193" i="1"/>
  <c r="F215" i="1"/>
  <c r="F234" i="1"/>
  <c r="F257" i="1"/>
  <c r="F279" i="1"/>
  <c r="F298" i="1"/>
  <c r="F321" i="1"/>
  <c r="F337" i="1"/>
  <c r="F353" i="1"/>
  <c r="F369" i="1"/>
  <c r="F385" i="1"/>
  <c r="F401" i="1"/>
  <c r="F417" i="1"/>
  <c r="F433" i="1"/>
  <c r="F449" i="1"/>
  <c r="F465" i="1"/>
  <c r="F481" i="1"/>
  <c r="F497" i="1"/>
  <c r="F513" i="1"/>
  <c r="F466" i="1"/>
  <c r="F498" i="1"/>
  <c r="F18" i="1"/>
  <c r="F146" i="1"/>
  <c r="F177" i="1"/>
  <c r="F218" i="1"/>
  <c r="F282" i="1"/>
  <c r="F358" i="1"/>
  <c r="F406" i="1"/>
  <c r="F438" i="1"/>
  <c r="F486" i="1"/>
  <c r="F55" i="1"/>
  <c r="F178" i="1"/>
  <c r="F223" i="1"/>
  <c r="F287" i="1"/>
  <c r="F343" i="1"/>
  <c r="F391" i="1"/>
  <c r="F423" i="1"/>
  <c r="F487" i="1"/>
  <c r="F345" i="1"/>
  <c r="F425" i="1"/>
  <c r="F489" i="1"/>
  <c r="F95" i="1"/>
  <c r="F185" i="1"/>
  <c r="F226" i="1"/>
  <c r="F313" i="1"/>
  <c r="F378" i="1"/>
  <c r="F442" i="1"/>
  <c r="F34" i="1"/>
  <c r="F162" i="1"/>
  <c r="F231" i="1"/>
  <c r="F314" i="1"/>
  <c r="F382" i="1"/>
  <c r="F446" i="1"/>
  <c r="F510" i="1"/>
  <c r="F15" i="1"/>
  <c r="F47" i="1"/>
  <c r="F79" i="1"/>
  <c r="F111" i="1"/>
  <c r="F143" i="1"/>
  <c r="F175" i="1"/>
  <c r="F194" i="1"/>
  <c r="F217" i="1"/>
  <c r="F239" i="1"/>
  <c r="F258" i="1"/>
  <c r="F281" i="1"/>
  <c r="F303" i="1"/>
  <c r="F322" i="1"/>
  <c r="F338" i="1"/>
  <c r="F354" i="1"/>
  <c r="F370" i="1"/>
  <c r="F386" i="1"/>
  <c r="F402" i="1"/>
  <c r="F418" i="1"/>
  <c r="F434" i="1"/>
  <c r="F450" i="1"/>
  <c r="F482" i="1"/>
  <c r="F514" i="1"/>
  <c r="F50" i="1"/>
  <c r="F114" i="1"/>
  <c r="F199" i="1"/>
  <c r="F263" i="1"/>
  <c r="F305" i="1"/>
  <c r="F342" i="1"/>
  <c r="F390" i="1"/>
  <c r="F454" i="1"/>
  <c r="F502" i="1"/>
  <c r="F87" i="1"/>
  <c r="F151" i="1"/>
  <c r="F242" i="1"/>
  <c r="F306" i="1"/>
  <c r="F359" i="1"/>
  <c r="F407" i="1"/>
  <c r="F455" i="1"/>
  <c r="F471" i="1"/>
  <c r="F311" i="1"/>
  <c r="F393" i="1"/>
  <c r="F457" i="1"/>
  <c r="F31" i="1"/>
  <c r="F271" i="1"/>
  <c r="F362" i="1"/>
  <c r="F426" i="1"/>
  <c r="F490" i="1"/>
  <c r="F66" i="1"/>
  <c r="F273" i="1"/>
  <c r="F366" i="1"/>
  <c r="F430" i="1"/>
  <c r="F478" i="1"/>
  <c r="F26" i="1"/>
  <c r="F58" i="1"/>
  <c r="F90" i="1"/>
  <c r="F122" i="1"/>
  <c r="F154" i="1"/>
  <c r="F183" i="1"/>
  <c r="F202" i="1"/>
  <c r="F225" i="1"/>
  <c r="F247" i="1"/>
  <c r="F266" i="1"/>
  <c r="F289" i="1"/>
  <c r="F329" i="1"/>
  <c r="F377" i="1"/>
  <c r="F441" i="1"/>
  <c r="F505" i="1"/>
  <c r="F127" i="1"/>
  <c r="F159" i="1"/>
  <c r="F207" i="1"/>
  <c r="F290" i="1"/>
  <c r="F330" i="1"/>
  <c r="F394" i="1"/>
  <c r="F458" i="1"/>
  <c r="F506" i="1"/>
  <c r="F98" i="1"/>
  <c r="F209" i="1"/>
  <c r="F295" i="1"/>
  <c r="F350" i="1"/>
  <c r="F414" i="1"/>
  <c r="F494" i="1"/>
  <c r="F2" i="1"/>
  <c r="D3" i="1"/>
  <c r="D11" i="1"/>
  <c r="D19" i="1"/>
  <c r="D27" i="1"/>
  <c r="D35" i="1"/>
  <c r="D43" i="1"/>
  <c r="D51" i="1"/>
  <c r="D59" i="1"/>
  <c r="D67" i="1"/>
  <c r="D75" i="1"/>
  <c r="D83" i="1"/>
  <c r="D91" i="1"/>
  <c r="D99" i="1"/>
  <c r="D107" i="1"/>
  <c r="D115" i="1"/>
  <c r="D123" i="1"/>
  <c r="D131" i="1"/>
  <c r="D139" i="1"/>
  <c r="D147" i="1"/>
  <c r="D155" i="1"/>
  <c r="D163" i="1"/>
  <c r="D171" i="1"/>
  <c r="D179" i="1"/>
  <c r="D187" i="1"/>
  <c r="D195" i="1"/>
  <c r="D203" i="1"/>
  <c r="D211" i="1"/>
  <c r="D219" i="1"/>
  <c r="D227" i="1"/>
  <c r="D235" i="1"/>
  <c r="D243" i="1"/>
  <c r="D251" i="1"/>
  <c r="D259" i="1"/>
  <c r="D267" i="1"/>
  <c r="D275" i="1"/>
  <c r="D283" i="1"/>
  <c r="D291" i="1"/>
  <c r="D299" i="1"/>
  <c r="D307" i="1"/>
  <c r="D4" i="1"/>
  <c r="D12" i="1"/>
  <c r="D20" i="1"/>
  <c r="D28" i="1"/>
  <c r="D36" i="1"/>
  <c r="D44" i="1"/>
  <c r="D52" i="1"/>
  <c r="D60" i="1"/>
  <c r="D68" i="1"/>
  <c r="D76" i="1"/>
  <c r="D84" i="1"/>
  <c r="D92" i="1"/>
  <c r="D100" i="1"/>
  <c r="D108" i="1"/>
  <c r="D116" i="1"/>
  <c r="D124" i="1"/>
  <c r="D132" i="1"/>
  <c r="D140" i="1"/>
  <c r="D148" i="1"/>
  <c r="D156" i="1"/>
  <c r="D164" i="1"/>
  <c r="D172" i="1"/>
  <c r="D180" i="1"/>
  <c r="D188" i="1"/>
  <c r="D196" i="1"/>
  <c r="D204" i="1"/>
  <c r="D212" i="1"/>
  <c r="D220" i="1"/>
  <c r="D228" i="1"/>
  <c r="D236" i="1"/>
  <c r="D244" i="1"/>
  <c r="D252" i="1"/>
  <c r="D260" i="1"/>
  <c r="D268" i="1"/>
  <c r="D276" i="1"/>
  <c r="D284" i="1"/>
  <c r="D292" i="1"/>
  <c r="D300" i="1"/>
  <c r="D308" i="1"/>
  <c r="D316" i="1"/>
  <c r="D324" i="1"/>
  <c r="D332" i="1"/>
  <c r="D340" i="1"/>
  <c r="D348" i="1"/>
  <c r="D356" i="1"/>
  <c r="D364" i="1"/>
  <c r="D372" i="1"/>
  <c r="D380" i="1"/>
  <c r="D388" i="1"/>
  <c r="D396" i="1"/>
  <c r="D404" i="1"/>
  <c r="D412" i="1"/>
  <c r="D420" i="1"/>
  <c r="D428" i="1"/>
  <c r="D436" i="1"/>
  <c r="D444" i="1"/>
  <c r="D452" i="1"/>
  <c r="D460" i="1"/>
  <c r="D468" i="1"/>
  <c r="D476" i="1"/>
  <c r="D484" i="1"/>
  <c r="D492" i="1"/>
  <c r="D500" i="1"/>
  <c r="D508" i="1"/>
  <c r="D62" i="1"/>
  <c r="D150" i="1"/>
  <c r="D182" i="1"/>
  <c r="D198" i="1"/>
  <c r="D222" i="1"/>
  <c r="D246" i="1"/>
  <c r="D278" i="1"/>
  <c r="D310" i="1"/>
  <c r="D326" i="1"/>
  <c r="D350" i="1"/>
  <c r="D366" i="1"/>
  <c r="D390" i="1"/>
  <c r="D414" i="1"/>
  <c r="D438" i="1"/>
  <c r="D462" i="1"/>
  <c r="D5" i="1"/>
  <c r="D13" i="1"/>
  <c r="D21" i="1"/>
  <c r="D29" i="1"/>
  <c r="D37" i="1"/>
  <c r="D45" i="1"/>
  <c r="D53" i="1"/>
  <c r="D61" i="1"/>
  <c r="D69" i="1"/>
  <c r="D77" i="1"/>
  <c r="D85" i="1"/>
  <c r="D93" i="1"/>
  <c r="D101" i="1"/>
  <c r="D109" i="1"/>
  <c r="D117" i="1"/>
  <c r="D125" i="1"/>
  <c r="D133" i="1"/>
  <c r="D141" i="1"/>
  <c r="D149" i="1"/>
  <c r="D157" i="1"/>
  <c r="D165" i="1"/>
  <c r="D173" i="1"/>
  <c r="D181" i="1"/>
  <c r="D189" i="1"/>
  <c r="D197" i="1"/>
  <c r="D205" i="1"/>
  <c r="D213" i="1"/>
  <c r="D221" i="1"/>
  <c r="D229" i="1"/>
  <c r="D237" i="1"/>
  <c r="D245" i="1"/>
  <c r="D253" i="1"/>
  <c r="D261" i="1"/>
  <c r="D269" i="1"/>
  <c r="D277" i="1"/>
  <c r="D285" i="1"/>
  <c r="D293" i="1"/>
  <c r="D301" i="1"/>
  <c r="D309" i="1"/>
  <c r="D317" i="1"/>
  <c r="D325" i="1"/>
  <c r="D333" i="1"/>
  <c r="D341" i="1"/>
  <c r="D349" i="1"/>
  <c r="D357" i="1"/>
  <c r="D365" i="1"/>
  <c r="D373" i="1"/>
  <c r="D381" i="1"/>
  <c r="D389" i="1"/>
  <c r="D397" i="1"/>
  <c r="D405" i="1"/>
  <c r="D413" i="1"/>
  <c r="D421" i="1"/>
  <c r="D429" i="1"/>
  <c r="D437" i="1"/>
  <c r="D445" i="1"/>
  <c r="D453" i="1"/>
  <c r="D461" i="1"/>
  <c r="D469" i="1"/>
  <c r="D477" i="1"/>
  <c r="D485" i="1"/>
  <c r="D493" i="1"/>
  <c r="D501" i="1"/>
  <c r="D509" i="1"/>
  <c r="D70" i="1"/>
  <c r="D142" i="1"/>
  <c r="D166" i="1"/>
  <c r="D190" i="1"/>
  <c r="D214" i="1"/>
  <c r="D230" i="1"/>
  <c r="D254" i="1"/>
  <c r="D262" i="1"/>
  <c r="D286" i="1"/>
  <c r="D294" i="1"/>
  <c r="D318" i="1"/>
  <c r="D334" i="1"/>
  <c r="D358" i="1"/>
  <c r="D382" i="1"/>
  <c r="D398" i="1"/>
  <c r="D422" i="1"/>
  <c r="D446" i="1"/>
  <c r="D6" i="1"/>
  <c r="D14" i="1"/>
  <c r="D22" i="1"/>
  <c r="D30" i="1"/>
  <c r="D38" i="1"/>
  <c r="D46" i="1"/>
  <c r="D54" i="1"/>
  <c r="D78" i="1"/>
  <c r="D86" i="1"/>
  <c r="D94" i="1"/>
  <c r="D102" i="1"/>
  <c r="D110" i="1"/>
  <c r="D118" i="1"/>
  <c r="D126" i="1"/>
  <c r="D134" i="1"/>
  <c r="D158" i="1"/>
  <c r="D174" i="1"/>
  <c r="D206" i="1"/>
  <c r="D238" i="1"/>
  <c r="D270" i="1"/>
  <c r="D302" i="1"/>
  <c r="D342" i="1"/>
  <c r="D374" i="1"/>
  <c r="D406" i="1"/>
  <c r="D430" i="1"/>
  <c r="D454" i="1"/>
  <c r="D7" i="1"/>
  <c r="D15" i="1"/>
  <c r="D23" i="1"/>
  <c r="D31" i="1"/>
  <c r="D39" i="1"/>
  <c r="D47" i="1"/>
  <c r="D55" i="1"/>
  <c r="D63" i="1"/>
  <c r="D71" i="1"/>
  <c r="D79" i="1"/>
  <c r="D87" i="1"/>
  <c r="D95" i="1"/>
  <c r="D103" i="1"/>
  <c r="D111" i="1"/>
  <c r="D119" i="1"/>
  <c r="D127" i="1"/>
  <c r="D135" i="1"/>
  <c r="D143" i="1"/>
  <c r="D151" i="1"/>
  <c r="D159" i="1"/>
  <c r="D167" i="1"/>
  <c r="D175" i="1"/>
  <c r="D183" i="1"/>
  <c r="D191" i="1"/>
  <c r="D199" i="1"/>
  <c r="D207" i="1"/>
  <c r="D215" i="1"/>
  <c r="D223" i="1"/>
  <c r="D231" i="1"/>
  <c r="D239" i="1"/>
  <c r="D247" i="1"/>
  <c r="D255" i="1"/>
  <c r="D263" i="1"/>
  <c r="D271" i="1"/>
  <c r="D279" i="1"/>
  <c r="D287" i="1"/>
  <c r="D295" i="1"/>
  <c r="D303" i="1"/>
  <c r="D311" i="1"/>
  <c r="D319" i="1"/>
  <c r="D327" i="1"/>
  <c r="D335" i="1"/>
  <c r="D343" i="1"/>
  <c r="D351" i="1"/>
  <c r="D359" i="1"/>
  <c r="D367" i="1"/>
  <c r="D375" i="1"/>
  <c r="D383" i="1"/>
  <c r="D391" i="1"/>
  <c r="D399" i="1"/>
  <c r="D407" i="1"/>
  <c r="D415" i="1"/>
  <c r="D423" i="1"/>
  <c r="D431" i="1"/>
  <c r="D439" i="1"/>
  <c r="D447" i="1"/>
  <c r="D455" i="1"/>
  <c r="D463" i="1"/>
  <c r="D471" i="1"/>
  <c r="D479" i="1"/>
  <c r="D487" i="1"/>
  <c r="D495" i="1"/>
  <c r="D503" i="1"/>
  <c r="D511" i="1"/>
  <c r="D26" i="1"/>
  <c r="D186" i="1"/>
  <c r="D258" i="1"/>
  <c r="D290" i="1"/>
  <c r="D330" i="1"/>
  <c r="D8" i="1"/>
  <c r="D16" i="1"/>
  <c r="D24" i="1"/>
  <c r="D32" i="1"/>
  <c r="D40" i="1"/>
  <c r="D48" i="1"/>
  <c r="D56" i="1"/>
  <c r="D64" i="1"/>
  <c r="D72" i="1"/>
  <c r="D80" i="1"/>
  <c r="D88" i="1"/>
  <c r="D96" i="1"/>
  <c r="D104" i="1"/>
  <c r="D112" i="1"/>
  <c r="D120" i="1"/>
  <c r="D128" i="1"/>
  <c r="D136" i="1"/>
  <c r="D144" i="1"/>
  <c r="D152" i="1"/>
  <c r="D160" i="1"/>
  <c r="D168" i="1"/>
  <c r="D176" i="1"/>
  <c r="D184" i="1"/>
  <c r="D192" i="1"/>
  <c r="D200" i="1"/>
  <c r="D208" i="1"/>
  <c r="D216" i="1"/>
  <c r="D224" i="1"/>
  <c r="D232" i="1"/>
  <c r="D240" i="1"/>
  <c r="D248" i="1"/>
  <c r="D256" i="1"/>
  <c r="D264" i="1"/>
  <c r="D272" i="1"/>
  <c r="D280" i="1"/>
  <c r="D288" i="1"/>
  <c r="D296" i="1"/>
  <c r="D304" i="1"/>
  <c r="D312" i="1"/>
  <c r="D320" i="1"/>
  <c r="D328" i="1"/>
  <c r="D336" i="1"/>
  <c r="D344" i="1"/>
  <c r="D352" i="1"/>
  <c r="D360" i="1"/>
  <c r="D368" i="1"/>
  <c r="D376" i="1"/>
  <c r="D384" i="1"/>
  <c r="D392" i="1"/>
  <c r="D400" i="1"/>
  <c r="D408" i="1"/>
  <c r="D416" i="1"/>
  <c r="D424" i="1"/>
  <c r="D432" i="1"/>
  <c r="D440" i="1"/>
  <c r="D448" i="1"/>
  <c r="D456" i="1"/>
  <c r="D464" i="1"/>
  <c r="D472" i="1"/>
  <c r="D480" i="1"/>
  <c r="D488" i="1"/>
  <c r="D496" i="1"/>
  <c r="D504" i="1"/>
  <c r="D512" i="1"/>
  <c r="D513" i="1"/>
  <c r="D18" i="1"/>
  <c r="D34" i="1"/>
  <c r="D50" i="1"/>
  <c r="D66" i="1"/>
  <c r="D82" i="1"/>
  <c r="D98" i="1"/>
  <c r="D114" i="1"/>
  <c r="D130" i="1"/>
  <c r="D146" i="1"/>
  <c r="D154" i="1"/>
  <c r="D170" i="1"/>
  <c r="D194" i="1"/>
  <c r="D210" i="1"/>
  <c r="D218" i="1"/>
  <c r="D226" i="1"/>
  <c r="D242" i="1"/>
  <c r="D250" i="1"/>
  <c r="D266" i="1"/>
  <c r="D282" i="1"/>
  <c r="D306" i="1"/>
  <c r="D9" i="1"/>
  <c r="D17" i="1"/>
  <c r="D25" i="1"/>
  <c r="D33" i="1"/>
  <c r="D41" i="1"/>
  <c r="D49" i="1"/>
  <c r="D57" i="1"/>
  <c r="D65" i="1"/>
  <c r="D73" i="1"/>
  <c r="D81" i="1"/>
  <c r="D89" i="1"/>
  <c r="D97" i="1"/>
  <c r="D105" i="1"/>
  <c r="D113" i="1"/>
  <c r="D121" i="1"/>
  <c r="D129" i="1"/>
  <c r="D137" i="1"/>
  <c r="D145" i="1"/>
  <c r="D153" i="1"/>
  <c r="D161" i="1"/>
  <c r="D169" i="1"/>
  <c r="D177" i="1"/>
  <c r="D185" i="1"/>
  <c r="D193" i="1"/>
  <c r="D201" i="1"/>
  <c r="D209" i="1"/>
  <c r="D217" i="1"/>
  <c r="D225" i="1"/>
  <c r="D233" i="1"/>
  <c r="D241" i="1"/>
  <c r="D249" i="1"/>
  <c r="D257" i="1"/>
  <c r="D265" i="1"/>
  <c r="D273" i="1"/>
  <c r="D281" i="1"/>
  <c r="D289" i="1"/>
  <c r="D297" i="1"/>
  <c r="D305" i="1"/>
  <c r="D313" i="1"/>
  <c r="D321" i="1"/>
  <c r="D329" i="1"/>
  <c r="D337" i="1"/>
  <c r="D345" i="1"/>
  <c r="D353" i="1"/>
  <c r="D361" i="1"/>
  <c r="D369" i="1"/>
  <c r="D377" i="1"/>
  <c r="D385" i="1"/>
  <c r="D393" i="1"/>
  <c r="D401" i="1"/>
  <c r="D409" i="1"/>
  <c r="D417" i="1"/>
  <c r="D425" i="1"/>
  <c r="D433" i="1"/>
  <c r="D441" i="1"/>
  <c r="D449" i="1"/>
  <c r="D457" i="1"/>
  <c r="D465" i="1"/>
  <c r="D473" i="1"/>
  <c r="D481" i="1"/>
  <c r="D489" i="1"/>
  <c r="D497" i="1"/>
  <c r="D505" i="1"/>
  <c r="D10" i="1"/>
  <c r="D42" i="1"/>
  <c r="D58" i="1"/>
  <c r="D74" i="1"/>
  <c r="D90" i="1"/>
  <c r="D106" i="1"/>
  <c r="D122" i="1"/>
  <c r="D138" i="1"/>
  <c r="D162" i="1"/>
  <c r="D178" i="1"/>
  <c r="D202" i="1"/>
  <c r="D234" i="1"/>
  <c r="D274" i="1"/>
  <c r="D298" i="1"/>
  <c r="D314" i="1"/>
  <c r="D315" i="1"/>
  <c r="D354" i="1"/>
  <c r="D386" i="1"/>
  <c r="D418" i="1"/>
  <c r="D450" i="1"/>
  <c r="D475" i="1"/>
  <c r="D498" i="1"/>
  <c r="D355" i="1"/>
  <c r="D387" i="1"/>
  <c r="D419" i="1"/>
  <c r="D478" i="1"/>
  <c r="D499" i="1"/>
  <c r="D323" i="1"/>
  <c r="D394" i="1"/>
  <c r="D458" i="1"/>
  <c r="D331" i="1"/>
  <c r="D395" i="1"/>
  <c r="D483" i="1"/>
  <c r="D338" i="1"/>
  <c r="D434" i="1"/>
  <c r="D507" i="1"/>
  <c r="D403" i="1"/>
  <c r="D490" i="1"/>
  <c r="D346" i="1"/>
  <c r="D442" i="1"/>
  <c r="D514" i="1"/>
  <c r="D411" i="1"/>
  <c r="D322" i="1"/>
  <c r="D451" i="1"/>
  <c r="D362" i="1"/>
  <c r="D426" i="1"/>
  <c r="D482" i="1"/>
  <c r="D502" i="1"/>
  <c r="D363" i="1"/>
  <c r="D427" i="1"/>
  <c r="D506" i="1"/>
  <c r="D370" i="1"/>
  <c r="D466" i="1"/>
  <c r="D339" i="1"/>
  <c r="D467" i="1"/>
  <c r="D378" i="1"/>
  <c r="D470" i="1"/>
  <c r="D379" i="1"/>
  <c r="D474" i="1"/>
  <c r="D459" i="1"/>
  <c r="D402" i="1"/>
  <c r="D486" i="1"/>
  <c r="D371" i="1"/>
  <c r="D435" i="1"/>
  <c r="D510" i="1"/>
  <c r="D410" i="1"/>
  <c r="D491" i="1"/>
  <c r="D347" i="1"/>
  <c r="D443" i="1"/>
  <c r="D494" i="1"/>
  <c r="D2" i="1"/>
  <c r="A1" i="1"/>
  <c r="E2" i="1" l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427" i="1"/>
  <c r="E451" i="1"/>
  <c r="E475" i="1"/>
  <c r="E499" i="1"/>
  <c r="E196" i="1"/>
  <c r="E228" i="1"/>
  <c r="E252" i="1"/>
  <c r="E268" i="1"/>
  <c r="E284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5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253" i="1"/>
  <c r="E261" i="1"/>
  <c r="E269" i="1"/>
  <c r="E277" i="1"/>
  <c r="E285" i="1"/>
  <c r="E293" i="1"/>
  <c r="E301" i="1"/>
  <c r="E309" i="1"/>
  <c r="E317" i="1"/>
  <c r="E325" i="1"/>
  <c r="E333" i="1"/>
  <c r="E341" i="1"/>
  <c r="E349" i="1"/>
  <c r="E357" i="1"/>
  <c r="E365" i="1"/>
  <c r="E373" i="1"/>
  <c r="E381" i="1"/>
  <c r="E389" i="1"/>
  <c r="E397" i="1"/>
  <c r="E405" i="1"/>
  <c r="E413" i="1"/>
  <c r="E421" i="1"/>
  <c r="E429" i="1"/>
  <c r="E437" i="1"/>
  <c r="E445" i="1"/>
  <c r="E453" i="1"/>
  <c r="E461" i="1"/>
  <c r="E469" i="1"/>
  <c r="E477" i="1"/>
  <c r="E485" i="1"/>
  <c r="E493" i="1"/>
  <c r="E501" i="1"/>
  <c r="E509" i="1"/>
  <c r="E486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254" i="1"/>
  <c r="E262" i="1"/>
  <c r="E270" i="1"/>
  <c r="E278" i="1"/>
  <c r="E286" i="1"/>
  <c r="E294" i="1"/>
  <c r="E302" i="1"/>
  <c r="E310" i="1"/>
  <c r="E318" i="1"/>
  <c r="E326" i="1"/>
  <c r="E334" i="1"/>
  <c r="E342" i="1"/>
  <c r="E350" i="1"/>
  <c r="E358" i="1"/>
  <c r="E366" i="1"/>
  <c r="E374" i="1"/>
  <c r="E382" i="1"/>
  <c r="E390" i="1"/>
  <c r="E398" i="1"/>
  <c r="E406" i="1"/>
  <c r="E414" i="1"/>
  <c r="E422" i="1"/>
  <c r="E430" i="1"/>
  <c r="E438" i="1"/>
  <c r="E446" i="1"/>
  <c r="E454" i="1"/>
  <c r="E462" i="1"/>
  <c r="E470" i="1"/>
  <c r="E478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8" i="1"/>
  <c r="E16" i="1"/>
  <c r="E24" i="1"/>
  <c r="E32" i="1"/>
  <c r="E40" i="1"/>
  <c r="E48" i="1"/>
  <c r="E56" i="1"/>
  <c r="E64" i="1"/>
  <c r="E72" i="1"/>
  <c r="E80" i="1"/>
  <c r="E88" i="1"/>
  <c r="E96" i="1"/>
  <c r="E104" i="1"/>
  <c r="E112" i="1"/>
  <c r="E120" i="1"/>
  <c r="E128" i="1"/>
  <c r="E136" i="1"/>
  <c r="E144" i="1"/>
  <c r="E152" i="1"/>
  <c r="E160" i="1"/>
  <c r="E168" i="1"/>
  <c r="E176" i="1"/>
  <c r="E184" i="1"/>
  <c r="E192" i="1"/>
  <c r="E200" i="1"/>
  <c r="E208" i="1"/>
  <c r="E216" i="1"/>
  <c r="E224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9" i="1"/>
  <c r="E17" i="1"/>
  <c r="E25" i="1"/>
  <c r="E33" i="1"/>
  <c r="E41" i="1"/>
  <c r="E49" i="1"/>
  <c r="E57" i="1"/>
  <c r="E65" i="1"/>
  <c r="E73" i="1"/>
  <c r="E81" i="1"/>
  <c r="E89" i="1"/>
  <c r="E97" i="1"/>
  <c r="E105" i="1"/>
  <c r="E113" i="1"/>
  <c r="E121" i="1"/>
  <c r="E129" i="1"/>
  <c r="E137" i="1"/>
  <c r="E145" i="1"/>
  <c r="E161" i="1"/>
  <c r="E169" i="1"/>
  <c r="E177" i="1"/>
  <c r="E10" i="1"/>
  <c r="E18" i="1"/>
  <c r="E26" i="1"/>
  <c r="E34" i="1"/>
  <c r="E42" i="1"/>
  <c r="E50" i="1"/>
  <c r="E58" i="1"/>
  <c r="E66" i="1"/>
  <c r="E74" i="1"/>
  <c r="E82" i="1"/>
  <c r="E90" i="1"/>
  <c r="E98" i="1"/>
  <c r="E106" i="1"/>
  <c r="E114" i="1"/>
  <c r="E122" i="1"/>
  <c r="E130" i="1"/>
  <c r="E138" i="1"/>
  <c r="E146" i="1"/>
  <c r="E154" i="1"/>
  <c r="E162" i="1"/>
  <c r="E170" i="1"/>
  <c r="E178" i="1"/>
  <c r="E186" i="1"/>
  <c r="E194" i="1"/>
  <c r="E202" i="1"/>
  <c r="E210" i="1"/>
  <c r="E218" i="1"/>
  <c r="E226" i="1"/>
  <c r="E234" i="1"/>
  <c r="E242" i="1"/>
  <c r="E250" i="1"/>
  <c r="E258" i="1"/>
  <c r="E266" i="1"/>
  <c r="E274" i="1"/>
  <c r="E282" i="1"/>
  <c r="E290" i="1"/>
  <c r="E298" i="1"/>
  <c r="E306" i="1"/>
  <c r="E314" i="1"/>
  <c r="E322" i="1"/>
  <c r="E330" i="1"/>
  <c r="E338" i="1"/>
  <c r="E346" i="1"/>
  <c r="E354" i="1"/>
  <c r="E362" i="1"/>
  <c r="E370" i="1"/>
  <c r="E378" i="1"/>
  <c r="E386" i="1"/>
  <c r="E394" i="1"/>
  <c r="E402" i="1"/>
  <c r="E410" i="1"/>
  <c r="E418" i="1"/>
  <c r="E426" i="1"/>
  <c r="E434" i="1"/>
  <c r="E442" i="1"/>
  <c r="E450" i="1"/>
  <c r="E458" i="1"/>
  <c r="E466" i="1"/>
  <c r="E474" i="1"/>
  <c r="E482" i="1"/>
  <c r="E490" i="1"/>
  <c r="E498" i="1"/>
  <c r="E506" i="1"/>
  <c r="E514" i="1"/>
  <c r="E371" i="1"/>
  <c r="E379" i="1"/>
  <c r="E387" i="1"/>
  <c r="E395" i="1"/>
  <c r="E403" i="1"/>
  <c r="E411" i="1"/>
  <c r="E419" i="1"/>
  <c r="E435" i="1"/>
  <c r="E443" i="1"/>
  <c r="E459" i="1"/>
  <c r="E467" i="1"/>
  <c r="E483" i="1"/>
  <c r="E491" i="1"/>
  <c r="E507" i="1"/>
  <c r="E188" i="1"/>
  <c r="E204" i="1"/>
  <c r="E212" i="1"/>
  <c r="E220" i="1"/>
  <c r="E236" i="1"/>
  <c r="E244" i="1"/>
  <c r="E260" i="1"/>
  <c r="E153" i="1"/>
  <c r="E241" i="1"/>
  <c r="E292" i="1"/>
  <c r="E324" i="1"/>
  <c r="E356" i="1"/>
  <c r="E388" i="1"/>
  <c r="E420" i="1"/>
  <c r="E452" i="1"/>
  <c r="E484" i="1"/>
  <c r="E508" i="1"/>
  <c r="E425" i="1"/>
  <c r="E510" i="1"/>
  <c r="E321" i="1"/>
  <c r="E185" i="1"/>
  <c r="E249" i="1"/>
  <c r="E297" i="1"/>
  <c r="E329" i="1"/>
  <c r="E361" i="1"/>
  <c r="E393" i="1"/>
  <c r="E457" i="1"/>
  <c r="E489" i="1"/>
  <c r="E289" i="1"/>
  <c r="E193" i="1"/>
  <c r="E257" i="1"/>
  <c r="E300" i="1"/>
  <c r="E332" i="1"/>
  <c r="E364" i="1"/>
  <c r="E396" i="1"/>
  <c r="E428" i="1"/>
  <c r="E460" i="1"/>
  <c r="E492" i="1"/>
  <c r="E513" i="1"/>
  <c r="E273" i="1"/>
  <c r="E340" i="1"/>
  <c r="E404" i="1"/>
  <c r="E468" i="1"/>
  <c r="E217" i="1"/>
  <c r="E313" i="1"/>
  <c r="E377" i="1"/>
  <c r="E441" i="1"/>
  <c r="E500" i="1"/>
  <c r="E281" i="1"/>
  <c r="E316" i="1"/>
  <c r="E380" i="1"/>
  <c r="E444" i="1"/>
  <c r="E502" i="1"/>
  <c r="E353" i="1"/>
  <c r="E417" i="1"/>
  <c r="E481" i="1"/>
  <c r="E201" i="1"/>
  <c r="E265" i="1"/>
  <c r="E305" i="1"/>
  <c r="E337" i="1"/>
  <c r="E369" i="1"/>
  <c r="E401" i="1"/>
  <c r="E433" i="1"/>
  <c r="E465" i="1"/>
  <c r="E494" i="1"/>
  <c r="E209" i="1"/>
  <c r="E308" i="1"/>
  <c r="E372" i="1"/>
  <c r="E436" i="1"/>
  <c r="E497" i="1"/>
  <c r="E276" i="1"/>
  <c r="E345" i="1"/>
  <c r="E409" i="1"/>
  <c r="E473" i="1"/>
  <c r="E225" i="1"/>
  <c r="E348" i="1"/>
  <c r="E412" i="1"/>
  <c r="E476" i="1"/>
  <c r="E233" i="1"/>
  <c r="E385" i="1"/>
  <c r="E449" i="1"/>
  <c r="E505" i="1"/>
  <c r="G340" i="1" l="1"/>
  <c r="H340" i="1"/>
  <c r="G442" i="1"/>
  <c r="H442" i="1"/>
  <c r="G122" i="1"/>
  <c r="H122" i="1"/>
  <c r="G288" i="1"/>
  <c r="H288" i="1"/>
  <c r="G446" i="1"/>
  <c r="H446" i="1"/>
  <c r="G190" i="1"/>
  <c r="H190" i="1"/>
  <c r="G261" i="1"/>
  <c r="H261" i="1"/>
  <c r="G124" i="1"/>
  <c r="H124" i="1"/>
  <c r="G60" i="1"/>
  <c r="H60" i="1"/>
  <c r="G179" i="1"/>
  <c r="H179" i="1"/>
  <c r="G345" i="1"/>
  <c r="H345" i="1"/>
  <c r="G500" i="1"/>
  <c r="H500" i="1"/>
  <c r="G300" i="1"/>
  <c r="H300" i="1"/>
  <c r="G153" i="1"/>
  <c r="H153" i="1"/>
  <c r="G507" i="1"/>
  <c r="H507" i="1"/>
  <c r="G411" i="1"/>
  <c r="H411" i="1"/>
  <c r="G498" i="1"/>
  <c r="H498" i="1"/>
  <c r="G434" i="1"/>
  <c r="H434" i="1"/>
  <c r="G370" i="1"/>
  <c r="H370" i="1"/>
  <c r="G306" i="1"/>
  <c r="H306" i="1"/>
  <c r="G242" i="1"/>
  <c r="H242" i="1"/>
  <c r="G178" i="1"/>
  <c r="H178" i="1"/>
  <c r="G114" i="1"/>
  <c r="H114" i="1"/>
  <c r="G50" i="1"/>
  <c r="H50" i="1"/>
  <c r="G161" i="1"/>
  <c r="H161" i="1"/>
  <c r="G89" i="1"/>
  <c r="H89" i="1"/>
  <c r="G25" i="1"/>
  <c r="H25" i="1"/>
  <c r="G472" i="1"/>
  <c r="H472" i="1"/>
  <c r="G408" i="1"/>
  <c r="H408" i="1"/>
  <c r="G344" i="1"/>
  <c r="H344" i="1"/>
  <c r="G280" i="1"/>
  <c r="H280" i="1"/>
  <c r="G216" i="1"/>
  <c r="H216" i="1"/>
  <c r="G152" i="1"/>
  <c r="H152" i="1"/>
  <c r="G88" i="1"/>
  <c r="H88" i="1"/>
  <c r="G24" i="1"/>
  <c r="H24" i="1"/>
  <c r="G471" i="1"/>
  <c r="H471" i="1"/>
  <c r="G407" i="1"/>
  <c r="H407" i="1"/>
  <c r="G343" i="1"/>
  <c r="H343" i="1"/>
  <c r="G279" i="1"/>
  <c r="H279" i="1"/>
  <c r="G215" i="1"/>
  <c r="H215" i="1"/>
  <c r="G151" i="1"/>
  <c r="H151" i="1"/>
  <c r="G87" i="1"/>
  <c r="H87" i="1"/>
  <c r="G23" i="1"/>
  <c r="H23" i="1"/>
  <c r="G438" i="1"/>
  <c r="H438" i="1"/>
  <c r="G374" i="1"/>
  <c r="H374" i="1"/>
  <c r="G310" i="1"/>
  <c r="H310" i="1"/>
  <c r="G246" i="1"/>
  <c r="H246" i="1"/>
  <c r="G182" i="1"/>
  <c r="H182" i="1"/>
  <c r="G118" i="1"/>
  <c r="H118" i="1"/>
  <c r="G54" i="1"/>
  <c r="H54" i="1"/>
  <c r="G509" i="1"/>
  <c r="H509" i="1"/>
  <c r="G445" i="1"/>
  <c r="H445" i="1"/>
  <c r="G381" i="1"/>
  <c r="H381" i="1"/>
  <c r="G317" i="1"/>
  <c r="H317" i="1"/>
  <c r="G253" i="1"/>
  <c r="H253" i="1"/>
  <c r="G189" i="1"/>
  <c r="H189" i="1"/>
  <c r="G125" i="1"/>
  <c r="H125" i="1"/>
  <c r="G61" i="1"/>
  <c r="H61" i="1"/>
  <c r="G180" i="1"/>
  <c r="H180" i="1"/>
  <c r="G116" i="1"/>
  <c r="H116" i="1"/>
  <c r="G52" i="1"/>
  <c r="H52" i="1"/>
  <c r="G268" i="1"/>
  <c r="H268" i="1"/>
  <c r="G363" i="1"/>
  <c r="H363" i="1"/>
  <c r="G299" i="1"/>
  <c r="H299" i="1"/>
  <c r="G235" i="1"/>
  <c r="H235" i="1"/>
  <c r="G171" i="1"/>
  <c r="H171" i="1"/>
  <c r="G107" i="1"/>
  <c r="H107" i="1"/>
  <c r="G43" i="1"/>
  <c r="H43" i="1"/>
  <c r="G201" i="1"/>
  <c r="H201" i="1"/>
  <c r="G419" i="1"/>
  <c r="H419" i="1"/>
  <c r="G186" i="1"/>
  <c r="H186" i="1"/>
  <c r="G97" i="1"/>
  <c r="H97" i="1"/>
  <c r="G224" i="1"/>
  <c r="H224" i="1"/>
  <c r="G287" i="1"/>
  <c r="H287" i="1"/>
  <c r="G254" i="1"/>
  <c r="H254" i="1"/>
  <c r="G389" i="1"/>
  <c r="H389" i="1"/>
  <c r="G69" i="1"/>
  <c r="H69" i="1"/>
  <c r="G5" i="1"/>
  <c r="H5" i="1"/>
  <c r="G307" i="1"/>
  <c r="H307" i="1"/>
  <c r="G385" i="1"/>
  <c r="H385" i="1"/>
  <c r="G481" i="1"/>
  <c r="H481" i="1"/>
  <c r="G484" i="1"/>
  <c r="H484" i="1"/>
  <c r="G276" i="1"/>
  <c r="H276" i="1"/>
  <c r="G433" i="1"/>
  <c r="H433" i="1"/>
  <c r="G417" i="1"/>
  <c r="H417" i="1"/>
  <c r="G441" i="1"/>
  <c r="H441" i="1"/>
  <c r="G513" i="1"/>
  <c r="H513" i="1"/>
  <c r="G257" i="1"/>
  <c r="H257" i="1"/>
  <c r="G297" i="1"/>
  <c r="H297" i="1"/>
  <c r="G452" i="1"/>
  <c r="H452" i="1"/>
  <c r="G260" i="1"/>
  <c r="H260" i="1"/>
  <c r="G491" i="1"/>
  <c r="H491" i="1"/>
  <c r="G403" i="1"/>
  <c r="H403" i="1"/>
  <c r="G490" i="1"/>
  <c r="H490" i="1"/>
  <c r="G426" i="1"/>
  <c r="H426" i="1"/>
  <c r="G362" i="1"/>
  <c r="H362" i="1"/>
  <c r="G298" i="1"/>
  <c r="H298" i="1"/>
  <c r="G234" i="1"/>
  <c r="H234" i="1"/>
  <c r="G170" i="1"/>
  <c r="H170" i="1"/>
  <c r="G106" i="1"/>
  <c r="H106" i="1"/>
  <c r="G42" i="1"/>
  <c r="H42" i="1"/>
  <c r="G145" i="1"/>
  <c r="H145" i="1"/>
  <c r="G81" i="1"/>
  <c r="H81" i="1"/>
  <c r="G17" i="1"/>
  <c r="H17" i="1"/>
  <c r="G464" i="1"/>
  <c r="H464" i="1"/>
  <c r="G400" i="1"/>
  <c r="H400" i="1"/>
  <c r="G336" i="1"/>
  <c r="H336" i="1"/>
  <c r="G272" i="1"/>
  <c r="H272" i="1"/>
  <c r="G208" i="1"/>
  <c r="H208" i="1"/>
  <c r="G144" i="1"/>
  <c r="H144" i="1"/>
  <c r="G80" i="1"/>
  <c r="H80" i="1"/>
  <c r="G16" i="1"/>
  <c r="H16" i="1"/>
  <c r="G463" i="1"/>
  <c r="H463" i="1"/>
  <c r="G399" i="1"/>
  <c r="H399" i="1"/>
  <c r="G335" i="1"/>
  <c r="H335" i="1"/>
  <c r="G271" i="1"/>
  <c r="H271" i="1"/>
  <c r="G207" i="1"/>
  <c r="H207" i="1"/>
  <c r="G143" i="1"/>
  <c r="H143" i="1"/>
  <c r="G79" i="1"/>
  <c r="H79" i="1"/>
  <c r="G15" i="1"/>
  <c r="H15" i="1"/>
  <c r="G430" i="1"/>
  <c r="H430" i="1"/>
  <c r="G366" i="1"/>
  <c r="H366" i="1"/>
  <c r="G302" i="1"/>
  <c r="H302" i="1"/>
  <c r="G238" i="1"/>
  <c r="H238" i="1"/>
  <c r="G174" i="1"/>
  <c r="H174" i="1"/>
  <c r="G110" i="1"/>
  <c r="H110" i="1"/>
  <c r="G46" i="1"/>
  <c r="H46" i="1"/>
  <c r="G501" i="1"/>
  <c r="H501" i="1"/>
  <c r="G437" i="1"/>
  <c r="H437" i="1"/>
  <c r="G373" i="1"/>
  <c r="H373" i="1"/>
  <c r="G309" i="1"/>
  <c r="H309" i="1"/>
  <c r="G245" i="1"/>
  <c r="H245" i="1"/>
  <c r="G181" i="1"/>
  <c r="H181" i="1"/>
  <c r="G117" i="1"/>
  <c r="H117" i="1"/>
  <c r="G53" i="1"/>
  <c r="H53" i="1"/>
  <c r="G172" i="1"/>
  <c r="H172" i="1"/>
  <c r="G108" i="1"/>
  <c r="H108" i="1"/>
  <c r="G44" i="1"/>
  <c r="H44" i="1"/>
  <c r="G252" i="1"/>
  <c r="H252" i="1"/>
  <c r="G355" i="1"/>
  <c r="H355" i="1"/>
  <c r="G291" i="1"/>
  <c r="H291" i="1"/>
  <c r="G227" i="1"/>
  <c r="H227" i="1"/>
  <c r="G163" i="1"/>
  <c r="H163" i="1"/>
  <c r="G99" i="1"/>
  <c r="H99" i="1"/>
  <c r="G35" i="1"/>
  <c r="H35" i="1"/>
  <c r="G494" i="1"/>
  <c r="H494" i="1"/>
  <c r="G506" i="1"/>
  <c r="H506" i="1"/>
  <c r="G416" i="1"/>
  <c r="H416" i="1"/>
  <c r="G351" i="1"/>
  <c r="H351" i="1"/>
  <c r="G95" i="1"/>
  <c r="H95" i="1"/>
  <c r="G31" i="1"/>
  <c r="H31" i="1"/>
  <c r="G486" i="1"/>
  <c r="H486" i="1"/>
  <c r="G133" i="1"/>
  <c r="H133" i="1"/>
  <c r="G284" i="1"/>
  <c r="H284" i="1"/>
  <c r="G243" i="1"/>
  <c r="H243" i="1"/>
  <c r="G51" i="1"/>
  <c r="H51" i="1"/>
  <c r="G465" i="1"/>
  <c r="H465" i="1"/>
  <c r="G273" i="1"/>
  <c r="H273" i="1"/>
  <c r="G329" i="1"/>
  <c r="H329" i="1"/>
  <c r="G233" i="1"/>
  <c r="H233" i="1"/>
  <c r="G476" i="1"/>
  <c r="H476" i="1"/>
  <c r="G497" i="1"/>
  <c r="H497" i="1"/>
  <c r="G401" i="1"/>
  <c r="H401" i="1"/>
  <c r="G353" i="1"/>
  <c r="H353" i="1"/>
  <c r="G377" i="1"/>
  <c r="H377" i="1"/>
  <c r="G492" i="1"/>
  <c r="H492" i="1"/>
  <c r="G193" i="1"/>
  <c r="H193" i="1"/>
  <c r="G249" i="1"/>
  <c r="H249" i="1"/>
  <c r="G420" i="1"/>
  <c r="H420" i="1"/>
  <c r="G244" i="1"/>
  <c r="H244" i="1"/>
  <c r="G483" i="1"/>
  <c r="H483" i="1"/>
  <c r="G395" i="1"/>
  <c r="H395" i="1"/>
  <c r="G482" i="1"/>
  <c r="H482" i="1"/>
  <c r="G418" i="1"/>
  <c r="H418" i="1"/>
  <c r="G354" i="1"/>
  <c r="H354" i="1"/>
  <c r="G290" i="1"/>
  <c r="H290" i="1"/>
  <c r="G226" i="1"/>
  <c r="H226" i="1"/>
  <c r="G162" i="1"/>
  <c r="H162" i="1"/>
  <c r="G98" i="1"/>
  <c r="H98" i="1"/>
  <c r="G34" i="1"/>
  <c r="H34" i="1"/>
  <c r="G137" i="1"/>
  <c r="H137" i="1"/>
  <c r="G73" i="1"/>
  <c r="H73" i="1"/>
  <c r="G9" i="1"/>
  <c r="H9" i="1"/>
  <c r="G456" i="1"/>
  <c r="H456" i="1"/>
  <c r="G392" i="1"/>
  <c r="H392" i="1"/>
  <c r="G328" i="1"/>
  <c r="H328" i="1"/>
  <c r="G264" i="1"/>
  <c r="H264" i="1"/>
  <c r="G200" i="1"/>
  <c r="H200" i="1"/>
  <c r="G136" i="1"/>
  <c r="H136" i="1"/>
  <c r="G72" i="1"/>
  <c r="H72" i="1"/>
  <c r="G8" i="1"/>
  <c r="H8" i="1"/>
  <c r="G455" i="1"/>
  <c r="H455" i="1"/>
  <c r="G391" i="1"/>
  <c r="H391" i="1"/>
  <c r="G327" i="1"/>
  <c r="H327" i="1"/>
  <c r="G263" i="1"/>
  <c r="H263" i="1"/>
  <c r="G199" i="1"/>
  <c r="H199" i="1"/>
  <c r="G135" i="1"/>
  <c r="H135" i="1"/>
  <c r="G71" i="1"/>
  <c r="H71" i="1"/>
  <c r="G7" i="1"/>
  <c r="H7" i="1"/>
  <c r="G422" i="1"/>
  <c r="H422" i="1"/>
  <c r="G358" i="1"/>
  <c r="H358" i="1"/>
  <c r="G294" i="1"/>
  <c r="H294" i="1"/>
  <c r="G230" i="1"/>
  <c r="H230" i="1"/>
  <c r="G166" i="1"/>
  <c r="H166" i="1"/>
  <c r="G102" i="1"/>
  <c r="H102" i="1"/>
  <c r="G38" i="1"/>
  <c r="H38" i="1"/>
  <c r="G493" i="1"/>
  <c r="H493" i="1"/>
  <c r="G429" i="1"/>
  <c r="H429" i="1"/>
  <c r="G365" i="1"/>
  <c r="H365" i="1"/>
  <c r="G301" i="1"/>
  <c r="H301" i="1"/>
  <c r="G237" i="1"/>
  <c r="H237" i="1"/>
  <c r="G173" i="1"/>
  <c r="H173" i="1"/>
  <c r="G109" i="1"/>
  <c r="H109" i="1"/>
  <c r="G45" i="1"/>
  <c r="H45" i="1"/>
  <c r="G164" i="1"/>
  <c r="H164" i="1"/>
  <c r="G100" i="1"/>
  <c r="H100" i="1"/>
  <c r="G36" i="1"/>
  <c r="H36" i="1"/>
  <c r="G228" i="1"/>
  <c r="H228" i="1"/>
  <c r="G347" i="1"/>
  <c r="H347" i="1"/>
  <c r="G283" i="1"/>
  <c r="H283" i="1"/>
  <c r="G219" i="1"/>
  <c r="H219" i="1"/>
  <c r="G155" i="1"/>
  <c r="H155" i="1"/>
  <c r="G91" i="1"/>
  <c r="H91" i="1"/>
  <c r="G27" i="1"/>
  <c r="H27" i="1"/>
  <c r="G449" i="1"/>
  <c r="H449" i="1"/>
  <c r="G332" i="1"/>
  <c r="H332" i="1"/>
  <c r="G378" i="1"/>
  <c r="H378" i="1"/>
  <c r="G169" i="1"/>
  <c r="H169" i="1"/>
  <c r="G33" i="1"/>
  <c r="H33" i="1"/>
  <c r="G415" i="1"/>
  <c r="H415" i="1"/>
  <c r="G318" i="1"/>
  <c r="H318" i="1"/>
  <c r="G126" i="1"/>
  <c r="H126" i="1"/>
  <c r="G62" i="1"/>
  <c r="H62" i="1"/>
  <c r="G197" i="1"/>
  <c r="H197" i="1"/>
  <c r="G427" i="1"/>
  <c r="H427" i="1"/>
  <c r="G115" i="1"/>
  <c r="H115" i="1"/>
  <c r="G412" i="1"/>
  <c r="H412" i="1"/>
  <c r="G436" i="1"/>
  <c r="H436" i="1"/>
  <c r="G369" i="1"/>
  <c r="H369" i="1"/>
  <c r="G502" i="1"/>
  <c r="H502" i="1"/>
  <c r="G313" i="1"/>
  <c r="H313" i="1"/>
  <c r="G460" i="1"/>
  <c r="H460" i="1"/>
  <c r="G289" i="1"/>
  <c r="H289" i="1"/>
  <c r="G185" i="1"/>
  <c r="H185" i="1"/>
  <c r="G388" i="1"/>
  <c r="H388" i="1"/>
  <c r="G236" i="1"/>
  <c r="H236" i="1"/>
  <c r="G467" i="1"/>
  <c r="H467" i="1"/>
  <c r="G387" i="1"/>
  <c r="H387" i="1"/>
  <c r="G474" i="1"/>
  <c r="H474" i="1"/>
  <c r="G410" i="1"/>
  <c r="H410" i="1"/>
  <c r="G346" i="1"/>
  <c r="H346" i="1"/>
  <c r="G282" i="1"/>
  <c r="H282" i="1"/>
  <c r="G218" i="1"/>
  <c r="H218" i="1"/>
  <c r="G154" i="1"/>
  <c r="H154" i="1"/>
  <c r="G90" i="1"/>
  <c r="H90" i="1"/>
  <c r="G26" i="1"/>
  <c r="H26" i="1"/>
  <c r="G129" i="1"/>
  <c r="H129" i="1"/>
  <c r="G65" i="1"/>
  <c r="H65" i="1"/>
  <c r="G512" i="1"/>
  <c r="H512" i="1"/>
  <c r="G448" i="1"/>
  <c r="H448" i="1"/>
  <c r="G384" i="1"/>
  <c r="H384" i="1"/>
  <c r="G320" i="1"/>
  <c r="H320" i="1"/>
  <c r="G256" i="1"/>
  <c r="H256" i="1"/>
  <c r="G192" i="1"/>
  <c r="H192" i="1"/>
  <c r="G128" i="1"/>
  <c r="H128" i="1"/>
  <c r="G64" i="1"/>
  <c r="H64" i="1"/>
  <c r="G511" i="1"/>
  <c r="H511" i="1"/>
  <c r="G447" i="1"/>
  <c r="H447" i="1"/>
  <c r="G383" i="1"/>
  <c r="H383" i="1"/>
  <c r="G319" i="1"/>
  <c r="H319" i="1"/>
  <c r="G255" i="1"/>
  <c r="H255" i="1"/>
  <c r="G191" i="1"/>
  <c r="H191" i="1"/>
  <c r="G127" i="1"/>
  <c r="H127" i="1"/>
  <c r="G63" i="1"/>
  <c r="H63" i="1"/>
  <c r="G478" i="1"/>
  <c r="H478" i="1"/>
  <c r="G414" i="1"/>
  <c r="H414" i="1"/>
  <c r="G350" i="1"/>
  <c r="H350" i="1"/>
  <c r="G286" i="1"/>
  <c r="H286" i="1"/>
  <c r="G222" i="1"/>
  <c r="H222" i="1"/>
  <c r="G158" i="1"/>
  <c r="H158" i="1"/>
  <c r="G94" i="1"/>
  <c r="H94" i="1"/>
  <c r="G30" i="1"/>
  <c r="H30" i="1"/>
  <c r="G485" i="1"/>
  <c r="H485" i="1"/>
  <c r="G421" i="1"/>
  <c r="H421" i="1"/>
  <c r="G357" i="1"/>
  <c r="H357" i="1"/>
  <c r="G293" i="1"/>
  <c r="H293" i="1"/>
  <c r="G229" i="1"/>
  <c r="H229" i="1"/>
  <c r="G165" i="1"/>
  <c r="H165" i="1"/>
  <c r="G101" i="1"/>
  <c r="H101" i="1"/>
  <c r="G37" i="1"/>
  <c r="H37" i="1"/>
  <c r="G156" i="1"/>
  <c r="H156" i="1"/>
  <c r="G92" i="1"/>
  <c r="H92" i="1"/>
  <c r="G28" i="1"/>
  <c r="H28" i="1"/>
  <c r="G196" i="1"/>
  <c r="H196" i="1"/>
  <c r="G339" i="1"/>
  <c r="H339" i="1"/>
  <c r="G275" i="1"/>
  <c r="H275" i="1"/>
  <c r="G211" i="1"/>
  <c r="H211" i="1"/>
  <c r="G147" i="1"/>
  <c r="H147" i="1"/>
  <c r="G83" i="1"/>
  <c r="H83" i="1"/>
  <c r="G19" i="1"/>
  <c r="H19" i="1"/>
  <c r="G508" i="1"/>
  <c r="H508" i="1"/>
  <c r="G314" i="1"/>
  <c r="H314" i="1"/>
  <c r="G352" i="1"/>
  <c r="H352" i="1"/>
  <c r="G96" i="1"/>
  <c r="H96" i="1"/>
  <c r="G32" i="1"/>
  <c r="H32" i="1"/>
  <c r="G382" i="1"/>
  <c r="H382" i="1"/>
  <c r="G325" i="1"/>
  <c r="H325" i="1"/>
  <c r="G372" i="1"/>
  <c r="H372" i="1"/>
  <c r="G337" i="1"/>
  <c r="H337" i="1"/>
  <c r="G217" i="1"/>
  <c r="H217" i="1"/>
  <c r="G489" i="1"/>
  <c r="H489" i="1"/>
  <c r="G321" i="1"/>
  <c r="H321" i="1"/>
  <c r="G356" i="1"/>
  <c r="H356" i="1"/>
  <c r="G220" i="1"/>
  <c r="H220" i="1"/>
  <c r="G459" i="1"/>
  <c r="H459" i="1"/>
  <c r="G379" i="1"/>
  <c r="H379" i="1"/>
  <c r="G466" i="1"/>
  <c r="H466" i="1"/>
  <c r="G402" i="1"/>
  <c r="H402" i="1"/>
  <c r="G338" i="1"/>
  <c r="H338" i="1"/>
  <c r="G274" i="1"/>
  <c r="H274" i="1"/>
  <c r="G210" i="1"/>
  <c r="H210" i="1"/>
  <c r="G146" i="1"/>
  <c r="H146" i="1"/>
  <c r="G82" i="1"/>
  <c r="H82" i="1"/>
  <c r="G18" i="1"/>
  <c r="H18" i="1"/>
  <c r="G121" i="1"/>
  <c r="H121" i="1"/>
  <c r="G57" i="1"/>
  <c r="H57" i="1"/>
  <c r="G504" i="1"/>
  <c r="H504" i="1"/>
  <c r="G440" i="1"/>
  <c r="H440" i="1"/>
  <c r="G376" i="1"/>
  <c r="H376" i="1"/>
  <c r="G312" i="1"/>
  <c r="H312" i="1"/>
  <c r="G248" i="1"/>
  <c r="H248" i="1"/>
  <c r="G184" i="1"/>
  <c r="H184" i="1"/>
  <c r="G120" i="1"/>
  <c r="H120" i="1"/>
  <c r="G56" i="1"/>
  <c r="H56" i="1"/>
  <c r="G503" i="1"/>
  <c r="H503" i="1"/>
  <c r="G439" i="1"/>
  <c r="H439" i="1"/>
  <c r="G375" i="1"/>
  <c r="H375" i="1"/>
  <c r="G311" i="1"/>
  <c r="H311" i="1"/>
  <c r="G247" i="1"/>
  <c r="H247" i="1"/>
  <c r="G183" i="1"/>
  <c r="H183" i="1"/>
  <c r="G119" i="1"/>
  <c r="H119" i="1"/>
  <c r="G55" i="1"/>
  <c r="H55" i="1"/>
  <c r="G470" i="1"/>
  <c r="H470" i="1"/>
  <c r="G406" i="1"/>
  <c r="H406" i="1"/>
  <c r="G342" i="1"/>
  <c r="H342" i="1"/>
  <c r="G278" i="1"/>
  <c r="H278" i="1"/>
  <c r="G214" i="1"/>
  <c r="H214" i="1"/>
  <c r="G150" i="1"/>
  <c r="H150" i="1"/>
  <c r="G86" i="1"/>
  <c r="H86" i="1"/>
  <c r="G22" i="1"/>
  <c r="H22" i="1"/>
  <c r="G477" i="1"/>
  <c r="H477" i="1"/>
  <c r="G413" i="1"/>
  <c r="H413" i="1"/>
  <c r="G349" i="1"/>
  <c r="H349" i="1"/>
  <c r="G285" i="1"/>
  <c r="H285" i="1"/>
  <c r="G221" i="1"/>
  <c r="H221" i="1"/>
  <c r="G157" i="1"/>
  <c r="H157" i="1"/>
  <c r="G93" i="1"/>
  <c r="H93" i="1"/>
  <c r="G29" i="1"/>
  <c r="H29" i="1"/>
  <c r="G148" i="1"/>
  <c r="H148" i="1"/>
  <c r="G84" i="1"/>
  <c r="H84" i="1"/>
  <c r="G20" i="1"/>
  <c r="H20" i="1"/>
  <c r="G499" i="1"/>
  <c r="H499" i="1"/>
  <c r="G331" i="1"/>
  <c r="H331" i="1"/>
  <c r="G267" i="1"/>
  <c r="H267" i="1"/>
  <c r="G203" i="1"/>
  <c r="H203" i="1"/>
  <c r="G139" i="1"/>
  <c r="H139" i="1"/>
  <c r="G75" i="1"/>
  <c r="H75" i="1"/>
  <c r="G11" i="1"/>
  <c r="H11" i="1"/>
  <c r="G281" i="1"/>
  <c r="H281" i="1"/>
  <c r="G241" i="1"/>
  <c r="H241" i="1"/>
  <c r="G250" i="1"/>
  <c r="H250" i="1"/>
  <c r="G58" i="1"/>
  <c r="H58" i="1"/>
  <c r="G479" i="1"/>
  <c r="H479" i="1"/>
  <c r="G159" i="1"/>
  <c r="H159" i="1"/>
  <c r="G453" i="1"/>
  <c r="H453" i="1"/>
  <c r="G348" i="1"/>
  <c r="H348" i="1"/>
  <c r="G444" i="1"/>
  <c r="H444" i="1"/>
  <c r="G428" i="1"/>
  <c r="H428" i="1"/>
  <c r="G225" i="1"/>
  <c r="H225" i="1"/>
  <c r="G308" i="1"/>
  <c r="H308" i="1"/>
  <c r="G305" i="1"/>
  <c r="H305" i="1"/>
  <c r="G380" i="1"/>
  <c r="H380" i="1"/>
  <c r="G468" i="1"/>
  <c r="H468" i="1"/>
  <c r="G396" i="1"/>
  <c r="H396" i="1"/>
  <c r="G457" i="1"/>
  <c r="H457" i="1"/>
  <c r="G510" i="1"/>
  <c r="H510" i="1"/>
  <c r="G324" i="1"/>
  <c r="H324" i="1"/>
  <c r="G212" i="1"/>
  <c r="H212" i="1"/>
  <c r="G443" i="1"/>
  <c r="H443" i="1"/>
  <c r="G371" i="1"/>
  <c r="H371" i="1"/>
  <c r="G458" i="1"/>
  <c r="H458" i="1"/>
  <c r="G394" i="1"/>
  <c r="H394" i="1"/>
  <c r="G330" i="1"/>
  <c r="H330" i="1"/>
  <c r="G266" i="1"/>
  <c r="H266" i="1"/>
  <c r="G202" i="1"/>
  <c r="H202" i="1"/>
  <c r="G138" i="1"/>
  <c r="H138" i="1"/>
  <c r="G74" i="1"/>
  <c r="H74" i="1"/>
  <c r="G10" i="1"/>
  <c r="H10" i="1"/>
  <c r="G113" i="1"/>
  <c r="H113" i="1"/>
  <c r="G49" i="1"/>
  <c r="H49" i="1"/>
  <c r="G496" i="1"/>
  <c r="H496" i="1"/>
  <c r="G432" i="1"/>
  <c r="H432" i="1"/>
  <c r="G368" i="1"/>
  <c r="H368" i="1"/>
  <c r="G304" i="1"/>
  <c r="H304" i="1"/>
  <c r="G240" i="1"/>
  <c r="H240" i="1"/>
  <c r="G176" i="1"/>
  <c r="H176" i="1"/>
  <c r="G112" i="1"/>
  <c r="H112" i="1"/>
  <c r="G48" i="1"/>
  <c r="H48" i="1"/>
  <c r="G495" i="1"/>
  <c r="H495" i="1"/>
  <c r="G431" i="1"/>
  <c r="H431" i="1"/>
  <c r="G367" i="1"/>
  <c r="H367" i="1"/>
  <c r="G303" i="1"/>
  <c r="H303" i="1"/>
  <c r="G239" i="1"/>
  <c r="H239" i="1"/>
  <c r="G175" i="1"/>
  <c r="H175" i="1"/>
  <c r="G111" i="1"/>
  <c r="H111" i="1"/>
  <c r="G47" i="1"/>
  <c r="H47" i="1"/>
  <c r="G462" i="1"/>
  <c r="H462" i="1"/>
  <c r="G398" i="1"/>
  <c r="H398" i="1"/>
  <c r="G334" i="1"/>
  <c r="H334" i="1"/>
  <c r="G270" i="1"/>
  <c r="H270" i="1"/>
  <c r="G206" i="1"/>
  <c r="H206" i="1"/>
  <c r="G142" i="1"/>
  <c r="H142" i="1"/>
  <c r="G78" i="1"/>
  <c r="H78" i="1"/>
  <c r="G14" i="1"/>
  <c r="H14" i="1"/>
  <c r="G469" i="1"/>
  <c r="H469" i="1"/>
  <c r="G405" i="1"/>
  <c r="H405" i="1"/>
  <c r="G341" i="1"/>
  <c r="H341" i="1"/>
  <c r="G277" i="1"/>
  <c r="H277" i="1"/>
  <c r="G213" i="1"/>
  <c r="H213" i="1"/>
  <c r="G149" i="1"/>
  <c r="H149" i="1"/>
  <c r="G85" i="1"/>
  <c r="H85" i="1"/>
  <c r="G21" i="1"/>
  <c r="H21" i="1"/>
  <c r="G140" i="1"/>
  <c r="H140" i="1"/>
  <c r="G76" i="1"/>
  <c r="H76" i="1"/>
  <c r="G12" i="1"/>
  <c r="H12" i="1"/>
  <c r="G475" i="1"/>
  <c r="H475" i="1"/>
  <c r="G323" i="1"/>
  <c r="H323" i="1"/>
  <c r="G259" i="1"/>
  <c r="H259" i="1"/>
  <c r="G195" i="1"/>
  <c r="H195" i="1"/>
  <c r="G131" i="1"/>
  <c r="H131" i="1"/>
  <c r="G67" i="1"/>
  <c r="H67" i="1"/>
  <c r="G3" i="1"/>
  <c r="H3" i="1"/>
  <c r="G409" i="1"/>
  <c r="H409" i="1"/>
  <c r="G361" i="1"/>
  <c r="H361" i="1"/>
  <c r="G188" i="1"/>
  <c r="H188" i="1"/>
  <c r="G480" i="1"/>
  <c r="H480" i="1"/>
  <c r="G160" i="1"/>
  <c r="H160" i="1"/>
  <c r="G223" i="1"/>
  <c r="H223" i="1"/>
  <c r="G505" i="1"/>
  <c r="H505" i="1"/>
  <c r="G473" i="1"/>
  <c r="H473" i="1"/>
  <c r="G209" i="1"/>
  <c r="H209" i="1"/>
  <c r="G265" i="1"/>
  <c r="H265" i="1"/>
  <c r="G316" i="1"/>
  <c r="H316" i="1"/>
  <c r="G404" i="1"/>
  <c r="H404" i="1"/>
  <c r="G364" i="1"/>
  <c r="H364" i="1"/>
  <c r="G393" i="1"/>
  <c r="H393" i="1"/>
  <c r="G425" i="1"/>
  <c r="H425" i="1"/>
  <c r="G292" i="1"/>
  <c r="H292" i="1"/>
  <c r="G204" i="1"/>
  <c r="H204" i="1"/>
  <c r="G435" i="1"/>
  <c r="H435" i="1"/>
  <c r="G514" i="1"/>
  <c r="H514" i="1"/>
  <c r="G450" i="1"/>
  <c r="H450" i="1"/>
  <c r="G386" i="1"/>
  <c r="H386" i="1"/>
  <c r="G322" i="1"/>
  <c r="H322" i="1"/>
  <c r="G258" i="1"/>
  <c r="H258" i="1"/>
  <c r="G194" i="1"/>
  <c r="H194" i="1"/>
  <c r="G130" i="1"/>
  <c r="H130" i="1"/>
  <c r="G66" i="1"/>
  <c r="H66" i="1"/>
  <c r="G177" i="1"/>
  <c r="H177" i="1"/>
  <c r="G105" i="1"/>
  <c r="H105" i="1"/>
  <c r="G41" i="1"/>
  <c r="H41" i="1"/>
  <c r="G488" i="1"/>
  <c r="H488" i="1"/>
  <c r="G424" i="1"/>
  <c r="H424" i="1"/>
  <c r="G360" i="1"/>
  <c r="H360" i="1"/>
  <c r="G296" i="1"/>
  <c r="H296" i="1"/>
  <c r="G232" i="1"/>
  <c r="H232" i="1"/>
  <c r="G168" i="1"/>
  <c r="H168" i="1"/>
  <c r="G104" i="1"/>
  <c r="H104" i="1"/>
  <c r="G40" i="1"/>
  <c r="H40" i="1"/>
  <c r="G487" i="1"/>
  <c r="H487" i="1"/>
  <c r="G423" i="1"/>
  <c r="H423" i="1"/>
  <c r="G359" i="1"/>
  <c r="H359" i="1"/>
  <c r="G295" i="1"/>
  <c r="H295" i="1"/>
  <c r="G231" i="1"/>
  <c r="H231" i="1"/>
  <c r="G167" i="1"/>
  <c r="H167" i="1"/>
  <c r="G103" i="1"/>
  <c r="H103" i="1"/>
  <c r="G39" i="1"/>
  <c r="H39" i="1"/>
  <c r="G454" i="1"/>
  <c r="H454" i="1"/>
  <c r="G390" i="1"/>
  <c r="H390" i="1"/>
  <c r="G326" i="1"/>
  <c r="H326" i="1"/>
  <c r="G262" i="1"/>
  <c r="H262" i="1"/>
  <c r="G198" i="1"/>
  <c r="H198" i="1"/>
  <c r="G134" i="1"/>
  <c r="H134" i="1"/>
  <c r="G70" i="1"/>
  <c r="H70" i="1"/>
  <c r="G6" i="1"/>
  <c r="H6" i="1"/>
  <c r="G461" i="1"/>
  <c r="H461" i="1"/>
  <c r="G397" i="1"/>
  <c r="H397" i="1"/>
  <c r="G333" i="1"/>
  <c r="H333" i="1"/>
  <c r="G269" i="1"/>
  <c r="H269" i="1"/>
  <c r="G205" i="1"/>
  <c r="H205" i="1"/>
  <c r="G141" i="1"/>
  <c r="H141" i="1"/>
  <c r="G77" i="1"/>
  <c r="H77" i="1"/>
  <c r="G13" i="1"/>
  <c r="H13" i="1"/>
  <c r="G132" i="1"/>
  <c r="H132" i="1"/>
  <c r="G68" i="1"/>
  <c r="H68" i="1"/>
  <c r="G4" i="1"/>
  <c r="H4" i="1"/>
  <c r="G451" i="1"/>
  <c r="H451" i="1"/>
  <c r="G315" i="1"/>
  <c r="H315" i="1"/>
  <c r="G251" i="1"/>
  <c r="H251" i="1"/>
  <c r="G187" i="1"/>
  <c r="H187" i="1"/>
  <c r="G123" i="1"/>
  <c r="H123" i="1"/>
  <c r="G59" i="1"/>
  <c r="H59" i="1"/>
  <c r="G2" i="1"/>
  <c r="H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0F4DCF8-83E7-443F-9CB2-157D642C425A}" keepAlive="1" name="Query - Weekly" description="Connection to the 'Weekly' query in the workbook." type="5" refreshedVersion="8" background="1" saveData="1">
    <dbPr connection="Provider=Microsoft.Mashup.OleDb.1;Data Source=$Workbook$;Location=Weekly;Extended Properties=&quot;&quot;" command="SELECT * FROM [Weekly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48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</futureMetadata>
  <cellMetadata count="1">
    <bk>
      <rc t="1" v="0"/>
    </bk>
  </cellMetadata>
  <valueMetadata count="1482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</valueMetadata>
</metadata>
</file>

<file path=xl/sharedStrings.xml><?xml version="1.0" encoding="utf-8"?>
<sst xmlns="http://schemas.openxmlformats.org/spreadsheetml/2006/main" count="11" uniqueCount="11">
  <si>
    <t>Date</t>
  </si>
  <si>
    <t>Average</t>
  </si>
  <si>
    <t>Pr x Vol</t>
  </si>
  <si>
    <t>VWAP</t>
  </si>
  <si>
    <t>StdDev</t>
  </si>
  <si>
    <t>Plus 1 Sd</t>
  </si>
  <si>
    <t>Minus 1 Sd</t>
  </si>
  <si>
    <t>Forecast</t>
  </si>
  <si>
    <t>PI</t>
  </si>
  <si>
    <t>Lower</t>
  </si>
  <si>
    <t>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</si>
</sst>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2" borderId="0" xfId="0" applyFont="1" applyFill="1"/>
    <xf numFmtId="0" fontId="3" fillId="3" borderId="0" xfId="0" applyFont="1" applyFill="1"/>
    <xf numFmtId="0" fontId="2" fillId="3" borderId="0" xfId="0" applyFont="1" applyFill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connections" Target="connections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Data!$B$1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Data!$A$2:$A$514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Data!$B$2:$B$514</c:f>
              <c:numCache>
                <c:formatCode>_([$$-409]* #,##0.00_);_([$$-409]* \(#,##0.00\);_([$$-409]* "-"??_);_(@_)</c:formatCode>
                <c:ptCount val="513"/>
                <c:pt idx="0">
                  <c:v>92.41</c:v>
                </c:pt>
                <c:pt idx="1">
                  <c:v>93</c:v>
                </c:pt>
                <c:pt idx="2">
                  <c:v>93.25</c:v>
                </c:pt>
                <c:pt idx="3">
                  <c:v>93.52</c:v>
                </c:pt>
                <c:pt idx="4">
                  <c:v>93.81</c:v>
                </c:pt>
                <c:pt idx="5">
                  <c:v>93.7</c:v>
                </c:pt>
                <c:pt idx="6">
                  <c:v>94.32</c:v>
                </c:pt>
                <c:pt idx="7">
                  <c:v>91.25</c:v>
                </c:pt>
                <c:pt idx="8">
                  <c:v>91.62</c:v>
                </c:pt>
                <c:pt idx="9">
                  <c:v>91.56</c:v>
                </c:pt>
                <c:pt idx="10">
                  <c:v>90.55</c:v>
                </c:pt>
                <c:pt idx="11">
                  <c:v>89.4</c:v>
                </c:pt>
                <c:pt idx="12">
                  <c:v>89.86</c:v>
                </c:pt>
                <c:pt idx="13">
                  <c:v>89.2</c:v>
                </c:pt>
                <c:pt idx="14">
                  <c:v>89.12</c:v>
                </c:pt>
                <c:pt idx="15">
                  <c:v>88.32</c:v>
                </c:pt>
                <c:pt idx="16">
                  <c:v>89.67</c:v>
                </c:pt>
                <c:pt idx="17">
                  <c:v>90.02</c:v>
                </c:pt>
                <c:pt idx="18">
                  <c:v>90.59</c:v>
                </c:pt>
                <c:pt idx="19">
                  <c:v>90.68</c:v>
                </c:pt>
                <c:pt idx="20">
                  <c:v>90.9</c:v>
                </c:pt>
                <c:pt idx="21">
                  <c:v>92.78</c:v>
                </c:pt>
                <c:pt idx="22">
                  <c:v>91.1</c:v>
                </c:pt>
                <c:pt idx="23">
                  <c:v>89.67</c:v>
                </c:pt>
                <c:pt idx="24">
                  <c:v>89.77</c:v>
                </c:pt>
                <c:pt idx="25">
                  <c:v>89.47</c:v>
                </c:pt>
                <c:pt idx="26">
                  <c:v>88.67</c:v>
                </c:pt>
                <c:pt idx="27">
                  <c:v>89.06</c:v>
                </c:pt>
                <c:pt idx="28">
                  <c:v>89.45</c:v>
                </c:pt>
                <c:pt idx="29">
                  <c:v>86.67</c:v>
                </c:pt>
                <c:pt idx="30">
                  <c:v>86.84</c:v>
                </c:pt>
                <c:pt idx="31">
                  <c:v>88.22</c:v>
                </c:pt>
                <c:pt idx="32">
                  <c:v>87.32</c:v>
                </c:pt>
                <c:pt idx="33">
                  <c:v>87.58</c:v>
                </c:pt>
                <c:pt idx="34">
                  <c:v>88.61</c:v>
                </c:pt>
                <c:pt idx="35">
                  <c:v>87.91</c:v>
                </c:pt>
                <c:pt idx="36">
                  <c:v>87.93</c:v>
                </c:pt>
                <c:pt idx="37">
                  <c:v>86.21</c:v>
                </c:pt>
                <c:pt idx="38">
                  <c:v>86.88</c:v>
                </c:pt>
                <c:pt idx="39">
                  <c:v>86.65</c:v>
                </c:pt>
                <c:pt idx="40">
                  <c:v>87.21</c:v>
                </c:pt>
                <c:pt idx="41">
                  <c:v>87.01</c:v>
                </c:pt>
                <c:pt idx="42">
                  <c:v>89.13</c:v>
                </c:pt>
                <c:pt idx="43">
                  <c:v>88.99</c:v>
                </c:pt>
                <c:pt idx="44">
                  <c:v>89.85</c:v>
                </c:pt>
                <c:pt idx="45">
                  <c:v>89.94</c:v>
                </c:pt>
                <c:pt idx="46">
                  <c:v>90.12</c:v>
                </c:pt>
                <c:pt idx="47">
                  <c:v>90.8</c:v>
                </c:pt>
                <c:pt idx="48">
                  <c:v>89.93</c:v>
                </c:pt>
                <c:pt idx="49">
                  <c:v>89.57</c:v>
                </c:pt>
                <c:pt idx="50">
                  <c:v>88.67</c:v>
                </c:pt>
                <c:pt idx="51">
                  <c:v>88.94</c:v>
                </c:pt>
                <c:pt idx="52">
                  <c:v>88.99</c:v>
                </c:pt>
                <c:pt idx="53">
                  <c:v>89.71</c:v>
                </c:pt>
                <c:pt idx="54">
                  <c:v>89.04</c:v>
                </c:pt>
                <c:pt idx="55">
                  <c:v>88.65</c:v>
                </c:pt>
                <c:pt idx="56">
                  <c:v>88.6</c:v>
                </c:pt>
                <c:pt idx="57">
                  <c:v>88.5</c:v>
                </c:pt>
                <c:pt idx="58">
                  <c:v>87.45</c:v>
                </c:pt>
                <c:pt idx="59">
                  <c:v>90.05</c:v>
                </c:pt>
                <c:pt idx="60">
                  <c:v>90.81</c:v>
                </c:pt>
                <c:pt idx="61">
                  <c:v>90.33</c:v>
                </c:pt>
                <c:pt idx="62">
                  <c:v>90.6</c:v>
                </c:pt>
                <c:pt idx="63">
                  <c:v>89.89</c:v>
                </c:pt>
                <c:pt idx="64">
                  <c:v>90.19</c:v>
                </c:pt>
                <c:pt idx="65">
                  <c:v>89.65</c:v>
                </c:pt>
                <c:pt idx="66">
                  <c:v>90.6</c:v>
                </c:pt>
                <c:pt idx="67">
                  <c:v>91.13</c:v>
                </c:pt>
                <c:pt idx="68">
                  <c:v>88.89</c:v>
                </c:pt>
                <c:pt idx="69">
                  <c:v>88.55</c:v>
                </c:pt>
                <c:pt idx="70">
                  <c:v>88.63</c:v>
                </c:pt>
                <c:pt idx="71">
                  <c:v>89.32</c:v>
                </c:pt>
                <c:pt idx="72">
                  <c:v>87.42</c:v>
                </c:pt>
                <c:pt idx="73">
                  <c:v>90.33</c:v>
                </c:pt>
                <c:pt idx="74">
                  <c:v>90.9</c:v>
                </c:pt>
                <c:pt idx="75">
                  <c:v>91.77</c:v>
                </c:pt>
                <c:pt idx="76">
                  <c:v>92.73</c:v>
                </c:pt>
                <c:pt idx="77">
                  <c:v>92.84</c:v>
                </c:pt>
                <c:pt idx="78">
                  <c:v>93.43</c:v>
                </c:pt>
                <c:pt idx="79">
                  <c:v>94.11</c:v>
                </c:pt>
                <c:pt idx="80">
                  <c:v>92.93</c:v>
                </c:pt>
                <c:pt idx="81">
                  <c:v>93.97</c:v>
                </c:pt>
                <c:pt idx="82">
                  <c:v>94.4</c:v>
                </c:pt>
                <c:pt idx="83">
                  <c:v>94.8</c:v>
                </c:pt>
                <c:pt idx="84">
                  <c:v>95.25</c:v>
                </c:pt>
                <c:pt idx="85">
                  <c:v>95.56</c:v>
                </c:pt>
                <c:pt idx="86">
                  <c:v>96.13</c:v>
                </c:pt>
                <c:pt idx="87">
                  <c:v>97.5</c:v>
                </c:pt>
                <c:pt idx="88">
                  <c:v>97.57</c:v>
                </c:pt>
                <c:pt idx="89">
                  <c:v>98.12</c:v>
                </c:pt>
                <c:pt idx="90">
                  <c:v>97.7</c:v>
                </c:pt>
                <c:pt idx="91">
                  <c:v>97.64</c:v>
                </c:pt>
                <c:pt idx="92">
                  <c:v>96.64</c:v>
                </c:pt>
                <c:pt idx="93">
                  <c:v>96.91</c:v>
                </c:pt>
                <c:pt idx="94">
                  <c:v>96.91</c:v>
                </c:pt>
                <c:pt idx="95">
                  <c:v>97.1</c:v>
                </c:pt>
                <c:pt idx="96">
                  <c:v>96.51</c:v>
                </c:pt>
                <c:pt idx="97">
                  <c:v>96.34</c:v>
                </c:pt>
                <c:pt idx="98">
                  <c:v>96.13</c:v>
                </c:pt>
                <c:pt idx="99">
                  <c:v>93.87</c:v>
                </c:pt>
                <c:pt idx="100">
                  <c:v>94.43</c:v>
                </c:pt>
                <c:pt idx="101">
                  <c:v>93.21</c:v>
                </c:pt>
                <c:pt idx="102">
                  <c:v>91.91</c:v>
                </c:pt>
                <c:pt idx="103">
                  <c:v>92.45</c:v>
                </c:pt>
                <c:pt idx="104">
                  <c:v>94.55</c:v>
                </c:pt>
                <c:pt idx="105">
                  <c:v>93.68</c:v>
                </c:pt>
                <c:pt idx="106">
                  <c:v>93.72</c:v>
                </c:pt>
                <c:pt idx="107">
                  <c:v>92.6</c:v>
                </c:pt>
                <c:pt idx="108">
                  <c:v>91.89</c:v>
                </c:pt>
                <c:pt idx="109">
                  <c:v>91.61</c:v>
                </c:pt>
                <c:pt idx="110">
                  <c:v>92.32</c:v>
                </c:pt>
                <c:pt idx="111">
                  <c:v>91.75</c:v>
                </c:pt>
                <c:pt idx="112">
                  <c:v>91.14</c:v>
                </c:pt>
                <c:pt idx="113">
                  <c:v>90.61</c:v>
                </c:pt>
                <c:pt idx="114">
                  <c:v>90.87</c:v>
                </c:pt>
                <c:pt idx="115">
                  <c:v>90.65</c:v>
                </c:pt>
                <c:pt idx="116">
                  <c:v>90.39</c:v>
                </c:pt>
                <c:pt idx="117">
                  <c:v>90.53</c:v>
                </c:pt>
                <c:pt idx="118">
                  <c:v>90.34</c:v>
                </c:pt>
                <c:pt idx="119">
                  <c:v>91.27</c:v>
                </c:pt>
                <c:pt idx="120">
                  <c:v>89.39</c:v>
                </c:pt>
                <c:pt idx="121">
                  <c:v>89.67</c:v>
                </c:pt>
                <c:pt idx="122">
                  <c:v>89.68</c:v>
                </c:pt>
                <c:pt idx="123">
                  <c:v>89.42</c:v>
                </c:pt>
                <c:pt idx="124">
                  <c:v>88.81</c:v>
                </c:pt>
                <c:pt idx="125">
                  <c:v>88.97</c:v>
                </c:pt>
                <c:pt idx="126">
                  <c:v>88.71</c:v>
                </c:pt>
                <c:pt idx="127">
                  <c:v>89.27</c:v>
                </c:pt>
                <c:pt idx="128">
                  <c:v>88.42</c:v>
                </c:pt>
                <c:pt idx="129">
                  <c:v>88.85</c:v>
                </c:pt>
                <c:pt idx="130">
                  <c:v>89.87</c:v>
                </c:pt>
                <c:pt idx="131">
                  <c:v>91.46</c:v>
                </c:pt>
                <c:pt idx="132">
                  <c:v>92.19</c:v>
                </c:pt>
                <c:pt idx="133">
                  <c:v>90.26</c:v>
                </c:pt>
                <c:pt idx="134">
                  <c:v>91.55</c:v>
                </c:pt>
                <c:pt idx="135">
                  <c:v>93.76</c:v>
                </c:pt>
                <c:pt idx="136">
                  <c:v>94.11</c:v>
                </c:pt>
                <c:pt idx="137">
                  <c:v>94.04</c:v>
                </c:pt>
                <c:pt idx="138">
                  <c:v>94.64</c:v>
                </c:pt>
                <c:pt idx="139">
                  <c:v>93.25</c:v>
                </c:pt>
                <c:pt idx="140">
                  <c:v>95.88</c:v>
                </c:pt>
                <c:pt idx="141">
                  <c:v>95.92</c:v>
                </c:pt>
                <c:pt idx="142">
                  <c:v>96.44</c:v>
                </c:pt>
                <c:pt idx="143">
                  <c:v>96.87</c:v>
                </c:pt>
                <c:pt idx="144">
                  <c:v>98.16</c:v>
                </c:pt>
                <c:pt idx="145">
                  <c:v>97.52</c:v>
                </c:pt>
                <c:pt idx="146">
                  <c:v>100.21</c:v>
                </c:pt>
                <c:pt idx="147">
                  <c:v>101.83</c:v>
                </c:pt>
                <c:pt idx="148">
                  <c:v>100.7</c:v>
                </c:pt>
                <c:pt idx="149">
                  <c:v>100.89</c:v>
                </c:pt>
                <c:pt idx="150">
                  <c:v>101.19</c:v>
                </c:pt>
                <c:pt idx="151">
                  <c:v>100.5</c:v>
                </c:pt>
                <c:pt idx="152">
                  <c:v>101.02</c:v>
                </c:pt>
                <c:pt idx="153">
                  <c:v>101.94</c:v>
                </c:pt>
                <c:pt idx="154">
                  <c:v>101.6</c:v>
                </c:pt>
                <c:pt idx="155">
                  <c:v>100.86</c:v>
                </c:pt>
                <c:pt idx="156">
                  <c:v>99.23</c:v>
                </c:pt>
                <c:pt idx="157">
                  <c:v>100.1</c:v>
                </c:pt>
                <c:pt idx="158">
                  <c:v>100.41</c:v>
                </c:pt>
                <c:pt idx="159">
                  <c:v>100.17</c:v>
                </c:pt>
                <c:pt idx="160">
                  <c:v>100.42</c:v>
                </c:pt>
                <c:pt idx="161">
                  <c:v>100.67</c:v>
                </c:pt>
                <c:pt idx="162">
                  <c:v>100.6</c:v>
                </c:pt>
                <c:pt idx="163">
                  <c:v>100.9</c:v>
                </c:pt>
                <c:pt idx="164">
                  <c:v>99.59</c:v>
                </c:pt>
                <c:pt idx="165">
                  <c:v>100.39</c:v>
                </c:pt>
                <c:pt idx="166">
                  <c:v>100.81</c:v>
                </c:pt>
                <c:pt idx="167">
                  <c:v>101.56</c:v>
                </c:pt>
                <c:pt idx="168">
                  <c:v>103.28</c:v>
                </c:pt>
                <c:pt idx="169">
                  <c:v>104.4</c:v>
                </c:pt>
                <c:pt idx="170">
                  <c:v>103.79</c:v>
                </c:pt>
                <c:pt idx="171">
                  <c:v>103.28</c:v>
                </c:pt>
                <c:pt idx="172">
                  <c:v>104.75</c:v>
                </c:pt>
                <c:pt idx="173">
                  <c:v>104.97</c:v>
                </c:pt>
                <c:pt idx="174">
                  <c:v>103.82</c:v>
                </c:pt>
                <c:pt idx="175">
                  <c:v>103.39</c:v>
                </c:pt>
                <c:pt idx="176">
                  <c:v>104.56</c:v>
                </c:pt>
                <c:pt idx="177">
                  <c:v>104.85</c:v>
                </c:pt>
                <c:pt idx="178">
                  <c:v>104.54</c:v>
                </c:pt>
                <c:pt idx="179">
                  <c:v>103.41</c:v>
                </c:pt>
                <c:pt idx="180">
                  <c:v>102.12</c:v>
                </c:pt>
                <c:pt idx="181">
                  <c:v>103.35</c:v>
                </c:pt>
                <c:pt idx="182">
                  <c:v>104.02</c:v>
                </c:pt>
                <c:pt idx="183">
                  <c:v>102.82</c:v>
                </c:pt>
                <c:pt idx="184">
                  <c:v>103.16</c:v>
                </c:pt>
                <c:pt idx="185">
                  <c:v>103.12</c:v>
                </c:pt>
                <c:pt idx="186">
                  <c:v>104.05</c:v>
                </c:pt>
                <c:pt idx="187">
                  <c:v>104.13</c:v>
                </c:pt>
                <c:pt idx="188">
                  <c:v>105.15</c:v>
                </c:pt>
                <c:pt idx="189">
                  <c:v>104.45</c:v>
                </c:pt>
                <c:pt idx="190">
                  <c:v>104.02</c:v>
                </c:pt>
                <c:pt idx="191">
                  <c:v>103.15</c:v>
                </c:pt>
                <c:pt idx="192">
                  <c:v>101.14</c:v>
                </c:pt>
                <c:pt idx="193">
                  <c:v>102.11</c:v>
                </c:pt>
                <c:pt idx="194">
                  <c:v>102.37</c:v>
                </c:pt>
                <c:pt idx="195">
                  <c:v>101.58</c:v>
                </c:pt>
                <c:pt idx="196">
                  <c:v>102.32</c:v>
                </c:pt>
                <c:pt idx="197">
                  <c:v>103.04</c:v>
                </c:pt>
                <c:pt idx="198">
                  <c:v>105.45</c:v>
                </c:pt>
                <c:pt idx="199">
                  <c:v>106.14</c:v>
                </c:pt>
                <c:pt idx="200">
                  <c:v>105.66</c:v>
                </c:pt>
                <c:pt idx="201">
                  <c:v>106.76</c:v>
                </c:pt>
                <c:pt idx="202">
                  <c:v>106.26</c:v>
                </c:pt>
                <c:pt idx="203">
                  <c:v>105.7</c:v>
                </c:pt>
                <c:pt idx="204">
                  <c:v>107.4</c:v>
                </c:pt>
                <c:pt idx="205">
                  <c:v>107</c:v>
                </c:pt>
                <c:pt idx="206">
                  <c:v>104.6</c:v>
                </c:pt>
                <c:pt idx="207">
                  <c:v>104.81</c:v>
                </c:pt>
                <c:pt idx="208">
                  <c:v>102.91</c:v>
                </c:pt>
                <c:pt idx="209">
                  <c:v>102.72</c:v>
                </c:pt>
                <c:pt idx="210">
                  <c:v>101.68</c:v>
                </c:pt>
                <c:pt idx="211">
                  <c:v>100</c:v>
                </c:pt>
                <c:pt idx="212">
                  <c:v>99.15</c:v>
                </c:pt>
                <c:pt idx="213">
                  <c:v>99.82</c:v>
                </c:pt>
                <c:pt idx="214">
                  <c:v>98.96</c:v>
                </c:pt>
                <c:pt idx="215">
                  <c:v>97.58</c:v>
                </c:pt>
                <c:pt idx="216">
                  <c:v>98.13</c:v>
                </c:pt>
                <c:pt idx="217">
                  <c:v>98.48</c:v>
                </c:pt>
                <c:pt idx="218">
                  <c:v>97.04</c:v>
                </c:pt>
                <c:pt idx="219">
                  <c:v>95.41</c:v>
                </c:pt>
                <c:pt idx="220">
                  <c:v>95.24</c:v>
                </c:pt>
                <c:pt idx="221">
                  <c:v>96.44</c:v>
                </c:pt>
                <c:pt idx="222">
                  <c:v>96.45</c:v>
                </c:pt>
                <c:pt idx="223">
                  <c:v>96.97</c:v>
                </c:pt>
                <c:pt idx="224">
                  <c:v>97.88</c:v>
                </c:pt>
                <c:pt idx="225">
                  <c:v>98.7</c:v>
                </c:pt>
                <c:pt idx="226">
                  <c:v>98.36</c:v>
                </c:pt>
                <c:pt idx="227">
                  <c:v>99.47</c:v>
                </c:pt>
                <c:pt idx="228">
                  <c:v>101.7</c:v>
                </c:pt>
                <c:pt idx="229">
                  <c:v>101.58</c:v>
                </c:pt>
                <c:pt idx="230">
                  <c:v>100.59</c:v>
                </c:pt>
                <c:pt idx="231">
                  <c:v>98.5</c:v>
                </c:pt>
                <c:pt idx="232">
                  <c:v>97.53</c:v>
                </c:pt>
                <c:pt idx="233">
                  <c:v>96.62</c:v>
                </c:pt>
                <c:pt idx="234">
                  <c:v>96.5</c:v>
                </c:pt>
                <c:pt idx="235">
                  <c:v>94.82</c:v>
                </c:pt>
                <c:pt idx="236">
                  <c:v>94.78</c:v>
                </c:pt>
                <c:pt idx="237">
                  <c:v>94.69</c:v>
                </c:pt>
                <c:pt idx="238">
                  <c:v>92.75</c:v>
                </c:pt>
                <c:pt idx="239">
                  <c:v>92.61</c:v>
                </c:pt>
                <c:pt idx="240">
                  <c:v>92.69</c:v>
                </c:pt>
                <c:pt idx="241">
                  <c:v>91.26</c:v>
                </c:pt>
                <c:pt idx="242">
                  <c:v>90.84</c:v>
                </c:pt>
                <c:pt idx="243">
                  <c:v>88.87</c:v>
                </c:pt>
                <c:pt idx="244">
                  <c:v>89.07</c:v>
                </c:pt>
                <c:pt idx="245">
                  <c:v>90.03</c:v>
                </c:pt>
                <c:pt idx="246">
                  <c:v>89.67</c:v>
                </c:pt>
                <c:pt idx="247">
                  <c:v>89.58</c:v>
                </c:pt>
                <c:pt idx="248">
                  <c:v>89.59</c:v>
                </c:pt>
                <c:pt idx="249">
                  <c:v>89.56</c:v>
                </c:pt>
                <c:pt idx="250">
                  <c:v>89.16</c:v>
                </c:pt>
                <c:pt idx="251">
                  <c:v>89.23</c:v>
                </c:pt>
                <c:pt idx="252">
                  <c:v>89.03</c:v>
                </c:pt>
                <c:pt idx="253">
                  <c:v>89.24</c:v>
                </c:pt>
                <c:pt idx="254">
                  <c:v>88.37</c:v>
                </c:pt>
                <c:pt idx="255">
                  <c:v>88</c:v>
                </c:pt>
                <c:pt idx="256">
                  <c:v>89.01</c:v>
                </c:pt>
                <c:pt idx="257">
                  <c:v>88.15</c:v>
                </c:pt>
                <c:pt idx="258">
                  <c:v>88.47</c:v>
                </c:pt>
                <c:pt idx="259">
                  <c:v>89.37</c:v>
                </c:pt>
                <c:pt idx="260">
                  <c:v>90.23</c:v>
                </c:pt>
                <c:pt idx="261">
                  <c:v>92.22</c:v>
                </c:pt>
                <c:pt idx="262">
                  <c:v>93.65</c:v>
                </c:pt>
                <c:pt idx="263">
                  <c:v>93.21</c:v>
                </c:pt>
                <c:pt idx="264">
                  <c:v>90.77</c:v>
                </c:pt>
                <c:pt idx="265">
                  <c:v>90.76</c:v>
                </c:pt>
                <c:pt idx="266">
                  <c:v>90.6</c:v>
                </c:pt>
                <c:pt idx="267">
                  <c:v>94.89</c:v>
                </c:pt>
                <c:pt idx="268">
                  <c:v>93.39</c:v>
                </c:pt>
                <c:pt idx="269">
                  <c:v>92.57</c:v>
                </c:pt>
                <c:pt idx="270">
                  <c:v>93.86</c:v>
                </c:pt>
                <c:pt idx="271">
                  <c:v>93.74</c:v>
                </c:pt>
                <c:pt idx="272">
                  <c:v>95.62</c:v>
                </c:pt>
                <c:pt idx="273">
                  <c:v>94.91</c:v>
                </c:pt>
                <c:pt idx="274">
                  <c:v>96.19</c:v>
                </c:pt>
                <c:pt idx="275">
                  <c:v>95.42</c:v>
                </c:pt>
                <c:pt idx="276">
                  <c:v>96.08</c:v>
                </c:pt>
                <c:pt idx="277">
                  <c:v>96.7</c:v>
                </c:pt>
                <c:pt idx="278">
                  <c:v>96.31</c:v>
                </c:pt>
                <c:pt idx="279">
                  <c:v>94.57</c:v>
                </c:pt>
                <c:pt idx="280">
                  <c:v>95.66</c:v>
                </c:pt>
                <c:pt idx="281">
                  <c:v>94.92</c:v>
                </c:pt>
                <c:pt idx="282">
                  <c:v>95.76</c:v>
                </c:pt>
                <c:pt idx="283">
                  <c:v>95.26</c:v>
                </c:pt>
                <c:pt idx="284">
                  <c:v>95.76</c:v>
                </c:pt>
                <c:pt idx="285">
                  <c:v>98.26</c:v>
                </c:pt>
                <c:pt idx="286">
                  <c:v>99.68</c:v>
                </c:pt>
                <c:pt idx="287">
                  <c:v>100.97</c:v>
                </c:pt>
                <c:pt idx="288">
                  <c:v>99.96</c:v>
                </c:pt>
                <c:pt idx="289">
                  <c:v>99.92</c:v>
                </c:pt>
                <c:pt idx="290">
                  <c:v>101.52</c:v>
                </c:pt>
                <c:pt idx="291">
                  <c:v>104.02</c:v>
                </c:pt>
                <c:pt idx="292">
                  <c:v>102.15</c:v>
                </c:pt>
                <c:pt idx="293">
                  <c:v>100.2</c:v>
                </c:pt>
                <c:pt idx="294">
                  <c:v>100.91</c:v>
                </c:pt>
                <c:pt idx="295">
                  <c:v>103.64</c:v>
                </c:pt>
                <c:pt idx="296">
                  <c:v>106.66</c:v>
                </c:pt>
                <c:pt idx="297">
                  <c:v>103.77</c:v>
                </c:pt>
                <c:pt idx="298">
                  <c:v>102.64</c:v>
                </c:pt>
                <c:pt idx="299">
                  <c:v>104.57</c:v>
                </c:pt>
                <c:pt idx="300">
                  <c:v>106.41</c:v>
                </c:pt>
                <c:pt idx="301">
                  <c:v>107.62</c:v>
                </c:pt>
                <c:pt idx="302">
                  <c:v>107.81</c:v>
                </c:pt>
                <c:pt idx="303">
                  <c:v>107.49</c:v>
                </c:pt>
                <c:pt idx="304">
                  <c:v>108.48</c:v>
                </c:pt>
                <c:pt idx="305">
                  <c:v>107.8</c:v>
                </c:pt>
                <c:pt idx="306">
                  <c:v>106.83</c:v>
                </c:pt>
                <c:pt idx="307">
                  <c:v>105.55</c:v>
                </c:pt>
                <c:pt idx="308">
                  <c:v>107.46</c:v>
                </c:pt>
                <c:pt idx="309">
                  <c:v>107.89</c:v>
                </c:pt>
                <c:pt idx="310">
                  <c:v>108.77</c:v>
                </c:pt>
                <c:pt idx="311">
                  <c:v>110.59</c:v>
                </c:pt>
                <c:pt idx="312">
                  <c:v>110.06</c:v>
                </c:pt>
                <c:pt idx="313">
                  <c:v>109.58</c:v>
                </c:pt>
                <c:pt idx="314">
                  <c:v>112.72</c:v>
                </c:pt>
                <c:pt idx="315">
                  <c:v>109.32</c:v>
                </c:pt>
                <c:pt idx="316">
                  <c:v>105.4</c:v>
                </c:pt>
                <c:pt idx="317">
                  <c:v>106.05</c:v>
                </c:pt>
                <c:pt idx="318">
                  <c:v>105.77</c:v>
                </c:pt>
                <c:pt idx="319">
                  <c:v>108.3</c:v>
                </c:pt>
                <c:pt idx="320">
                  <c:v>109.84</c:v>
                </c:pt>
                <c:pt idx="321">
                  <c:v>112.25</c:v>
                </c:pt>
                <c:pt idx="322">
                  <c:v>111.81</c:v>
                </c:pt>
                <c:pt idx="323">
                  <c:v>111.44</c:v>
                </c:pt>
                <c:pt idx="324">
                  <c:v>112.1</c:v>
                </c:pt>
                <c:pt idx="325">
                  <c:v>110.96</c:v>
                </c:pt>
                <c:pt idx="326">
                  <c:v>113.3</c:v>
                </c:pt>
                <c:pt idx="327">
                  <c:v>112.52</c:v>
                </c:pt>
                <c:pt idx="328">
                  <c:v>111.29</c:v>
                </c:pt>
                <c:pt idx="329">
                  <c:v>110.45</c:v>
                </c:pt>
                <c:pt idx="330">
                  <c:v>111.13</c:v>
                </c:pt>
                <c:pt idx="331">
                  <c:v>112.13</c:v>
                </c:pt>
                <c:pt idx="332">
                  <c:v>112.75</c:v>
                </c:pt>
                <c:pt idx="333">
                  <c:v>112.56</c:v>
                </c:pt>
                <c:pt idx="334">
                  <c:v>110.03</c:v>
                </c:pt>
                <c:pt idx="335">
                  <c:v>109.52</c:v>
                </c:pt>
                <c:pt idx="336">
                  <c:v>110.47</c:v>
                </c:pt>
                <c:pt idx="337">
                  <c:v>111.04</c:v>
                </c:pt>
                <c:pt idx="338">
                  <c:v>107.75</c:v>
                </c:pt>
                <c:pt idx="339">
                  <c:v>107.68</c:v>
                </c:pt>
                <c:pt idx="340">
                  <c:v>103.54</c:v>
                </c:pt>
                <c:pt idx="341">
                  <c:v>100.58</c:v>
                </c:pt>
                <c:pt idx="342">
                  <c:v>99.27</c:v>
                </c:pt>
                <c:pt idx="343">
                  <c:v>102.01</c:v>
                </c:pt>
                <c:pt idx="344">
                  <c:v>104.29</c:v>
                </c:pt>
                <c:pt idx="345">
                  <c:v>105.38</c:v>
                </c:pt>
                <c:pt idx="346">
                  <c:v>105.71</c:v>
                </c:pt>
                <c:pt idx="347">
                  <c:v>105.22</c:v>
                </c:pt>
                <c:pt idx="348">
                  <c:v>103.42</c:v>
                </c:pt>
                <c:pt idx="349">
                  <c:v>104.1</c:v>
                </c:pt>
                <c:pt idx="350">
                  <c:v>103.97</c:v>
                </c:pt>
                <c:pt idx="351">
                  <c:v>102.11</c:v>
                </c:pt>
                <c:pt idx="352">
                  <c:v>103.38</c:v>
                </c:pt>
                <c:pt idx="353">
                  <c:v>104.49</c:v>
                </c:pt>
                <c:pt idx="354">
                  <c:v>103.86</c:v>
                </c:pt>
                <c:pt idx="355">
                  <c:v>103.24</c:v>
                </c:pt>
                <c:pt idx="356">
                  <c:v>102.21</c:v>
                </c:pt>
                <c:pt idx="357">
                  <c:v>102.27</c:v>
                </c:pt>
                <c:pt idx="358">
                  <c:v>101.61</c:v>
                </c:pt>
                <c:pt idx="359">
                  <c:v>101.11</c:v>
                </c:pt>
                <c:pt idx="360">
                  <c:v>102.4</c:v>
                </c:pt>
                <c:pt idx="361">
                  <c:v>102.55</c:v>
                </c:pt>
                <c:pt idx="362">
                  <c:v>103.76</c:v>
                </c:pt>
                <c:pt idx="363">
                  <c:v>103.96</c:v>
                </c:pt>
                <c:pt idx="364">
                  <c:v>101.63</c:v>
                </c:pt>
                <c:pt idx="365">
                  <c:v>101.35</c:v>
                </c:pt>
                <c:pt idx="366">
                  <c:v>100.73</c:v>
                </c:pt>
                <c:pt idx="367">
                  <c:v>100.97</c:v>
                </c:pt>
                <c:pt idx="368">
                  <c:v>101.15</c:v>
                </c:pt>
                <c:pt idx="369">
                  <c:v>100.19</c:v>
                </c:pt>
                <c:pt idx="370">
                  <c:v>98.05</c:v>
                </c:pt>
                <c:pt idx="371">
                  <c:v>98.41</c:v>
                </c:pt>
                <c:pt idx="372">
                  <c:v>98.15</c:v>
                </c:pt>
                <c:pt idx="373">
                  <c:v>100.35</c:v>
                </c:pt>
                <c:pt idx="374">
                  <c:v>100.78</c:v>
                </c:pt>
                <c:pt idx="375">
                  <c:v>99.92</c:v>
                </c:pt>
                <c:pt idx="376">
                  <c:v>100.31</c:v>
                </c:pt>
                <c:pt idx="377">
                  <c:v>99.71</c:v>
                </c:pt>
                <c:pt idx="378">
                  <c:v>99.31</c:v>
                </c:pt>
                <c:pt idx="379">
                  <c:v>99.97</c:v>
                </c:pt>
                <c:pt idx="380">
                  <c:v>101.07</c:v>
                </c:pt>
                <c:pt idx="381">
                  <c:v>100.59</c:v>
                </c:pt>
                <c:pt idx="382">
                  <c:v>101.01</c:v>
                </c:pt>
                <c:pt idx="383">
                  <c:v>99.95</c:v>
                </c:pt>
                <c:pt idx="384">
                  <c:v>100.46</c:v>
                </c:pt>
                <c:pt idx="385">
                  <c:v>100.6</c:v>
                </c:pt>
                <c:pt idx="386">
                  <c:v>101.08</c:v>
                </c:pt>
                <c:pt idx="387">
                  <c:v>102.07</c:v>
                </c:pt>
                <c:pt idx="388">
                  <c:v>103.59</c:v>
                </c:pt>
                <c:pt idx="389">
                  <c:v>102.55</c:v>
                </c:pt>
                <c:pt idx="390">
                  <c:v>102.05</c:v>
                </c:pt>
                <c:pt idx="391">
                  <c:v>102.26</c:v>
                </c:pt>
                <c:pt idx="392">
                  <c:v>100.98</c:v>
                </c:pt>
                <c:pt idx="393">
                  <c:v>102.24</c:v>
                </c:pt>
                <c:pt idx="394">
                  <c:v>102.59</c:v>
                </c:pt>
                <c:pt idx="395">
                  <c:v>103.5</c:v>
                </c:pt>
                <c:pt idx="396">
                  <c:v>104.44</c:v>
                </c:pt>
                <c:pt idx="397">
                  <c:v>105.36</c:v>
                </c:pt>
                <c:pt idx="398">
                  <c:v>104.18</c:v>
                </c:pt>
                <c:pt idx="399">
                  <c:v>104.15</c:v>
                </c:pt>
                <c:pt idx="400">
                  <c:v>105</c:v>
                </c:pt>
                <c:pt idx="401">
                  <c:v>104.48</c:v>
                </c:pt>
                <c:pt idx="402">
                  <c:v>104.12</c:v>
                </c:pt>
                <c:pt idx="403">
                  <c:v>103.69</c:v>
                </c:pt>
                <c:pt idx="404">
                  <c:v>103.66</c:v>
                </c:pt>
                <c:pt idx="405">
                  <c:v>102.86</c:v>
                </c:pt>
                <c:pt idx="406">
                  <c:v>100.77</c:v>
                </c:pt>
                <c:pt idx="407">
                  <c:v>99.74</c:v>
                </c:pt>
                <c:pt idx="408">
                  <c:v>101.1</c:v>
                </c:pt>
                <c:pt idx="409">
                  <c:v>101.76</c:v>
                </c:pt>
                <c:pt idx="410">
                  <c:v>101.5</c:v>
                </c:pt>
                <c:pt idx="411">
                  <c:v>101.65</c:v>
                </c:pt>
                <c:pt idx="412">
                  <c:v>99.95</c:v>
                </c:pt>
                <c:pt idx="413">
                  <c:v>99.72</c:v>
                </c:pt>
                <c:pt idx="414">
                  <c:v>100.07</c:v>
                </c:pt>
                <c:pt idx="415">
                  <c:v>98.17</c:v>
                </c:pt>
                <c:pt idx="416">
                  <c:v>98.23</c:v>
                </c:pt>
                <c:pt idx="417">
                  <c:v>97.2</c:v>
                </c:pt>
                <c:pt idx="418">
                  <c:v>97.85</c:v>
                </c:pt>
                <c:pt idx="419">
                  <c:v>97.8</c:v>
                </c:pt>
                <c:pt idx="420">
                  <c:v>98.05</c:v>
                </c:pt>
                <c:pt idx="421">
                  <c:v>96.65</c:v>
                </c:pt>
                <c:pt idx="422">
                  <c:v>96.98</c:v>
                </c:pt>
                <c:pt idx="423">
                  <c:v>97.08</c:v>
                </c:pt>
                <c:pt idx="424">
                  <c:v>97.7</c:v>
                </c:pt>
                <c:pt idx="425">
                  <c:v>97.55</c:v>
                </c:pt>
                <c:pt idx="426">
                  <c:v>97</c:v>
                </c:pt>
                <c:pt idx="427">
                  <c:v>95.57</c:v>
                </c:pt>
                <c:pt idx="428">
                  <c:v>96.4</c:v>
                </c:pt>
                <c:pt idx="429">
                  <c:v>96.35</c:v>
                </c:pt>
                <c:pt idx="430">
                  <c:v>96.33</c:v>
                </c:pt>
                <c:pt idx="431">
                  <c:v>96.62</c:v>
                </c:pt>
                <c:pt idx="432">
                  <c:v>98.55</c:v>
                </c:pt>
                <c:pt idx="433">
                  <c:v>98.81</c:v>
                </c:pt>
                <c:pt idx="434">
                  <c:v>98.35</c:v>
                </c:pt>
                <c:pt idx="435">
                  <c:v>99.62</c:v>
                </c:pt>
                <c:pt idx="436">
                  <c:v>99.57</c:v>
                </c:pt>
                <c:pt idx="437">
                  <c:v>100.52</c:v>
                </c:pt>
                <c:pt idx="438">
                  <c:v>98.17</c:v>
                </c:pt>
                <c:pt idx="439">
                  <c:v>97.64</c:v>
                </c:pt>
                <c:pt idx="440">
                  <c:v>98.81</c:v>
                </c:pt>
                <c:pt idx="441">
                  <c:v>99.33</c:v>
                </c:pt>
                <c:pt idx="442">
                  <c:v>100.04</c:v>
                </c:pt>
                <c:pt idx="443">
                  <c:v>100.83</c:v>
                </c:pt>
                <c:pt idx="444">
                  <c:v>100.8</c:v>
                </c:pt>
                <c:pt idx="445">
                  <c:v>102.39</c:v>
                </c:pt>
                <c:pt idx="446">
                  <c:v>100.86</c:v>
                </c:pt>
                <c:pt idx="447">
                  <c:v>101.89</c:v>
                </c:pt>
                <c:pt idx="448">
                  <c:v>102.29</c:v>
                </c:pt>
                <c:pt idx="449">
                  <c:v>101.07</c:v>
                </c:pt>
                <c:pt idx="450">
                  <c:v>101.19</c:v>
                </c:pt>
                <c:pt idx="451">
                  <c:v>101.72</c:v>
                </c:pt>
                <c:pt idx="452">
                  <c:v>101.56</c:v>
                </c:pt>
                <c:pt idx="453">
                  <c:v>101.94</c:v>
                </c:pt>
                <c:pt idx="454">
                  <c:v>100.77</c:v>
                </c:pt>
                <c:pt idx="455">
                  <c:v>100.04</c:v>
                </c:pt>
                <c:pt idx="456">
                  <c:v>100.22</c:v>
                </c:pt>
                <c:pt idx="457">
                  <c:v>98.55</c:v>
                </c:pt>
                <c:pt idx="458">
                  <c:v>97</c:v>
                </c:pt>
                <c:pt idx="459">
                  <c:v>98.19</c:v>
                </c:pt>
                <c:pt idx="460">
                  <c:v>97.41</c:v>
                </c:pt>
                <c:pt idx="461">
                  <c:v>96.64</c:v>
                </c:pt>
                <c:pt idx="462">
                  <c:v>97.96</c:v>
                </c:pt>
                <c:pt idx="463">
                  <c:v>96.11</c:v>
                </c:pt>
                <c:pt idx="464">
                  <c:v>96.99</c:v>
                </c:pt>
                <c:pt idx="465">
                  <c:v>98.52</c:v>
                </c:pt>
                <c:pt idx="466">
                  <c:v>98.24</c:v>
                </c:pt>
                <c:pt idx="467">
                  <c:v>99.59</c:v>
                </c:pt>
                <c:pt idx="468">
                  <c:v>100.19</c:v>
                </c:pt>
                <c:pt idx="469">
                  <c:v>100.95</c:v>
                </c:pt>
                <c:pt idx="470">
                  <c:v>101.66</c:v>
                </c:pt>
                <c:pt idx="471">
                  <c:v>103.85</c:v>
                </c:pt>
                <c:pt idx="472">
                  <c:v>102.91</c:v>
                </c:pt>
                <c:pt idx="473">
                  <c:v>100.38</c:v>
                </c:pt>
                <c:pt idx="474">
                  <c:v>100.95</c:v>
                </c:pt>
                <c:pt idx="475">
                  <c:v>100.16</c:v>
                </c:pt>
                <c:pt idx="476">
                  <c:v>98.92</c:v>
                </c:pt>
                <c:pt idx="477">
                  <c:v>98.85</c:v>
                </c:pt>
                <c:pt idx="478">
                  <c:v>100.14</c:v>
                </c:pt>
                <c:pt idx="479">
                  <c:v>100.36</c:v>
                </c:pt>
                <c:pt idx="480">
                  <c:v>97.88</c:v>
                </c:pt>
                <c:pt idx="481">
                  <c:v>96.87</c:v>
                </c:pt>
                <c:pt idx="482">
                  <c:v>96.45</c:v>
                </c:pt>
                <c:pt idx="483">
                  <c:v>96.22</c:v>
                </c:pt>
                <c:pt idx="484">
                  <c:v>96.6</c:v>
                </c:pt>
                <c:pt idx="485">
                  <c:v>95.45</c:v>
                </c:pt>
                <c:pt idx="486">
                  <c:v>95.82</c:v>
                </c:pt>
                <c:pt idx="487">
                  <c:v>95.41</c:v>
                </c:pt>
                <c:pt idx="488">
                  <c:v>95.64</c:v>
                </c:pt>
                <c:pt idx="489">
                  <c:v>97.53</c:v>
                </c:pt>
                <c:pt idx="490">
                  <c:v>99.39</c:v>
                </c:pt>
                <c:pt idx="491">
                  <c:v>98.9</c:v>
                </c:pt>
                <c:pt idx="492">
                  <c:v>100.21</c:v>
                </c:pt>
                <c:pt idx="493">
                  <c:v>99.99</c:v>
                </c:pt>
                <c:pt idx="494">
                  <c:v>98.06</c:v>
                </c:pt>
                <c:pt idx="495">
                  <c:v>98.57</c:v>
                </c:pt>
                <c:pt idx="496">
                  <c:v>98.95</c:v>
                </c:pt>
                <c:pt idx="497">
                  <c:v>99.53</c:v>
                </c:pt>
                <c:pt idx="498">
                  <c:v>99.3</c:v>
                </c:pt>
                <c:pt idx="499">
                  <c:v>99.54</c:v>
                </c:pt>
                <c:pt idx="500">
                  <c:v>99.89</c:v>
                </c:pt>
                <c:pt idx="501">
                  <c:v>99.32</c:v>
                </c:pt>
                <c:pt idx="502">
                  <c:v>99.99</c:v>
                </c:pt>
                <c:pt idx="503">
                  <c:v>98.5</c:v>
                </c:pt>
                <c:pt idx="504">
                  <c:v>99.32</c:v>
                </c:pt>
                <c:pt idx="505">
                  <c:v>99.37</c:v>
                </c:pt>
                <c:pt idx="506">
                  <c:v>100.18</c:v>
                </c:pt>
                <c:pt idx="507">
                  <c:v>99.21</c:v>
                </c:pt>
                <c:pt idx="508">
                  <c:v>98.83</c:v>
                </c:pt>
                <c:pt idx="509">
                  <c:v>100.21</c:v>
                </c:pt>
                <c:pt idx="510">
                  <c:v>101.47</c:v>
                </c:pt>
                <c:pt idx="511">
                  <c:v>102.58</c:v>
                </c:pt>
                <c:pt idx="512">
                  <c:v>103.81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B1-407C-AB29-1EC56013C3B8}"/>
            </c:ext>
          </c:extLst>
        </c:ser>
        <c:ser>
          <c:idx val="1"/>
          <c:order val="1"/>
          <c:tx>
            <c:strRef>
              <c:f>Data!$E$1</c:f>
              <c:strCache>
                <c:ptCount val="1"/>
                <c:pt idx="0">
                  <c:v>VWAP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Data!$A$2:$A$514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Data!$E$2:$E$514</c:f>
              <c:numCache>
                <c:formatCode>General</c:formatCode>
                <c:ptCount val="513"/>
                <c:pt idx="0">
                  <c:v>92.41</c:v>
                </c:pt>
                <c:pt idx="1">
                  <c:v>92.721012214066477</c:v>
                </c:pt>
                <c:pt idx="2">
                  <c:v>92.885680786374621</c:v>
                </c:pt>
                <c:pt idx="3">
                  <c:v>93.052013748675563</c:v>
                </c:pt>
                <c:pt idx="4">
                  <c:v>93.156584842783261</c:v>
                </c:pt>
                <c:pt idx="5">
                  <c:v>93.226672141135239</c:v>
                </c:pt>
                <c:pt idx="6">
                  <c:v>93.375026499914298</c:v>
                </c:pt>
                <c:pt idx="7">
                  <c:v>93.056223565945231</c:v>
                </c:pt>
                <c:pt idx="8">
                  <c:v>92.856468077797317</c:v>
                </c:pt>
                <c:pt idx="9">
                  <c:v>92.708629389883058</c:v>
                </c:pt>
                <c:pt idx="10">
                  <c:v>92.502662350896273</c:v>
                </c:pt>
                <c:pt idx="11">
                  <c:v>92.259226381218255</c:v>
                </c:pt>
                <c:pt idx="12">
                  <c:v>92.083945524039649</c:v>
                </c:pt>
                <c:pt idx="13">
                  <c:v>91.888834949707103</c:v>
                </c:pt>
                <c:pt idx="14">
                  <c:v>91.722460318569787</c:v>
                </c:pt>
                <c:pt idx="15">
                  <c:v>91.490369023723829</c:v>
                </c:pt>
                <c:pt idx="16">
                  <c:v>91.396025245677649</c:v>
                </c:pt>
                <c:pt idx="17">
                  <c:v>91.300896912860367</c:v>
                </c:pt>
                <c:pt idx="18">
                  <c:v>91.255812011082043</c:v>
                </c:pt>
                <c:pt idx="19">
                  <c:v>91.230894867648274</c:v>
                </c:pt>
                <c:pt idx="20">
                  <c:v>91.204239992771591</c:v>
                </c:pt>
                <c:pt idx="21">
                  <c:v>91.267338588617463</c:v>
                </c:pt>
                <c:pt idx="22">
                  <c:v>91.259560106591152</c:v>
                </c:pt>
                <c:pt idx="23">
                  <c:v>91.193275513109128</c:v>
                </c:pt>
                <c:pt idx="24">
                  <c:v>91.143142406975201</c:v>
                </c:pt>
                <c:pt idx="25">
                  <c:v>91.093297965475273</c:v>
                </c:pt>
                <c:pt idx="26">
                  <c:v>91.012982128495182</c:v>
                </c:pt>
                <c:pt idx="27">
                  <c:v>90.956647325215627</c:v>
                </c:pt>
                <c:pt idx="28">
                  <c:v>90.909641628664758</c:v>
                </c:pt>
                <c:pt idx="29">
                  <c:v>90.642069852410927</c:v>
                </c:pt>
                <c:pt idx="30">
                  <c:v>90.484127199566515</c:v>
                </c:pt>
                <c:pt idx="31">
                  <c:v>90.402642633231096</c:v>
                </c:pt>
                <c:pt idx="32">
                  <c:v>90.258793749510147</c:v>
                </c:pt>
                <c:pt idx="33">
                  <c:v>90.177641583188304</c:v>
                </c:pt>
                <c:pt idx="34">
                  <c:v>90.136715063956416</c:v>
                </c:pt>
                <c:pt idx="35">
                  <c:v>90.083808767418191</c:v>
                </c:pt>
                <c:pt idx="36">
                  <c:v>90.047037450501264</c:v>
                </c:pt>
                <c:pt idx="37">
                  <c:v>89.962940307000608</c:v>
                </c:pt>
                <c:pt idx="38">
                  <c:v>89.913628733006945</c:v>
                </c:pt>
                <c:pt idx="39">
                  <c:v>89.861099781989381</c:v>
                </c:pt>
                <c:pt idx="40">
                  <c:v>89.763893371366692</c:v>
                </c:pt>
                <c:pt idx="41">
                  <c:v>89.708412486267875</c:v>
                </c:pt>
                <c:pt idx="42">
                  <c:v>89.694232662692215</c:v>
                </c:pt>
                <c:pt idx="43">
                  <c:v>89.676741891098601</c:v>
                </c:pt>
                <c:pt idx="44">
                  <c:v>89.679724376107487</c:v>
                </c:pt>
                <c:pt idx="45">
                  <c:v>89.68282999345206</c:v>
                </c:pt>
                <c:pt idx="46">
                  <c:v>89.688312831550391</c:v>
                </c:pt>
                <c:pt idx="47">
                  <c:v>89.703655980206179</c:v>
                </c:pt>
                <c:pt idx="48">
                  <c:v>89.707040772796248</c:v>
                </c:pt>
                <c:pt idx="49">
                  <c:v>89.704484838382612</c:v>
                </c:pt>
                <c:pt idx="50">
                  <c:v>89.688031183079687</c:v>
                </c:pt>
                <c:pt idx="51">
                  <c:v>89.660664686989037</c:v>
                </c:pt>
                <c:pt idx="52">
                  <c:v>89.651198660139571</c:v>
                </c:pt>
                <c:pt idx="53">
                  <c:v>89.652107854558366</c:v>
                </c:pt>
                <c:pt idx="54">
                  <c:v>89.642555702960678</c:v>
                </c:pt>
                <c:pt idx="55">
                  <c:v>89.621345275967869</c:v>
                </c:pt>
                <c:pt idx="56">
                  <c:v>89.606356950393277</c:v>
                </c:pt>
                <c:pt idx="57">
                  <c:v>89.593963842468355</c:v>
                </c:pt>
                <c:pt idx="58">
                  <c:v>89.565215046255858</c:v>
                </c:pt>
                <c:pt idx="59">
                  <c:v>89.57396464438294</c:v>
                </c:pt>
                <c:pt idx="60">
                  <c:v>89.594212020898837</c:v>
                </c:pt>
                <c:pt idx="61">
                  <c:v>89.601625406628031</c:v>
                </c:pt>
                <c:pt idx="62">
                  <c:v>89.617939164448799</c:v>
                </c:pt>
                <c:pt idx="63">
                  <c:v>89.621310165183758</c:v>
                </c:pt>
                <c:pt idx="64">
                  <c:v>89.629551521797623</c:v>
                </c:pt>
                <c:pt idx="65">
                  <c:v>89.629855867756291</c:v>
                </c:pt>
                <c:pt idx="66">
                  <c:v>89.641656750836177</c:v>
                </c:pt>
                <c:pt idx="67">
                  <c:v>89.656418598720649</c:v>
                </c:pt>
                <c:pt idx="68">
                  <c:v>89.646136665077535</c:v>
                </c:pt>
                <c:pt idx="69">
                  <c:v>89.63425730474242</c:v>
                </c:pt>
                <c:pt idx="70">
                  <c:v>89.622927294335028</c:v>
                </c:pt>
                <c:pt idx="71">
                  <c:v>89.614552677832592</c:v>
                </c:pt>
                <c:pt idx="72">
                  <c:v>89.578955775629055</c:v>
                </c:pt>
                <c:pt idx="73">
                  <c:v>89.595553375275273</c:v>
                </c:pt>
                <c:pt idx="74">
                  <c:v>89.620023477911047</c:v>
                </c:pt>
                <c:pt idx="75">
                  <c:v>89.73188067677556</c:v>
                </c:pt>
                <c:pt idx="76">
                  <c:v>89.769733036656888</c:v>
                </c:pt>
                <c:pt idx="77">
                  <c:v>89.808543894638277</c:v>
                </c:pt>
                <c:pt idx="78">
                  <c:v>89.857567479688214</c:v>
                </c:pt>
                <c:pt idx="79">
                  <c:v>89.919671601406606</c:v>
                </c:pt>
                <c:pt idx="80">
                  <c:v>89.947863323111108</c:v>
                </c:pt>
                <c:pt idx="81">
                  <c:v>89.978073885519493</c:v>
                </c:pt>
                <c:pt idx="82">
                  <c:v>90.083619881133217</c:v>
                </c:pt>
                <c:pt idx="83">
                  <c:v>90.154128101202971</c:v>
                </c:pt>
                <c:pt idx="84">
                  <c:v>90.217276894041248</c:v>
                </c:pt>
                <c:pt idx="85">
                  <c:v>90.297988771775692</c:v>
                </c:pt>
                <c:pt idx="86">
                  <c:v>90.371092814525639</c:v>
                </c:pt>
                <c:pt idx="87">
                  <c:v>90.457593083474109</c:v>
                </c:pt>
                <c:pt idx="88">
                  <c:v>90.549073713440336</c:v>
                </c:pt>
                <c:pt idx="89">
                  <c:v>90.62046265931545</c:v>
                </c:pt>
                <c:pt idx="90">
                  <c:v>90.689658554542817</c:v>
                </c:pt>
                <c:pt idx="91">
                  <c:v>90.751774675153683</c:v>
                </c:pt>
                <c:pt idx="92">
                  <c:v>90.809418325006448</c:v>
                </c:pt>
                <c:pt idx="93">
                  <c:v>90.869432563789232</c:v>
                </c:pt>
                <c:pt idx="94">
                  <c:v>90.949494167900752</c:v>
                </c:pt>
                <c:pt idx="95">
                  <c:v>91.002644102439177</c:v>
                </c:pt>
                <c:pt idx="96">
                  <c:v>91.039497898003148</c:v>
                </c:pt>
                <c:pt idx="97">
                  <c:v>91.083050582239466</c:v>
                </c:pt>
                <c:pt idx="98">
                  <c:v>91.181158146202307</c:v>
                </c:pt>
                <c:pt idx="99">
                  <c:v>91.210232264051257</c:v>
                </c:pt>
                <c:pt idx="100">
                  <c:v>91.237741023619193</c:v>
                </c:pt>
                <c:pt idx="101">
                  <c:v>91.259789185606692</c:v>
                </c:pt>
                <c:pt idx="102">
                  <c:v>91.266467651850817</c:v>
                </c:pt>
                <c:pt idx="103">
                  <c:v>91.278004039272346</c:v>
                </c:pt>
                <c:pt idx="104">
                  <c:v>91.403684515288333</c:v>
                </c:pt>
                <c:pt idx="105">
                  <c:v>91.42788105365446</c:v>
                </c:pt>
                <c:pt idx="106">
                  <c:v>91.465221581487612</c:v>
                </c:pt>
                <c:pt idx="107">
                  <c:v>91.476532840515532</c:v>
                </c:pt>
                <c:pt idx="108">
                  <c:v>91.479256722891535</c:v>
                </c:pt>
                <c:pt idx="109">
                  <c:v>91.48004963124248</c:v>
                </c:pt>
                <c:pt idx="110">
                  <c:v>91.486993003951781</c:v>
                </c:pt>
                <c:pt idx="111">
                  <c:v>91.48856942958021</c:v>
                </c:pt>
                <c:pt idx="112">
                  <c:v>91.486464771120907</c:v>
                </c:pt>
                <c:pt idx="113">
                  <c:v>91.480168123491111</c:v>
                </c:pt>
                <c:pt idx="114">
                  <c:v>91.476735401026943</c:v>
                </c:pt>
                <c:pt idx="115">
                  <c:v>91.471588978422901</c:v>
                </c:pt>
                <c:pt idx="116">
                  <c:v>91.465205444281182</c:v>
                </c:pt>
                <c:pt idx="117">
                  <c:v>91.45952468477762</c:v>
                </c:pt>
                <c:pt idx="118">
                  <c:v>91.444006091567474</c:v>
                </c:pt>
                <c:pt idx="119">
                  <c:v>91.44292729672793</c:v>
                </c:pt>
                <c:pt idx="120">
                  <c:v>91.429492530615931</c:v>
                </c:pt>
                <c:pt idx="121">
                  <c:v>91.415774041917686</c:v>
                </c:pt>
                <c:pt idx="122">
                  <c:v>91.406562920723218</c:v>
                </c:pt>
                <c:pt idx="123">
                  <c:v>91.384625720623177</c:v>
                </c:pt>
                <c:pt idx="124">
                  <c:v>91.372385504253103</c:v>
                </c:pt>
                <c:pt idx="125">
                  <c:v>91.361186049061743</c:v>
                </c:pt>
                <c:pt idx="126">
                  <c:v>91.351120101619614</c:v>
                </c:pt>
                <c:pt idx="127">
                  <c:v>91.3379162462153</c:v>
                </c:pt>
                <c:pt idx="128">
                  <c:v>91.324026084326846</c:v>
                </c:pt>
                <c:pt idx="129">
                  <c:v>91.308123329187694</c:v>
                </c:pt>
                <c:pt idx="130">
                  <c:v>91.301243699364747</c:v>
                </c:pt>
                <c:pt idx="131">
                  <c:v>91.302099051602696</c:v>
                </c:pt>
                <c:pt idx="132">
                  <c:v>91.306424891380999</c:v>
                </c:pt>
                <c:pt idx="133">
                  <c:v>91.300248660056994</c:v>
                </c:pt>
                <c:pt idx="134">
                  <c:v>91.301749628594422</c:v>
                </c:pt>
                <c:pt idx="135">
                  <c:v>91.321328270129584</c:v>
                </c:pt>
                <c:pt idx="136">
                  <c:v>91.344395206486539</c:v>
                </c:pt>
                <c:pt idx="137">
                  <c:v>91.363158073967995</c:v>
                </c:pt>
                <c:pt idx="138">
                  <c:v>91.382551682340306</c:v>
                </c:pt>
                <c:pt idx="139">
                  <c:v>91.391403917261499</c:v>
                </c:pt>
                <c:pt idx="140">
                  <c:v>91.428330129138658</c:v>
                </c:pt>
                <c:pt idx="141">
                  <c:v>91.460655979648081</c:v>
                </c:pt>
                <c:pt idx="142">
                  <c:v>91.487354406010667</c:v>
                </c:pt>
                <c:pt idx="143">
                  <c:v>91.51370770319204</c:v>
                </c:pt>
                <c:pt idx="144">
                  <c:v>91.541370691223065</c:v>
                </c:pt>
                <c:pt idx="145">
                  <c:v>91.576999992378973</c:v>
                </c:pt>
                <c:pt idx="146">
                  <c:v>91.652687107939485</c:v>
                </c:pt>
                <c:pt idx="147">
                  <c:v>91.813993047349982</c:v>
                </c:pt>
                <c:pt idx="148">
                  <c:v>91.903660725923899</c:v>
                </c:pt>
                <c:pt idx="149">
                  <c:v>91.965555676563085</c:v>
                </c:pt>
                <c:pt idx="150">
                  <c:v>92.034527879892309</c:v>
                </c:pt>
                <c:pt idx="151">
                  <c:v>92.086991711436596</c:v>
                </c:pt>
                <c:pt idx="152">
                  <c:v>92.133678863539004</c:v>
                </c:pt>
                <c:pt idx="153">
                  <c:v>92.175455496570095</c:v>
                </c:pt>
                <c:pt idx="154">
                  <c:v>92.224017599423647</c:v>
                </c:pt>
                <c:pt idx="155">
                  <c:v>92.272190782181923</c:v>
                </c:pt>
                <c:pt idx="156">
                  <c:v>92.336872170264911</c:v>
                </c:pt>
                <c:pt idx="157">
                  <c:v>92.380716832936926</c:v>
                </c:pt>
                <c:pt idx="158">
                  <c:v>92.42988050221345</c:v>
                </c:pt>
                <c:pt idx="159">
                  <c:v>92.46736800788976</c:v>
                </c:pt>
                <c:pt idx="160">
                  <c:v>92.517739202277298</c:v>
                </c:pt>
                <c:pt idx="161">
                  <c:v>92.56699277235542</c:v>
                </c:pt>
                <c:pt idx="162">
                  <c:v>92.609383914277302</c:v>
                </c:pt>
                <c:pt idx="163">
                  <c:v>92.642242099294648</c:v>
                </c:pt>
                <c:pt idx="164">
                  <c:v>92.663082092320124</c:v>
                </c:pt>
                <c:pt idx="165">
                  <c:v>92.688481590609356</c:v>
                </c:pt>
                <c:pt idx="166">
                  <c:v>92.718506506476686</c:v>
                </c:pt>
                <c:pt idx="167">
                  <c:v>92.78521050432532</c:v>
                </c:pt>
                <c:pt idx="168">
                  <c:v>92.855749446492069</c:v>
                </c:pt>
                <c:pt idx="169">
                  <c:v>92.910361758266944</c:v>
                </c:pt>
                <c:pt idx="170">
                  <c:v>92.962866297391287</c:v>
                </c:pt>
                <c:pt idx="171">
                  <c:v>93.019524742610898</c:v>
                </c:pt>
                <c:pt idx="172">
                  <c:v>93.080418620489638</c:v>
                </c:pt>
                <c:pt idx="173">
                  <c:v>93.127130495976061</c:v>
                </c:pt>
                <c:pt idx="174">
                  <c:v>93.215166816139487</c:v>
                </c:pt>
                <c:pt idx="175">
                  <c:v>93.26262041177965</c:v>
                </c:pt>
                <c:pt idx="176">
                  <c:v>93.306388358368409</c:v>
                </c:pt>
                <c:pt idx="177">
                  <c:v>93.357659544550216</c:v>
                </c:pt>
                <c:pt idx="178">
                  <c:v>93.404527032193414</c:v>
                </c:pt>
                <c:pt idx="179">
                  <c:v>93.444971804671226</c:v>
                </c:pt>
                <c:pt idx="180">
                  <c:v>93.490591570401804</c:v>
                </c:pt>
                <c:pt idx="181">
                  <c:v>93.592323431217594</c:v>
                </c:pt>
                <c:pt idx="182">
                  <c:v>93.624679513270351</c:v>
                </c:pt>
                <c:pt idx="183">
                  <c:v>93.653380743538676</c:v>
                </c:pt>
                <c:pt idx="184">
                  <c:v>93.685400157066255</c:v>
                </c:pt>
                <c:pt idx="185">
                  <c:v>93.723660456962961</c:v>
                </c:pt>
                <c:pt idx="186">
                  <c:v>93.764630171106347</c:v>
                </c:pt>
                <c:pt idx="187">
                  <c:v>93.808059025438951</c:v>
                </c:pt>
                <c:pt idx="188">
                  <c:v>93.867884593935713</c:v>
                </c:pt>
                <c:pt idx="189">
                  <c:v>93.898124325954356</c:v>
                </c:pt>
                <c:pt idx="190">
                  <c:v>93.9256771110377</c:v>
                </c:pt>
                <c:pt idx="191">
                  <c:v>93.950739274871395</c:v>
                </c:pt>
                <c:pt idx="192">
                  <c:v>93.990843627678188</c:v>
                </c:pt>
                <c:pt idx="193">
                  <c:v>94.021319719904383</c:v>
                </c:pt>
                <c:pt idx="194">
                  <c:v>94.047525076678994</c:v>
                </c:pt>
                <c:pt idx="195">
                  <c:v>94.072462915283907</c:v>
                </c:pt>
                <c:pt idx="196">
                  <c:v>94.102840825095655</c:v>
                </c:pt>
                <c:pt idx="197">
                  <c:v>94.151952587885475</c:v>
                </c:pt>
                <c:pt idx="198">
                  <c:v>94.237666202797428</c:v>
                </c:pt>
                <c:pt idx="199">
                  <c:v>94.29875311806174</c:v>
                </c:pt>
                <c:pt idx="200">
                  <c:v>94.352398201754852</c:v>
                </c:pt>
                <c:pt idx="201">
                  <c:v>94.564535429386424</c:v>
                </c:pt>
                <c:pt idx="202">
                  <c:v>94.60853063879911</c:v>
                </c:pt>
                <c:pt idx="203">
                  <c:v>94.644245111674991</c:v>
                </c:pt>
                <c:pt idx="204">
                  <c:v>94.700581814852029</c:v>
                </c:pt>
                <c:pt idx="205">
                  <c:v>94.737292508450921</c:v>
                </c:pt>
                <c:pt idx="206">
                  <c:v>94.782373389241428</c:v>
                </c:pt>
                <c:pt idx="207">
                  <c:v>94.814106810017122</c:v>
                </c:pt>
                <c:pt idx="208">
                  <c:v>94.844891097735371</c:v>
                </c:pt>
                <c:pt idx="209">
                  <c:v>94.878574841363331</c:v>
                </c:pt>
                <c:pt idx="210">
                  <c:v>94.944091616897438</c:v>
                </c:pt>
                <c:pt idx="211">
                  <c:v>94.980785909486087</c:v>
                </c:pt>
                <c:pt idx="212">
                  <c:v>95.00297466910618</c:v>
                </c:pt>
                <c:pt idx="213">
                  <c:v>95.028159492782081</c:v>
                </c:pt>
                <c:pt idx="214">
                  <c:v>95.064715412190878</c:v>
                </c:pt>
                <c:pt idx="215">
                  <c:v>95.083907726843833</c:v>
                </c:pt>
                <c:pt idx="216">
                  <c:v>95.105883668359084</c:v>
                </c:pt>
                <c:pt idx="217">
                  <c:v>95.122238658544561</c:v>
                </c:pt>
                <c:pt idx="218">
                  <c:v>95.134824649654206</c:v>
                </c:pt>
                <c:pt idx="219">
                  <c:v>95.136250729211511</c:v>
                </c:pt>
                <c:pt idx="220">
                  <c:v>95.136781426360628</c:v>
                </c:pt>
                <c:pt idx="221">
                  <c:v>95.143808559668258</c:v>
                </c:pt>
                <c:pt idx="222">
                  <c:v>95.149566764237747</c:v>
                </c:pt>
                <c:pt idx="223">
                  <c:v>95.157654895941477</c:v>
                </c:pt>
                <c:pt idx="224">
                  <c:v>95.171358426547314</c:v>
                </c:pt>
                <c:pt idx="225">
                  <c:v>95.183638689519185</c:v>
                </c:pt>
                <c:pt idx="226">
                  <c:v>95.192528883062039</c:v>
                </c:pt>
                <c:pt idx="227">
                  <c:v>95.232491748654752</c:v>
                </c:pt>
                <c:pt idx="228">
                  <c:v>95.269106398568113</c:v>
                </c:pt>
                <c:pt idx="229">
                  <c:v>95.288564768806353</c:v>
                </c:pt>
                <c:pt idx="230">
                  <c:v>95.300239505704127</c:v>
                </c:pt>
                <c:pt idx="231">
                  <c:v>95.314321310883358</c:v>
                </c:pt>
                <c:pt idx="232">
                  <c:v>95.322128744383008</c:v>
                </c:pt>
                <c:pt idx="233">
                  <c:v>95.337110941322763</c:v>
                </c:pt>
                <c:pt idx="234">
                  <c:v>95.343968191474957</c:v>
                </c:pt>
                <c:pt idx="235">
                  <c:v>95.340665936204502</c:v>
                </c:pt>
                <c:pt idx="236">
                  <c:v>95.337506922113661</c:v>
                </c:pt>
                <c:pt idx="237">
                  <c:v>95.335070354908808</c:v>
                </c:pt>
                <c:pt idx="238">
                  <c:v>95.321646408208167</c:v>
                </c:pt>
                <c:pt idx="239">
                  <c:v>95.307946899766719</c:v>
                </c:pt>
                <c:pt idx="240">
                  <c:v>95.297247048262236</c:v>
                </c:pt>
                <c:pt idx="241">
                  <c:v>95.270887002134927</c:v>
                </c:pt>
                <c:pt idx="242">
                  <c:v>95.250070081621018</c:v>
                </c:pt>
                <c:pt idx="243">
                  <c:v>95.213334714307067</c:v>
                </c:pt>
                <c:pt idx="244">
                  <c:v>95.179755611025655</c:v>
                </c:pt>
                <c:pt idx="245">
                  <c:v>95.126603123675551</c:v>
                </c:pt>
                <c:pt idx="246">
                  <c:v>95.103841381847005</c:v>
                </c:pt>
                <c:pt idx="247">
                  <c:v>95.096238355598828</c:v>
                </c:pt>
                <c:pt idx="248">
                  <c:v>95.074537715502359</c:v>
                </c:pt>
                <c:pt idx="249">
                  <c:v>95.059323091104687</c:v>
                </c:pt>
                <c:pt idx="250">
                  <c:v>95.042375581820409</c:v>
                </c:pt>
                <c:pt idx="251">
                  <c:v>95.022558917627904</c:v>
                </c:pt>
                <c:pt idx="252">
                  <c:v>95.00322408760205</c:v>
                </c:pt>
                <c:pt idx="253">
                  <c:v>94.979987410126299</c:v>
                </c:pt>
                <c:pt idx="254">
                  <c:v>94.953084705749035</c:v>
                </c:pt>
                <c:pt idx="255">
                  <c:v>94.912455950329942</c:v>
                </c:pt>
                <c:pt idx="256">
                  <c:v>94.890918818612477</c:v>
                </c:pt>
                <c:pt idx="257">
                  <c:v>94.860290537484062</c:v>
                </c:pt>
                <c:pt idx="258">
                  <c:v>94.836000885389367</c:v>
                </c:pt>
                <c:pt idx="259">
                  <c:v>94.812893175194276</c:v>
                </c:pt>
                <c:pt idx="260">
                  <c:v>94.794805592475797</c:v>
                </c:pt>
                <c:pt idx="261">
                  <c:v>94.784041737212064</c:v>
                </c:pt>
                <c:pt idx="262">
                  <c:v>94.776148545503219</c:v>
                </c:pt>
                <c:pt idx="263">
                  <c:v>94.767635402633871</c:v>
                </c:pt>
                <c:pt idx="264">
                  <c:v>94.753479030298735</c:v>
                </c:pt>
                <c:pt idx="265">
                  <c:v>94.740598557418494</c:v>
                </c:pt>
                <c:pt idx="266">
                  <c:v>94.719681605699961</c:v>
                </c:pt>
                <c:pt idx="267">
                  <c:v>94.72101088173828</c:v>
                </c:pt>
                <c:pt idx="268">
                  <c:v>94.714694316576441</c:v>
                </c:pt>
                <c:pt idx="269">
                  <c:v>94.706748703821276</c:v>
                </c:pt>
                <c:pt idx="270">
                  <c:v>94.703079231164253</c:v>
                </c:pt>
                <c:pt idx="271">
                  <c:v>94.692062640010121</c:v>
                </c:pt>
                <c:pt idx="272">
                  <c:v>94.697682769898563</c:v>
                </c:pt>
                <c:pt idx="273">
                  <c:v>94.69854836397316</c:v>
                </c:pt>
                <c:pt idx="274">
                  <c:v>94.703742020602434</c:v>
                </c:pt>
                <c:pt idx="275">
                  <c:v>94.705847993821052</c:v>
                </c:pt>
                <c:pt idx="276">
                  <c:v>94.709706875139105</c:v>
                </c:pt>
                <c:pt idx="277">
                  <c:v>94.715465304184733</c:v>
                </c:pt>
                <c:pt idx="278">
                  <c:v>94.724700411405138</c:v>
                </c:pt>
                <c:pt idx="279">
                  <c:v>94.723658001018833</c:v>
                </c:pt>
                <c:pt idx="280">
                  <c:v>94.726815958605627</c:v>
                </c:pt>
                <c:pt idx="281">
                  <c:v>94.727495891346123</c:v>
                </c:pt>
                <c:pt idx="282">
                  <c:v>94.732264786541293</c:v>
                </c:pt>
                <c:pt idx="283">
                  <c:v>94.734021723834175</c:v>
                </c:pt>
                <c:pt idx="284">
                  <c:v>94.738744358129978</c:v>
                </c:pt>
                <c:pt idx="285">
                  <c:v>94.766261703293381</c:v>
                </c:pt>
                <c:pt idx="286">
                  <c:v>94.791726841171737</c:v>
                </c:pt>
                <c:pt idx="287">
                  <c:v>94.829370531620015</c:v>
                </c:pt>
                <c:pt idx="288">
                  <c:v>94.847914992599456</c:v>
                </c:pt>
                <c:pt idx="289">
                  <c:v>94.877059343132416</c:v>
                </c:pt>
                <c:pt idx="290">
                  <c:v>94.937033637292046</c:v>
                </c:pt>
                <c:pt idx="291">
                  <c:v>94.992190262200637</c:v>
                </c:pt>
                <c:pt idx="292">
                  <c:v>95.035830127200271</c:v>
                </c:pt>
                <c:pt idx="293">
                  <c:v>95.083676264997735</c:v>
                </c:pt>
                <c:pt idx="294">
                  <c:v>95.125946429771957</c:v>
                </c:pt>
                <c:pt idx="295">
                  <c:v>95.166484503884334</c:v>
                </c:pt>
                <c:pt idx="296">
                  <c:v>95.23240289939686</c:v>
                </c:pt>
                <c:pt idx="297">
                  <c:v>95.270749971205774</c:v>
                </c:pt>
                <c:pt idx="298">
                  <c:v>95.315787306808843</c:v>
                </c:pt>
                <c:pt idx="299">
                  <c:v>95.351829019307999</c:v>
                </c:pt>
                <c:pt idx="300">
                  <c:v>95.419451266369308</c:v>
                </c:pt>
                <c:pt idx="301">
                  <c:v>95.496561309288424</c:v>
                </c:pt>
                <c:pt idx="302">
                  <c:v>95.561076384815237</c:v>
                </c:pt>
                <c:pt idx="303">
                  <c:v>95.604678441729675</c:v>
                </c:pt>
                <c:pt idx="304">
                  <c:v>95.64346753052773</c:v>
                </c:pt>
                <c:pt idx="305">
                  <c:v>95.728156132633146</c:v>
                </c:pt>
                <c:pt idx="306">
                  <c:v>95.761301137349449</c:v>
                </c:pt>
                <c:pt idx="307">
                  <c:v>95.800314158435683</c:v>
                </c:pt>
                <c:pt idx="308">
                  <c:v>95.835376201932092</c:v>
                </c:pt>
                <c:pt idx="309">
                  <c:v>95.870282672901581</c:v>
                </c:pt>
                <c:pt idx="310">
                  <c:v>95.918170537905098</c:v>
                </c:pt>
                <c:pt idx="311">
                  <c:v>95.9843605906931</c:v>
                </c:pt>
                <c:pt idx="312">
                  <c:v>96.038674981061163</c:v>
                </c:pt>
                <c:pt idx="313">
                  <c:v>96.080536402268322</c:v>
                </c:pt>
                <c:pt idx="314">
                  <c:v>96.186441112080743</c:v>
                </c:pt>
                <c:pt idx="315">
                  <c:v>96.313245188768889</c:v>
                </c:pt>
                <c:pt idx="316">
                  <c:v>96.373275989143721</c:v>
                </c:pt>
                <c:pt idx="317">
                  <c:v>96.412054118258382</c:v>
                </c:pt>
                <c:pt idx="318">
                  <c:v>96.480218807036607</c:v>
                </c:pt>
                <c:pt idx="319">
                  <c:v>96.539198190385775</c:v>
                </c:pt>
                <c:pt idx="320">
                  <c:v>96.590358799804193</c:v>
                </c:pt>
                <c:pt idx="321">
                  <c:v>96.63930159654133</c:v>
                </c:pt>
                <c:pt idx="322">
                  <c:v>96.690569297062297</c:v>
                </c:pt>
                <c:pt idx="323">
                  <c:v>96.736362407738923</c:v>
                </c:pt>
                <c:pt idx="324">
                  <c:v>96.782185676158448</c:v>
                </c:pt>
                <c:pt idx="325">
                  <c:v>96.830044286968885</c:v>
                </c:pt>
                <c:pt idx="326">
                  <c:v>96.873607571449313</c:v>
                </c:pt>
                <c:pt idx="327">
                  <c:v>96.920824166337866</c:v>
                </c:pt>
                <c:pt idx="328">
                  <c:v>96.970028680979709</c:v>
                </c:pt>
                <c:pt idx="329">
                  <c:v>97.024306776762188</c:v>
                </c:pt>
                <c:pt idx="330">
                  <c:v>97.083220953565871</c:v>
                </c:pt>
                <c:pt idx="331">
                  <c:v>97.125885706012511</c:v>
                </c:pt>
                <c:pt idx="332">
                  <c:v>97.234545813019793</c:v>
                </c:pt>
                <c:pt idx="333">
                  <c:v>97.304666785719007</c:v>
                </c:pt>
                <c:pt idx="334">
                  <c:v>97.365385806710137</c:v>
                </c:pt>
                <c:pt idx="335">
                  <c:v>97.419805579196307</c:v>
                </c:pt>
                <c:pt idx="336">
                  <c:v>97.459303792806466</c:v>
                </c:pt>
                <c:pt idx="337">
                  <c:v>97.525799249157117</c:v>
                </c:pt>
                <c:pt idx="338">
                  <c:v>97.57697253584189</c:v>
                </c:pt>
                <c:pt idx="339">
                  <c:v>97.608012179207947</c:v>
                </c:pt>
                <c:pt idx="340">
                  <c:v>97.639597464110423</c:v>
                </c:pt>
                <c:pt idx="341">
                  <c:v>97.657452224325496</c:v>
                </c:pt>
                <c:pt idx="342">
                  <c:v>97.664788562732014</c:v>
                </c:pt>
                <c:pt idx="343">
                  <c:v>97.685124336682037</c:v>
                </c:pt>
                <c:pt idx="344">
                  <c:v>97.709418877146788</c:v>
                </c:pt>
                <c:pt idx="345">
                  <c:v>97.730304929580115</c:v>
                </c:pt>
                <c:pt idx="346">
                  <c:v>97.753343094208333</c:v>
                </c:pt>
                <c:pt idx="347">
                  <c:v>97.780383963747482</c:v>
                </c:pt>
                <c:pt idx="348">
                  <c:v>97.797215354963498</c:v>
                </c:pt>
                <c:pt idx="349">
                  <c:v>97.81473337208898</c:v>
                </c:pt>
                <c:pt idx="350">
                  <c:v>97.835993182803605</c:v>
                </c:pt>
                <c:pt idx="351">
                  <c:v>97.846849676724801</c:v>
                </c:pt>
                <c:pt idx="352">
                  <c:v>97.8667357454719</c:v>
                </c:pt>
                <c:pt idx="353">
                  <c:v>97.921408762896917</c:v>
                </c:pt>
                <c:pt idx="354">
                  <c:v>97.938918483479839</c:v>
                </c:pt>
                <c:pt idx="355">
                  <c:v>97.954668096378725</c:v>
                </c:pt>
                <c:pt idx="356">
                  <c:v>97.964716916130342</c:v>
                </c:pt>
                <c:pt idx="357">
                  <c:v>97.979726635343951</c:v>
                </c:pt>
                <c:pt idx="358">
                  <c:v>97.987553059007951</c:v>
                </c:pt>
                <c:pt idx="359">
                  <c:v>97.994615178550276</c:v>
                </c:pt>
                <c:pt idx="360">
                  <c:v>98.007505286890819</c:v>
                </c:pt>
                <c:pt idx="361">
                  <c:v>98.021485007545877</c:v>
                </c:pt>
                <c:pt idx="362">
                  <c:v>98.03522749586449</c:v>
                </c:pt>
                <c:pt idx="363">
                  <c:v>98.060012022801956</c:v>
                </c:pt>
                <c:pt idx="364">
                  <c:v>98.072222048186546</c:v>
                </c:pt>
                <c:pt idx="365">
                  <c:v>98.083829131576238</c:v>
                </c:pt>
                <c:pt idx="366">
                  <c:v>98.092432745941707</c:v>
                </c:pt>
                <c:pt idx="367">
                  <c:v>98.118976947235481</c:v>
                </c:pt>
                <c:pt idx="368">
                  <c:v>98.133651739475908</c:v>
                </c:pt>
                <c:pt idx="369">
                  <c:v>98.14105306982853</c:v>
                </c:pt>
                <c:pt idx="370">
                  <c:v>98.140567654790615</c:v>
                </c:pt>
                <c:pt idx="371">
                  <c:v>98.141432350215865</c:v>
                </c:pt>
                <c:pt idx="372">
                  <c:v>98.1414620669035</c:v>
                </c:pt>
                <c:pt idx="373">
                  <c:v>98.149229048304704</c:v>
                </c:pt>
                <c:pt idx="374">
                  <c:v>98.157879837855489</c:v>
                </c:pt>
                <c:pt idx="375">
                  <c:v>98.163103761954289</c:v>
                </c:pt>
                <c:pt idx="376">
                  <c:v>98.166469373335133</c:v>
                </c:pt>
                <c:pt idx="377">
                  <c:v>98.169771836527332</c:v>
                </c:pt>
                <c:pt idx="378">
                  <c:v>98.174428380522627</c:v>
                </c:pt>
                <c:pt idx="379">
                  <c:v>98.1803210895646</c:v>
                </c:pt>
                <c:pt idx="380">
                  <c:v>98.186618612444875</c:v>
                </c:pt>
                <c:pt idx="381">
                  <c:v>98.191850243971516</c:v>
                </c:pt>
                <c:pt idx="382">
                  <c:v>98.196508259331239</c:v>
                </c:pt>
                <c:pt idx="383">
                  <c:v>98.200060158217923</c:v>
                </c:pt>
                <c:pt idx="384">
                  <c:v>98.2049816276581</c:v>
                </c:pt>
                <c:pt idx="385">
                  <c:v>98.210927143498893</c:v>
                </c:pt>
                <c:pt idx="386">
                  <c:v>98.216973370720339</c:v>
                </c:pt>
                <c:pt idx="387">
                  <c:v>98.224426413369315</c:v>
                </c:pt>
                <c:pt idx="388">
                  <c:v>98.234760970306738</c:v>
                </c:pt>
                <c:pt idx="389">
                  <c:v>98.247526527725071</c:v>
                </c:pt>
                <c:pt idx="390">
                  <c:v>98.258326295677975</c:v>
                </c:pt>
                <c:pt idx="391">
                  <c:v>98.264652256737421</c:v>
                </c:pt>
                <c:pt idx="392">
                  <c:v>98.270863480824062</c:v>
                </c:pt>
                <c:pt idx="393">
                  <c:v>98.276611604352709</c:v>
                </c:pt>
                <c:pt idx="394">
                  <c:v>98.284326676243438</c:v>
                </c:pt>
                <c:pt idx="395">
                  <c:v>98.305004801110172</c:v>
                </c:pt>
                <c:pt idx="396">
                  <c:v>98.320833098916296</c:v>
                </c:pt>
                <c:pt idx="397">
                  <c:v>98.339524356564965</c:v>
                </c:pt>
                <c:pt idx="398">
                  <c:v>98.356114903785226</c:v>
                </c:pt>
                <c:pt idx="399">
                  <c:v>98.36912402620132</c:v>
                </c:pt>
                <c:pt idx="400">
                  <c:v>98.388323115000958</c:v>
                </c:pt>
                <c:pt idx="401">
                  <c:v>98.407397969021119</c:v>
                </c:pt>
                <c:pt idx="402">
                  <c:v>98.42243615419946</c:v>
                </c:pt>
                <c:pt idx="403">
                  <c:v>98.437562794999366</c:v>
                </c:pt>
                <c:pt idx="404">
                  <c:v>98.453382032427342</c:v>
                </c:pt>
                <c:pt idx="405">
                  <c:v>98.46398124143164</c:v>
                </c:pt>
                <c:pt idx="406">
                  <c:v>98.471868351272391</c:v>
                </c:pt>
                <c:pt idx="407">
                  <c:v>98.475760559623822</c:v>
                </c:pt>
                <c:pt idx="408">
                  <c:v>98.487112497135996</c:v>
                </c:pt>
                <c:pt idx="409">
                  <c:v>98.498605384336756</c:v>
                </c:pt>
                <c:pt idx="410">
                  <c:v>98.506066707552947</c:v>
                </c:pt>
                <c:pt idx="411">
                  <c:v>98.515464566343255</c:v>
                </c:pt>
                <c:pt idx="412">
                  <c:v>98.519346283215228</c:v>
                </c:pt>
                <c:pt idx="413">
                  <c:v>98.523633608893931</c:v>
                </c:pt>
                <c:pt idx="414">
                  <c:v>98.530797824744411</c:v>
                </c:pt>
                <c:pt idx="415">
                  <c:v>98.529870181382549</c:v>
                </c:pt>
                <c:pt idx="416">
                  <c:v>98.528520672938171</c:v>
                </c:pt>
                <c:pt idx="417">
                  <c:v>98.524256859641966</c:v>
                </c:pt>
                <c:pt idx="418">
                  <c:v>98.521184265463248</c:v>
                </c:pt>
                <c:pt idx="419">
                  <c:v>98.519635973719403</c:v>
                </c:pt>
                <c:pt idx="420">
                  <c:v>98.518782322074756</c:v>
                </c:pt>
                <c:pt idx="421">
                  <c:v>98.514480068618511</c:v>
                </c:pt>
                <c:pt idx="422">
                  <c:v>98.512413197893139</c:v>
                </c:pt>
                <c:pt idx="423">
                  <c:v>98.510004629625428</c:v>
                </c:pt>
                <c:pt idx="424">
                  <c:v>98.508572110202707</c:v>
                </c:pt>
                <c:pt idx="425">
                  <c:v>98.507320384771504</c:v>
                </c:pt>
                <c:pt idx="426">
                  <c:v>98.505193728933392</c:v>
                </c:pt>
                <c:pt idx="427">
                  <c:v>98.498723990836837</c:v>
                </c:pt>
                <c:pt idx="428">
                  <c:v>98.494623865369817</c:v>
                </c:pt>
                <c:pt idx="429">
                  <c:v>98.490584456953428</c:v>
                </c:pt>
                <c:pt idx="430">
                  <c:v>98.481452688108703</c:v>
                </c:pt>
                <c:pt idx="431">
                  <c:v>98.477731848595624</c:v>
                </c:pt>
                <c:pt idx="432">
                  <c:v>98.47789569752851</c:v>
                </c:pt>
                <c:pt idx="433">
                  <c:v>98.478445352538614</c:v>
                </c:pt>
                <c:pt idx="434">
                  <c:v>98.478202011559105</c:v>
                </c:pt>
                <c:pt idx="435">
                  <c:v>98.480476275662895</c:v>
                </c:pt>
                <c:pt idx="436">
                  <c:v>98.482562177968134</c:v>
                </c:pt>
                <c:pt idx="437">
                  <c:v>98.487126380576356</c:v>
                </c:pt>
                <c:pt idx="438">
                  <c:v>98.486384542915744</c:v>
                </c:pt>
                <c:pt idx="439">
                  <c:v>98.485139635213642</c:v>
                </c:pt>
                <c:pt idx="440">
                  <c:v>98.485691257105699</c:v>
                </c:pt>
                <c:pt idx="441">
                  <c:v>98.487202263882764</c:v>
                </c:pt>
                <c:pt idx="442">
                  <c:v>98.48990151158489</c:v>
                </c:pt>
                <c:pt idx="443">
                  <c:v>98.493605700071882</c:v>
                </c:pt>
                <c:pt idx="444">
                  <c:v>98.497819568480708</c:v>
                </c:pt>
                <c:pt idx="445">
                  <c:v>98.505865859196803</c:v>
                </c:pt>
                <c:pt idx="446">
                  <c:v>98.509442551340868</c:v>
                </c:pt>
                <c:pt idx="447">
                  <c:v>98.514258646090681</c:v>
                </c:pt>
                <c:pt idx="448">
                  <c:v>98.520132605805145</c:v>
                </c:pt>
                <c:pt idx="449">
                  <c:v>98.524098865250707</c:v>
                </c:pt>
                <c:pt idx="450">
                  <c:v>98.528341981842658</c:v>
                </c:pt>
                <c:pt idx="451">
                  <c:v>98.531928929741838</c:v>
                </c:pt>
                <c:pt idx="452">
                  <c:v>98.53529105948131</c:v>
                </c:pt>
                <c:pt idx="453">
                  <c:v>98.540390516614465</c:v>
                </c:pt>
                <c:pt idx="454">
                  <c:v>98.543270008480619</c:v>
                </c:pt>
                <c:pt idx="455">
                  <c:v>98.544806065436276</c:v>
                </c:pt>
                <c:pt idx="456">
                  <c:v>98.547352821789815</c:v>
                </c:pt>
                <c:pt idx="457">
                  <c:v>98.547355846021617</c:v>
                </c:pt>
                <c:pt idx="458">
                  <c:v>98.544603630206112</c:v>
                </c:pt>
                <c:pt idx="459">
                  <c:v>98.543880301750178</c:v>
                </c:pt>
                <c:pt idx="460">
                  <c:v>98.540797662400934</c:v>
                </c:pt>
                <c:pt idx="461">
                  <c:v>98.537646924981189</c:v>
                </c:pt>
                <c:pt idx="462">
                  <c:v>98.536734744029275</c:v>
                </c:pt>
                <c:pt idx="463">
                  <c:v>98.531349984638965</c:v>
                </c:pt>
                <c:pt idx="464">
                  <c:v>98.526754345699189</c:v>
                </c:pt>
                <c:pt idx="465">
                  <c:v>98.526735182154709</c:v>
                </c:pt>
                <c:pt idx="466">
                  <c:v>98.526127552011644</c:v>
                </c:pt>
                <c:pt idx="467">
                  <c:v>98.527957506342446</c:v>
                </c:pt>
                <c:pt idx="468">
                  <c:v>98.530107556815764</c:v>
                </c:pt>
                <c:pt idx="469">
                  <c:v>98.534718305759824</c:v>
                </c:pt>
                <c:pt idx="470">
                  <c:v>98.542057132811507</c:v>
                </c:pt>
                <c:pt idx="471">
                  <c:v>98.55735724175284</c:v>
                </c:pt>
                <c:pt idx="472">
                  <c:v>98.568115655136211</c:v>
                </c:pt>
                <c:pt idx="473">
                  <c:v>98.5733999345493</c:v>
                </c:pt>
                <c:pt idx="474">
                  <c:v>98.578964964381484</c:v>
                </c:pt>
                <c:pt idx="475">
                  <c:v>98.586032600782616</c:v>
                </c:pt>
                <c:pt idx="476">
                  <c:v>98.588451938500867</c:v>
                </c:pt>
                <c:pt idx="477">
                  <c:v>98.588973781856168</c:v>
                </c:pt>
                <c:pt idx="478">
                  <c:v>98.590870939727012</c:v>
                </c:pt>
                <c:pt idx="479">
                  <c:v>98.592631490124319</c:v>
                </c:pt>
                <c:pt idx="480">
                  <c:v>98.59080556795746</c:v>
                </c:pt>
                <c:pt idx="481">
                  <c:v>98.586394420094052</c:v>
                </c:pt>
                <c:pt idx="482">
                  <c:v>98.582895182025936</c:v>
                </c:pt>
                <c:pt idx="483">
                  <c:v>98.577846390961525</c:v>
                </c:pt>
                <c:pt idx="484">
                  <c:v>98.574593783553368</c:v>
                </c:pt>
                <c:pt idx="485">
                  <c:v>98.568559987354917</c:v>
                </c:pt>
                <c:pt idx="486">
                  <c:v>98.563935799529077</c:v>
                </c:pt>
                <c:pt idx="487">
                  <c:v>98.558564211833399</c:v>
                </c:pt>
                <c:pt idx="488">
                  <c:v>98.554813945666382</c:v>
                </c:pt>
                <c:pt idx="489">
                  <c:v>98.552332702971768</c:v>
                </c:pt>
                <c:pt idx="490">
                  <c:v>98.554164524608467</c:v>
                </c:pt>
                <c:pt idx="491">
                  <c:v>98.554898039818596</c:v>
                </c:pt>
                <c:pt idx="492">
                  <c:v>98.558415525299765</c:v>
                </c:pt>
                <c:pt idx="493">
                  <c:v>98.561470518442761</c:v>
                </c:pt>
                <c:pt idx="494">
                  <c:v>98.559486146508007</c:v>
                </c:pt>
                <c:pt idx="495">
                  <c:v>98.55950066912294</c:v>
                </c:pt>
                <c:pt idx="496">
                  <c:v>98.560024822914414</c:v>
                </c:pt>
                <c:pt idx="497">
                  <c:v>98.560482725131052</c:v>
                </c:pt>
                <c:pt idx="498">
                  <c:v>98.56089101733005</c:v>
                </c:pt>
                <c:pt idx="499">
                  <c:v>98.562345680194241</c:v>
                </c:pt>
                <c:pt idx="500">
                  <c:v>98.563565308412521</c:v>
                </c:pt>
                <c:pt idx="501">
                  <c:v>98.564394434947474</c:v>
                </c:pt>
                <c:pt idx="502">
                  <c:v>98.566240524999387</c:v>
                </c:pt>
                <c:pt idx="503">
                  <c:v>98.566115029433945</c:v>
                </c:pt>
                <c:pt idx="504">
                  <c:v>98.56722482155179</c:v>
                </c:pt>
                <c:pt idx="505">
                  <c:v>98.568401381898738</c:v>
                </c:pt>
                <c:pt idx="506">
                  <c:v>98.57087294041537</c:v>
                </c:pt>
                <c:pt idx="507">
                  <c:v>98.571644813320461</c:v>
                </c:pt>
                <c:pt idx="508">
                  <c:v>98.572101870537594</c:v>
                </c:pt>
                <c:pt idx="509">
                  <c:v>98.575119384910352</c:v>
                </c:pt>
                <c:pt idx="510">
                  <c:v>98.580160177872699</c:v>
                </c:pt>
                <c:pt idx="511">
                  <c:v>98.586583973503949</c:v>
                </c:pt>
                <c:pt idx="512">
                  <c:v>98.596749838073848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B1-407C-AB29-1EC56013C3B8}"/>
            </c:ext>
          </c:extLst>
        </c:ser>
        <c:ser>
          <c:idx val="2"/>
          <c:order val="2"/>
          <c:tx>
            <c:strRef>
              <c:f>Data!$G$1</c:f>
              <c:strCache>
                <c:ptCount val="1"/>
                <c:pt idx="0">
                  <c:v>Plus 1 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Data!$A$2:$A$514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Data!$G$2:$G$514</c:f>
              <c:numCache>
                <c:formatCode>General</c:formatCode>
                <c:ptCount val="513"/>
                <c:pt idx="0">
                  <c:v>92.41</c:v>
                </c:pt>
                <c:pt idx="1">
                  <c:v>93.016012214066478</c:v>
                </c:pt>
                <c:pt idx="2">
                  <c:v>93.237848675629479</c:v>
                </c:pt>
                <c:pt idx="3">
                  <c:v>93.462166159371876</c:v>
                </c:pt>
                <c:pt idx="4">
                  <c:v>93.634304425802426</c:v>
                </c:pt>
                <c:pt idx="5">
                  <c:v>93.70120407426046</c:v>
                </c:pt>
                <c:pt idx="6">
                  <c:v>93.945139270713696</c:v>
                </c:pt>
                <c:pt idx="7">
                  <c:v>93.952992070075481</c:v>
                </c:pt>
                <c:pt idx="8">
                  <c:v>93.830280745157481</c:v>
                </c:pt>
                <c:pt idx="9">
                  <c:v>93.726796370294423</c:v>
                </c:pt>
                <c:pt idx="10">
                  <c:v>93.676261040524679</c:v>
                </c:pt>
                <c:pt idx="11">
                  <c:v>93.695265252171581</c:v>
                </c:pt>
                <c:pt idx="12">
                  <c:v>93.616732752062674</c:v>
                </c:pt>
                <c:pt idx="13">
                  <c:v>93.552533343929682</c:v>
                </c:pt>
                <c:pt idx="14">
                  <c:v>93.479013256064761</c:v>
                </c:pt>
                <c:pt idx="15">
                  <c:v>93.385253481777937</c:v>
                </c:pt>
                <c:pt idx="16">
                  <c:v>93.287116177783986</c:v>
                </c:pt>
                <c:pt idx="17">
                  <c:v>93.167457095008331</c:v>
                </c:pt>
                <c:pt idx="18">
                  <c:v>93.080823527761069</c:v>
                </c:pt>
                <c:pt idx="19">
                  <c:v>93.015237533730101</c:v>
                </c:pt>
                <c:pt idx="20">
                  <c:v>92.94758509750416</c:v>
                </c:pt>
                <c:pt idx="21">
                  <c:v>92.99925537178045</c:v>
                </c:pt>
                <c:pt idx="22">
                  <c:v>92.954128545107764</c:v>
                </c:pt>
                <c:pt idx="23">
                  <c:v>92.885072511372613</c:v>
                </c:pt>
                <c:pt idx="24">
                  <c:v>92.826361988610344</c:v>
                </c:pt>
                <c:pt idx="25">
                  <c:v>92.777133049952369</c:v>
                </c:pt>
                <c:pt idx="26">
                  <c:v>92.729724026243417</c:v>
                </c:pt>
                <c:pt idx="27">
                  <c:v>92.68222453565383</c:v>
                </c:pt>
                <c:pt idx="28">
                  <c:v>92.62785586631631</c:v>
                </c:pt>
                <c:pt idx="29">
                  <c:v>92.495780515438526</c:v>
                </c:pt>
                <c:pt idx="30">
                  <c:v>92.436029444180377</c:v>
                </c:pt>
                <c:pt idx="31">
                  <c:v>92.369875158529965</c:v>
                </c:pt>
                <c:pt idx="32">
                  <c:v>92.27482008047059</c:v>
                </c:pt>
                <c:pt idx="33">
                  <c:v>92.223258574570735</c:v>
                </c:pt>
                <c:pt idx="34">
                  <c:v>92.174653077473707</c:v>
                </c:pt>
                <c:pt idx="35">
                  <c:v>92.132593468161531</c:v>
                </c:pt>
                <c:pt idx="36">
                  <c:v>92.103387376525902</c:v>
                </c:pt>
                <c:pt idx="37">
                  <c:v>92.090717374577821</c:v>
                </c:pt>
                <c:pt idx="38">
                  <c:v>92.074942375237526</c:v>
                </c:pt>
                <c:pt idx="39">
                  <c:v>92.059231431822937</c:v>
                </c:pt>
                <c:pt idx="40">
                  <c:v>91.97547289686888</c:v>
                </c:pt>
                <c:pt idx="41">
                  <c:v>91.936641499441208</c:v>
                </c:pt>
                <c:pt idx="42">
                  <c:v>91.898739943837612</c:v>
                </c:pt>
                <c:pt idx="43">
                  <c:v>91.859297732308633</c:v>
                </c:pt>
                <c:pt idx="44">
                  <c:v>91.837925570403726</c:v>
                </c:pt>
                <c:pt idx="45">
                  <c:v>91.817584542545973</c:v>
                </c:pt>
                <c:pt idx="46">
                  <c:v>91.8008203686163</c:v>
                </c:pt>
                <c:pt idx="47">
                  <c:v>91.799085271528256</c:v>
                </c:pt>
                <c:pt idx="48">
                  <c:v>91.781054480877216</c:v>
                </c:pt>
                <c:pt idx="49">
                  <c:v>91.757920681061904</c:v>
                </c:pt>
                <c:pt idx="50">
                  <c:v>91.727282257433259</c:v>
                </c:pt>
                <c:pt idx="51">
                  <c:v>91.683501503685392</c:v>
                </c:pt>
                <c:pt idx="52">
                  <c:v>91.65762292759814</c:v>
                </c:pt>
                <c:pt idx="53">
                  <c:v>91.639874211342587</c:v>
                </c:pt>
                <c:pt idx="54">
                  <c:v>91.614439762382446</c:v>
                </c:pt>
                <c:pt idx="55">
                  <c:v>91.580822043578578</c:v>
                </c:pt>
                <c:pt idx="56">
                  <c:v>91.554086741425266</c:v>
                </c:pt>
                <c:pt idx="57">
                  <c:v>91.531099224906299</c:v>
                </c:pt>
                <c:pt idx="58">
                  <c:v>91.507231977583388</c:v>
                </c:pt>
                <c:pt idx="59">
                  <c:v>91.500452373962915</c:v>
                </c:pt>
                <c:pt idx="60">
                  <c:v>91.510563813347545</c:v>
                </c:pt>
                <c:pt idx="61">
                  <c:v>91.504310875305379</c:v>
                </c:pt>
                <c:pt idx="62">
                  <c:v>91.509003258127166</c:v>
                </c:pt>
                <c:pt idx="63">
                  <c:v>91.497707144769905</c:v>
                </c:pt>
                <c:pt idx="64">
                  <c:v>91.492465279500607</c:v>
                </c:pt>
                <c:pt idx="65">
                  <c:v>91.478612926699839</c:v>
                </c:pt>
                <c:pt idx="66">
                  <c:v>91.479811898308654</c:v>
                </c:pt>
                <c:pt idx="67">
                  <c:v>91.488964966332219</c:v>
                </c:pt>
                <c:pt idx="68">
                  <c:v>91.468147240590767</c:v>
                </c:pt>
                <c:pt idx="69">
                  <c:v>91.448540100015663</c:v>
                </c:pt>
                <c:pt idx="70">
                  <c:v>91.428834219252252</c:v>
                </c:pt>
                <c:pt idx="71">
                  <c:v>91.408396230475361</c:v>
                </c:pt>
                <c:pt idx="72">
                  <c:v>91.379809621195278</c:v>
                </c:pt>
                <c:pt idx="73">
                  <c:v>91.385902926537511</c:v>
                </c:pt>
                <c:pt idx="74">
                  <c:v>91.404052007827417</c:v>
                </c:pt>
                <c:pt idx="75">
                  <c:v>91.520077763987899</c:v>
                </c:pt>
                <c:pt idx="76">
                  <c:v>91.578957847804205</c:v>
                </c:pt>
                <c:pt idx="77">
                  <c:v>91.639526289935105</c:v>
                </c:pt>
                <c:pt idx="78">
                  <c:v>91.721987456266092</c:v>
                </c:pt>
                <c:pt idx="79">
                  <c:v>91.83240655021028</c:v>
                </c:pt>
                <c:pt idx="80">
                  <c:v>91.87826084652032</c:v>
                </c:pt>
                <c:pt idx="81">
                  <c:v>91.947418048856733</c:v>
                </c:pt>
                <c:pt idx="82">
                  <c:v>92.099796210439507</c:v>
                </c:pt>
                <c:pt idx="83">
                  <c:v>92.224087470018887</c:v>
                </c:pt>
                <c:pt idx="84">
                  <c:v>92.349132767952057</c:v>
                </c:pt>
                <c:pt idx="85">
                  <c:v>92.495531944920799</c:v>
                </c:pt>
                <c:pt idx="86">
                  <c:v>92.645388740298387</c:v>
                </c:pt>
                <c:pt idx="87">
                  <c:v>92.845109057956606</c:v>
                </c:pt>
                <c:pt idx="88">
                  <c:v>93.04192631167102</c:v>
                </c:pt>
                <c:pt idx="89">
                  <c:v>93.226954469307486</c:v>
                </c:pt>
                <c:pt idx="90">
                  <c:v>93.387622753702857</c:v>
                </c:pt>
                <c:pt idx="91">
                  <c:v>93.532514817137482</c:v>
                </c:pt>
                <c:pt idx="92">
                  <c:v>93.642696319201903</c:v>
                </c:pt>
                <c:pt idx="93">
                  <c:v>93.757765350302861</c:v>
                </c:pt>
                <c:pt idx="94">
                  <c:v>93.889306406803087</c:v>
                </c:pt>
                <c:pt idx="95">
                  <c:v>93.994683997623568</c:v>
                </c:pt>
                <c:pt idx="96">
                  <c:v>94.068839940552266</c:v>
                </c:pt>
                <c:pt idx="97">
                  <c:v>94.144404785273608</c:v>
                </c:pt>
                <c:pt idx="98">
                  <c:v>94.269098514273495</c:v>
                </c:pt>
                <c:pt idx="99">
                  <c:v>94.295029273580411</c:v>
                </c:pt>
                <c:pt idx="100">
                  <c:v>94.324591391169889</c:v>
                </c:pt>
                <c:pt idx="101">
                  <c:v>94.33810049368121</c:v>
                </c:pt>
                <c:pt idx="102">
                  <c:v>94.330633840415558</c:v>
                </c:pt>
                <c:pt idx="103">
                  <c:v>94.329889804094435</c:v>
                </c:pt>
                <c:pt idx="104">
                  <c:v>94.458381065084708</c:v>
                </c:pt>
                <c:pt idx="105">
                  <c:v>94.477332054440396</c:v>
                </c:pt>
                <c:pt idx="106">
                  <c:v>94.509643395850972</c:v>
                </c:pt>
                <c:pt idx="107">
                  <c:v>94.509471759159453</c:v>
                </c:pt>
                <c:pt idx="108">
                  <c:v>94.498792614981454</c:v>
                </c:pt>
                <c:pt idx="109">
                  <c:v>94.485977059255234</c:v>
                </c:pt>
                <c:pt idx="110">
                  <c:v>94.480905652206204</c:v>
                </c:pt>
                <c:pt idx="111">
                  <c:v>94.469376753226186</c:v>
                </c:pt>
                <c:pt idx="112">
                  <c:v>94.45409693778825</c:v>
                </c:pt>
                <c:pt idx="113">
                  <c:v>94.43547697109635</c:v>
                </c:pt>
                <c:pt idx="114">
                  <c:v>94.419442956669201</c:v>
                </c:pt>
                <c:pt idx="115">
                  <c:v>94.402201610337144</c:v>
                </c:pt>
                <c:pt idx="116">
                  <c:v>94.384455278120939</c:v>
                </c:pt>
                <c:pt idx="117">
                  <c:v>94.367206459108445</c:v>
                </c:pt>
                <c:pt idx="118">
                  <c:v>94.340717487484412</c:v>
                </c:pt>
                <c:pt idx="119">
                  <c:v>94.327543821165023</c:v>
                </c:pt>
                <c:pt idx="120">
                  <c:v>94.307215931951077</c:v>
                </c:pt>
                <c:pt idx="121">
                  <c:v>94.285249249502584</c:v>
                </c:pt>
                <c:pt idx="122">
                  <c:v>94.267798926126687</c:v>
                </c:pt>
                <c:pt idx="123">
                  <c:v>94.238902286154101</c:v>
                </c:pt>
                <c:pt idx="124">
                  <c:v>94.223295226850439</c:v>
                </c:pt>
                <c:pt idx="125">
                  <c:v>94.20763035405102</c:v>
                </c:pt>
                <c:pt idx="126">
                  <c:v>94.194726810255361</c:v>
                </c:pt>
                <c:pt idx="127">
                  <c:v>94.175278524974871</c:v>
                </c:pt>
                <c:pt idx="128">
                  <c:v>94.160459839048642</c:v>
                </c:pt>
                <c:pt idx="129">
                  <c:v>94.140605482340476</c:v>
                </c:pt>
                <c:pt idx="130">
                  <c:v>94.124947169597363</c:v>
                </c:pt>
                <c:pt idx="131">
                  <c:v>94.115261960928734</c:v>
                </c:pt>
                <c:pt idx="132">
                  <c:v>94.110572689794324</c:v>
                </c:pt>
                <c:pt idx="133">
                  <c:v>94.094867709904648</c:v>
                </c:pt>
                <c:pt idx="134">
                  <c:v>94.086263885845412</c:v>
                </c:pt>
                <c:pt idx="135">
                  <c:v>94.104840914550707</c:v>
                </c:pt>
                <c:pt idx="136">
                  <c:v>94.129346714926783</c:v>
                </c:pt>
                <c:pt idx="137">
                  <c:v>94.148830862334918</c:v>
                </c:pt>
                <c:pt idx="138">
                  <c:v>94.173655890107923</c:v>
                </c:pt>
                <c:pt idx="139">
                  <c:v>94.177913410904623</c:v>
                </c:pt>
                <c:pt idx="140">
                  <c:v>94.232490747721357</c:v>
                </c:pt>
                <c:pt idx="141">
                  <c:v>94.282191882875921</c:v>
                </c:pt>
                <c:pt idx="142">
                  <c:v>94.331779421739881</c:v>
                </c:pt>
                <c:pt idx="143">
                  <c:v>94.385603769860694</c:v>
                </c:pt>
                <c:pt idx="144">
                  <c:v>94.458338910275714</c:v>
                </c:pt>
                <c:pt idx="145">
                  <c:v>94.527526520478546</c:v>
                </c:pt>
                <c:pt idx="146">
                  <c:v>94.680290723830865</c:v>
                </c:pt>
                <c:pt idx="147">
                  <c:v>94.947844738862742</c:v>
                </c:pt>
                <c:pt idx="148">
                  <c:v>95.114768393052117</c:v>
                </c:pt>
                <c:pt idx="149">
                  <c:v>95.253498177412041</c:v>
                </c:pt>
                <c:pt idx="150">
                  <c:v>95.400941158495002</c:v>
                </c:pt>
                <c:pt idx="151">
                  <c:v>95.516025445757109</c:v>
                </c:pt>
                <c:pt idx="152">
                  <c:v>95.63113329139118</c:v>
                </c:pt>
                <c:pt idx="153">
                  <c:v>95.754130223544351</c:v>
                </c:pt>
                <c:pt idx="154">
                  <c:v>95.87408204371097</c:v>
                </c:pt>
                <c:pt idx="155">
                  <c:v>95.978639508800256</c:v>
                </c:pt>
                <c:pt idx="156">
                  <c:v>96.075332502894838</c:v>
                </c:pt>
                <c:pt idx="157">
                  <c:v>96.160937903023665</c:v>
                </c:pt>
                <c:pt idx="158">
                  <c:v>96.254338393400786</c:v>
                </c:pt>
                <c:pt idx="159">
                  <c:v>96.331210104313186</c:v>
                </c:pt>
                <c:pt idx="160">
                  <c:v>96.422641947893595</c:v>
                </c:pt>
                <c:pt idx="161">
                  <c:v>96.514592632754969</c:v>
                </c:pt>
                <c:pt idx="162">
                  <c:v>96.597165980007105</c:v>
                </c:pt>
                <c:pt idx="163">
                  <c:v>96.672464903394214</c:v>
                </c:pt>
                <c:pt idx="164">
                  <c:v>96.71902704714681</c:v>
                </c:pt>
                <c:pt idx="165">
                  <c:v>96.778011708233919</c:v>
                </c:pt>
                <c:pt idx="166">
                  <c:v>96.845293084902409</c:v>
                </c:pt>
                <c:pt idx="167">
                  <c:v>96.957049511214819</c:v>
                </c:pt>
                <c:pt idx="168">
                  <c:v>97.094353590813483</c:v>
                </c:pt>
                <c:pt idx="169">
                  <c:v>97.229927564093387</c:v>
                </c:pt>
                <c:pt idx="170">
                  <c:v>97.350793919835368</c:v>
                </c:pt>
                <c:pt idx="171">
                  <c:v>97.465994368154469</c:v>
                </c:pt>
                <c:pt idx="172">
                  <c:v>97.603993608179195</c:v>
                </c:pt>
                <c:pt idx="173">
                  <c:v>97.72790075609467</c:v>
                </c:pt>
                <c:pt idx="174">
                  <c:v>97.87410855460854</c:v>
                </c:pt>
                <c:pt idx="175">
                  <c:v>97.972164870663278</c:v>
                </c:pt>
                <c:pt idx="176">
                  <c:v>98.079637958954706</c:v>
                </c:pt>
                <c:pt idx="177">
                  <c:v>98.19607444043389</c:v>
                </c:pt>
                <c:pt idx="178">
                  <c:v>98.301665009576382</c:v>
                </c:pt>
                <c:pt idx="179">
                  <c:v>98.385314208896631</c:v>
                </c:pt>
                <c:pt idx="180">
                  <c:v>98.459355531255483</c:v>
                </c:pt>
                <c:pt idx="181">
                  <c:v>98.601041299034321</c:v>
                </c:pt>
                <c:pt idx="182">
                  <c:v>98.679358961386782</c:v>
                </c:pt>
                <c:pt idx="183">
                  <c:v>98.739938415565078</c:v>
                </c:pt>
                <c:pt idx="184">
                  <c:v>98.806155070824445</c:v>
                </c:pt>
                <c:pt idx="185">
                  <c:v>98.877121584296262</c:v>
                </c:pt>
                <c:pt idx="186">
                  <c:v>98.959152490203181</c:v>
                </c:pt>
                <c:pt idx="187">
                  <c:v>99.043149299618946</c:v>
                </c:pt>
                <c:pt idx="188">
                  <c:v>99.153225747858585</c:v>
                </c:pt>
                <c:pt idx="189">
                  <c:v>99.224563277099577</c:v>
                </c:pt>
                <c:pt idx="190">
                  <c:v>99.287614473732418</c:v>
                </c:pt>
                <c:pt idx="191">
                  <c:v>99.339059740148443</c:v>
                </c:pt>
                <c:pt idx="192">
                  <c:v>99.389224934462888</c:v>
                </c:pt>
                <c:pt idx="193">
                  <c:v>99.436321408578266</c:v>
                </c:pt>
                <c:pt idx="194">
                  <c:v>99.480597076783255</c:v>
                </c:pt>
                <c:pt idx="195">
                  <c:v>99.517295747282418</c:v>
                </c:pt>
                <c:pt idx="196">
                  <c:v>99.564331230282988</c:v>
                </c:pt>
                <c:pt idx="197">
                  <c:v>99.63514207250968</c:v>
                </c:pt>
                <c:pt idx="198">
                  <c:v>99.763637630811388</c:v>
                </c:pt>
                <c:pt idx="199">
                  <c:v>99.873250181474731</c:v>
                </c:pt>
                <c:pt idx="200">
                  <c:v>99.96905815126145</c:v>
                </c:pt>
                <c:pt idx="201">
                  <c:v>100.23332201893997</c:v>
                </c:pt>
                <c:pt idx="202">
                  <c:v>100.32268705231839</c:v>
                </c:pt>
                <c:pt idx="203">
                  <c:v>100.39699466406589</c:v>
                </c:pt>
                <c:pt idx="204">
                  <c:v>100.50773902185864</c:v>
                </c:pt>
                <c:pt idx="205">
                  <c:v>100.59305714428295</c:v>
                </c:pt>
                <c:pt idx="206">
                  <c:v>100.66367077121338</c:v>
                </c:pt>
                <c:pt idx="207">
                  <c:v>100.72188893554097</c:v>
                </c:pt>
                <c:pt idx="208">
                  <c:v>100.76466085484959</c:v>
                </c:pt>
                <c:pt idx="209">
                  <c:v>100.80874512949659</c:v>
                </c:pt>
                <c:pt idx="210">
                  <c:v>100.87831139058754</c:v>
                </c:pt>
                <c:pt idx="211">
                  <c:v>100.91103612227894</c:v>
                </c:pt>
                <c:pt idx="212">
                  <c:v>100.92612161582919</c:v>
                </c:pt>
                <c:pt idx="213">
                  <c:v>100.94655507106741</c:v>
                </c:pt>
                <c:pt idx="214">
                  <c:v>100.97538021142016</c:v>
                </c:pt>
                <c:pt idx="215">
                  <c:v>100.983376681629</c:v>
                </c:pt>
                <c:pt idx="216">
                  <c:v>100.99541301076371</c:v>
                </c:pt>
                <c:pt idx="217">
                  <c:v>101.00274732331023</c:v>
                </c:pt>
                <c:pt idx="218">
                  <c:v>101.00336392413766</c:v>
                </c:pt>
                <c:pt idx="219">
                  <c:v>100.9914744651531</c:v>
                </c:pt>
                <c:pt idx="220">
                  <c:v>100.97875048389909</c:v>
                </c:pt>
                <c:pt idx="221">
                  <c:v>100.97329420241068</c:v>
                </c:pt>
                <c:pt idx="222">
                  <c:v>100.96665862001149</c:v>
                </c:pt>
                <c:pt idx="223">
                  <c:v>100.96306688550283</c:v>
                </c:pt>
                <c:pt idx="224">
                  <c:v>100.96675977316646</c:v>
                </c:pt>
                <c:pt idx="225">
                  <c:v>100.97104533341064</c:v>
                </c:pt>
                <c:pt idx="226">
                  <c:v>100.97108566287892</c:v>
                </c:pt>
                <c:pt idx="227">
                  <c:v>101.0053789113035</c:v>
                </c:pt>
                <c:pt idx="228">
                  <c:v>101.04538132899275</c:v>
                </c:pt>
                <c:pt idx="229">
                  <c:v>101.06747990172028</c:v>
                </c:pt>
                <c:pt idx="230">
                  <c:v>101.0773235392509</c:v>
                </c:pt>
                <c:pt idx="231">
                  <c:v>101.08284217157708</c:v>
                </c:pt>
                <c:pt idx="232">
                  <c:v>101.0801426882462</c:v>
                </c:pt>
                <c:pt idx="233">
                  <c:v>101.08346726842777</c:v>
                </c:pt>
                <c:pt idx="234">
                  <c:v>101.07862466419569</c:v>
                </c:pt>
                <c:pt idx="235">
                  <c:v>101.06324361364554</c:v>
                </c:pt>
                <c:pt idx="236">
                  <c:v>101.04809636384154</c:v>
                </c:pt>
                <c:pt idx="237">
                  <c:v>101.03378342634025</c:v>
                </c:pt>
                <c:pt idx="238">
                  <c:v>101.01078805798822</c:v>
                </c:pt>
                <c:pt idx="239">
                  <c:v>100.98782718004234</c:v>
                </c:pt>
                <c:pt idx="240">
                  <c:v>100.96775369761649</c:v>
                </c:pt>
                <c:pt idx="241">
                  <c:v>100.93547335200451</c:v>
                </c:pt>
                <c:pt idx="242">
                  <c:v>100.91000583234575</c:v>
                </c:pt>
                <c:pt idx="243">
                  <c:v>100.87622397088474</c:v>
                </c:pt>
                <c:pt idx="244">
                  <c:v>100.84456095500464</c:v>
                </c:pt>
                <c:pt idx="245">
                  <c:v>100.78934207067367</c:v>
                </c:pt>
                <c:pt idx="246">
                  <c:v>100.76581288421079</c:v>
                </c:pt>
                <c:pt idx="247">
                  <c:v>100.7577139545338</c:v>
                </c:pt>
                <c:pt idx="248">
                  <c:v>100.7353949674865</c:v>
                </c:pt>
                <c:pt idx="249">
                  <c:v>100.71959753321437</c:v>
                </c:pt>
                <c:pt idx="250">
                  <c:v>100.70358554714196</c:v>
                </c:pt>
                <c:pt idx="251">
                  <c:v>100.68431477237655</c:v>
                </c:pt>
                <c:pt idx="252">
                  <c:v>100.66624713950587</c:v>
                </c:pt>
                <c:pt idx="253">
                  <c:v>100.64331813562519</c:v>
                </c:pt>
                <c:pt idx="254">
                  <c:v>100.62032886195304</c:v>
                </c:pt>
                <c:pt idx="255">
                  <c:v>100.58517904409928</c:v>
                </c:pt>
                <c:pt idx="256">
                  <c:v>100.5645229758473</c:v>
                </c:pt>
                <c:pt idx="257">
                  <c:v>100.53836989896381</c:v>
                </c:pt>
                <c:pt idx="258">
                  <c:v>100.51697817526244</c:v>
                </c:pt>
                <c:pt idx="259">
                  <c:v>100.49304432588336</c:v>
                </c:pt>
                <c:pt idx="260">
                  <c:v>100.47115674614942</c:v>
                </c:pt>
                <c:pt idx="261">
                  <c:v>100.45178968179292</c:v>
                </c:pt>
                <c:pt idx="262">
                  <c:v>100.43354918644894</c:v>
                </c:pt>
                <c:pt idx="263">
                  <c:v>100.41514482151103</c:v>
                </c:pt>
                <c:pt idx="264">
                  <c:v>100.39569207331509</c:v>
                </c:pt>
                <c:pt idx="265">
                  <c:v>100.37753648866902</c:v>
                </c:pt>
                <c:pt idx="266">
                  <c:v>100.35177098771415</c:v>
                </c:pt>
                <c:pt idx="267">
                  <c:v>100.34259046295163</c:v>
                </c:pt>
                <c:pt idx="268">
                  <c:v>100.32641521728981</c:v>
                </c:pt>
                <c:pt idx="269">
                  <c:v>100.30960938078194</c:v>
                </c:pt>
                <c:pt idx="270">
                  <c:v>100.29583915521197</c:v>
                </c:pt>
                <c:pt idx="271">
                  <c:v>100.27484881345644</c:v>
                </c:pt>
                <c:pt idx="272">
                  <c:v>100.2705007190156</c:v>
                </c:pt>
                <c:pt idx="273">
                  <c:v>100.26119920110764</c:v>
                </c:pt>
                <c:pt idx="274">
                  <c:v>100.25697218941127</c:v>
                </c:pt>
                <c:pt idx="275">
                  <c:v>100.24916478163225</c:v>
                </c:pt>
                <c:pt idx="276">
                  <c:v>100.2436005671984</c:v>
                </c:pt>
                <c:pt idx="277">
                  <c:v>100.2406490750963</c:v>
                </c:pt>
                <c:pt idx="278">
                  <c:v>100.24076909087216</c:v>
                </c:pt>
                <c:pt idx="279">
                  <c:v>100.22987798935466</c:v>
                </c:pt>
                <c:pt idx="280">
                  <c:v>100.22349832412333</c:v>
                </c:pt>
                <c:pt idx="281">
                  <c:v>100.21443294646336</c:v>
                </c:pt>
                <c:pt idx="282">
                  <c:v>100.20982610210528</c:v>
                </c:pt>
                <c:pt idx="283">
                  <c:v>100.20201282794997</c:v>
                </c:pt>
                <c:pt idx="284">
                  <c:v>100.19745653092411</c:v>
                </c:pt>
                <c:pt idx="285">
                  <c:v>100.21933709478058</c:v>
                </c:pt>
                <c:pt idx="286">
                  <c:v>100.24296974224993</c:v>
                </c:pt>
                <c:pt idx="287">
                  <c:v>100.28327228393286</c:v>
                </c:pt>
                <c:pt idx="288">
                  <c:v>100.30076232547351</c:v>
                </c:pt>
                <c:pt idx="289">
                  <c:v>100.32867282714543</c:v>
                </c:pt>
                <c:pt idx="290">
                  <c:v>100.39326734900962</c:v>
                </c:pt>
                <c:pt idx="291">
                  <c:v>100.4652443394625</c:v>
                </c:pt>
                <c:pt idx="292">
                  <c:v>100.51587051603691</c:v>
                </c:pt>
                <c:pt idx="293">
                  <c:v>100.56300191938038</c:v>
                </c:pt>
                <c:pt idx="294">
                  <c:v>100.60696033857967</c:v>
                </c:pt>
                <c:pt idx="295">
                  <c:v>100.66134528722593</c:v>
                </c:pt>
                <c:pt idx="296">
                  <c:v>100.75948359666688</c:v>
                </c:pt>
                <c:pt idx="297">
                  <c:v>100.81164005062153</c:v>
                </c:pt>
                <c:pt idx="298">
                  <c:v>100.8646819775298</c:v>
                </c:pt>
                <c:pt idx="299">
                  <c:v>100.91836958674205</c:v>
                </c:pt>
                <c:pt idx="300">
                  <c:v>101.01459341330525</c:v>
                </c:pt>
                <c:pt idx="301">
                  <c:v>101.12813943310044</c:v>
                </c:pt>
                <c:pt idx="302">
                  <c:v>101.22970079622216</c:v>
                </c:pt>
                <c:pt idx="303">
                  <c:v>101.30728352029593</c:v>
                </c:pt>
                <c:pt idx="304">
                  <c:v>101.38651294621098</c:v>
                </c:pt>
                <c:pt idx="305">
                  <c:v>101.50586502978045</c:v>
                </c:pt>
                <c:pt idx="306">
                  <c:v>101.56647936498217</c:v>
                </c:pt>
                <c:pt idx="307">
                  <c:v>101.6247498427262</c:v>
                </c:pt>
                <c:pt idx="308">
                  <c:v>101.69036011667046</c:v>
                </c:pt>
                <c:pt idx="309">
                  <c:v>101.75807201475367</c:v>
                </c:pt>
                <c:pt idx="310">
                  <c:v>101.84420953398175</c:v>
                </c:pt>
                <c:pt idx="311">
                  <c:v>101.96161582296891</c:v>
                </c:pt>
                <c:pt idx="312">
                  <c:v>102.06188254381178</c:v>
                </c:pt>
                <c:pt idx="313">
                  <c:v>102.14515131424662</c:v>
                </c:pt>
                <c:pt idx="314">
                  <c:v>102.31670757838103</c:v>
                </c:pt>
                <c:pt idx="315">
                  <c:v>102.4810910721297</c:v>
                </c:pt>
                <c:pt idx="316">
                  <c:v>102.55491672040451</c:v>
                </c:pt>
                <c:pt idx="317">
                  <c:v>102.61048214068239</c:v>
                </c:pt>
                <c:pt idx="318">
                  <c:v>102.69370298857888</c:v>
                </c:pt>
                <c:pt idx="319">
                  <c:v>102.781549328729</c:v>
                </c:pt>
                <c:pt idx="320">
                  <c:v>102.87104653178559</c:v>
                </c:pt>
                <c:pt idx="321">
                  <c:v>102.97534384369999</c:v>
                </c:pt>
                <c:pt idx="322">
                  <c:v>103.07734791669624</c:v>
                </c:pt>
                <c:pt idx="323">
                  <c:v>103.17004740710645</c:v>
                </c:pt>
                <c:pt idx="324">
                  <c:v>103.26669769241643</c:v>
                </c:pt>
                <c:pt idx="325">
                  <c:v>103.35610884385343</c:v>
                </c:pt>
                <c:pt idx="326">
                  <c:v>103.45767391404912</c:v>
                </c:pt>
                <c:pt idx="327">
                  <c:v>103.55568236069445</c:v>
                </c:pt>
                <c:pt idx="328">
                  <c:v>103.64592197862819</c:v>
                </c:pt>
                <c:pt idx="329">
                  <c:v>103.73494544906949</c:v>
                </c:pt>
                <c:pt idx="330">
                  <c:v>103.83231867041683</c:v>
                </c:pt>
                <c:pt idx="331">
                  <c:v>103.91942227572093</c:v>
                </c:pt>
                <c:pt idx="332">
                  <c:v>104.07597360331953</c:v>
                </c:pt>
                <c:pt idx="333">
                  <c:v>104.19169896267488</c:v>
                </c:pt>
                <c:pt idx="334">
                  <c:v>104.28112816731807</c:v>
                </c:pt>
                <c:pt idx="335">
                  <c:v>104.36087366532713</c:v>
                </c:pt>
                <c:pt idx="336">
                  <c:v>104.43062282931768</c:v>
                </c:pt>
                <c:pt idx="337">
                  <c:v>104.53019637412375</c:v>
                </c:pt>
                <c:pt idx="338">
                  <c:v>104.59643345227491</c:v>
                </c:pt>
                <c:pt idx="339">
                  <c:v>104.64194881024264</c:v>
                </c:pt>
                <c:pt idx="340">
                  <c:v>104.67262590447108</c:v>
                </c:pt>
                <c:pt idx="341">
                  <c:v>104.68310504365154</c:v>
                </c:pt>
                <c:pt idx="342">
                  <c:v>104.68141201516431</c:v>
                </c:pt>
                <c:pt idx="343">
                  <c:v>104.69704545723368</c:v>
                </c:pt>
                <c:pt idx="344">
                  <c:v>104.72253715211323</c:v>
                </c:pt>
                <c:pt idx="345">
                  <c:v>104.74810610871421</c:v>
                </c:pt>
                <c:pt idx="346">
                  <c:v>104.77687772498585</c:v>
                </c:pt>
                <c:pt idx="347">
                  <c:v>104.80782023451518</c:v>
                </c:pt>
                <c:pt idx="348">
                  <c:v>104.82306425332364</c:v>
                </c:pt>
                <c:pt idx="349">
                  <c:v>104.84082511027952</c:v>
                </c:pt>
                <c:pt idx="350">
                  <c:v>104.8618981727268</c:v>
                </c:pt>
                <c:pt idx="351">
                  <c:v>104.86799678100874</c:v>
                </c:pt>
                <c:pt idx="352">
                  <c:v>104.88603857408393</c:v>
                </c:pt>
                <c:pt idx="353">
                  <c:v>104.94189770789301</c:v>
                </c:pt>
                <c:pt idx="354">
                  <c:v>104.95873421822755</c:v>
                </c:pt>
                <c:pt idx="355">
                  <c:v>104.97216473276052</c:v>
                </c:pt>
                <c:pt idx="356">
                  <c:v>104.97756111851044</c:v>
                </c:pt>
                <c:pt idx="357">
                  <c:v>104.98803445870743</c:v>
                </c:pt>
                <c:pt idx="358">
                  <c:v>104.9900605590902</c:v>
                </c:pt>
                <c:pt idx="359">
                  <c:v>104.99049450797135</c:v>
                </c:pt>
                <c:pt idx="360">
                  <c:v>104.99911132416112</c:v>
                </c:pt>
                <c:pt idx="361">
                  <c:v>105.00912224406157</c:v>
                </c:pt>
                <c:pt idx="362">
                  <c:v>105.02172249669962</c:v>
                </c:pt>
                <c:pt idx="363">
                  <c:v>105.04584607357769</c:v>
                </c:pt>
                <c:pt idx="364">
                  <c:v>105.05227406880546</c:v>
                </c:pt>
                <c:pt idx="365">
                  <c:v>105.05764030671061</c:v>
                </c:pt>
                <c:pt idx="366">
                  <c:v>105.05909732551518</c:v>
                </c:pt>
                <c:pt idx="367">
                  <c:v>105.07884914120596</c:v>
                </c:pt>
                <c:pt idx="368">
                  <c:v>105.08701241902001</c:v>
                </c:pt>
                <c:pt idx="369">
                  <c:v>105.08665313987935</c:v>
                </c:pt>
                <c:pt idx="370">
                  <c:v>105.07691302038148</c:v>
                </c:pt>
                <c:pt idx="371">
                  <c:v>105.06869073936474</c:v>
                </c:pt>
                <c:pt idx="372">
                  <c:v>105.05956997858543</c:v>
                </c:pt>
                <c:pt idx="373">
                  <c:v>105.05988144879611</c:v>
                </c:pt>
                <c:pt idx="374">
                  <c:v>105.06163906404201</c:v>
                </c:pt>
                <c:pt idx="375">
                  <c:v>105.05898294140998</c:v>
                </c:pt>
                <c:pt idx="376">
                  <c:v>105.05491300150598</c:v>
                </c:pt>
                <c:pt idx="377">
                  <c:v>105.05018526791868</c:v>
                </c:pt>
                <c:pt idx="378">
                  <c:v>105.04650577797383</c:v>
                </c:pt>
                <c:pt idx="379">
                  <c:v>105.04467279716604</c:v>
                </c:pt>
                <c:pt idx="380">
                  <c:v>105.0446020627835</c:v>
                </c:pt>
                <c:pt idx="381">
                  <c:v>105.04284373961984</c:v>
                </c:pt>
                <c:pt idx="382">
                  <c:v>105.04107972811622</c:v>
                </c:pt>
                <c:pt idx="383">
                  <c:v>105.03697353201419</c:v>
                </c:pt>
                <c:pt idx="384">
                  <c:v>105.03480788138499</c:v>
                </c:pt>
                <c:pt idx="385">
                  <c:v>105.03385291226323</c:v>
                </c:pt>
                <c:pt idx="386">
                  <c:v>105.03364205433144</c:v>
                </c:pt>
                <c:pt idx="387">
                  <c:v>105.03640863302807</c:v>
                </c:pt>
                <c:pt idx="388">
                  <c:v>105.04515370135699</c:v>
                </c:pt>
                <c:pt idx="389">
                  <c:v>105.05409927109953</c:v>
                </c:pt>
                <c:pt idx="390">
                  <c:v>105.06016161291879</c:v>
                </c:pt>
                <c:pt idx="391">
                  <c:v>105.06211990204508</c:v>
                </c:pt>
                <c:pt idx="392">
                  <c:v>105.06197709165852</c:v>
                </c:pt>
                <c:pt idx="393">
                  <c:v>105.06332676293397</c:v>
                </c:pt>
                <c:pt idx="394">
                  <c:v>105.06728282035024</c:v>
                </c:pt>
                <c:pt idx="395">
                  <c:v>105.08606700805825</c:v>
                </c:pt>
                <c:pt idx="396">
                  <c:v>105.10222314775952</c:v>
                </c:pt>
                <c:pt idx="397">
                  <c:v>105.12369849123702</c:v>
                </c:pt>
                <c:pt idx="398">
                  <c:v>105.13986623630353</c:v>
                </c:pt>
                <c:pt idx="399">
                  <c:v>105.15234166534574</c:v>
                </c:pt>
                <c:pt idx="400">
                  <c:v>105.17314685269194</c:v>
                </c:pt>
                <c:pt idx="401">
                  <c:v>105.19241370599815</c:v>
                </c:pt>
                <c:pt idx="402">
                  <c:v>105.20672379335198</c:v>
                </c:pt>
                <c:pt idx="403">
                  <c:v>105.2201077252367</c:v>
                </c:pt>
                <c:pt idx="404">
                  <c:v>105.23409405256773</c:v>
                </c:pt>
                <c:pt idx="405">
                  <c:v>105.24121649582142</c:v>
                </c:pt>
                <c:pt idx="406">
                  <c:v>105.24249476420016</c:v>
                </c:pt>
                <c:pt idx="407">
                  <c:v>105.23884184365706</c:v>
                </c:pt>
                <c:pt idx="408">
                  <c:v>105.24400976817277</c:v>
                </c:pt>
                <c:pt idx="409">
                  <c:v>105.25021866958933</c:v>
                </c:pt>
                <c:pt idx="410">
                  <c:v>105.25203713749808</c:v>
                </c:pt>
                <c:pt idx="411">
                  <c:v>105.25600977637001</c:v>
                </c:pt>
                <c:pt idx="412">
                  <c:v>105.25260601689425</c:v>
                </c:pt>
                <c:pt idx="413">
                  <c:v>105.24945839878376</c:v>
                </c:pt>
                <c:pt idx="414">
                  <c:v>105.2494811531642</c:v>
                </c:pt>
                <c:pt idx="415">
                  <c:v>105.24050469181034</c:v>
                </c:pt>
                <c:pt idx="416">
                  <c:v>105.23114481830187</c:v>
                </c:pt>
                <c:pt idx="417">
                  <c:v>105.21891323495652</c:v>
                </c:pt>
                <c:pt idx="418">
                  <c:v>105.20784873709623</c:v>
                </c:pt>
                <c:pt idx="419">
                  <c:v>105.19833579660882</c:v>
                </c:pt>
                <c:pt idx="420">
                  <c:v>105.18956124446761</c:v>
                </c:pt>
                <c:pt idx="421">
                  <c:v>105.17756628849745</c:v>
                </c:pt>
                <c:pt idx="422">
                  <c:v>105.16772387609058</c:v>
                </c:pt>
                <c:pt idx="423">
                  <c:v>105.15754149040437</c:v>
                </c:pt>
                <c:pt idx="424">
                  <c:v>105.14828412063308</c:v>
                </c:pt>
                <c:pt idx="425">
                  <c:v>105.13924155737098</c:v>
                </c:pt>
                <c:pt idx="426">
                  <c:v>105.12944283691468</c:v>
                </c:pt>
                <c:pt idx="427">
                  <c:v>105.11606280605993</c:v>
                </c:pt>
                <c:pt idx="428">
                  <c:v>105.10456125820058</c:v>
                </c:pt>
                <c:pt idx="429">
                  <c:v>105.09316906523105</c:v>
                </c:pt>
                <c:pt idx="430">
                  <c:v>105.07671870481383</c:v>
                </c:pt>
                <c:pt idx="431">
                  <c:v>105.06557591977497</c:v>
                </c:pt>
                <c:pt idx="432">
                  <c:v>105.05824668294359</c:v>
                </c:pt>
                <c:pt idx="433">
                  <c:v>105.05141522029353</c:v>
                </c:pt>
                <c:pt idx="434">
                  <c:v>105.04367918858358</c:v>
                </c:pt>
                <c:pt idx="435">
                  <c:v>105.03904110572631</c:v>
                </c:pt>
                <c:pt idx="436">
                  <c:v>105.03420384724815</c:v>
                </c:pt>
                <c:pt idx="437">
                  <c:v>105.03262814170796</c:v>
                </c:pt>
                <c:pt idx="438">
                  <c:v>105.02445800727352</c:v>
                </c:pt>
                <c:pt idx="439">
                  <c:v>105.01578130184915</c:v>
                </c:pt>
                <c:pt idx="440">
                  <c:v>105.00911972022352</c:v>
                </c:pt>
                <c:pt idx="441">
                  <c:v>105.00367894020638</c:v>
                </c:pt>
                <c:pt idx="442">
                  <c:v>104.99992265850734</c:v>
                </c:pt>
                <c:pt idx="443">
                  <c:v>104.99792018408225</c:v>
                </c:pt>
                <c:pt idx="444">
                  <c:v>104.99640919958807</c:v>
                </c:pt>
                <c:pt idx="445">
                  <c:v>105.00083741257541</c:v>
                </c:pt>
                <c:pt idx="446">
                  <c:v>104.99877262898664</c:v>
                </c:pt>
                <c:pt idx="447">
                  <c:v>104.99922832053726</c:v>
                </c:pt>
                <c:pt idx="448">
                  <c:v>105.00133396272298</c:v>
                </c:pt>
                <c:pt idx="449">
                  <c:v>104.99991470307624</c:v>
                </c:pt>
                <c:pt idx="450">
                  <c:v>104.99891960063927</c:v>
                </c:pt>
                <c:pt idx="451">
                  <c:v>104.99793562515048</c:v>
                </c:pt>
                <c:pt idx="452">
                  <c:v>104.99652474715509</c:v>
                </c:pt>
                <c:pt idx="453">
                  <c:v>104.99736386735103</c:v>
                </c:pt>
                <c:pt idx="454">
                  <c:v>104.99459275696937</c:v>
                </c:pt>
                <c:pt idx="455">
                  <c:v>104.98986022342558</c:v>
                </c:pt>
                <c:pt idx="456">
                  <c:v>104.98629467652256</c:v>
                </c:pt>
                <c:pt idx="457">
                  <c:v>104.9793434919535</c:v>
                </c:pt>
                <c:pt idx="458">
                  <c:v>104.96970848685748</c:v>
                </c:pt>
                <c:pt idx="459">
                  <c:v>104.96201524216873</c:v>
                </c:pt>
                <c:pt idx="460">
                  <c:v>104.95200299797654</c:v>
                </c:pt>
                <c:pt idx="461">
                  <c:v>104.94216347411474</c:v>
                </c:pt>
                <c:pt idx="462">
                  <c:v>104.93433279904497</c:v>
                </c:pt>
                <c:pt idx="463">
                  <c:v>104.92256779338052</c:v>
                </c:pt>
                <c:pt idx="464">
                  <c:v>104.91122335708063</c:v>
                </c:pt>
                <c:pt idx="465">
                  <c:v>104.90442378728025</c:v>
                </c:pt>
                <c:pt idx="466">
                  <c:v>104.89700842115738</c:v>
                </c:pt>
                <c:pt idx="467">
                  <c:v>104.89252942104828</c:v>
                </c:pt>
                <c:pt idx="468">
                  <c:v>104.88879583040357</c:v>
                </c:pt>
                <c:pt idx="469">
                  <c:v>104.88822473209335</c:v>
                </c:pt>
                <c:pt idx="470">
                  <c:v>104.8912053528401</c:v>
                </c:pt>
                <c:pt idx="471">
                  <c:v>104.90570651323208</c:v>
                </c:pt>
                <c:pt idx="472">
                  <c:v>104.91393073513149</c:v>
                </c:pt>
                <c:pt idx="473">
                  <c:v>104.91353322652769</c:v>
                </c:pt>
                <c:pt idx="474">
                  <c:v>104.91395146821614</c:v>
                </c:pt>
                <c:pt idx="475">
                  <c:v>104.91519346360705</c:v>
                </c:pt>
                <c:pt idx="476">
                  <c:v>104.91113940114019</c:v>
                </c:pt>
                <c:pt idx="477">
                  <c:v>104.90518544236721</c:v>
                </c:pt>
                <c:pt idx="478">
                  <c:v>104.90129441108627</c:v>
                </c:pt>
                <c:pt idx="479">
                  <c:v>104.89745042407719</c:v>
                </c:pt>
                <c:pt idx="480">
                  <c:v>104.88906775736801</c:v>
                </c:pt>
                <c:pt idx="481">
                  <c:v>104.8783069511325</c:v>
                </c:pt>
                <c:pt idx="482">
                  <c:v>104.86865314334142</c:v>
                </c:pt>
                <c:pt idx="483">
                  <c:v>104.85758827998423</c:v>
                </c:pt>
                <c:pt idx="484">
                  <c:v>104.84814752394101</c:v>
                </c:pt>
                <c:pt idx="485">
                  <c:v>104.83665965602378</c:v>
                </c:pt>
                <c:pt idx="486">
                  <c:v>104.82631831460137</c:v>
                </c:pt>
                <c:pt idx="487">
                  <c:v>104.8155531631071</c:v>
                </c:pt>
                <c:pt idx="488">
                  <c:v>104.8062434593449</c:v>
                </c:pt>
                <c:pt idx="489">
                  <c:v>104.79740299341111</c:v>
                </c:pt>
                <c:pt idx="490">
                  <c:v>104.7932311630459</c:v>
                </c:pt>
                <c:pt idx="491">
                  <c:v>104.78778100358339</c:v>
                </c:pt>
                <c:pt idx="492">
                  <c:v>104.78583358843989</c:v>
                </c:pt>
                <c:pt idx="493">
                  <c:v>104.78328147037458</c:v>
                </c:pt>
                <c:pt idx="494">
                  <c:v>104.7750124848716</c:v>
                </c:pt>
                <c:pt idx="495">
                  <c:v>104.76882678451952</c:v>
                </c:pt>
                <c:pt idx="496">
                  <c:v>104.76327247600834</c:v>
                </c:pt>
                <c:pt idx="497">
                  <c:v>104.75791676912193</c:v>
                </c:pt>
                <c:pt idx="498">
                  <c:v>104.75241702850133</c:v>
                </c:pt>
                <c:pt idx="499">
                  <c:v>104.74809595290975</c:v>
                </c:pt>
                <c:pt idx="500">
                  <c:v>104.74375701982105</c:v>
                </c:pt>
                <c:pt idx="501">
                  <c:v>104.73873596054435</c:v>
                </c:pt>
                <c:pt idx="502">
                  <c:v>104.7351182703963</c:v>
                </c:pt>
                <c:pt idx="503">
                  <c:v>104.72891971807772</c:v>
                </c:pt>
                <c:pt idx="504">
                  <c:v>104.72422866827718</c:v>
                </c:pt>
                <c:pt idx="505">
                  <c:v>104.71964309778954</c:v>
                </c:pt>
                <c:pt idx="506">
                  <c:v>104.71684226700563</c:v>
                </c:pt>
                <c:pt idx="507">
                  <c:v>104.71181446900826</c:v>
                </c:pt>
                <c:pt idx="508">
                  <c:v>104.70635898920375</c:v>
                </c:pt>
                <c:pt idx="509">
                  <c:v>104.70416932621501</c:v>
                </c:pt>
                <c:pt idx="510">
                  <c:v>104.7051720626868</c:v>
                </c:pt>
                <c:pt idx="511">
                  <c:v>104.70899681149031</c:v>
                </c:pt>
                <c:pt idx="512">
                  <c:v>104.71859903850765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B1-407C-AB29-1EC56013C3B8}"/>
            </c:ext>
          </c:extLst>
        </c:ser>
        <c:ser>
          <c:idx val="3"/>
          <c:order val="3"/>
          <c:tx>
            <c:strRef>
              <c:f>Data!$H$1</c:f>
              <c:strCache>
                <c:ptCount val="1"/>
                <c:pt idx="0">
                  <c:v>Minus 1 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Data!$A$2:$A$514</c:f>
              <c:numCache>
                <c:formatCode>m/d/yyyy</c:formatCode>
                <c:ptCount val="513"/>
                <c:pt idx="0">
                  <c:v>45293</c:v>
                </c:pt>
                <c:pt idx="1">
                  <c:v>45294</c:v>
                </c:pt>
                <c:pt idx="2">
                  <c:v>45295</c:v>
                </c:pt>
                <c:pt idx="3">
                  <c:v>45296</c:v>
                </c:pt>
                <c:pt idx="4">
                  <c:v>45299</c:v>
                </c:pt>
                <c:pt idx="5">
                  <c:v>45300</c:v>
                </c:pt>
                <c:pt idx="6">
                  <c:v>45301</c:v>
                </c:pt>
                <c:pt idx="7">
                  <c:v>45302</c:v>
                </c:pt>
                <c:pt idx="8">
                  <c:v>45303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45313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45317</c:v>
                </c:pt>
                <c:pt idx="18">
                  <c:v>45320</c:v>
                </c:pt>
                <c:pt idx="19">
                  <c:v>45321</c:v>
                </c:pt>
                <c:pt idx="20">
                  <c:v>45322</c:v>
                </c:pt>
                <c:pt idx="21">
                  <c:v>45323</c:v>
                </c:pt>
                <c:pt idx="22">
                  <c:v>45324</c:v>
                </c:pt>
                <c:pt idx="23">
                  <c:v>45327</c:v>
                </c:pt>
                <c:pt idx="24">
                  <c:v>45328</c:v>
                </c:pt>
                <c:pt idx="25">
                  <c:v>45329</c:v>
                </c:pt>
                <c:pt idx="26">
                  <c:v>45330</c:v>
                </c:pt>
                <c:pt idx="27">
                  <c:v>45331</c:v>
                </c:pt>
                <c:pt idx="28">
                  <c:v>45334</c:v>
                </c:pt>
                <c:pt idx="29">
                  <c:v>45335</c:v>
                </c:pt>
                <c:pt idx="30">
                  <c:v>45336</c:v>
                </c:pt>
                <c:pt idx="31">
                  <c:v>45337</c:v>
                </c:pt>
                <c:pt idx="32">
                  <c:v>45338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45355</c:v>
                </c:pt>
                <c:pt idx="43">
                  <c:v>45356</c:v>
                </c:pt>
                <c:pt idx="44">
                  <c:v>45357</c:v>
                </c:pt>
                <c:pt idx="45">
                  <c:v>45358</c:v>
                </c:pt>
                <c:pt idx="46">
                  <c:v>45359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45376</c:v>
                </c:pt>
                <c:pt idx="58">
                  <c:v>45377</c:v>
                </c:pt>
                <c:pt idx="59">
                  <c:v>45378</c:v>
                </c:pt>
                <c:pt idx="60">
                  <c:v>45379</c:v>
                </c:pt>
                <c:pt idx="61">
                  <c:v>45383</c:v>
                </c:pt>
                <c:pt idx="62">
                  <c:v>45384</c:v>
                </c:pt>
                <c:pt idx="63">
                  <c:v>45385</c:v>
                </c:pt>
                <c:pt idx="64">
                  <c:v>45386</c:v>
                </c:pt>
                <c:pt idx="65">
                  <c:v>45387</c:v>
                </c:pt>
                <c:pt idx="66">
                  <c:v>45390</c:v>
                </c:pt>
                <c:pt idx="67">
                  <c:v>45391</c:v>
                </c:pt>
                <c:pt idx="68">
                  <c:v>45392</c:v>
                </c:pt>
                <c:pt idx="69">
                  <c:v>45393</c:v>
                </c:pt>
                <c:pt idx="70">
                  <c:v>45394</c:v>
                </c:pt>
                <c:pt idx="71">
                  <c:v>45397</c:v>
                </c:pt>
                <c:pt idx="72">
                  <c:v>45398</c:v>
                </c:pt>
                <c:pt idx="73">
                  <c:v>45399</c:v>
                </c:pt>
                <c:pt idx="74">
                  <c:v>45400</c:v>
                </c:pt>
                <c:pt idx="75">
                  <c:v>45401</c:v>
                </c:pt>
                <c:pt idx="76">
                  <c:v>45404</c:v>
                </c:pt>
                <c:pt idx="77">
                  <c:v>45405</c:v>
                </c:pt>
                <c:pt idx="78">
                  <c:v>45406</c:v>
                </c:pt>
                <c:pt idx="79">
                  <c:v>45407</c:v>
                </c:pt>
                <c:pt idx="80">
                  <c:v>45408</c:v>
                </c:pt>
                <c:pt idx="81">
                  <c:v>45411</c:v>
                </c:pt>
                <c:pt idx="82">
                  <c:v>45412</c:v>
                </c:pt>
                <c:pt idx="83">
                  <c:v>45413</c:v>
                </c:pt>
                <c:pt idx="84">
                  <c:v>45414</c:v>
                </c:pt>
                <c:pt idx="85">
                  <c:v>45415</c:v>
                </c:pt>
                <c:pt idx="86">
                  <c:v>45418</c:v>
                </c:pt>
                <c:pt idx="87">
                  <c:v>45419</c:v>
                </c:pt>
                <c:pt idx="88">
                  <c:v>45420</c:v>
                </c:pt>
                <c:pt idx="89">
                  <c:v>45421</c:v>
                </c:pt>
                <c:pt idx="90">
                  <c:v>45422</c:v>
                </c:pt>
                <c:pt idx="91">
                  <c:v>45425</c:v>
                </c:pt>
                <c:pt idx="92">
                  <c:v>45426</c:v>
                </c:pt>
                <c:pt idx="93">
                  <c:v>45427</c:v>
                </c:pt>
                <c:pt idx="94">
                  <c:v>45428</c:v>
                </c:pt>
                <c:pt idx="95">
                  <c:v>45429</c:v>
                </c:pt>
                <c:pt idx="96">
                  <c:v>45432</c:v>
                </c:pt>
                <c:pt idx="97">
                  <c:v>45433</c:v>
                </c:pt>
                <c:pt idx="98">
                  <c:v>45434</c:v>
                </c:pt>
                <c:pt idx="99">
                  <c:v>45435</c:v>
                </c:pt>
                <c:pt idx="100">
                  <c:v>45436</c:v>
                </c:pt>
                <c:pt idx="101">
                  <c:v>45440</c:v>
                </c:pt>
                <c:pt idx="102">
                  <c:v>45441</c:v>
                </c:pt>
                <c:pt idx="103">
                  <c:v>45442</c:v>
                </c:pt>
                <c:pt idx="104">
                  <c:v>45443</c:v>
                </c:pt>
                <c:pt idx="105">
                  <c:v>45446</c:v>
                </c:pt>
                <c:pt idx="106">
                  <c:v>45447</c:v>
                </c:pt>
                <c:pt idx="107">
                  <c:v>45448</c:v>
                </c:pt>
                <c:pt idx="108">
                  <c:v>45449</c:v>
                </c:pt>
                <c:pt idx="109">
                  <c:v>45450</c:v>
                </c:pt>
                <c:pt idx="110">
                  <c:v>45453</c:v>
                </c:pt>
                <c:pt idx="111">
                  <c:v>45454</c:v>
                </c:pt>
                <c:pt idx="112">
                  <c:v>45455</c:v>
                </c:pt>
                <c:pt idx="113">
                  <c:v>45456</c:v>
                </c:pt>
                <c:pt idx="114">
                  <c:v>45457</c:v>
                </c:pt>
                <c:pt idx="115">
                  <c:v>45460</c:v>
                </c:pt>
                <c:pt idx="116">
                  <c:v>45461</c:v>
                </c:pt>
                <c:pt idx="117">
                  <c:v>45463</c:v>
                </c:pt>
                <c:pt idx="118">
                  <c:v>45464</c:v>
                </c:pt>
                <c:pt idx="119">
                  <c:v>45467</c:v>
                </c:pt>
                <c:pt idx="120">
                  <c:v>45468</c:v>
                </c:pt>
                <c:pt idx="121">
                  <c:v>45469</c:v>
                </c:pt>
                <c:pt idx="122">
                  <c:v>45470</c:v>
                </c:pt>
                <c:pt idx="123">
                  <c:v>45471</c:v>
                </c:pt>
                <c:pt idx="124">
                  <c:v>45474</c:v>
                </c:pt>
                <c:pt idx="125">
                  <c:v>45475</c:v>
                </c:pt>
                <c:pt idx="126">
                  <c:v>45476</c:v>
                </c:pt>
                <c:pt idx="127">
                  <c:v>45478</c:v>
                </c:pt>
                <c:pt idx="128">
                  <c:v>45481</c:v>
                </c:pt>
                <c:pt idx="129">
                  <c:v>45482</c:v>
                </c:pt>
                <c:pt idx="130">
                  <c:v>45483</c:v>
                </c:pt>
                <c:pt idx="131">
                  <c:v>45484</c:v>
                </c:pt>
                <c:pt idx="132">
                  <c:v>45485</c:v>
                </c:pt>
                <c:pt idx="133">
                  <c:v>45488</c:v>
                </c:pt>
                <c:pt idx="134">
                  <c:v>45489</c:v>
                </c:pt>
                <c:pt idx="135">
                  <c:v>45490</c:v>
                </c:pt>
                <c:pt idx="136">
                  <c:v>45491</c:v>
                </c:pt>
                <c:pt idx="137">
                  <c:v>45492</c:v>
                </c:pt>
                <c:pt idx="138">
                  <c:v>45495</c:v>
                </c:pt>
                <c:pt idx="139">
                  <c:v>45496</c:v>
                </c:pt>
                <c:pt idx="140">
                  <c:v>45497</c:v>
                </c:pt>
                <c:pt idx="141">
                  <c:v>45498</c:v>
                </c:pt>
                <c:pt idx="142">
                  <c:v>45499</c:v>
                </c:pt>
                <c:pt idx="143">
                  <c:v>45502</c:v>
                </c:pt>
                <c:pt idx="144">
                  <c:v>45503</c:v>
                </c:pt>
                <c:pt idx="145">
                  <c:v>45504</c:v>
                </c:pt>
                <c:pt idx="146">
                  <c:v>45505</c:v>
                </c:pt>
                <c:pt idx="147">
                  <c:v>45506</c:v>
                </c:pt>
                <c:pt idx="148">
                  <c:v>45509</c:v>
                </c:pt>
                <c:pt idx="149">
                  <c:v>45510</c:v>
                </c:pt>
                <c:pt idx="150">
                  <c:v>45511</c:v>
                </c:pt>
                <c:pt idx="151">
                  <c:v>45512</c:v>
                </c:pt>
                <c:pt idx="152">
                  <c:v>45513</c:v>
                </c:pt>
                <c:pt idx="153">
                  <c:v>45516</c:v>
                </c:pt>
                <c:pt idx="154">
                  <c:v>45517</c:v>
                </c:pt>
                <c:pt idx="155">
                  <c:v>45518</c:v>
                </c:pt>
                <c:pt idx="156">
                  <c:v>45519</c:v>
                </c:pt>
                <c:pt idx="157">
                  <c:v>45520</c:v>
                </c:pt>
                <c:pt idx="158">
                  <c:v>45523</c:v>
                </c:pt>
                <c:pt idx="159">
                  <c:v>45524</c:v>
                </c:pt>
                <c:pt idx="160">
                  <c:v>45525</c:v>
                </c:pt>
                <c:pt idx="161">
                  <c:v>45526</c:v>
                </c:pt>
                <c:pt idx="162">
                  <c:v>45527</c:v>
                </c:pt>
                <c:pt idx="163">
                  <c:v>45530</c:v>
                </c:pt>
                <c:pt idx="164">
                  <c:v>45531</c:v>
                </c:pt>
                <c:pt idx="165">
                  <c:v>45532</c:v>
                </c:pt>
                <c:pt idx="166">
                  <c:v>45533</c:v>
                </c:pt>
                <c:pt idx="167">
                  <c:v>45534</c:v>
                </c:pt>
                <c:pt idx="168">
                  <c:v>45538</c:v>
                </c:pt>
                <c:pt idx="169">
                  <c:v>45539</c:v>
                </c:pt>
                <c:pt idx="170">
                  <c:v>45540</c:v>
                </c:pt>
                <c:pt idx="171">
                  <c:v>45541</c:v>
                </c:pt>
                <c:pt idx="172">
                  <c:v>45544</c:v>
                </c:pt>
                <c:pt idx="173">
                  <c:v>45545</c:v>
                </c:pt>
                <c:pt idx="174">
                  <c:v>45546</c:v>
                </c:pt>
                <c:pt idx="175">
                  <c:v>45547</c:v>
                </c:pt>
                <c:pt idx="176">
                  <c:v>45548</c:v>
                </c:pt>
                <c:pt idx="177">
                  <c:v>45551</c:v>
                </c:pt>
                <c:pt idx="178">
                  <c:v>45552</c:v>
                </c:pt>
                <c:pt idx="179">
                  <c:v>45553</c:v>
                </c:pt>
                <c:pt idx="180">
                  <c:v>45554</c:v>
                </c:pt>
                <c:pt idx="181">
                  <c:v>45555</c:v>
                </c:pt>
                <c:pt idx="182">
                  <c:v>45558</c:v>
                </c:pt>
                <c:pt idx="183">
                  <c:v>45559</c:v>
                </c:pt>
                <c:pt idx="184">
                  <c:v>45560</c:v>
                </c:pt>
                <c:pt idx="185">
                  <c:v>45561</c:v>
                </c:pt>
                <c:pt idx="186">
                  <c:v>45562</c:v>
                </c:pt>
                <c:pt idx="187">
                  <c:v>45565</c:v>
                </c:pt>
                <c:pt idx="188">
                  <c:v>45566</c:v>
                </c:pt>
                <c:pt idx="189">
                  <c:v>45567</c:v>
                </c:pt>
                <c:pt idx="190">
                  <c:v>45568</c:v>
                </c:pt>
                <c:pt idx="191">
                  <c:v>45569</c:v>
                </c:pt>
                <c:pt idx="192">
                  <c:v>45572</c:v>
                </c:pt>
                <c:pt idx="193">
                  <c:v>45573</c:v>
                </c:pt>
                <c:pt idx="194">
                  <c:v>45574</c:v>
                </c:pt>
                <c:pt idx="195">
                  <c:v>45575</c:v>
                </c:pt>
                <c:pt idx="196">
                  <c:v>45576</c:v>
                </c:pt>
                <c:pt idx="197">
                  <c:v>45579</c:v>
                </c:pt>
                <c:pt idx="198">
                  <c:v>45580</c:v>
                </c:pt>
                <c:pt idx="199">
                  <c:v>45581</c:v>
                </c:pt>
                <c:pt idx="200">
                  <c:v>45582</c:v>
                </c:pt>
                <c:pt idx="201">
                  <c:v>45583</c:v>
                </c:pt>
                <c:pt idx="202">
                  <c:v>45586</c:v>
                </c:pt>
                <c:pt idx="203">
                  <c:v>45587</c:v>
                </c:pt>
                <c:pt idx="204">
                  <c:v>45588</c:v>
                </c:pt>
                <c:pt idx="205">
                  <c:v>45589</c:v>
                </c:pt>
                <c:pt idx="206">
                  <c:v>45590</c:v>
                </c:pt>
                <c:pt idx="207">
                  <c:v>45593</c:v>
                </c:pt>
                <c:pt idx="208">
                  <c:v>45594</c:v>
                </c:pt>
                <c:pt idx="209">
                  <c:v>45595</c:v>
                </c:pt>
                <c:pt idx="210">
                  <c:v>45596</c:v>
                </c:pt>
                <c:pt idx="211">
                  <c:v>45597</c:v>
                </c:pt>
                <c:pt idx="212">
                  <c:v>45600</c:v>
                </c:pt>
                <c:pt idx="213">
                  <c:v>45601</c:v>
                </c:pt>
                <c:pt idx="214">
                  <c:v>45602</c:v>
                </c:pt>
                <c:pt idx="215">
                  <c:v>45603</c:v>
                </c:pt>
                <c:pt idx="216">
                  <c:v>45604</c:v>
                </c:pt>
                <c:pt idx="217">
                  <c:v>45607</c:v>
                </c:pt>
                <c:pt idx="218">
                  <c:v>45608</c:v>
                </c:pt>
                <c:pt idx="219">
                  <c:v>45609</c:v>
                </c:pt>
                <c:pt idx="220">
                  <c:v>45610</c:v>
                </c:pt>
                <c:pt idx="221">
                  <c:v>45611</c:v>
                </c:pt>
                <c:pt idx="222">
                  <c:v>45614</c:v>
                </c:pt>
                <c:pt idx="223">
                  <c:v>45615</c:v>
                </c:pt>
                <c:pt idx="224">
                  <c:v>45616</c:v>
                </c:pt>
                <c:pt idx="225">
                  <c:v>45617</c:v>
                </c:pt>
                <c:pt idx="226">
                  <c:v>45618</c:v>
                </c:pt>
                <c:pt idx="227">
                  <c:v>45621</c:v>
                </c:pt>
                <c:pt idx="228">
                  <c:v>45622</c:v>
                </c:pt>
                <c:pt idx="229">
                  <c:v>45623</c:v>
                </c:pt>
                <c:pt idx="230">
                  <c:v>45625</c:v>
                </c:pt>
                <c:pt idx="231">
                  <c:v>45628</c:v>
                </c:pt>
                <c:pt idx="232">
                  <c:v>45629</c:v>
                </c:pt>
                <c:pt idx="233">
                  <c:v>45630</c:v>
                </c:pt>
                <c:pt idx="234">
                  <c:v>45631</c:v>
                </c:pt>
                <c:pt idx="235">
                  <c:v>45632</c:v>
                </c:pt>
                <c:pt idx="236">
                  <c:v>45635</c:v>
                </c:pt>
                <c:pt idx="237">
                  <c:v>45636</c:v>
                </c:pt>
                <c:pt idx="238">
                  <c:v>45637</c:v>
                </c:pt>
                <c:pt idx="239">
                  <c:v>45638</c:v>
                </c:pt>
                <c:pt idx="240">
                  <c:v>45639</c:v>
                </c:pt>
                <c:pt idx="241">
                  <c:v>45642</c:v>
                </c:pt>
                <c:pt idx="242">
                  <c:v>45643</c:v>
                </c:pt>
                <c:pt idx="243">
                  <c:v>45644</c:v>
                </c:pt>
                <c:pt idx="244">
                  <c:v>45645</c:v>
                </c:pt>
                <c:pt idx="245">
                  <c:v>45646</c:v>
                </c:pt>
                <c:pt idx="246">
                  <c:v>45649</c:v>
                </c:pt>
                <c:pt idx="247">
                  <c:v>45650</c:v>
                </c:pt>
                <c:pt idx="248">
                  <c:v>45652</c:v>
                </c:pt>
                <c:pt idx="249">
                  <c:v>45653</c:v>
                </c:pt>
                <c:pt idx="250">
                  <c:v>45656</c:v>
                </c:pt>
                <c:pt idx="251">
                  <c:v>45657</c:v>
                </c:pt>
                <c:pt idx="252">
                  <c:v>45659</c:v>
                </c:pt>
                <c:pt idx="253">
                  <c:v>45660</c:v>
                </c:pt>
                <c:pt idx="254">
                  <c:v>45663</c:v>
                </c:pt>
                <c:pt idx="255">
                  <c:v>45664</c:v>
                </c:pt>
                <c:pt idx="256">
                  <c:v>45665</c:v>
                </c:pt>
                <c:pt idx="257">
                  <c:v>45667</c:v>
                </c:pt>
                <c:pt idx="258">
                  <c:v>45670</c:v>
                </c:pt>
                <c:pt idx="259">
                  <c:v>45671</c:v>
                </c:pt>
                <c:pt idx="260">
                  <c:v>45672</c:v>
                </c:pt>
                <c:pt idx="261">
                  <c:v>45673</c:v>
                </c:pt>
                <c:pt idx="262">
                  <c:v>45674</c:v>
                </c:pt>
                <c:pt idx="263">
                  <c:v>45678</c:v>
                </c:pt>
                <c:pt idx="264">
                  <c:v>45679</c:v>
                </c:pt>
                <c:pt idx="265">
                  <c:v>45680</c:v>
                </c:pt>
                <c:pt idx="266">
                  <c:v>45681</c:v>
                </c:pt>
                <c:pt idx="267">
                  <c:v>45684</c:v>
                </c:pt>
                <c:pt idx="268">
                  <c:v>45685</c:v>
                </c:pt>
                <c:pt idx="269">
                  <c:v>45686</c:v>
                </c:pt>
                <c:pt idx="270">
                  <c:v>45687</c:v>
                </c:pt>
                <c:pt idx="271">
                  <c:v>45688</c:v>
                </c:pt>
                <c:pt idx="272">
                  <c:v>45691</c:v>
                </c:pt>
                <c:pt idx="273">
                  <c:v>45692</c:v>
                </c:pt>
                <c:pt idx="274">
                  <c:v>45693</c:v>
                </c:pt>
                <c:pt idx="275">
                  <c:v>45694</c:v>
                </c:pt>
                <c:pt idx="276">
                  <c:v>45695</c:v>
                </c:pt>
                <c:pt idx="277">
                  <c:v>45698</c:v>
                </c:pt>
                <c:pt idx="278">
                  <c:v>45699</c:v>
                </c:pt>
                <c:pt idx="279">
                  <c:v>45700</c:v>
                </c:pt>
                <c:pt idx="280">
                  <c:v>45701</c:v>
                </c:pt>
                <c:pt idx="281">
                  <c:v>45702</c:v>
                </c:pt>
                <c:pt idx="282">
                  <c:v>45706</c:v>
                </c:pt>
                <c:pt idx="283">
                  <c:v>45707</c:v>
                </c:pt>
                <c:pt idx="284">
                  <c:v>45708</c:v>
                </c:pt>
                <c:pt idx="285">
                  <c:v>45709</c:v>
                </c:pt>
                <c:pt idx="286">
                  <c:v>45712</c:v>
                </c:pt>
                <c:pt idx="287">
                  <c:v>45713</c:v>
                </c:pt>
                <c:pt idx="288">
                  <c:v>45714</c:v>
                </c:pt>
                <c:pt idx="289">
                  <c:v>45715</c:v>
                </c:pt>
                <c:pt idx="290">
                  <c:v>45716</c:v>
                </c:pt>
                <c:pt idx="291">
                  <c:v>45719</c:v>
                </c:pt>
                <c:pt idx="292">
                  <c:v>45720</c:v>
                </c:pt>
                <c:pt idx="293">
                  <c:v>45721</c:v>
                </c:pt>
                <c:pt idx="294">
                  <c:v>45722</c:v>
                </c:pt>
                <c:pt idx="295">
                  <c:v>45723</c:v>
                </c:pt>
                <c:pt idx="296">
                  <c:v>45726</c:v>
                </c:pt>
                <c:pt idx="297">
                  <c:v>45727</c:v>
                </c:pt>
                <c:pt idx="298">
                  <c:v>45728</c:v>
                </c:pt>
                <c:pt idx="299">
                  <c:v>45729</c:v>
                </c:pt>
                <c:pt idx="300">
                  <c:v>45730</c:v>
                </c:pt>
                <c:pt idx="301">
                  <c:v>45733</c:v>
                </c:pt>
                <c:pt idx="302">
                  <c:v>45734</c:v>
                </c:pt>
                <c:pt idx="303">
                  <c:v>45735</c:v>
                </c:pt>
                <c:pt idx="304">
                  <c:v>45736</c:v>
                </c:pt>
                <c:pt idx="305">
                  <c:v>45737</c:v>
                </c:pt>
                <c:pt idx="306">
                  <c:v>45740</c:v>
                </c:pt>
                <c:pt idx="307">
                  <c:v>45741</c:v>
                </c:pt>
                <c:pt idx="308">
                  <c:v>45742</c:v>
                </c:pt>
                <c:pt idx="309">
                  <c:v>45743</c:v>
                </c:pt>
                <c:pt idx="310">
                  <c:v>45744</c:v>
                </c:pt>
                <c:pt idx="311">
                  <c:v>45747</c:v>
                </c:pt>
                <c:pt idx="312">
                  <c:v>45748</c:v>
                </c:pt>
                <c:pt idx="313">
                  <c:v>45749</c:v>
                </c:pt>
                <c:pt idx="314">
                  <c:v>45750</c:v>
                </c:pt>
                <c:pt idx="315">
                  <c:v>45751</c:v>
                </c:pt>
                <c:pt idx="316">
                  <c:v>45754</c:v>
                </c:pt>
                <c:pt idx="317">
                  <c:v>45755</c:v>
                </c:pt>
                <c:pt idx="318">
                  <c:v>45756</c:v>
                </c:pt>
                <c:pt idx="319">
                  <c:v>45757</c:v>
                </c:pt>
                <c:pt idx="320">
                  <c:v>45758</c:v>
                </c:pt>
                <c:pt idx="321">
                  <c:v>45761</c:v>
                </c:pt>
                <c:pt idx="322">
                  <c:v>45762</c:v>
                </c:pt>
                <c:pt idx="323">
                  <c:v>45763</c:v>
                </c:pt>
                <c:pt idx="324">
                  <c:v>45764</c:v>
                </c:pt>
                <c:pt idx="325">
                  <c:v>45768</c:v>
                </c:pt>
                <c:pt idx="326">
                  <c:v>45769</c:v>
                </c:pt>
                <c:pt idx="327">
                  <c:v>45770</c:v>
                </c:pt>
                <c:pt idx="328">
                  <c:v>45771</c:v>
                </c:pt>
                <c:pt idx="329">
                  <c:v>45772</c:v>
                </c:pt>
                <c:pt idx="330">
                  <c:v>45775</c:v>
                </c:pt>
                <c:pt idx="331">
                  <c:v>45776</c:v>
                </c:pt>
                <c:pt idx="332">
                  <c:v>45777</c:v>
                </c:pt>
                <c:pt idx="333">
                  <c:v>45778</c:v>
                </c:pt>
                <c:pt idx="334">
                  <c:v>45779</c:v>
                </c:pt>
                <c:pt idx="335">
                  <c:v>45782</c:v>
                </c:pt>
                <c:pt idx="336">
                  <c:v>45783</c:v>
                </c:pt>
                <c:pt idx="337">
                  <c:v>45784</c:v>
                </c:pt>
                <c:pt idx="338">
                  <c:v>45785</c:v>
                </c:pt>
                <c:pt idx="339">
                  <c:v>45786</c:v>
                </c:pt>
                <c:pt idx="340">
                  <c:v>45789</c:v>
                </c:pt>
                <c:pt idx="341">
                  <c:v>45790</c:v>
                </c:pt>
                <c:pt idx="342">
                  <c:v>45791</c:v>
                </c:pt>
                <c:pt idx="343">
                  <c:v>45792</c:v>
                </c:pt>
                <c:pt idx="344">
                  <c:v>45793</c:v>
                </c:pt>
                <c:pt idx="345">
                  <c:v>45796</c:v>
                </c:pt>
                <c:pt idx="346">
                  <c:v>45797</c:v>
                </c:pt>
                <c:pt idx="347">
                  <c:v>45798</c:v>
                </c:pt>
                <c:pt idx="348">
                  <c:v>45799</c:v>
                </c:pt>
                <c:pt idx="349">
                  <c:v>45800</c:v>
                </c:pt>
                <c:pt idx="350">
                  <c:v>45804</c:v>
                </c:pt>
                <c:pt idx="351">
                  <c:v>45805</c:v>
                </c:pt>
                <c:pt idx="352">
                  <c:v>45806</c:v>
                </c:pt>
                <c:pt idx="353">
                  <c:v>45807</c:v>
                </c:pt>
                <c:pt idx="354">
                  <c:v>45810</c:v>
                </c:pt>
                <c:pt idx="355">
                  <c:v>45811</c:v>
                </c:pt>
                <c:pt idx="356">
                  <c:v>45812</c:v>
                </c:pt>
                <c:pt idx="357">
                  <c:v>45813</c:v>
                </c:pt>
                <c:pt idx="358">
                  <c:v>45814</c:v>
                </c:pt>
                <c:pt idx="359">
                  <c:v>45817</c:v>
                </c:pt>
                <c:pt idx="360">
                  <c:v>45818</c:v>
                </c:pt>
                <c:pt idx="361">
                  <c:v>45819</c:v>
                </c:pt>
                <c:pt idx="362">
                  <c:v>45820</c:v>
                </c:pt>
                <c:pt idx="363">
                  <c:v>45821</c:v>
                </c:pt>
                <c:pt idx="364">
                  <c:v>45824</c:v>
                </c:pt>
                <c:pt idx="365">
                  <c:v>45825</c:v>
                </c:pt>
                <c:pt idx="366">
                  <c:v>45826</c:v>
                </c:pt>
                <c:pt idx="367">
                  <c:v>45828</c:v>
                </c:pt>
                <c:pt idx="368">
                  <c:v>45831</c:v>
                </c:pt>
                <c:pt idx="369">
                  <c:v>45832</c:v>
                </c:pt>
                <c:pt idx="370">
                  <c:v>45833</c:v>
                </c:pt>
                <c:pt idx="371">
                  <c:v>45834</c:v>
                </c:pt>
                <c:pt idx="372">
                  <c:v>45835</c:v>
                </c:pt>
                <c:pt idx="373">
                  <c:v>45838</c:v>
                </c:pt>
                <c:pt idx="374">
                  <c:v>45839</c:v>
                </c:pt>
                <c:pt idx="375">
                  <c:v>45840</c:v>
                </c:pt>
                <c:pt idx="376">
                  <c:v>45841</c:v>
                </c:pt>
                <c:pt idx="377">
                  <c:v>45845</c:v>
                </c:pt>
                <c:pt idx="378">
                  <c:v>45846</c:v>
                </c:pt>
                <c:pt idx="379">
                  <c:v>45847</c:v>
                </c:pt>
                <c:pt idx="380">
                  <c:v>45848</c:v>
                </c:pt>
                <c:pt idx="381">
                  <c:v>45849</c:v>
                </c:pt>
                <c:pt idx="382">
                  <c:v>45852</c:v>
                </c:pt>
                <c:pt idx="383">
                  <c:v>45853</c:v>
                </c:pt>
                <c:pt idx="384">
                  <c:v>45854</c:v>
                </c:pt>
                <c:pt idx="385">
                  <c:v>45855</c:v>
                </c:pt>
                <c:pt idx="386">
                  <c:v>45856</c:v>
                </c:pt>
                <c:pt idx="387">
                  <c:v>45859</c:v>
                </c:pt>
                <c:pt idx="388">
                  <c:v>45860</c:v>
                </c:pt>
                <c:pt idx="389">
                  <c:v>45861</c:v>
                </c:pt>
                <c:pt idx="390">
                  <c:v>45862</c:v>
                </c:pt>
                <c:pt idx="391">
                  <c:v>45863</c:v>
                </c:pt>
                <c:pt idx="392">
                  <c:v>45866</c:v>
                </c:pt>
                <c:pt idx="393">
                  <c:v>45867</c:v>
                </c:pt>
                <c:pt idx="394">
                  <c:v>45868</c:v>
                </c:pt>
                <c:pt idx="395">
                  <c:v>45869</c:v>
                </c:pt>
                <c:pt idx="396">
                  <c:v>45870</c:v>
                </c:pt>
                <c:pt idx="397">
                  <c:v>45873</c:v>
                </c:pt>
                <c:pt idx="398">
                  <c:v>45874</c:v>
                </c:pt>
                <c:pt idx="399">
                  <c:v>45875</c:v>
                </c:pt>
                <c:pt idx="400">
                  <c:v>45876</c:v>
                </c:pt>
                <c:pt idx="401">
                  <c:v>45877</c:v>
                </c:pt>
                <c:pt idx="402">
                  <c:v>45880</c:v>
                </c:pt>
                <c:pt idx="403">
                  <c:v>45881</c:v>
                </c:pt>
                <c:pt idx="404">
                  <c:v>45882</c:v>
                </c:pt>
                <c:pt idx="405">
                  <c:v>45883</c:v>
                </c:pt>
                <c:pt idx="406">
                  <c:v>45884</c:v>
                </c:pt>
                <c:pt idx="407">
                  <c:v>45887</c:v>
                </c:pt>
                <c:pt idx="408">
                  <c:v>45888</c:v>
                </c:pt>
                <c:pt idx="409">
                  <c:v>45889</c:v>
                </c:pt>
                <c:pt idx="410">
                  <c:v>45890</c:v>
                </c:pt>
                <c:pt idx="411">
                  <c:v>45891</c:v>
                </c:pt>
                <c:pt idx="412">
                  <c:v>45894</c:v>
                </c:pt>
                <c:pt idx="413">
                  <c:v>45895</c:v>
                </c:pt>
                <c:pt idx="414">
                  <c:v>45896</c:v>
                </c:pt>
                <c:pt idx="415">
                  <c:v>45897</c:v>
                </c:pt>
                <c:pt idx="416">
                  <c:v>45898</c:v>
                </c:pt>
                <c:pt idx="417">
                  <c:v>45902</c:v>
                </c:pt>
                <c:pt idx="418">
                  <c:v>45903</c:v>
                </c:pt>
                <c:pt idx="419">
                  <c:v>45904</c:v>
                </c:pt>
                <c:pt idx="420">
                  <c:v>45905</c:v>
                </c:pt>
                <c:pt idx="421">
                  <c:v>45908</c:v>
                </c:pt>
                <c:pt idx="422">
                  <c:v>45909</c:v>
                </c:pt>
                <c:pt idx="423">
                  <c:v>45910</c:v>
                </c:pt>
                <c:pt idx="424">
                  <c:v>45911</c:v>
                </c:pt>
                <c:pt idx="425">
                  <c:v>45912</c:v>
                </c:pt>
                <c:pt idx="426">
                  <c:v>45915</c:v>
                </c:pt>
                <c:pt idx="427">
                  <c:v>45916</c:v>
                </c:pt>
                <c:pt idx="428">
                  <c:v>45917</c:v>
                </c:pt>
                <c:pt idx="429">
                  <c:v>45918</c:v>
                </c:pt>
                <c:pt idx="430">
                  <c:v>45919</c:v>
                </c:pt>
                <c:pt idx="431">
                  <c:v>45922</c:v>
                </c:pt>
                <c:pt idx="432">
                  <c:v>45923</c:v>
                </c:pt>
                <c:pt idx="433">
                  <c:v>45924</c:v>
                </c:pt>
                <c:pt idx="434">
                  <c:v>45925</c:v>
                </c:pt>
                <c:pt idx="435">
                  <c:v>45926</c:v>
                </c:pt>
                <c:pt idx="436">
                  <c:v>45929</c:v>
                </c:pt>
                <c:pt idx="437">
                  <c:v>45930</c:v>
                </c:pt>
                <c:pt idx="438">
                  <c:v>45931</c:v>
                </c:pt>
                <c:pt idx="439">
                  <c:v>45932</c:v>
                </c:pt>
                <c:pt idx="440">
                  <c:v>45933</c:v>
                </c:pt>
                <c:pt idx="441">
                  <c:v>45936</c:v>
                </c:pt>
                <c:pt idx="442">
                  <c:v>45937</c:v>
                </c:pt>
                <c:pt idx="443">
                  <c:v>45938</c:v>
                </c:pt>
                <c:pt idx="444">
                  <c:v>45939</c:v>
                </c:pt>
                <c:pt idx="445">
                  <c:v>45940</c:v>
                </c:pt>
                <c:pt idx="446">
                  <c:v>45943</c:v>
                </c:pt>
                <c:pt idx="447">
                  <c:v>45944</c:v>
                </c:pt>
                <c:pt idx="448">
                  <c:v>45945</c:v>
                </c:pt>
                <c:pt idx="449">
                  <c:v>45946</c:v>
                </c:pt>
                <c:pt idx="450">
                  <c:v>45947</c:v>
                </c:pt>
                <c:pt idx="451">
                  <c:v>45950</c:v>
                </c:pt>
                <c:pt idx="452">
                  <c:v>45951</c:v>
                </c:pt>
                <c:pt idx="453">
                  <c:v>45952</c:v>
                </c:pt>
                <c:pt idx="454">
                  <c:v>45953</c:v>
                </c:pt>
                <c:pt idx="455">
                  <c:v>45954</c:v>
                </c:pt>
                <c:pt idx="456">
                  <c:v>45957</c:v>
                </c:pt>
                <c:pt idx="457">
                  <c:v>45958</c:v>
                </c:pt>
                <c:pt idx="458">
                  <c:v>45959</c:v>
                </c:pt>
                <c:pt idx="459">
                  <c:v>45960</c:v>
                </c:pt>
                <c:pt idx="460">
                  <c:v>45961</c:v>
                </c:pt>
                <c:pt idx="461">
                  <c:v>45964</c:v>
                </c:pt>
                <c:pt idx="462">
                  <c:v>45965</c:v>
                </c:pt>
                <c:pt idx="463">
                  <c:v>45966</c:v>
                </c:pt>
                <c:pt idx="464">
                  <c:v>45967</c:v>
                </c:pt>
                <c:pt idx="465">
                  <c:v>45968</c:v>
                </c:pt>
                <c:pt idx="466">
                  <c:v>45971</c:v>
                </c:pt>
                <c:pt idx="467">
                  <c:v>45972</c:v>
                </c:pt>
                <c:pt idx="468">
                  <c:v>45973</c:v>
                </c:pt>
                <c:pt idx="469">
                  <c:v>45974</c:v>
                </c:pt>
                <c:pt idx="470">
                  <c:v>45975</c:v>
                </c:pt>
                <c:pt idx="471">
                  <c:v>45978</c:v>
                </c:pt>
                <c:pt idx="472">
                  <c:v>45979</c:v>
                </c:pt>
                <c:pt idx="473">
                  <c:v>45980</c:v>
                </c:pt>
                <c:pt idx="474">
                  <c:v>45981</c:v>
                </c:pt>
                <c:pt idx="475">
                  <c:v>45982</c:v>
                </c:pt>
                <c:pt idx="476">
                  <c:v>45985</c:v>
                </c:pt>
                <c:pt idx="477">
                  <c:v>45986</c:v>
                </c:pt>
                <c:pt idx="478">
                  <c:v>45987</c:v>
                </c:pt>
                <c:pt idx="479">
                  <c:v>45989</c:v>
                </c:pt>
                <c:pt idx="480">
                  <c:v>45992</c:v>
                </c:pt>
                <c:pt idx="481">
                  <c:v>45993</c:v>
                </c:pt>
                <c:pt idx="482">
                  <c:v>45994</c:v>
                </c:pt>
                <c:pt idx="483">
                  <c:v>45995</c:v>
                </c:pt>
                <c:pt idx="484">
                  <c:v>45996</c:v>
                </c:pt>
                <c:pt idx="485">
                  <c:v>45999</c:v>
                </c:pt>
                <c:pt idx="486">
                  <c:v>46000</c:v>
                </c:pt>
                <c:pt idx="487">
                  <c:v>46001</c:v>
                </c:pt>
                <c:pt idx="488">
                  <c:v>46002</c:v>
                </c:pt>
                <c:pt idx="489">
                  <c:v>46003</c:v>
                </c:pt>
                <c:pt idx="490">
                  <c:v>46006</c:v>
                </c:pt>
                <c:pt idx="491">
                  <c:v>46007</c:v>
                </c:pt>
                <c:pt idx="492">
                  <c:v>46008</c:v>
                </c:pt>
                <c:pt idx="493">
                  <c:v>46009</c:v>
                </c:pt>
                <c:pt idx="494">
                  <c:v>46010</c:v>
                </c:pt>
                <c:pt idx="495">
                  <c:v>46013</c:v>
                </c:pt>
                <c:pt idx="496">
                  <c:v>46014</c:v>
                </c:pt>
                <c:pt idx="497">
                  <c:v>46015</c:v>
                </c:pt>
                <c:pt idx="498">
                  <c:v>46017</c:v>
                </c:pt>
                <c:pt idx="499">
                  <c:v>46020</c:v>
                </c:pt>
                <c:pt idx="500">
                  <c:v>46021</c:v>
                </c:pt>
                <c:pt idx="501">
                  <c:v>46022</c:v>
                </c:pt>
                <c:pt idx="502">
                  <c:v>46024</c:v>
                </c:pt>
                <c:pt idx="503">
                  <c:v>46027</c:v>
                </c:pt>
                <c:pt idx="504">
                  <c:v>46028</c:v>
                </c:pt>
                <c:pt idx="505">
                  <c:v>46029</c:v>
                </c:pt>
                <c:pt idx="506">
                  <c:v>46030</c:v>
                </c:pt>
                <c:pt idx="507">
                  <c:v>46031</c:v>
                </c:pt>
                <c:pt idx="508">
                  <c:v>46034</c:v>
                </c:pt>
                <c:pt idx="509">
                  <c:v>46035</c:v>
                </c:pt>
                <c:pt idx="510">
                  <c:v>46036</c:v>
                </c:pt>
                <c:pt idx="511">
                  <c:v>46037</c:v>
                </c:pt>
                <c:pt idx="512">
                  <c:v>46038</c:v>
                </c:pt>
              </c:numCache>
            </c:numRef>
          </c:cat>
          <c:val>
            <c:numRef>
              <c:f>Data!$H$2:$H$514</c:f>
              <c:numCache>
                <c:formatCode>General</c:formatCode>
                <c:ptCount val="513"/>
                <c:pt idx="0">
                  <c:v>92.41</c:v>
                </c:pt>
                <c:pt idx="1">
                  <c:v>92.426012214066475</c:v>
                </c:pt>
                <c:pt idx="2">
                  <c:v>92.533512897119763</c:v>
                </c:pt>
                <c:pt idx="3">
                  <c:v>92.64186133797925</c:v>
                </c:pt>
                <c:pt idx="4">
                  <c:v>92.678865259764095</c:v>
                </c:pt>
                <c:pt idx="5">
                  <c:v>92.752140208010019</c:v>
                </c:pt>
                <c:pt idx="6">
                  <c:v>92.804913729114901</c:v>
                </c:pt>
                <c:pt idx="7">
                  <c:v>92.159455061814981</c:v>
                </c:pt>
                <c:pt idx="8">
                  <c:v>91.882655410437152</c:v>
                </c:pt>
                <c:pt idx="9">
                  <c:v>91.690462409471692</c:v>
                </c:pt>
                <c:pt idx="10">
                  <c:v>91.329063661267867</c:v>
                </c:pt>
                <c:pt idx="11">
                  <c:v>90.82318751026493</c:v>
                </c:pt>
                <c:pt idx="12">
                  <c:v>90.551158296016624</c:v>
                </c:pt>
                <c:pt idx="13">
                  <c:v>90.225136555484525</c:v>
                </c:pt>
                <c:pt idx="14">
                  <c:v>89.965907381074814</c:v>
                </c:pt>
                <c:pt idx="15">
                  <c:v>89.595484565669722</c:v>
                </c:pt>
                <c:pt idx="16">
                  <c:v>89.504934313571312</c:v>
                </c:pt>
                <c:pt idx="17">
                  <c:v>89.434336730712403</c:v>
                </c:pt>
                <c:pt idx="18">
                  <c:v>89.430800494403016</c:v>
                </c:pt>
                <c:pt idx="19">
                  <c:v>89.446552201566448</c:v>
                </c:pt>
                <c:pt idx="20">
                  <c:v>89.460894888039022</c:v>
                </c:pt>
                <c:pt idx="21">
                  <c:v>89.535421805454476</c:v>
                </c:pt>
                <c:pt idx="22">
                  <c:v>89.564991668074541</c:v>
                </c:pt>
                <c:pt idx="23">
                  <c:v>89.501478514845644</c:v>
                </c:pt>
                <c:pt idx="24">
                  <c:v>89.459922825340058</c:v>
                </c:pt>
                <c:pt idx="25">
                  <c:v>89.409462880998177</c:v>
                </c:pt>
                <c:pt idx="26">
                  <c:v>89.296240230746946</c:v>
                </c:pt>
                <c:pt idx="27">
                  <c:v>89.231070114777424</c:v>
                </c:pt>
                <c:pt idx="28">
                  <c:v>89.191427391013207</c:v>
                </c:pt>
                <c:pt idx="29">
                  <c:v>88.788359189383328</c:v>
                </c:pt>
                <c:pt idx="30">
                  <c:v>88.532224954952653</c:v>
                </c:pt>
                <c:pt idx="31">
                  <c:v>88.435410107932228</c:v>
                </c:pt>
                <c:pt idx="32">
                  <c:v>88.242767418549704</c:v>
                </c:pt>
                <c:pt idx="33">
                  <c:v>88.132024591805873</c:v>
                </c:pt>
                <c:pt idx="34">
                  <c:v>88.098777050439125</c:v>
                </c:pt>
                <c:pt idx="35">
                  <c:v>88.03502406667485</c:v>
                </c:pt>
                <c:pt idx="36">
                  <c:v>87.990687524476627</c:v>
                </c:pt>
                <c:pt idx="37">
                  <c:v>87.835163239423395</c:v>
                </c:pt>
                <c:pt idx="38">
                  <c:v>87.752315090776364</c:v>
                </c:pt>
                <c:pt idx="39">
                  <c:v>87.662968132155825</c:v>
                </c:pt>
                <c:pt idx="40">
                  <c:v>87.552313845864504</c:v>
                </c:pt>
                <c:pt idx="41">
                  <c:v>87.480183473094542</c:v>
                </c:pt>
                <c:pt idx="42">
                  <c:v>87.489725381546819</c:v>
                </c:pt>
                <c:pt idx="43">
                  <c:v>87.494186049888569</c:v>
                </c:pt>
                <c:pt idx="44">
                  <c:v>87.521523181811247</c:v>
                </c:pt>
                <c:pt idx="45">
                  <c:v>87.548075444358147</c:v>
                </c:pt>
                <c:pt idx="46">
                  <c:v>87.575805294484482</c:v>
                </c:pt>
                <c:pt idx="47">
                  <c:v>87.608226688884102</c:v>
                </c:pt>
                <c:pt idx="48">
                  <c:v>87.633027064715279</c:v>
                </c:pt>
                <c:pt idx="49">
                  <c:v>87.65104899570332</c:v>
                </c:pt>
                <c:pt idx="50">
                  <c:v>87.648780108726115</c:v>
                </c:pt>
                <c:pt idx="51">
                  <c:v>87.637827870292682</c:v>
                </c:pt>
                <c:pt idx="52">
                  <c:v>87.644774392681001</c:v>
                </c:pt>
                <c:pt idx="53">
                  <c:v>87.664341497774146</c:v>
                </c:pt>
                <c:pt idx="54">
                  <c:v>87.67067164353891</c:v>
                </c:pt>
                <c:pt idx="55">
                  <c:v>87.661868508357159</c:v>
                </c:pt>
                <c:pt idx="56">
                  <c:v>87.658627159361288</c:v>
                </c:pt>
                <c:pt idx="57">
                  <c:v>87.656828460030411</c:v>
                </c:pt>
                <c:pt idx="58">
                  <c:v>87.623198114928329</c:v>
                </c:pt>
                <c:pt idx="59">
                  <c:v>87.647476914802965</c:v>
                </c:pt>
                <c:pt idx="60">
                  <c:v>87.677860228450129</c:v>
                </c:pt>
                <c:pt idx="61">
                  <c:v>87.698939937950684</c:v>
                </c:pt>
                <c:pt idx="62">
                  <c:v>87.726875070770433</c:v>
                </c:pt>
                <c:pt idx="63">
                  <c:v>87.744913185597611</c:v>
                </c:pt>
                <c:pt idx="64">
                  <c:v>87.766637764094639</c:v>
                </c:pt>
                <c:pt idx="65">
                  <c:v>87.781098808812743</c:v>
                </c:pt>
                <c:pt idx="66">
                  <c:v>87.803501603363699</c:v>
                </c:pt>
                <c:pt idx="67">
                  <c:v>87.823872231109078</c:v>
                </c:pt>
                <c:pt idx="68">
                  <c:v>87.824126089564302</c:v>
                </c:pt>
                <c:pt idx="69">
                  <c:v>87.819974509469176</c:v>
                </c:pt>
                <c:pt idx="70">
                  <c:v>87.817020369417804</c:v>
                </c:pt>
                <c:pt idx="71">
                  <c:v>87.820709125189822</c:v>
                </c:pt>
                <c:pt idx="72">
                  <c:v>87.778101930062832</c:v>
                </c:pt>
                <c:pt idx="73">
                  <c:v>87.805203824013034</c:v>
                </c:pt>
                <c:pt idx="74">
                  <c:v>87.835994947994678</c:v>
                </c:pt>
                <c:pt idx="75">
                  <c:v>87.943683589563221</c:v>
                </c:pt>
                <c:pt idx="76">
                  <c:v>87.960508225509571</c:v>
                </c:pt>
                <c:pt idx="77">
                  <c:v>87.977561499341448</c:v>
                </c:pt>
                <c:pt idx="78">
                  <c:v>87.993147503110336</c:v>
                </c:pt>
                <c:pt idx="79">
                  <c:v>88.006936652602931</c:v>
                </c:pt>
                <c:pt idx="80">
                  <c:v>88.017465799701895</c:v>
                </c:pt>
                <c:pt idx="81">
                  <c:v>88.008729722182252</c:v>
                </c:pt>
                <c:pt idx="82">
                  <c:v>88.067443551826926</c:v>
                </c:pt>
                <c:pt idx="83">
                  <c:v>88.084168732387056</c:v>
                </c:pt>
                <c:pt idx="84">
                  <c:v>88.08542102013044</c:v>
                </c:pt>
                <c:pt idx="85">
                  <c:v>88.100445598630586</c:v>
                </c:pt>
                <c:pt idx="86">
                  <c:v>88.096796888752891</c:v>
                </c:pt>
                <c:pt idx="87">
                  <c:v>88.070077108991612</c:v>
                </c:pt>
                <c:pt idx="88">
                  <c:v>88.056221115209652</c:v>
                </c:pt>
                <c:pt idx="89">
                  <c:v>88.013970849323414</c:v>
                </c:pt>
                <c:pt idx="90">
                  <c:v>87.991694355382776</c:v>
                </c:pt>
                <c:pt idx="91">
                  <c:v>87.971034533169885</c:v>
                </c:pt>
                <c:pt idx="92">
                  <c:v>87.976140330810992</c:v>
                </c:pt>
                <c:pt idx="93">
                  <c:v>87.981099777275602</c:v>
                </c:pt>
                <c:pt idx="94">
                  <c:v>88.009681928998418</c:v>
                </c:pt>
                <c:pt idx="95">
                  <c:v>88.010604207254787</c:v>
                </c:pt>
                <c:pt idx="96">
                  <c:v>88.01015585545403</c:v>
                </c:pt>
                <c:pt idx="97">
                  <c:v>88.021696379205324</c:v>
                </c:pt>
                <c:pt idx="98">
                  <c:v>88.09321777813112</c:v>
                </c:pt>
                <c:pt idx="99">
                  <c:v>88.125435254522102</c:v>
                </c:pt>
                <c:pt idx="100">
                  <c:v>88.150890656068498</c:v>
                </c:pt>
                <c:pt idx="101">
                  <c:v>88.181477877532174</c:v>
                </c:pt>
                <c:pt idx="102">
                  <c:v>88.202301463286076</c:v>
                </c:pt>
                <c:pt idx="103">
                  <c:v>88.226118274450258</c:v>
                </c:pt>
                <c:pt idx="104">
                  <c:v>88.348987965491958</c:v>
                </c:pt>
                <c:pt idx="105">
                  <c:v>88.378430052868524</c:v>
                </c:pt>
                <c:pt idx="106">
                  <c:v>88.420799767124251</c:v>
                </c:pt>
                <c:pt idx="107">
                  <c:v>88.44359392187161</c:v>
                </c:pt>
                <c:pt idx="108">
                  <c:v>88.459720830801615</c:v>
                </c:pt>
                <c:pt idx="109">
                  <c:v>88.474122203229726</c:v>
                </c:pt>
                <c:pt idx="110">
                  <c:v>88.493080355697359</c:v>
                </c:pt>
                <c:pt idx="111">
                  <c:v>88.507762105934233</c:v>
                </c:pt>
                <c:pt idx="112">
                  <c:v>88.518832604453564</c:v>
                </c:pt>
                <c:pt idx="113">
                  <c:v>88.524859275885873</c:v>
                </c:pt>
                <c:pt idx="114">
                  <c:v>88.534027845384685</c:v>
                </c:pt>
                <c:pt idx="115">
                  <c:v>88.540976346508657</c:v>
                </c:pt>
                <c:pt idx="116">
                  <c:v>88.545955610441425</c:v>
                </c:pt>
                <c:pt idx="117">
                  <c:v>88.551842910446794</c:v>
                </c:pt>
                <c:pt idx="118">
                  <c:v>88.547294695650535</c:v>
                </c:pt>
                <c:pt idx="119">
                  <c:v>88.558310772290838</c:v>
                </c:pt>
                <c:pt idx="120">
                  <c:v>88.551769129280785</c:v>
                </c:pt>
                <c:pt idx="121">
                  <c:v>88.546298834332788</c:v>
                </c:pt>
                <c:pt idx="122">
                  <c:v>88.545326915319748</c:v>
                </c:pt>
                <c:pt idx="123">
                  <c:v>88.530349155092253</c:v>
                </c:pt>
                <c:pt idx="124">
                  <c:v>88.521475781655766</c:v>
                </c:pt>
                <c:pt idx="125">
                  <c:v>88.514741744072467</c:v>
                </c:pt>
                <c:pt idx="126">
                  <c:v>88.507513392983867</c:v>
                </c:pt>
                <c:pt idx="127">
                  <c:v>88.50055396745573</c:v>
                </c:pt>
                <c:pt idx="128">
                  <c:v>88.48759232960505</c:v>
                </c:pt>
                <c:pt idx="129">
                  <c:v>88.475641176034912</c:v>
                </c:pt>
                <c:pt idx="130">
                  <c:v>88.477540229132131</c:v>
                </c:pt>
                <c:pt idx="131">
                  <c:v>88.488936142276657</c:v>
                </c:pt>
                <c:pt idx="132">
                  <c:v>88.502277092967674</c:v>
                </c:pt>
                <c:pt idx="133">
                  <c:v>88.50562961020934</c:v>
                </c:pt>
                <c:pt idx="134">
                  <c:v>88.517235371343432</c:v>
                </c:pt>
                <c:pt idx="135">
                  <c:v>88.537815625708461</c:v>
                </c:pt>
                <c:pt idx="136">
                  <c:v>88.559443698046294</c:v>
                </c:pt>
                <c:pt idx="137">
                  <c:v>88.577485285601071</c:v>
                </c:pt>
                <c:pt idx="138">
                  <c:v>88.591447474572689</c:v>
                </c:pt>
                <c:pt idx="139">
                  <c:v>88.604894423618376</c:v>
                </c:pt>
                <c:pt idx="140">
                  <c:v>88.624169510555959</c:v>
                </c:pt>
                <c:pt idx="141">
                  <c:v>88.639120076420241</c:v>
                </c:pt>
                <c:pt idx="142">
                  <c:v>88.642929390281452</c:v>
                </c:pt>
                <c:pt idx="143">
                  <c:v>88.641811636523386</c:v>
                </c:pt>
                <c:pt idx="144">
                  <c:v>88.624402472170416</c:v>
                </c:pt>
                <c:pt idx="145">
                  <c:v>88.6264734642794</c:v>
                </c:pt>
                <c:pt idx="146">
                  <c:v>88.625083492048105</c:v>
                </c:pt>
                <c:pt idx="147">
                  <c:v>88.680141355837222</c:v>
                </c:pt>
                <c:pt idx="148">
                  <c:v>88.692553058795681</c:v>
                </c:pt>
                <c:pt idx="149">
                  <c:v>88.677613175714129</c:v>
                </c:pt>
                <c:pt idx="150">
                  <c:v>88.668114601289616</c:v>
                </c:pt>
                <c:pt idx="151">
                  <c:v>88.657957977116084</c:v>
                </c:pt>
                <c:pt idx="152">
                  <c:v>88.636224435686827</c:v>
                </c:pt>
                <c:pt idx="153">
                  <c:v>88.596780769595838</c:v>
                </c:pt>
                <c:pt idx="154">
                  <c:v>88.573953155136323</c:v>
                </c:pt>
                <c:pt idx="155">
                  <c:v>88.565742055563589</c:v>
                </c:pt>
                <c:pt idx="156">
                  <c:v>88.598411837634984</c:v>
                </c:pt>
                <c:pt idx="157">
                  <c:v>88.600495762850187</c:v>
                </c:pt>
                <c:pt idx="158">
                  <c:v>88.605422611026114</c:v>
                </c:pt>
                <c:pt idx="159">
                  <c:v>88.603525911466335</c:v>
                </c:pt>
                <c:pt idx="160">
                  <c:v>88.612836456661</c:v>
                </c:pt>
                <c:pt idx="161">
                  <c:v>88.61939291195587</c:v>
                </c:pt>
                <c:pt idx="162">
                  <c:v>88.621601848547499</c:v>
                </c:pt>
                <c:pt idx="163">
                  <c:v>88.612019295195083</c:v>
                </c:pt>
                <c:pt idx="164">
                  <c:v>88.607137137493439</c:v>
                </c:pt>
                <c:pt idx="165">
                  <c:v>88.598951472984794</c:v>
                </c:pt>
                <c:pt idx="166">
                  <c:v>88.591719928050964</c:v>
                </c:pt>
                <c:pt idx="167">
                  <c:v>88.613371497435821</c:v>
                </c:pt>
                <c:pt idx="168">
                  <c:v>88.617145302170655</c:v>
                </c:pt>
                <c:pt idx="169">
                  <c:v>88.590795952440502</c:v>
                </c:pt>
                <c:pt idx="170">
                  <c:v>88.574938674947205</c:v>
                </c:pt>
                <c:pt idx="171">
                  <c:v>88.573055117067327</c:v>
                </c:pt>
                <c:pt idx="172">
                  <c:v>88.556843632800081</c:v>
                </c:pt>
                <c:pt idx="173">
                  <c:v>88.526360235857453</c:v>
                </c:pt>
                <c:pt idx="174">
                  <c:v>88.556225077670433</c:v>
                </c:pt>
                <c:pt idx="175">
                  <c:v>88.553075952896023</c:v>
                </c:pt>
                <c:pt idx="176">
                  <c:v>88.533138757782112</c:v>
                </c:pt>
                <c:pt idx="177">
                  <c:v>88.519244648666543</c:v>
                </c:pt>
                <c:pt idx="178">
                  <c:v>88.507389054810446</c:v>
                </c:pt>
                <c:pt idx="179">
                  <c:v>88.504629400445822</c:v>
                </c:pt>
                <c:pt idx="180">
                  <c:v>88.521827609548126</c:v>
                </c:pt>
                <c:pt idx="181">
                  <c:v>88.583605563400866</c:v>
                </c:pt>
                <c:pt idx="182">
                  <c:v>88.57000006515392</c:v>
                </c:pt>
                <c:pt idx="183">
                  <c:v>88.566823071512275</c:v>
                </c:pt>
                <c:pt idx="184">
                  <c:v>88.564645243308064</c:v>
                </c:pt>
                <c:pt idx="185">
                  <c:v>88.570199329629659</c:v>
                </c:pt>
                <c:pt idx="186">
                  <c:v>88.570107852009514</c:v>
                </c:pt>
                <c:pt idx="187">
                  <c:v>88.572968751258955</c:v>
                </c:pt>
                <c:pt idx="188">
                  <c:v>88.582543440012842</c:v>
                </c:pt>
                <c:pt idx="189">
                  <c:v>88.571685374809135</c:v>
                </c:pt>
                <c:pt idx="190">
                  <c:v>88.563739748342982</c:v>
                </c:pt>
                <c:pt idx="191">
                  <c:v>88.562418809594348</c:v>
                </c:pt>
                <c:pt idx="192">
                  <c:v>88.592462320893489</c:v>
                </c:pt>
                <c:pt idx="193">
                  <c:v>88.606318031230501</c:v>
                </c:pt>
                <c:pt idx="194">
                  <c:v>88.614453076574733</c:v>
                </c:pt>
                <c:pt idx="195">
                  <c:v>88.627630083285396</c:v>
                </c:pt>
                <c:pt idx="196">
                  <c:v>88.641350419908321</c:v>
                </c:pt>
                <c:pt idx="197">
                  <c:v>88.66876310326127</c:v>
                </c:pt>
                <c:pt idx="198">
                  <c:v>88.711694774783467</c:v>
                </c:pt>
                <c:pt idx="199">
                  <c:v>88.724256054648748</c:v>
                </c:pt>
                <c:pt idx="200">
                  <c:v>88.735738252248254</c:v>
                </c:pt>
                <c:pt idx="201">
                  <c:v>88.895748839832876</c:v>
                </c:pt>
                <c:pt idx="202">
                  <c:v>88.894374225279833</c:v>
                </c:pt>
                <c:pt idx="203">
                  <c:v>88.891495559284095</c:v>
                </c:pt>
                <c:pt idx="204">
                  <c:v>88.893424607845418</c:v>
                </c:pt>
                <c:pt idx="205">
                  <c:v>88.881527872618889</c:v>
                </c:pt>
                <c:pt idx="206">
                  <c:v>88.901076007269481</c:v>
                </c:pt>
                <c:pt idx="207">
                  <c:v>88.906324684493271</c:v>
                </c:pt>
                <c:pt idx="208">
                  <c:v>88.925121340621146</c:v>
                </c:pt>
                <c:pt idx="209">
                  <c:v>88.948404553230077</c:v>
                </c:pt>
                <c:pt idx="210">
                  <c:v>89.009871843207335</c:v>
                </c:pt>
                <c:pt idx="211">
                  <c:v>89.050535696693231</c:v>
                </c:pt>
                <c:pt idx="212">
                  <c:v>89.079827722383172</c:v>
                </c:pt>
                <c:pt idx="213">
                  <c:v>89.109763914496753</c:v>
                </c:pt>
                <c:pt idx="214">
                  <c:v>89.154050612961598</c:v>
                </c:pt>
                <c:pt idx="215">
                  <c:v>89.18443877205867</c:v>
                </c:pt>
                <c:pt idx="216">
                  <c:v>89.216354325954455</c:v>
                </c:pt>
                <c:pt idx="217">
                  <c:v>89.24172999377889</c:v>
                </c:pt>
                <c:pt idx="218">
                  <c:v>89.266285375170753</c:v>
                </c:pt>
                <c:pt idx="219">
                  <c:v>89.281026993269919</c:v>
                </c:pt>
                <c:pt idx="220">
                  <c:v>89.294812368822164</c:v>
                </c:pt>
                <c:pt idx="221">
                  <c:v>89.314322916925832</c:v>
                </c:pt>
                <c:pt idx="222">
                  <c:v>89.332474908464008</c:v>
                </c:pt>
                <c:pt idx="223">
                  <c:v>89.352242906380127</c:v>
                </c:pt>
                <c:pt idx="224">
                  <c:v>89.37595707992817</c:v>
                </c:pt>
                <c:pt idx="225">
                  <c:v>89.396232045627727</c:v>
                </c:pt>
                <c:pt idx="226">
                  <c:v>89.413972103245158</c:v>
                </c:pt>
                <c:pt idx="227">
                  <c:v>89.459604586006009</c:v>
                </c:pt>
                <c:pt idx="228">
                  <c:v>89.492831468143478</c:v>
                </c:pt>
                <c:pt idx="229">
                  <c:v>89.50964963589243</c:v>
                </c:pt>
                <c:pt idx="230">
                  <c:v>89.523155472157356</c:v>
                </c:pt>
                <c:pt idx="231">
                  <c:v>89.545800450189631</c:v>
                </c:pt>
                <c:pt idx="232">
                  <c:v>89.564114800519818</c:v>
                </c:pt>
                <c:pt idx="233">
                  <c:v>89.590754614217758</c:v>
                </c:pt>
                <c:pt idx="234">
                  <c:v>89.609311718754228</c:v>
                </c:pt>
                <c:pt idx="235">
                  <c:v>89.618088258763464</c:v>
                </c:pt>
                <c:pt idx="236">
                  <c:v>89.626917480385785</c:v>
                </c:pt>
                <c:pt idx="237">
                  <c:v>89.636357283477366</c:v>
                </c:pt>
                <c:pt idx="238">
                  <c:v>89.632504758428112</c:v>
                </c:pt>
                <c:pt idx="239">
                  <c:v>89.628066619491094</c:v>
                </c:pt>
                <c:pt idx="240">
                  <c:v>89.626740398907984</c:v>
                </c:pt>
                <c:pt idx="241">
                  <c:v>89.606300652265347</c:v>
                </c:pt>
                <c:pt idx="242">
                  <c:v>89.590134330896291</c:v>
                </c:pt>
                <c:pt idx="243">
                  <c:v>89.550445457729396</c:v>
                </c:pt>
                <c:pt idx="244">
                  <c:v>89.514950267046672</c:v>
                </c:pt>
                <c:pt idx="245">
                  <c:v>89.463864176677433</c:v>
                </c:pt>
                <c:pt idx="246">
                  <c:v>89.441869879483221</c:v>
                </c:pt>
                <c:pt idx="247">
                  <c:v>89.434762756663858</c:v>
                </c:pt>
                <c:pt idx="248">
                  <c:v>89.413680463518219</c:v>
                </c:pt>
                <c:pt idx="249">
                  <c:v>89.399048648995006</c:v>
                </c:pt>
                <c:pt idx="250">
                  <c:v>89.381165616498862</c:v>
                </c:pt>
                <c:pt idx="251">
                  <c:v>89.360803062879256</c:v>
                </c:pt>
                <c:pt idx="252">
                  <c:v>89.340201035698229</c:v>
                </c:pt>
                <c:pt idx="253">
                  <c:v>89.316656684627404</c:v>
                </c:pt>
                <c:pt idx="254">
                  <c:v>89.285840549545028</c:v>
                </c:pt>
                <c:pt idx="255">
                  <c:v>89.239732856560607</c:v>
                </c:pt>
                <c:pt idx="256">
                  <c:v>89.217314661377657</c:v>
                </c:pt>
                <c:pt idx="257">
                  <c:v>89.182211176004316</c:v>
                </c:pt>
                <c:pt idx="258">
                  <c:v>89.155023595516298</c:v>
                </c:pt>
                <c:pt idx="259">
                  <c:v>89.132742024505191</c:v>
                </c:pt>
                <c:pt idx="260">
                  <c:v>89.118454438802175</c:v>
                </c:pt>
                <c:pt idx="261">
                  <c:v>89.116293792631211</c:v>
                </c:pt>
                <c:pt idx="262">
                  <c:v>89.118747904557495</c:v>
                </c:pt>
                <c:pt idx="263">
                  <c:v>89.120125983756708</c:v>
                </c:pt>
                <c:pt idx="264">
                  <c:v>89.11126598728238</c:v>
                </c:pt>
                <c:pt idx="265">
                  <c:v>89.103660626167965</c:v>
                </c:pt>
                <c:pt idx="266">
                  <c:v>89.087592223685775</c:v>
                </c:pt>
                <c:pt idx="267">
                  <c:v>89.099431300524927</c:v>
                </c:pt>
                <c:pt idx="268">
                  <c:v>89.102973415863076</c:v>
                </c:pt>
                <c:pt idx="269">
                  <c:v>89.103888026860616</c:v>
                </c:pt>
                <c:pt idx="270">
                  <c:v>89.110319307116541</c:v>
                </c:pt>
                <c:pt idx="271">
                  <c:v>89.109276466563799</c:v>
                </c:pt>
                <c:pt idx="272">
                  <c:v>89.124864820781525</c:v>
                </c:pt>
                <c:pt idx="273">
                  <c:v>89.135897526838676</c:v>
                </c:pt>
                <c:pt idx="274">
                  <c:v>89.150511851793595</c:v>
                </c:pt>
                <c:pt idx="275">
                  <c:v>89.162531206009859</c:v>
                </c:pt>
                <c:pt idx="276">
                  <c:v>89.175813183079811</c:v>
                </c:pt>
                <c:pt idx="277">
                  <c:v>89.190281533273165</c:v>
                </c:pt>
                <c:pt idx="278">
                  <c:v>89.208631731938112</c:v>
                </c:pt>
                <c:pt idx="279">
                  <c:v>89.217438012683004</c:v>
                </c:pt>
                <c:pt idx="280">
                  <c:v>89.230133593087928</c:v>
                </c:pt>
                <c:pt idx="281">
                  <c:v>89.240558836228885</c:v>
                </c:pt>
                <c:pt idx="282">
                  <c:v>89.254703470977304</c:v>
                </c:pt>
                <c:pt idx="283">
                  <c:v>89.266030619718379</c:v>
                </c:pt>
                <c:pt idx="284">
                  <c:v>89.280032185335841</c:v>
                </c:pt>
                <c:pt idx="285">
                  <c:v>89.313186311806177</c:v>
                </c:pt>
                <c:pt idx="286">
                  <c:v>89.340483940093549</c:v>
                </c:pt>
                <c:pt idx="287">
                  <c:v>89.37546877930717</c:v>
                </c:pt>
                <c:pt idx="288">
                  <c:v>89.395067659725399</c:v>
                </c:pt>
                <c:pt idx="289">
                  <c:v>89.425445859119407</c:v>
                </c:pt>
                <c:pt idx="290">
                  <c:v>89.480799925574473</c:v>
                </c:pt>
                <c:pt idx="291">
                  <c:v>89.519136184938773</c:v>
                </c:pt>
                <c:pt idx="292">
                  <c:v>89.555789738363629</c:v>
                </c:pt>
                <c:pt idx="293">
                  <c:v>89.604350610615086</c:v>
                </c:pt>
                <c:pt idx="294">
                  <c:v>89.644932520964247</c:v>
                </c:pt>
                <c:pt idx="295">
                  <c:v>89.67162372054274</c:v>
                </c:pt>
                <c:pt idx="296">
                  <c:v>89.705322202126837</c:v>
                </c:pt>
                <c:pt idx="297">
                  <c:v>89.729859891790014</c:v>
                </c:pt>
                <c:pt idx="298">
                  <c:v>89.766892636087888</c:v>
                </c:pt>
                <c:pt idx="299">
                  <c:v>89.785288451873953</c:v>
                </c:pt>
                <c:pt idx="300">
                  <c:v>89.824309119433366</c:v>
                </c:pt>
                <c:pt idx="301">
                  <c:v>89.864983185476405</c:v>
                </c:pt>
                <c:pt idx="302">
                  <c:v>89.892451973408313</c:v>
                </c:pt>
                <c:pt idx="303">
                  <c:v>89.902073363163424</c:v>
                </c:pt>
                <c:pt idx="304">
                  <c:v>89.900422114844474</c:v>
                </c:pt>
                <c:pt idx="305">
                  <c:v>89.950447235485839</c:v>
                </c:pt>
                <c:pt idx="306">
                  <c:v>89.956122909716726</c:v>
                </c:pt>
                <c:pt idx="307">
                  <c:v>89.975878474145162</c:v>
                </c:pt>
                <c:pt idx="308">
                  <c:v>89.980392287193723</c:v>
                </c:pt>
                <c:pt idx="309">
                  <c:v>89.982493331049497</c:v>
                </c:pt>
                <c:pt idx="310">
                  <c:v>89.992131541828442</c:v>
                </c:pt>
                <c:pt idx="311">
                  <c:v>90.007105358417292</c:v>
                </c:pt>
                <c:pt idx="312">
                  <c:v>90.01546741831055</c:v>
                </c:pt>
                <c:pt idx="313">
                  <c:v>90.015921490290026</c:v>
                </c:pt>
                <c:pt idx="314">
                  <c:v>90.056174645780459</c:v>
                </c:pt>
                <c:pt idx="315">
                  <c:v>90.145399305408077</c:v>
                </c:pt>
                <c:pt idx="316">
                  <c:v>90.191635257882936</c:v>
                </c:pt>
                <c:pt idx="317">
                  <c:v>90.213626095834371</c:v>
                </c:pt>
                <c:pt idx="318">
                  <c:v>90.266734625494337</c:v>
                </c:pt>
                <c:pt idx="319">
                  <c:v>90.296847052042551</c:v>
                </c:pt>
                <c:pt idx="320">
                  <c:v>90.309671067822791</c:v>
                </c:pt>
                <c:pt idx="321">
                  <c:v>90.303259349382671</c:v>
                </c:pt>
                <c:pt idx="322">
                  <c:v>90.303790677428353</c:v>
                </c:pt>
                <c:pt idx="323">
                  <c:v>90.302677408371395</c:v>
                </c:pt>
                <c:pt idx="324">
                  <c:v>90.297673659900468</c:v>
                </c:pt>
                <c:pt idx="325">
                  <c:v>90.303979730084336</c:v>
                </c:pt>
                <c:pt idx="326">
                  <c:v>90.289541228849501</c:v>
                </c:pt>
                <c:pt idx="327">
                  <c:v>90.285965971981284</c:v>
                </c:pt>
                <c:pt idx="328">
                  <c:v>90.294135383331223</c:v>
                </c:pt>
                <c:pt idx="329">
                  <c:v>90.313668104454891</c:v>
                </c:pt>
                <c:pt idx="330">
                  <c:v>90.334123236714916</c:v>
                </c:pt>
                <c:pt idx="331">
                  <c:v>90.332349136304089</c:v>
                </c:pt>
                <c:pt idx="332">
                  <c:v>90.39311802272006</c:v>
                </c:pt>
                <c:pt idx="333">
                  <c:v>90.417634608763137</c:v>
                </c:pt>
                <c:pt idx="334">
                  <c:v>90.449643446102201</c:v>
                </c:pt>
                <c:pt idx="335">
                  <c:v>90.478737493065481</c:v>
                </c:pt>
                <c:pt idx="336">
                  <c:v>90.487984756295248</c:v>
                </c:pt>
                <c:pt idx="337">
                  <c:v>90.521402124190487</c:v>
                </c:pt>
                <c:pt idx="338">
                  <c:v>90.557511619408871</c:v>
                </c:pt>
                <c:pt idx="339">
                  <c:v>90.574075548173255</c:v>
                </c:pt>
                <c:pt idx="340">
                  <c:v>90.606569023749771</c:v>
                </c:pt>
                <c:pt idx="341">
                  <c:v>90.631799404999455</c:v>
                </c:pt>
                <c:pt idx="342">
                  <c:v>90.648165110299715</c:v>
                </c:pt>
                <c:pt idx="343">
                  <c:v>90.673203216130389</c:v>
                </c:pt>
                <c:pt idx="344">
                  <c:v>90.696300602180344</c:v>
                </c:pt>
                <c:pt idx="345">
                  <c:v>90.712503750446018</c:v>
                </c:pt>
                <c:pt idx="346">
                  <c:v>90.729808463430814</c:v>
                </c:pt>
                <c:pt idx="347">
                  <c:v>90.752947692979788</c:v>
                </c:pt>
                <c:pt idx="348">
                  <c:v>90.77136645660336</c:v>
                </c:pt>
                <c:pt idx="349">
                  <c:v>90.788641633898436</c:v>
                </c:pt>
                <c:pt idx="350">
                  <c:v>90.810088192880414</c:v>
                </c:pt>
                <c:pt idx="351">
                  <c:v>90.825702572440861</c:v>
                </c:pt>
                <c:pt idx="352">
                  <c:v>90.847432916859873</c:v>
                </c:pt>
                <c:pt idx="353">
                  <c:v>90.900919817900828</c:v>
                </c:pt>
                <c:pt idx="354">
                  <c:v>90.919102748732129</c:v>
                </c:pt>
                <c:pt idx="355">
                  <c:v>90.937171459996932</c:v>
                </c:pt>
                <c:pt idx="356">
                  <c:v>90.951872713750248</c:v>
                </c:pt>
                <c:pt idx="357">
                  <c:v>90.97141881198047</c:v>
                </c:pt>
                <c:pt idx="358">
                  <c:v>90.985045558925705</c:v>
                </c:pt>
                <c:pt idx="359">
                  <c:v>90.998735849129204</c:v>
                </c:pt>
                <c:pt idx="360">
                  <c:v>91.015899249620517</c:v>
                </c:pt>
                <c:pt idx="361">
                  <c:v>91.033847771030182</c:v>
                </c:pt>
                <c:pt idx="362">
                  <c:v>91.048732495029356</c:v>
                </c:pt>
                <c:pt idx="363">
                  <c:v>91.07417797202622</c:v>
                </c:pt>
                <c:pt idx="364">
                  <c:v>91.092170027567633</c:v>
                </c:pt>
                <c:pt idx="365">
                  <c:v>91.110017956441865</c:v>
                </c:pt>
                <c:pt idx="366">
                  <c:v>91.125768166368232</c:v>
                </c:pt>
                <c:pt idx="367">
                  <c:v>91.159104753264998</c:v>
                </c:pt>
                <c:pt idx="368">
                  <c:v>91.180291059931804</c:v>
                </c:pt>
                <c:pt idx="369">
                  <c:v>91.195452999777714</c:v>
                </c:pt>
                <c:pt idx="370">
                  <c:v>91.204222289199748</c:v>
                </c:pt>
                <c:pt idx="371">
                  <c:v>91.21417396106699</c:v>
                </c:pt>
                <c:pt idx="372">
                  <c:v>91.223354155221571</c:v>
                </c:pt>
                <c:pt idx="373">
                  <c:v>91.238576647813304</c:v>
                </c:pt>
                <c:pt idx="374">
                  <c:v>91.254120611668966</c:v>
                </c:pt>
                <c:pt idx="375">
                  <c:v>91.267224582498599</c:v>
                </c:pt>
                <c:pt idx="376">
                  <c:v>91.278025745164285</c:v>
                </c:pt>
                <c:pt idx="377">
                  <c:v>91.289358405135985</c:v>
                </c:pt>
                <c:pt idx="378">
                  <c:v>91.30235098307142</c:v>
                </c:pt>
                <c:pt idx="379">
                  <c:v>91.315969381963157</c:v>
                </c:pt>
                <c:pt idx="380">
                  <c:v>91.328635162106252</c:v>
                </c:pt>
                <c:pt idx="381">
                  <c:v>91.340856748323191</c:v>
                </c:pt>
                <c:pt idx="382">
                  <c:v>91.351936790546262</c:v>
                </c:pt>
                <c:pt idx="383">
                  <c:v>91.363146784421659</c:v>
                </c:pt>
                <c:pt idx="384">
                  <c:v>91.375155373931207</c:v>
                </c:pt>
                <c:pt idx="385">
                  <c:v>91.388001374734557</c:v>
                </c:pt>
                <c:pt idx="386">
                  <c:v>91.400304687109241</c:v>
                </c:pt>
                <c:pt idx="387">
                  <c:v>91.412444193710556</c:v>
                </c:pt>
                <c:pt idx="388">
                  <c:v>91.424368239256481</c:v>
                </c:pt>
                <c:pt idx="389">
                  <c:v>91.440953784350611</c:v>
                </c:pt>
                <c:pt idx="390">
                  <c:v>91.456490978437159</c:v>
                </c:pt>
                <c:pt idx="391">
                  <c:v>91.467184611429758</c:v>
                </c:pt>
                <c:pt idx="392">
                  <c:v>91.479749869989604</c:v>
                </c:pt>
                <c:pt idx="393">
                  <c:v>91.48989644577145</c:v>
                </c:pt>
                <c:pt idx="394">
                  <c:v>91.501370532136633</c:v>
                </c:pt>
                <c:pt idx="395">
                  <c:v>91.523942594162094</c:v>
                </c:pt>
                <c:pt idx="396">
                  <c:v>91.539443050073075</c:v>
                </c:pt>
                <c:pt idx="397">
                  <c:v>91.555350221892908</c:v>
                </c:pt>
                <c:pt idx="398">
                  <c:v>91.572363571266919</c:v>
                </c:pt>
                <c:pt idx="399">
                  <c:v>91.585906387056895</c:v>
                </c:pt>
                <c:pt idx="400">
                  <c:v>91.603499377309973</c:v>
                </c:pt>
                <c:pt idx="401">
                  <c:v>91.622382232044089</c:v>
                </c:pt>
                <c:pt idx="402">
                  <c:v>91.638148515046936</c:v>
                </c:pt>
                <c:pt idx="403">
                  <c:v>91.65501786476203</c:v>
                </c:pt>
                <c:pt idx="404">
                  <c:v>91.672670012286957</c:v>
                </c:pt>
                <c:pt idx="405">
                  <c:v>91.68674598704186</c:v>
                </c:pt>
                <c:pt idx="406">
                  <c:v>91.701241938344623</c:v>
                </c:pt>
                <c:pt idx="407">
                  <c:v>91.712679275590588</c:v>
                </c:pt>
                <c:pt idx="408">
                  <c:v>91.730215226099219</c:v>
                </c:pt>
                <c:pt idx="409">
                  <c:v>91.746992099084181</c:v>
                </c:pt>
                <c:pt idx="410">
                  <c:v>91.760096277607815</c:v>
                </c:pt>
                <c:pt idx="411">
                  <c:v>91.774919356316502</c:v>
                </c:pt>
                <c:pt idx="412">
                  <c:v>91.786086549536208</c:v>
                </c:pt>
                <c:pt idx="413">
                  <c:v>91.797808819004103</c:v>
                </c:pt>
                <c:pt idx="414">
                  <c:v>91.812114496324625</c:v>
                </c:pt>
                <c:pt idx="415">
                  <c:v>91.819235670954754</c:v>
                </c:pt>
                <c:pt idx="416">
                  <c:v>91.825896527574471</c:v>
                </c:pt>
                <c:pt idx="417">
                  <c:v>91.829600484327415</c:v>
                </c:pt>
                <c:pt idx="418">
                  <c:v>91.834519793830268</c:v>
                </c:pt>
                <c:pt idx="419">
                  <c:v>91.84093615082999</c:v>
                </c:pt>
                <c:pt idx="420">
                  <c:v>91.8480033996819</c:v>
                </c:pt>
                <c:pt idx="421">
                  <c:v>91.851393848739576</c:v>
                </c:pt>
                <c:pt idx="422">
                  <c:v>91.857102519695701</c:v>
                </c:pt>
                <c:pt idx="423">
                  <c:v>91.862467768846486</c:v>
                </c:pt>
                <c:pt idx="424">
                  <c:v>91.868860099772334</c:v>
                </c:pt>
                <c:pt idx="425">
                  <c:v>91.875399212172027</c:v>
                </c:pt>
                <c:pt idx="426">
                  <c:v>91.880944620952107</c:v>
                </c:pt>
                <c:pt idx="427">
                  <c:v>91.881385175613744</c:v>
                </c:pt>
                <c:pt idx="428">
                  <c:v>91.884686472539059</c:v>
                </c:pt>
                <c:pt idx="429">
                  <c:v>91.887999848675804</c:v>
                </c:pt>
                <c:pt idx="430">
                  <c:v>91.886186671403578</c:v>
                </c:pt>
                <c:pt idx="431">
                  <c:v>91.889887777416277</c:v>
                </c:pt>
                <c:pt idx="432">
                  <c:v>91.897544712113429</c:v>
                </c:pt>
                <c:pt idx="433">
                  <c:v>91.905475484783693</c:v>
                </c:pt>
                <c:pt idx="434">
                  <c:v>91.912724834534629</c:v>
                </c:pt>
                <c:pt idx="435">
                  <c:v>91.921911445599477</c:v>
                </c:pt>
                <c:pt idx="436">
                  <c:v>91.930920508688118</c:v>
                </c:pt>
                <c:pt idx="437">
                  <c:v>91.941624619444752</c:v>
                </c:pt>
                <c:pt idx="438">
                  <c:v>91.948311078557964</c:v>
                </c:pt>
                <c:pt idx="439">
                  <c:v>91.954497968578139</c:v>
                </c:pt>
                <c:pt idx="440">
                  <c:v>91.962262793987875</c:v>
                </c:pt>
                <c:pt idx="441">
                  <c:v>91.970725587559144</c:v>
                </c:pt>
                <c:pt idx="442">
                  <c:v>91.979880364662435</c:v>
                </c:pt>
                <c:pt idx="443">
                  <c:v>91.989291216061517</c:v>
                </c:pt>
                <c:pt idx="444">
                  <c:v>91.999229937373343</c:v>
                </c:pt>
                <c:pt idx="445">
                  <c:v>92.010894305818198</c:v>
                </c:pt>
                <c:pt idx="446">
                  <c:v>92.020112473695093</c:v>
                </c:pt>
                <c:pt idx="447">
                  <c:v>92.029288971644107</c:v>
                </c:pt>
                <c:pt idx="448">
                  <c:v>92.038931248887309</c:v>
                </c:pt>
                <c:pt idx="449">
                  <c:v>92.048283027425171</c:v>
                </c:pt>
                <c:pt idx="450">
                  <c:v>92.057764363046047</c:v>
                </c:pt>
                <c:pt idx="451">
                  <c:v>92.0659222343332</c:v>
                </c:pt>
                <c:pt idx="452">
                  <c:v>92.074057371807527</c:v>
                </c:pt>
                <c:pt idx="453">
                  <c:v>92.083417165877904</c:v>
                </c:pt>
                <c:pt idx="454">
                  <c:v>92.091947259991869</c:v>
                </c:pt>
                <c:pt idx="455">
                  <c:v>92.099751907446972</c:v>
                </c:pt>
                <c:pt idx="456">
                  <c:v>92.108410967057068</c:v>
                </c:pt>
                <c:pt idx="457">
                  <c:v>92.115368200089733</c:v>
                </c:pt>
                <c:pt idx="458">
                  <c:v>92.119498773554739</c:v>
                </c:pt>
                <c:pt idx="459">
                  <c:v>92.125745361331624</c:v>
                </c:pt>
                <c:pt idx="460">
                  <c:v>92.129592326825332</c:v>
                </c:pt>
                <c:pt idx="461">
                  <c:v>92.133130375847642</c:v>
                </c:pt>
                <c:pt idx="462">
                  <c:v>92.139136689013583</c:v>
                </c:pt>
                <c:pt idx="463">
                  <c:v>92.140132175897406</c:v>
                </c:pt>
                <c:pt idx="464">
                  <c:v>92.142285334317748</c:v>
                </c:pt>
                <c:pt idx="465">
                  <c:v>92.149046577029168</c:v>
                </c:pt>
                <c:pt idx="466">
                  <c:v>92.155246682865908</c:v>
                </c:pt>
                <c:pt idx="467">
                  <c:v>92.163385591636612</c:v>
                </c:pt>
                <c:pt idx="468">
                  <c:v>92.171419283227962</c:v>
                </c:pt>
                <c:pt idx="469">
                  <c:v>92.1812118794263</c:v>
                </c:pt>
                <c:pt idx="470">
                  <c:v>92.192908912782912</c:v>
                </c:pt>
                <c:pt idx="471">
                  <c:v>92.209007970273603</c:v>
                </c:pt>
                <c:pt idx="472">
                  <c:v>92.222300575140935</c:v>
                </c:pt>
                <c:pt idx="473">
                  <c:v>92.233266642570911</c:v>
                </c:pt>
                <c:pt idx="474">
                  <c:v>92.243978460546828</c:v>
                </c:pt>
                <c:pt idx="475">
                  <c:v>92.256871737958178</c:v>
                </c:pt>
                <c:pt idx="476">
                  <c:v>92.265764475861545</c:v>
                </c:pt>
                <c:pt idx="477">
                  <c:v>92.272762121345124</c:v>
                </c:pt>
                <c:pt idx="478">
                  <c:v>92.280447468367754</c:v>
                </c:pt>
                <c:pt idx="479">
                  <c:v>92.287812556171446</c:v>
                </c:pt>
                <c:pt idx="480">
                  <c:v>92.29254337854691</c:v>
                </c:pt>
                <c:pt idx="481">
                  <c:v>92.294481889055604</c:v>
                </c:pt>
                <c:pt idx="482">
                  <c:v>92.297137220710454</c:v>
                </c:pt>
                <c:pt idx="483">
                  <c:v>92.298104501938823</c:v>
                </c:pt>
                <c:pt idx="484">
                  <c:v>92.301040043165727</c:v>
                </c:pt>
                <c:pt idx="485">
                  <c:v>92.300460318686049</c:v>
                </c:pt>
                <c:pt idx="486">
                  <c:v>92.301553284456787</c:v>
                </c:pt>
                <c:pt idx="487">
                  <c:v>92.301575260559702</c:v>
                </c:pt>
                <c:pt idx="488">
                  <c:v>92.303384431987865</c:v>
                </c:pt>
                <c:pt idx="489">
                  <c:v>92.307262412532424</c:v>
                </c:pt>
                <c:pt idx="490">
                  <c:v>92.315097886171031</c:v>
                </c:pt>
                <c:pt idx="491">
                  <c:v>92.322015076053802</c:v>
                </c:pt>
                <c:pt idx="492">
                  <c:v>92.330997462159644</c:v>
                </c:pt>
                <c:pt idx="493">
                  <c:v>92.339659566510946</c:v>
                </c:pt>
                <c:pt idx="494">
                  <c:v>92.343959808144419</c:v>
                </c:pt>
                <c:pt idx="495">
                  <c:v>92.350174553726362</c:v>
                </c:pt>
                <c:pt idx="496">
                  <c:v>92.356777169820489</c:v>
                </c:pt>
                <c:pt idx="497">
                  <c:v>92.363048681140171</c:v>
                </c:pt>
                <c:pt idx="498">
                  <c:v>92.369365006158773</c:v>
                </c:pt>
                <c:pt idx="499">
                  <c:v>92.376595407478732</c:v>
                </c:pt>
                <c:pt idx="500">
                  <c:v>92.383373597003995</c:v>
                </c:pt>
                <c:pt idx="501">
                  <c:v>92.390052909350601</c:v>
                </c:pt>
                <c:pt idx="502">
                  <c:v>92.397362779602474</c:v>
                </c:pt>
                <c:pt idx="503">
                  <c:v>92.403310340790171</c:v>
                </c:pt>
                <c:pt idx="504">
                  <c:v>92.410220974826402</c:v>
                </c:pt>
                <c:pt idx="505">
                  <c:v>92.417159666007933</c:v>
                </c:pt>
                <c:pt idx="506">
                  <c:v>92.424903613825109</c:v>
                </c:pt>
                <c:pt idx="507">
                  <c:v>92.431475157632661</c:v>
                </c:pt>
                <c:pt idx="508">
                  <c:v>92.437844751871438</c:v>
                </c:pt>
                <c:pt idx="509">
                  <c:v>92.446069443605694</c:v>
                </c:pt>
                <c:pt idx="510">
                  <c:v>92.455148293058599</c:v>
                </c:pt>
                <c:pt idx="511">
                  <c:v>92.464171135517589</c:v>
                </c:pt>
                <c:pt idx="512">
                  <c:v>92.474900637640047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B1-407C-AB29-1EC56013C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77520"/>
        <c:axId val="1126875600"/>
      </c:lineChart>
      <c:dateAx>
        <c:axId val="11268775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875600"/>
        <c:crosses val="autoZero"/>
        <c:auto val="1"/>
        <c:lblOffset val="100"/>
        <c:baseTimeUnit val="days"/>
      </c:dateAx>
      <c:valAx>
        <c:axId val="1126875600"/>
        <c:scaling>
          <c:orientation val="minMax"/>
          <c:min val="8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87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19050</xdr:rowOff>
    </xdr:from>
    <xdr:to>
      <xdr:col>6</xdr:col>
      <xdr:colOff>190500</xdr:colOff>
      <xdr:row>13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261161-AEF4-433C-9A63-F9FA057CA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369CC6-677C-4760-81F4-4E38DBFA2ABC}" autoFormatId="16" applyNumberFormats="0" applyBorderFormats="0" applyFontFormats="0" applyPatternFormats="0" applyAlignmentFormats="0" applyWidthHeightFormats="0">
  <queryTableRefresh nextId="7" unboundColumnsRight="4">
    <queryTableFields count="6">
      <queryTableField id="1" name="Date" tableColumnId="1"/>
      <queryTableField id="2" name="Average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" c="513">
    <v t="i">1</v>
    <v t="i">2</v>
    <v t="i">3</v>
    <v t="i">4</v>
    <v t="i">7</v>
    <v t="i">8</v>
    <v t="i">9</v>
    <v t="i">10</v>
    <v t="i">11</v>
    <v t="i">15</v>
    <v t="i">16</v>
    <v t="i">17</v>
    <v t="i">18</v>
    <v t="i">21</v>
    <v t="i">22</v>
    <v t="i">23</v>
    <v t="i">24</v>
    <v t="i">25</v>
    <v t="i">28</v>
    <v t="i">29</v>
    <v t="i">30</v>
    <v t="i">31</v>
    <v t="i">32</v>
    <v t="i">35</v>
    <v t="i">36</v>
    <v t="i">37</v>
    <v t="i">38</v>
    <v t="i">39</v>
    <v t="i">42</v>
    <v t="i">43</v>
    <v t="i">44</v>
    <v t="i">45</v>
    <v t="i">46</v>
    <v t="i">50</v>
    <v t="i">51</v>
    <v t="i">52</v>
    <v t="i">53</v>
    <v t="i">56</v>
    <v t="i">57</v>
    <v t="i">58</v>
    <v t="i">59</v>
    <v t="i">60</v>
    <v t="i">63</v>
    <v t="i">64</v>
    <v t="i">65</v>
    <v t="i">66</v>
    <v t="i">67</v>
    <v t="i">70</v>
    <v t="i">71</v>
    <v t="i">72</v>
    <v t="i">73</v>
    <v t="i">74</v>
    <v t="i">77</v>
    <v t="i">78</v>
    <v t="i">79</v>
    <v t="i">80</v>
    <v t="i">81</v>
    <v t="i">84</v>
    <v t="i">85</v>
    <v t="i">86</v>
    <v t="i">87</v>
    <v t="i">91</v>
    <v t="i">92</v>
    <v t="i">93</v>
    <v t="i">94</v>
    <v t="i">95</v>
    <v t="i">98</v>
    <v t="i">99</v>
    <v t="i">100</v>
    <v t="i">101</v>
    <v t="i">102</v>
    <v t="i">105</v>
    <v t="i">106</v>
    <v t="i">107</v>
    <v t="i">108</v>
    <v t="i">109</v>
    <v t="i">112</v>
    <v t="i">113</v>
    <v t="i">114</v>
    <v t="i">115</v>
    <v t="i">116</v>
    <v t="i">119</v>
    <v t="i">120</v>
    <v t="i">121</v>
    <v t="i">122</v>
    <v t="i">123</v>
    <v t="i">126</v>
    <v t="i">127</v>
    <v t="i">128</v>
    <v t="i">129</v>
    <v t="i">130</v>
    <v t="i">133</v>
    <v t="i">134</v>
    <v t="i">135</v>
    <v t="i">136</v>
    <v t="i">137</v>
    <v t="i">140</v>
    <v t="i">141</v>
    <v t="i">142</v>
    <v t="i">143</v>
    <v t="i">144</v>
    <v t="i">148</v>
    <v t="i">149</v>
    <v t="i">150</v>
    <v t="i">151</v>
    <v t="i">154</v>
    <v t="i">155</v>
    <v t="i">156</v>
    <v t="i">157</v>
    <v t="i">158</v>
    <v t="i">161</v>
    <v t="i">162</v>
    <v t="i">163</v>
    <v t="i">164</v>
    <v t="i">165</v>
    <v t="i">168</v>
    <v t="i">169</v>
    <v t="i">171</v>
    <v t="i">172</v>
    <v t="i">175</v>
    <v t="i">176</v>
    <v t="i">177</v>
    <v t="i">178</v>
    <v t="i">179</v>
    <v t="i">182</v>
    <v t="i">183</v>
    <v t="i">184</v>
    <v t="i">186</v>
    <v t="i">189</v>
    <v t="i">190</v>
    <v t="i">191</v>
    <v t="i">192</v>
    <v t="i">193</v>
    <v t="i">196</v>
    <v t="i">197</v>
    <v t="i">198</v>
    <v t="i">199</v>
    <v t="i">200</v>
    <v t="i">203</v>
    <v t="i">204</v>
    <v t="i">205</v>
    <v t="i">206</v>
    <v t="i">207</v>
    <v t="i">210</v>
    <v t="i">211</v>
    <v t="i">212</v>
    <v t="i">213</v>
    <v t="i">214</v>
    <v t="i">217</v>
    <v t="i">218</v>
    <v t="i">219</v>
    <v t="i">220</v>
    <v t="i">221</v>
    <v t="i">224</v>
    <v t="i">225</v>
    <v t="i">226</v>
    <v t="i">227</v>
    <v t="i">228</v>
    <v t="i">231</v>
    <v t="i">232</v>
    <v t="i">233</v>
    <v t="i">234</v>
    <v t="i">235</v>
    <v t="i">238</v>
    <v t="i">239</v>
    <v t="i">240</v>
    <v t="i">241</v>
    <v t="i">242</v>
    <v t="i">246</v>
    <v t="i">247</v>
    <v t="i">248</v>
    <v t="i">249</v>
    <v t="i">252</v>
    <v t="i">253</v>
    <v t="i">254</v>
    <v t="i">255</v>
    <v t="i">256</v>
    <v t="i">259</v>
    <v t="i">260</v>
    <v t="i">261</v>
    <v t="i">262</v>
    <v t="i">263</v>
    <v t="i">266</v>
    <v t="i">267</v>
    <v t="i">268</v>
    <v t="i">269</v>
    <v t="i">270</v>
    <v t="i">273</v>
    <v t="i">274</v>
    <v t="i">275</v>
    <v t="i">276</v>
    <v t="i">277</v>
    <v t="i">280</v>
    <v t="i">281</v>
    <v t="i">282</v>
    <v t="i">283</v>
    <v t="i">284</v>
    <v t="i">287</v>
    <v t="i">288</v>
    <v t="i">289</v>
    <v t="i">290</v>
    <v t="i">291</v>
    <v t="i">294</v>
    <v t="i">295</v>
    <v t="i">296</v>
    <v t="i">297</v>
    <v t="i">298</v>
    <v t="i">301</v>
    <v t="i">302</v>
    <v t="i">303</v>
    <v t="i">304</v>
    <v t="i">305</v>
    <v t="i">308</v>
    <v t="i">309</v>
    <v t="i">310</v>
    <v t="i">311</v>
    <v t="i">312</v>
    <v t="i">315</v>
    <v t="i">316</v>
    <v t="i">317</v>
    <v t="i">318</v>
    <v t="i">319</v>
    <v t="i">322</v>
    <v t="i">323</v>
    <v t="i">324</v>
    <v t="i">325</v>
    <v t="i">326</v>
    <v t="i">329</v>
    <v t="i">330</v>
    <v t="i">331</v>
    <v t="i">333</v>
    <v t="i">336</v>
    <v t="i">337</v>
    <v t="i">338</v>
    <v t="i">339</v>
    <v t="i">340</v>
    <v t="i">343</v>
    <v t="i">344</v>
    <v t="i">345</v>
    <v t="i">346</v>
    <v t="i">347</v>
    <v t="i">350</v>
    <v t="i">351</v>
    <v t="i">352</v>
    <v t="i">353</v>
    <v t="i">354</v>
    <v t="i">357</v>
    <v t="i">358</v>
    <v t="i">360</v>
    <v t="i">361</v>
    <v t="i">364</v>
    <v t="i">365</v>
    <v t="i">367</v>
    <v t="i">368</v>
    <v t="i">371</v>
    <v t="i">372</v>
    <v t="i">373</v>
    <v t="i">375</v>
    <v t="i">378</v>
    <v t="i">379</v>
    <v t="i">380</v>
    <v t="i">381</v>
    <v t="i">382</v>
    <v t="i">386</v>
    <v t="i">387</v>
    <v t="i">388</v>
    <v t="i">389</v>
    <v t="i">392</v>
    <v t="i">393</v>
    <v t="i">394</v>
    <v t="i">395</v>
    <v t="i">396</v>
    <v t="i">399</v>
    <v t="i">400</v>
    <v t="i">401</v>
    <v t="i">402</v>
    <v t="i">403</v>
    <v t="i">406</v>
    <v t="i">407</v>
    <v t="i">408</v>
    <v t="i">409</v>
    <v t="i">410</v>
    <v t="i">414</v>
    <v t="i">415</v>
    <v t="i">416</v>
    <v t="i">417</v>
    <v t="i">420</v>
    <v t="i">421</v>
    <v t="i">422</v>
    <v t="i">423</v>
    <v t="i">424</v>
    <v t="i">427</v>
    <v t="i">428</v>
    <v t="i">429</v>
    <v t="i">430</v>
    <v t="i">431</v>
    <v t="i">434</v>
    <v t="i">435</v>
    <v t="i">436</v>
    <v t="i">437</v>
    <v t="i">438</v>
    <v t="i">441</v>
    <v t="i">442</v>
    <v t="i">443</v>
    <v t="i">444</v>
    <v t="i">445</v>
    <v t="i">448</v>
    <v t="i">449</v>
    <v t="i">450</v>
    <v t="i">451</v>
    <v t="i">452</v>
    <v t="i">455</v>
    <v t="i">456</v>
    <v t="i">457</v>
    <v t="i">458</v>
    <v t="i">459</v>
    <v t="i">462</v>
    <v t="i">463</v>
    <v t="i">464</v>
    <v t="i">465</v>
    <v t="i">466</v>
    <v t="i">469</v>
    <v t="i">470</v>
    <v t="i">471</v>
    <v t="i">472</v>
    <v t="i">476</v>
    <v t="i">477</v>
    <v t="i">478</v>
    <v t="i">479</v>
    <v t="i">480</v>
    <v t="i">483</v>
    <v t="i">484</v>
    <v t="i">485</v>
    <v t="i">486</v>
    <v t="i">487</v>
    <v t="i">490</v>
    <v t="i">491</v>
    <v t="i">492</v>
    <v t="i">493</v>
    <v t="i">494</v>
    <v t="i">497</v>
    <v t="i">498</v>
    <v t="i">499</v>
    <v t="i">500</v>
    <v t="i">501</v>
    <v t="i">504</v>
    <v t="i">505</v>
    <v t="i">506</v>
    <v t="i">507</v>
    <v t="i">508</v>
    <v t="i">512</v>
    <v t="i">513</v>
    <v t="i">514</v>
    <v t="i">515</v>
    <v t="i">518</v>
    <v t="i">519</v>
    <v t="i">520</v>
    <v t="i">521</v>
    <v t="i">522</v>
    <v t="i">525</v>
    <v t="i">526</v>
    <v t="i">527</v>
    <v t="i">528</v>
    <v t="i">529</v>
    <v t="i">532</v>
    <v t="i">533</v>
    <v t="i">534</v>
    <v t="i">536</v>
    <v t="i">539</v>
    <v t="i">540</v>
    <v t="i">541</v>
    <v t="i">542</v>
    <v t="i">543</v>
    <v t="i">546</v>
    <v t="i">547</v>
    <v t="i">548</v>
    <v t="i">549</v>
    <v t="i">553</v>
    <v t="i">554</v>
    <v t="i">555</v>
    <v t="i">556</v>
    <v t="i">557</v>
    <v t="i">560</v>
    <v t="i">561</v>
    <v t="i">562</v>
    <v t="i">563</v>
    <v t="i">564</v>
    <v t="i">567</v>
    <v t="i">568</v>
    <v t="i">569</v>
    <v t="i">570</v>
    <v t="i">571</v>
    <v t="i">574</v>
    <v t="i">575</v>
    <v t="i">576</v>
    <v t="i">577</v>
    <v t="i">578</v>
    <v t="i">581</v>
    <v t="i">582</v>
    <v t="i">583</v>
    <v t="i">584</v>
    <v t="i">585</v>
    <v t="i">588</v>
    <v t="i">589</v>
    <v t="i">590</v>
    <v t="i">591</v>
    <v t="i">592</v>
    <v t="i">595</v>
    <v t="i">596</v>
    <v t="i">597</v>
    <v t="i">598</v>
    <v t="i">599</v>
    <v t="i">602</v>
    <v t="i">603</v>
    <v t="i">604</v>
    <v t="i">605</v>
    <v t="i">606</v>
    <v t="i">610</v>
    <v t="i">611</v>
    <v t="i">612</v>
    <v t="i">613</v>
    <v t="i">616</v>
    <v t="i">617</v>
    <v t="i">618</v>
    <v t="i">619</v>
    <v t="i">620</v>
    <v t="i">623</v>
    <v t="i">624</v>
    <v t="i">625</v>
    <v t="i">626</v>
    <v t="i">627</v>
    <v t="i">630</v>
    <v t="i">631</v>
    <v t="i">632</v>
    <v t="i">633</v>
    <v t="i">634</v>
    <v t="i">637</v>
    <v t="i">638</v>
    <v t="i">639</v>
    <v t="i">640</v>
    <v t="i">641</v>
    <v t="i">644</v>
    <v t="i">645</v>
    <v t="i">646</v>
    <v t="i">647</v>
    <v t="i">648</v>
    <v t="i">651</v>
    <v t="i">652</v>
    <v t="i">653</v>
    <v t="i">654</v>
    <v t="i">655</v>
    <v t="i">658</v>
    <v t="i">659</v>
    <v t="i">660</v>
    <v t="i">661</v>
    <v t="i">662</v>
    <v t="i">665</v>
    <v t="i">666</v>
    <v t="i">667</v>
    <v t="i">668</v>
    <v t="i">669</v>
    <v t="i">672</v>
    <v t="i">673</v>
    <v t="i">674</v>
    <v t="i">675</v>
    <v t="i">676</v>
    <v t="i">679</v>
    <v t="i">680</v>
    <v t="i">681</v>
    <v t="i">682</v>
    <v t="i">683</v>
    <v t="i">686</v>
    <v t="i">687</v>
    <v t="i">688</v>
    <v t="i">689</v>
    <v t="i">690</v>
    <v t="i">693</v>
    <v t="i">694</v>
    <v t="i">695</v>
    <v t="i">697</v>
    <v t="i">700</v>
    <v t="i">701</v>
    <v t="i">702</v>
    <v t="i">703</v>
    <v t="i">704</v>
    <v t="i">707</v>
    <v t="i">708</v>
    <v t="i">709</v>
    <v t="i">710</v>
    <v t="i">711</v>
    <v t="i">714</v>
    <v t="i">715</v>
    <v t="i">716</v>
    <v t="i">717</v>
    <v t="i">718</v>
    <v t="i">721</v>
    <v t="i">722</v>
    <v t="i">723</v>
    <v t="i">725</v>
    <v t="i">728</v>
    <v t="i">729</v>
    <v t="i">730</v>
    <v t="i">732</v>
    <v t="i">735</v>
    <v t="i">736</v>
    <v t="i">737</v>
    <v t="i">738</v>
    <v t="i">739</v>
    <v t="i">742</v>
    <v t="i">743</v>
    <v t="i">744</v>
    <v t="i">745</v>
    <v t="i">746</v>
  </a>
  <a r="1" c="513">
    <v>92.41</v>
    <v>93</v>
    <v>93.25</v>
    <v>93.52</v>
    <v>93.81</v>
    <v>93.7</v>
    <v>94.32</v>
    <v>91.25</v>
    <v>91.62</v>
    <v>91.56</v>
    <v>90.55</v>
    <v>89.4</v>
    <v>89.86</v>
    <v>89.2</v>
    <v>89.12</v>
    <v>88.32</v>
    <v>89.67</v>
    <v>90.02</v>
    <v>90.59</v>
    <v>90.68</v>
    <v>90.9</v>
    <v>92.78</v>
    <v>91.1</v>
    <v>89.67</v>
    <v>89.77</v>
    <v>89.47</v>
    <v>88.67</v>
    <v>89.06</v>
    <v>89.45</v>
    <v>86.67</v>
    <v>86.84</v>
    <v>88.22</v>
    <v>87.32</v>
    <v>87.58</v>
    <v>88.61</v>
    <v>87.91</v>
    <v>87.93</v>
    <v>86.21</v>
    <v>86.88</v>
    <v>86.65</v>
    <v>87.21</v>
    <v>87.01</v>
    <v>89.13</v>
    <v>88.99</v>
    <v>89.85</v>
    <v>89.94</v>
    <v>90.12</v>
    <v>90.8</v>
    <v>89.93</v>
    <v>89.57</v>
    <v>88.67</v>
    <v>88.94</v>
    <v>88.99</v>
    <v>89.71</v>
    <v>89.04</v>
    <v>88.65</v>
    <v>88.6</v>
    <v>88.5</v>
    <v>87.45</v>
    <v>90.05</v>
    <v>90.81</v>
    <v>90.33</v>
    <v>90.6</v>
    <v>89.89</v>
    <v>90.19</v>
    <v>89.65</v>
    <v>90.6</v>
    <v>91.13</v>
    <v>88.89</v>
    <v>88.55</v>
    <v>88.63</v>
    <v>89.32</v>
    <v>87.42</v>
    <v>90.33</v>
    <v>90.9</v>
    <v>91.77</v>
    <v>92.73</v>
    <v>92.84</v>
    <v>93.43</v>
    <v>94.11</v>
    <v>92.93</v>
    <v>93.97</v>
    <v>94.4</v>
    <v>94.8</v>
    <v>95.25</v>
    <v>95.56</v>
    <v>96.13</v>
    <v>97.5</v>
    <v>97.57</v>
    <v>98.12</v>
    <v>97.7</v>
    <v>97.64</v>
    <v>96.64</v>
    <v>96.91</v>
    <v>96.91</v>
    <v>97.1</v>
    <v>96.51</v>
    <v>96.34</v>
    <v>96.13</v>
    <v>93.87</v>
    <v>94.43</v>
    <v>93.21</v>
    <v>91.91</v>
    <v>92.45</v>
    <v>94.55</v>
    <v>93.68</v>
    <v>93.72</v>
    <v>92.6</v>
    <v>91.89</v>
    <v>91.61</v>
    <v>92.32</v>
    <v>91.75</v>
    <v>91.14</v>
    <v>90.61</v>
    <v>90.87</v>
    <v>90.65</v>
    <v>90.39</v>
    <v>90.53</v>
    <v>90.34</v>
    <v>91.27</v>
    <v>89.39</v>
    <v>89.67</v>
    <v>89.68</v>
    <v>89.42</v>
    <v>88.81</v>
    <v>88.97</v>
    <v>88.71</v>
    <v>89.27</v>
    <v>88.42</v>
    <v>88.85</v>
    <v>89.87</v>
    <v>91.46</v>
    <v>92.19</v>
    <v>90.26</v>
    <v>91.55</v>
    <v>93.76</v>
    <v>94.11</v>
    <v>94.04</v>
    <v>94.64</v>
    <v>93.25</v>
    <v>95.88</v>
    <v>95.92</v>
    <v>96.44</v>
    <v>96.87</v>
    <v>98.16</v>
    <v>97.52</v>
    <v>100.21</v>
    <v>101.83</v>
    <v>100.7</v>
    <v>100.89</v>
    <v>101.19</v>
    <v>100.5</v>
    <v>101.02</v>
    <v>101.94</v>
    <v>101.6</v>
    <v>100.86</v>
    <v>99.23</v>
    <v>100.1</v>
    <v>100.41</v>
    <v>100.17</v>
    <v>100.42</v>
    <v>100.67</v>
    <v>100.6</v>
    <v>100.9</v>
    <v>99.59</v>
    <v>100.39</v>
    <v>100.81</v>
    <v>101.56</v>
    <v>103.28</v>
    <v>104.4</v>
    <v>103.79</v>
    <v>103.28</v>
    <v>104.75</v>
    <v>104.97</v>
    <v>103.82</v>
    <v>103.39</v>
    <v>104.56</v>
    <v>104.85</v>
    <v>104.54</v>
    <v>103.41</v>
    <v>102.12</v>
    <v>103.35</v>
    <v>104.02</v>
    <v>102.82</v>
    <v>103.16</v>
    <v>103.12</v>
    <v>104.05</v>
    <v>104.13</v>
    <v>105.15</v>
    <v>104.45</v>
    <v>104.02</v>
    <v>103.15</v>
    <v>101.14</v>
    <v>102.11</v>
    <v>102.37</v>
    <v>101.58</v>
    <v>102.32</v>
    <v>103.04</v>
    <v>105.45</v>
    <v>106.14</v>
    <v>105.66</v>
    <v>106.76</v>
    <v>106.26</v>
    <v>105.7</v>
    <v>107.4</v>
    <v>107</v>
    <v>104.6</v>
    <v>104.81</v>
    <v>102.91</v>
    <v>102.72</v>
    <v>101.68</v>
    <v>100</v>
    <v>99.15</v>
    <v>99.82</v>
    <v>98.96</v>
    <v>97.58</v>
    <v>98.13</v>
    <v>98.48</v>
    <v>97.04</v>
    <v>95.41</v>
    <v>95.24</v>
    <v>96.44</v>
    <v>96.45</v>
    <v>96.97</v>
    <v>97.88</v>
    <v>98.7</v>
    <v>98.36</v>
    <v>99.47</v>
    <v>101.7</v>
    <v>101.58</v>
    <v>100.59</v>
    <v>98.5</v>
    <v>97.53</v>
    <v>96.62</v>
    <v>96.5</v>
    <v>94.82</v>
    <v>94.78</v>
    <v>94.69</v>
    <v>92.75</v>
    <v>92.61</v>
    <v>92.69</v>
    <v>91.26</v>
    <v>90.84</v>
    <v>88.87</v>
    <v>89.07</v>
    <v>90.03</v>
    <v>89.67</v>
    <v>89.58</v>
    <v>89.59</v>
    <v>89.56</v>
    <v>89.16</v>
    <v>89.23</v>
    <v>89.03</v>
    <v>89.24</v>
    <v>88.37</v>
    <v>88</v>
    <v>89.01</v>
    <v>88.15</v>
    <v>88.47</v>
    <v>89.37</v>
    <v>90.23</v>
    <v>92.22</v>
    <v>93.65</v>
    <v>93.21</v>
    <v>90.77</v>
    <v>90.76</v>
    <v>90.6</v>
    <v>94.89</v>
    <v>93.39</v>
    <v>92.57</v>
    <v>93.86</v>
    <v>93.74</v>
    <v>95.62</v>
    <v>94.91</v>
    <v>96.19</v>
    <v>95.42</v>
    <v>96.08</v>
    <v>96.7</v>
    <v>96.31</v>
    <v>94.57</v>
    <v>95.66</v>
    <v>94.92</v>
    <v>95.76</v>
    <v>95.26</v>
    <v>95.76</v>
    <v>98.26</v>
    <v>99.68</v>
    <v>100.97</v>
    <v>99.96</v>
    <v>99.92</v>
    <v>101.52</v>
    <v>104.02</v>
    <v>102.15</v>
    <v>100.2</v>
    <v>100.91</v>
    <v>103.64</v>
    <v>106.66</v>
    <v>103.77</v>
    <v>102.64</v>
    <v>104.57</v>
    <v>106.41</v>
    <v>107.62</v>
    <v>107.81</v>
    <v>107.49</v>
    <v>108.48</v>
    <v>107.8</v>
    <v>106.83</v>
    <v>105.55</v>
    <v>107.46</v>
    <v>107.89</v>
    <v>108.77</v>
    <v>110.59</v>
    <v>110.06</v>
    <v>109.58</v>
    <v>112.72</v>
    <v>109.32</v>
    <v>105.4</v>
    <v>106.05</v>
    <v>105.77</v>
    <v>108.3</v>
    <v>109.84</v>
    <v>112.25</v>
    <v>111.81</v>
    <v>111.44</v>
    <v>112.1</v>
    <v>110.96</v>
    <v>113.3</v>
    <v>112.52</v>
    <v>111.29</v>
    <v>110.45</v>
    <v>111.13</v>
    <v>112.13</v>
    <v>112.75</v>
    <v>112.56</v>
    <v>110.03</v>
    <v>109.52</v>
    <v>110.47</v>
    <v>111.04</v>
    <v>107.75</v>
    <v>107.68</v>
    <v>103.54</v>
    <v>100.58</v>
    <v>99.27</v>
    <v>102.01</v>
    <v>104.29</v>
    <v>105.38</v>
    <v>105.71</v>
    <v>105.22</v>
    <v>103.42</v>
    <v>104.1</v>
    <v>103.97</v>
    <v>102.11</v>
    <v>103.38</v>
    <v>104.49</v>
    <v>103.86</v>
    <v>103.24</v>
    <v>102.21</v>
    <v>102.27</v>
    <v>101.61</v>
    <v>101.11</v>
    <v>102.4</v>
    <v>102.55</v>
    <v>103.76</v>
    <v>103.96</v>
    <v>101.63</v>
    <v>101.35</v>
    <v>100.73</v>
    <v>100.97</v>
    <v>101.15</v>
    <v>100.19</v>
    <v>98.05</v>
    <v>98.41</v>
    <v>98.15</v>
    <v>100.35</v>
    <v>100.78</v>
    <v>99.92</v>
    <v>100.31</v>
    <v>99.71</v>
    <v>99.31</v>
    <v>99.97</v>
    <v>101.07</v>
    <v>100.59</v>
    <v>101.01</v>
    <v>99.95</v>
    <v>100.46</v>
    <v>100.6</v>
    <v>101.08</v>
    <v>102.07</v>
    <v>103.59</v>
    <v>102.55</v>
    <v>102.05</v>
    <v>102.26</v>
    <v>100.98</v>
    <v>102.24</v>
    <v>102.59</v>
    <v>103.5</v>
    <v>104.44</v>
    <v>105.36</v>
    <v>104.18</v>
    <v>104.15</v>
    <v>105</v>
    <v>104.48</v>
    <v>104.12</v>
    <v>103.69</v>
    <v>103.66</v>
    <v>102.86</v>
    <v>100.77</v>
    <v>99.74</v>
    <v>101.1</v>
    <v>101.76</v>
    <v>101.5</v>
    <v>101.65</v>
    <v>99.95</v>
    <v>99.72</v>
    <v>100.07</v>
    <v>98.17</v>
    <v>98.23</v>
    <v>97.2</v>
    <v>97.85</v>
    <v>97.8</v>
    <v>98.05</v>
    <v>96.65</v>
    <v>96.98</v>
    <v>97.08</v>
    <v>97.7</v>
    <v>97.55</v>
    <v>97</v>
    <v>95.57</v>
    <v>96.4</v>
    <v>96.35</v>
    <v>96.33</v>
    <v>96.62</v>
    <v>98.55</v>
    <v>98.81</v>
    <v>98.35</v>
    <v>99.62</v>
    <v>99.57</v>
    <v>100.52</v>
    <v>98.17</v>
    <v>97.64</v>
    <v>98.81</v>
    <v>99.33</v>
    <v>100.04</v>
    <v>100.83</v>
    <v>100.8</v>
    <v>102.39</v>
    <v>100.86</v>
    <v>101.89</v>
    <v>102.29</v>
    <v>101.07</v>
    <v>101.19</v>
    <v>101.72</v>
    <v>101.56</v>
    <v>101.94</v>
    <v>100.77</v>
    <v>100.04</v>
    <v>100.22</v>
    <v>98.55</v>
    <v>97</v>
    <v>98.19</v>
    <v>97.41</v>
    <v>96.64</v>
    <v>97.96</v>
    <v>96.11</v>
    <v>96.99</v>
    <v>98.52</v>
    <v>98.24</v>
    <v>99.59</v>
    <v>100.19</v>
    <v>100.95</v>
    <v>101.66</v>
    <v>103.85</v>
    <v>102.91</v>
    <v>100.38</v>
    <v>100.95</v>
    <v>100.16</v>
    <v>98.92</v>
    <v>98.85</v>
    <v>100.14</v>
    <v>100.36</v>
    <v>97.88</v>
    <v>96.87</v>
    <v>96.45</v>
    <v>96.22</v>
    <v>96.6</v>
    <v>95.45</v>
    <v>95.82</v>
    <v>95.41</v>
    <v>95.64</v>
    <v>97.53</v>
    <v>99.39</v>
    <v>98.9</v>
    <v>100.21</v>
    <v>99.99</v>
    <v>98.06</v>
    <v>98.57</v>
    <v>98.95</v>
    <v>99.53</v>
    <v>99.3</v>
    <v>99.54</v>
    <v>99.89</v>
    <v>99.32</v>
    <v>99.99</v>
    <v>98.5</v>
    <v>99.32</v>
    <v>99.37</v>
    <v>100.18</v>
    <v>99.21</v>
    <v>98.83</v>
    <v>100.21</v>
    <v>101.47</v>
    <v>102.58</v>
    <v>103.81</v>
  </a>
  <a r="1" c="513">
    <v>1806880</v>
    <v>2014288</v>
    <v>1727129</v>
    <v>1971991</v>
    <v>1203530</v>
    <v>1291766</v>
    <v>1572378</v>
    <v>2045304</v>
    <v>2202499</v>
    <v>2038202</v>
    <v>1885348</v>
    <v>1682318</v>
    <v>1689928</v>
    <v>1678501</v>
    <v>1586101</v>
    <v>1932368</v>
    <v>1548425</v>
    <v>2218871</v>
    <v>2173342</v>
    <v>1550005</v>
    <v>3138166</v>
    <v>1625052</v>
    <v>1978373</v>
    <v>1852011</v>
    <v>1621500</v>
    <v>1413513</v>
    <v>1626478</v>
    <v>1457619</v>
    <v>1627308</v>
    <v>3513616</v>
    <v>2412954</v>
    <v>2168515</v>
    <v>2949343</v>
    <v>1974526</v>
    <v>1747225</v>
    <v>1628834</v>
    <v>1190734</v>
    <v>1562868</v>
    <v>1159107</v>
    <v>1185454</v>
    <v>2803360</v>
    <v>1571973</v>
    <v>1960927</v>
    <v>2037247</v>
    <v>1436735</v>
    <v>1007905</v>
    <v>1072856</v>
    <v>1197165</v>
    <v>1316827</v>
    <v>1673563</v>
    <v>1450252</v>
    <v>3462511</v>
    <v>1354963</v>
    <v>1507656</v>
    <v>1545741</v>
    <v>2162914</v>
    <v>1507460</v>
    <v>1163704</v>
    <v>1411961</v>
    <v>1935394</v>
    <v>1785835</v>
    <v>1109597</v>
    <v>1829435</v>
    <v>1404637</v>
    <v>1666995</v>
    <v>1737921</v>
    <v>1437861</v>
    <v>1184146</v>
    <v>1623462</v>
    <v>1325849</v>
    <v>1395978</v>
    <v>3517995</v>
    <v>2098153</v>
    <v>2923183</v>
    <v>2528774</v>
    <v>7398350</v>
    <v>1818305</v>
    <v>1843846</v>
    <v>2001652</v>
    <v>2191488</v>
    <v>1418568</v>
    <v>1146354</v>
    <v>3731976</v>
    <v>2372909</v>
    <v>1991646</v>
    <v>2465195</v>
    <v>2071466</v>
    <v>2029790</v>
    <v>2179673</v>
    <v>1613152</v>
    <v>1688630</v>
    <v>1557959</v>
    <v>1723445</v>
    <v>1749069</v>
    <v>2388169</v>
    <v>1570651</v>
    <v>1224455</v>
    <v>1515950</v>
    <v>3657513</v>
    <v>2056720</v>
    <v>1639105</v>
    <v>2168958</v>
    <v>2013488</v>
    <v>1929613</v>
    <v>7907625</v>
    <v>2211836</v>
    <v>3445948</v>
    <v>2129688</v>
    <v>1416883</v>
    <v>1312297</v>
    <v>1803642</v>
    <v>1315681</v>
    <v>1333420</v>
    <v>1598015</v>
    <v>1258477</v>
    <v>1401222</v>
    <v>1336404</v>
    <v>1383835</v>
    <v>3202328</v>
    <v>1441194</v>
    <v>1531285</v>
    <v>1838729</v>
    <v>1258140</v>
    <v>2647348</v>
    <v>1145188</v>
    <v>1128198</v>
    <v>922354</v>
    <v>1551140</v>
    <v>1169376</v>
    <v>1589236</v>
    <v>1188425</v>
    <v>1345746</v>
    <v>1222858</v>
    <v>1490241</v>
    <v>1526591</v>
    <v>2039333</v>
    <v>2135657</v>
    <v>1809737</v>
    <v>1547938</v>
    <v>1245714</v>
    <v>2179846</v>
    <v>1920793</v>
    <v>1438755</v>
    <v>1320213</v>
    <v>1127031</v>
    <v>1623371</v>
    <v>2409332</v>
    <v>4425804</v>
    <v>2846485</v>
    <v>1956382</v>
    <v>2139807</v>
    <v>1784635</v>
    <v>1512920</v>
    <v>1238505</v>
    <v>1505744</v>
    <v>1639219</v>
    <v>2757442</v>
    <v>1684765</v>
    <v>1837783</v>
    <v>1460744</v>
    <v>1922499</v>
    <v>1844957</v>
    <v>1620024</v>
    <v>1221535</v>
    <v>927271</v>
    <v>1019536</v>
    <v>1150898</v>
    <v>2366505</v>
    <v>2122586</v>
    <v>1501047</v>
    <v>1538696</v>
    <v>1760628</v>
    <v>1672940</v>
    <v>1271138</v>
    <v>2685901</v>
    <v>1528602</v>
    <v>1274726</v>
    <v>1467923</v>
    <v>1391024</v>
    <v>1347037</v>
    <v>1761679</v>
    <v>3492651</v>
    <v>1053579</v>
    <v>1063139</v>
    <v>1151089</v>
    <v>1391590</v>
    <v>1366877</v>
    <v>1449539</v>
    <v>1834563</v>
    <v>996739</v>
    <v>952060</v>
    <v>952852</v>
    <v>1967334</v>
    <v>1328778</v>
    <v>1114658</v>
    <v>1179589</v>
    <v>1317182</v>
    <v>1976020</v>
    <v>2748901</v>
    <v>1869233</v>
    <v>1727853</v>
    <v>6365337</v>
    <v>1405779</v>
    <v>1207216</v>
    <v>1663173</v>
    <v>1127349</v>
    <v>1734348</v>
    <v>1204579</v>
    <v>1452899</v>
    <v>1641332</v>
    <v>3732407</v>
    <v>2832691</v>
    <v>2088316</v>
    <v>2062310</v>
    <v>3701796</v>
    <v>3061381</v>
    <v>2915588</v>
    <v>1968440</v>
    <v>2682776</v>
    <v>2129523</v>
    <v>2112696</v>
    <v>2239156</v>
    <v>1838749</v>
    <v>1861442</v>
    <v>2119615</v>
    <v>1470557</v>
    <v>1185988</v>
    <v>3996180</v>
    <v>2435337</v>
    <v>1330448</v>
    <v>952343</v>
    <v>1911596</v>
    <v>1535995</v>
    <v>5090667</v>
    <v>2615839</v>
    <v>2813525</v>
    <v>2529568</v>
    <v>1695783</v>
    <v>2352368</v>
    <v>2300218</v>
    <v>1868498</v>
    <v>3004564</v>
    <v>2172159</v>
    <v>2677519</v>
    <v>2555753</v>
    <v>4876371</v>
    <v>1979057</v>
    <v>653911</v>
    <v>1879775</v>
    <v>1319594</v>
    <v>1377975</v>
    <v>1640959</v>
    <v>1557946</v>
    <v>1954733</v>
    <v>1981278</v>
    <v>2861220</v>
    <v>1793238</v>
    <v>2243180</v>
    <v>1883715</v>
    <v>2103980</v>
    <v>1972026</v>
    <v>2097561</v>
    <v>3516804</v>
    <v>2761523</v>
    <v>1805432</v>
    <v>1649741</v>
    <v>2596989</v>
    <v>4043815</v>
    <v>2470603</v>
    <v>1935876</v>
    <v>2274316</v>
    <v>6072722</v>
    <v>3234925</v>
    <v>2186451</v>
    <v>1874087</v>
    <v>1587040</v>
    <v>1520031</v>
    <v>1570620</v>
    <v>3162385</v>
    <v>3704165</v>
    <v>1860296</v>
    <v>1948212</v>
    <v>2568491</v>
    <v>1857550</v>
    <v>2580181</v>
    <v>4414893</v>
    <v>2943078</v>
    <v>3481345</v>
    <v>2072708</v>
    <v>3314096</v>
    <v>5254613</v>
    <v>3555914</v>
    <v>3592034</v>
    <v>5509676</v>
    <v>4345916</v>
    <v>2865771</v>
    <v>3471894</v>
    <v>2731268</v>
    <v>3739207</v>
    <v>2392163</v>
    <v>3779158</v>
    <v>3930736</v>
    <v>3275711</v>
    <v>2293611</v>
    <v>1896164</v>
    <v>4415458</v>
    <v>1897938</v>
    <v>2543771</v>
    <v>1925093</v>
    <v>1859144</v>
    <v>2392331</v>
    <v>2920439</v>
    <v>2507642</v>
    <v>2015191</v>
    <v>4175537</v>
    <v>6395885</v>
    <v>4405486</v>
    <v>2683063</v>
    <v>4912769</v>
    <v>3382289</v>
    <v>2617288</v>
    <v>2133340</v>
    <v>2314523</v>
    <v>2133038</v>
    <v>2055242</v>
    <v>2333943</v>
    <v>1833656</v>
    <v>2098373</v>
    <v>2389269</v>
    <v>2820849</v>
    <v>2938240</v>
    <v>2000418</v>
    <v>4940839</v>
    <v>3265519</v>
    <v>3421767</v>
    <v>3225219</v>
    <v>2186858</v>
    <v>3555181</v>
    <v>3652455</v>
    <v>2248912</v>
    <v>3918415</v>
    <v>4495917</v>
    <v>3383905</v>
    <v>3497345</v>
    <v>2758882</v>
    <v>2047865</v>
    <v>2177662</v>
    <v>2741568</v>
    <v>2266069</v>
    <v>2116235</v>
    <v>2638922</v>
    <v>1945687</v>
    <v>2762859</v>
    <v>6398572</v>
    <v>2292241</v>
    <v>2316659</v>
    <v>1845717</v>
    <v>2734457</v>
    <v>1694578</v>
    <v>1781808</v>
    <v>2311885</v>
    <v>2439137</v>
    <v>1902564</v>
    <v>3337359</v>
    <v>2737989</v>
    <v>2844894</v>
    <v>2620595</v>
    <v>7504224</v>
    <v>3957784</v>
    <v>2952898</v>
    <v>4397192</v>
    <v>2655622</v>
    <v>2880053</v>
    <v>2930483</v>
    <v>2749128</v>
    <v>2485839</v>
    <v>1316576</v>
    <v>1800719</v>
    <v>3451218</v>
    <v>2782533</v>
    <v>1851807</v>
    <v>1853687</v>
    <v>1409864</v>
    <v>1731322</v>
    <v>1865373</v>
    <v>2131709</v>
    <v>1813453</v>
    <v>1667769</v>
    <v>1663862</v>
    <v>2563086</v>
    <v>2467810</v>
    <v>1375737</v>
    <v>1995248</v>
    <v>1265041</v>
    <v>1565213</v>
    <v>3483197</v>
    <v>2272580</v>
    <v>2345153</v>
    <v>2515949</v>
    <v>1993167</v>
    <v>2577713</v>
    <v>2796477</v>
    <v>2357182</v>
    <v>2578774</v>
    <v>2728415</v>
    <v>2171761</v>
    <v>3098753</v>
    <v>2789322</v>
    <v>3948355</v>
    <v>3216440</v>
    <v>2282712</v>
    <v>2753050</v>
    <v>2498894</v>
    <v>3309463</v>
    <v>4313818</v>
    <v>2400163</v>
    <v>4220120</v>
    <v>3019315</v>
    <v>4306674</v>
    <v>2033303</v>
    <v>1724666</v>
    <v>2189394</v>
    <v>1282697</v>
    <v>1603960</v>
    <v>1689992</v>
    <v>1249463</v>
    <v>1351898</v>
    <v>2116706</v>
    <v>1879757</v>
    <v>1815705</v>
    <v>4091681</v>
    <v>1938992</v>
    <v>2204294</v>
    <v>1611788</v>
    <v>1848471</v>
    <v>1947302</v>
    <v>1875302</v>
    <v>2199219</v>
    <v>2301874</v>
    <v>1449485</v>
    <v>1676205</v>
    <v>1769805</v>
    <v>1722042</v>
    <v>1570590</v>
    <v>1816124</v>
    <v>2059205</v>
    <v>1515680</v>
    <v>1423256</v>
    <v>1556615</v>
    <v>1558806</v>
    <v>1597575</v>
    <v>1129321</v>
    <v>1116965</v>
    <v>1508989</v>
    <v>1302838</v>
    <v>1036366</v>
    <v>1537561</v>
    <v>1156747</v>
    <v>1804147</v>
    <v>2073284</v>
    <v>2770794</v>
    <v>1692176</v>
    <v>1614634</v>
    <v>2273863</v>
    <v>3064515</v>
    <v>2924446</v>
    <v>2188924</v>
    <v>1779798</v>
    <v>1340259</v>
    <v>1977816</v>
    <v>2443256</v>
    <v>3007831</v>
    <v>2585563</v>
    <v>3059734</v>
    <v>2462396</v>
    <v>4721989</v>
    <v>7708010</v>
    <v>2127188</v>
    <v>1305669</v>
    <v>1063335</v>
    <v>2744812</v>
    <v>2753150</v>
    <v>1762033</v>
    <v>2303530</v>
    <v>1775844</v>
    <v>2089307</v>
    <v>1823336</v>
    <v>1848956</v>
    <v>1396780</v>
    <v>2638227</v>
    <v>2388088</v>
    <v>2321135</v>
    <v>2330732</v>
    <v>2345340</v>
    <v>4366286</v>
    <v>1526222</v>
    <v>1485103</v>
    <v>522559</v>
    <v>611485</v>
    <v>1647935</v>
    <v>1019883</v>
    <v>1218242</v>
    <v>1441121</v>
    <v>2112395</v>
    <v>1643792</v>
    <v>1638957</v>
    <v>1717623</v>
    <v>1354245</v>
    <v>1987289</v>
    <v>2073342</v>
    <v>1963060</v>
    <v>1813479</v>
    <v>2201908</v>
  </a>
</arrayData>
</file>

<file path=xl/richData/rdrichvalue.xml><?xml version="1.0" encoding="utf-8"?>
<rvData xmlns="http://schemas.microsoft.com/office/spreadsheetml/2017/richdata" count="1483">
  <rv s="0">
    <fb>45293</fb>
    <v>0</v>
  </rv>
  <rv s="0">
    <fb>92.41</fb>
    <v>1</v>
  </rv>
  <rv s="0">
    <fb>1806880</fb>
    <v>2</v>
  </rv>
  <rv s="0">
    <fb>45294</fb>
    <v>0</v>
  </rv>
  <rv s="0">
    <fb>93</fb>
    <v>1</v>
  </rv>
  <rv s="0">
    <fb>2014288</fb>
    <v>2</v>
  </rv>
  <rv s="0">
    <fb>45295</fb>
    <v>0</v>
  </rv>
  <rv s="0">
    <fb>93.25</fb>
    <v>1</v>
  </rv>
  <rv s="0">
    <fb>1727129</fb>
    <v>2</v>
  </rv>
  <rv s="0">
    <fb>45296</fb>
    <v>0</v>
  </rv>
  <rv s="0">
    <fb>93.52</fb>
    <v>1</v>
  </rv>
  <rv s="0">
    <fb>1971991</fb>
    <v>2</v>
  </rv>
  <rv s="0">
    <fb>45299</fb>
    <v>0</v>
  </rv>
  <rv s="0">
    <fb>93.81</fb>
    <v>1</v>
  </rv>
  <rv s="0">
    <fb>1203530</fb>
    <v>2</v>
  </rv>
  <rv s="0">
    <fb>45300</fb>
    <v>0</v>
  </rv>
  <rv s="0">
    <fb>93.7</fb>
    <v>1</v>
  </rv>
  <rv s="0">
    <fb>1291766</fb>
    <v>2</v>
  </rv>
  <rv s="0">
    <fb>45301</fb>
    <v>0</v>
  </rv>
  <rv s="0">
    <fb>94.32</fb>
    <v>1</v>
  </rv>
  <rv s="0">
    <fb>1572378</fb>
    <v>2</v>
  </rv>
  <rv s="0">
    <fb>45302</fb>
    <v>0</v>
  </rv>
  <rv s="0">
    <fb>91.25</fb>
    <v>1</v>
  </rv>
  <rv s="0">
    <fb>2045304</fb>
    <v>2</v>
  </rv>
  <rv s="0">
    <fb>45303</fb>
    <v>0</v>
  </rv>
  <rv s="0">
    <fb>91.62</fb>
    <v>1</v>
  </rv>
  <rv s="0">
    <fb>2202499</fb>
    <v>2</v>
  </rv>
  <rv s="0">
    <fb>45307</fb>
    <v>0</v>
  </rv>
  <rv s="0">
    <fb>91.56</fb>
    <v>1</v>
  </rv>
  <rv s="0">
    <fb>2038202</fb>
    <v>2</v>
  </rv>
  <rv s="0">
    <fb>45308</fb>
    <v>0</v>
  </rv>
  <rv s="0">
    <fb>90.55</fb>
    <v>1</v>
  </rv>
  <rv s="0">
    <fb>1885348</fb>
    <v>2</v>
  </rv>
  <rv s="0">
    <fb>45309</fb>
    <v>0</v>
  </rv>
  <rv s="0">
    <fb>89.4</fb>
    <v>1</v>
  </rv>
  <rv s="0">
    <fb>1682318</fb>
    <v>2</v>
  </rv>
  <rv s="0">
    <fb>45310</fb>
    <v>0</v>
  </rv>
  <rv s="0">
    <fb>89.86</fb>
    <v>1</v>
  </rv>
  <rv s="0">
    <fb>1689928</fb>
    <v>2</v>
  </rv>
  <rv s="0">
    <fb>45313</fb>
    <v>0</v>
  </rv>
  <rv s="0">
    <fb>89.2</fb>
    <v>1</v>
  </rv>
  <rv s="0">
    <fb>1678501</fb>
    <v>2</v>
  </rv>
  <rv s="0">
    <fb>45314</fb>
    <v>0</v>
  </rv>
  <rv s="0">
    <fb>89.12</fb>
    <v>1</v>
  </rv>
  <rv s="0">
    <fb>1586101</fb>
    <v>2</v>
  </rv>
  <rv s="0">
    <fb>45315</fb>
    <v>0</v>
  </rv>
  <rv s="0">
    <fb>88.32</fb>
    <v>1</v>
  </rv>
  <rv s="0">
    <fb>1932368</fb>
    <v>2</v>
  </rv>
  <rv s="0">
    <fb>45316</fb>
    <v>0</v>
  </rv>
  <rv s="0">
    <fb>89.67</fb>
    <v>1</v>
  </rv>
  <rv s="0">
    <fb>1548425</fb>
    <v>2</v>
  </rv>
  <rv s="0">
    <fb>45317</fb>
    <v>0</v>
  </rv>
  <rv s="0">
    <fb>90.02</fb>
    <v>1</v>
  </rv>
  <rv s="0">
    <fb>2218871</fb>
    <v>2</v>
  </rv>
  <rv s="0">
    <fb>45320</fb>
    <v>0</v>
  </rv>
  <rv s="0">
    <fb>90.59</fb>
    <v>1</v>
  </rv>
  <rv s="0">
    <fb>2173342</fb>
    <v>2</v>
  </rv>
  <rv s="0">
    <fb>45321</fb>
    <v>0</v>
  </rv>
  <rv s="0">
    <fb>90.68</fb>
    <v>1</v>
  </rv>
  <rv s="0">
    <fb>1550005</fb>
    <v>2</v>
  </rv>
  <rv s="0">
    <fb>45322</fb>
    <v>0</v>
  </rv>
  <rv s="0">
    <fb>90.9</fb>
    <v>1</v>
  </rv>
  <rv s="0">
    <fb>3138166</fb>
    <v>2</v>
  </rv>
  <rv s="0">
    <fb>45323</fb>
    <v>0</v>
  </rv>
  <rv s="0">
    <fb>92.78</fb>
    <v>1</v>
  </rv>
  <rv s="0">
    <fb>1625052</fb>
    <v>2</v>
  </rv>
  <rv s="0">
    <fb>45324</fb>
    <v>0</v>
  </rv>
  <rv s="0">
    <fb>91.1</fb>
    <v>1</v>
  </rv>
  <rv s="0">
    <fb>1978373</fb>
    <v>2</v>
  </rv>
  <rv s="0">
    <fb>45327</fb>
    <v>0</v>
  </rv>
  <rv s="0">
    <fb>1852011</fb>
    <v>2</v>
  </rv>
  <rv s="0">
    <fb>45328</fb>
    <v>0</v>
  </rv>
  <rv s="0">
    <fb>89.77</fb>
    <v>1</v>
  </rv>
  <rv s="0">
    <fb>1621500</fb>
    <v>2</v>
  </rv>
  <rv s="0">
    <fb>45329</fb>
    <v>0</v>
  </rv>
  <rv s="0">
    <fb>89.47</fb>
    <v>1</v>
  </rv>
  <rv s="0">
    <fb>1413513</fb>
    <v>2</v>
  </rv>
  <rv s="0">
    <fb>45330</fb>
    <v>0</v>
  </rv>
  <rv s="0">
    <fb>88.67</fb>
    <v>1</v>
  </rv>
  <rv s="0">
    <fb>1626478</fb>
    <v>2</v>
  </rv>
  <rv s="0">
    <fb>45331</fb>
    <v>0</v>
  </rv>
  <rv s="0">
    <fb>89.06</fb>
    <v>1</v>
  </rv>
  <rv s="0">
    <fb>1457619</fb>
    <v>2</v>
  </rv>
  <rv s="0">
    <fb>45334</fb>
    <v>0</v>
  </rv>
  <rv s="0">
    <fb>89.45</fb>
    <v>1</v>
  </rv>
  <rv s="0">
    <fb>1627308</fb>
    <v>2</v>
  </rv>
  <rv s="0">
    <fb>45335</fb>
    <v>0</v>
  </rv>
  <rv s="0">
    <fb>86.67</fb>
    <v>1</v>
  </rv>
  <rv s="0">
    <fb>3513616</fb>
    <v>2</v>
  </rv>
  <rv s="0">
    <fb>45336</fb>
    <v>0</v>
  </rv>
  <rv s="0">
    <fb>86.84</fb>
    <v>1</v>
  </rv>
  <rv s="0">
    <fb>2412954</fb>
    <v>2</v>
  </rv>
  <rv s="0">
    <fb>45337</fb>
    <v>0</v>
  </rv>
  <rv s="0">
    <fb>88.22</fb>
    <v>1</v>
  </rv>
  <rv s="0">
    <fb>2168515</fb>
    <v>2</v>
  </rv>
  <rv s="0">
    <fb>45338</fb>
    <v>0</v>
  </rv>
  <rv s="0">
    <fb>87.32</fb>
    <v>1</v>
  </rv>
  <rv s="0">
    <fb>2949343</fb>
    <v>2</v>
  </rv>
  <rv s="0">
    <fb>45342</fb>
    <v>0</v>
  </rv>
  <rv s="0">
    <fb>87.58</fb>
    <v>1</v>
  </rv>
  <rv s="0">
    <fb>1974526</fb>
    <v>2</v>
  </rv>
  <rv s="0">
    <fb>45343</fb>
    <v>0</v>
  </rv>
  <rv s="0">
    <fb>88.61</fb>
    <v>1</v>
  </rv>
  <rv s="0">
    <fb>1747225</fb>
    <v>2</v>
  </rv>
  <rv s="0">
    <fb>45344</fb>
    <v>0</v>
  </rv>
  <rv s="0">
    <fb>87.91</fb>
    <v>1</v>
  </rv>
  <rv s="0">
    <fb>1628834</fb>
    <v>2</v>
  </rv>
  <rv s="0">
    <fb>45345</fb>
    <v>0</v>
  </rv>
  <rv s="0">
    <fb>87.93</fb>
    <v>1</v>
  </rv>
  <rv s="0">
    <fb>1190734</fb>
    <v>2</v>
  </rv>
  <rv s="0">
    <fb>45348</fb>
    <v>0</v>
  </rv>
  <rv s="0">
    <fb>86.21</fb>
    <v>1</v>
  </rv>
  <rv s="0">
    <fb>1562868</fb>
    <v>2</v>
  </rv>
  <rv s="0">
    <fb>45349</fb>
    <v>0</v>
  </rv>
  <rv s="0">
    <fb>86.88</fb>
    <v>1</v>
  </rv>
  <rv s="0">
    <fb>1159107</fb>
    <v>2</v>
  </rv>
  <rv s="0">
    <fb>45350</fb>
    <v>0</v>
  </rv>
  <rv s="0">
    <fb>86.65</fb>
    <v>1</v>
  </rv>
  <rv s="0">
    <fb>1185454</fb>
    <v>2</v>
  </rv>
  <rv s="0">
    <fb>45351</fb>
    <v>0</v>
  </rv>
  <rv s="0">
    <fb>87.21</fb>
    <v>1</v>
  </rv>
  <rv s="0">
    <fb>2803360</fb>
    <v>2</v>
  </rv>
  <rv s="0">
    <fb>45352</fb>
    <v>0</v>
  </rv>
  <rv s="0">
    <fb>87.01</fb>
    <v>1</v>
  </rv>
  <rv s="0">
    <fb>1571973</fb>
    <v>2</v>
  </rv>
  <rv s="0">
    <fb>45355</fb>
    <v>0</v>
  </rv>
  <rv s="0">
    <fb>89.13</fb>
    <v>1</v>
  </rv>
  <rv s="0">
    <fb>1960927</fb>
    <v>2</v>
  </rv>
  <rv s="0">
    <fb>45356</fb>
    <v>0</v>
  </rv>
  <rv s="0">
    <fb>88.99</fb>
    <v>1</v>
  </rv>
  <rv s="0">
    <fb>2037247</fb>
    <v>2</v>
  </rv>
  <rv s="0">
    <fb>45357</fb>
    <v>0</v>
  </rv>
  <rv s="0">
    <fb>89.85</fb>
    <v>1</v>
  </rv>
  <rv s="0">
    <fb>1436735</fb>
    <v>2</v>
  </rv>
  <rv s="0">
    <fb>45358</fb>
    <v>0</v>
  </rv>
  <rv s="0">
    <fb>89.94</fb>
    <v>1</v>
  </rv>
  <rv s="0">
    <fb>1007905</fb>
    <v>2</v>
  </rv>
  <rv s="0">
    <fb>45359</fb>
    <v>0</v>
  </rv>
  <rv s="0">
    <fb>90.12</fb>
    <v>1</v>
  </rv>
  <rv s="0">
    <fb>1072856</fb>
    <v>2</v>
  </rv>
  <rv s="0">
    <fb>45362</fb>
    <v>0</v>
  </rv>
  <rv s="0">
    <fb>90.8</fb>
    <v>1</v>
  </rv>
  <rv s="0">
    <fb>1197165</fb>
    <v>2</v>
  </rv>
  <rv s="0">
    <fb>45363</fb>
    <v>0</v>
  </rv>
  <rv s="0">
    <fb>89.93</fb>
    <v>1</v>
  </rv>
  <rv s="0">
    <fb>1316827</fb>
    <v>2</v>
  </rv>
  <rv s="0">
    <fb>45364</fb>
    <v>0</v>
  </rv>
  <rv s="0">
    <fb>89.57</fb>
    <v>1</v>
  </rv>
  <rv s="0">
    <fb>1673563</fb>
    <v>2</v>
  </rv>
  <rv s="0">
    <fb>45365</fb>
    <v>0</v>
  </rv>
  <rv s="0">
    <fb>1450252</fb>
    <v>2</v>
  </rv>
  <rv s="0">
    <fb>45366</fb>
    <v>0</v>
  </rv>
  <rv s="0">
    <fb>88.94</fb>
    <v>1</v>
  </rv>
  <rv s="0">
    <fb>3462511</fb>
    <v>2</v>
  </rv>
  <rv s="0">
    <fb>45369</fb>
    <v>0</v>
  </rv>
  <rv s="0">
    <fb>1354963</fb>
    <v>2</v>
  </rv>
  <rv s="0">
    <fb>45370</fb>
    <v>0</v>
  </rv>
  <rv s="0">
    <fb>89.71</fb>
    <v>1</v>
  </rv>
  <rv s="0">
    <fb>1507656</fb>
    <v>2</v>
  </rv>
  <rv s="0">
    <fb>45371</fb>
    <v>0</v>
  </rv>
  <rv s="0">
    <fb>89.04</fb>
    <v>1</v>
  </rv>
  <rv s="0">
    <fb>1545741</fb>
    <v>2</v>
  </rv>
  <rv s="0">
    <fb>45372</fb>
    <v>0</v>
  </rv>
  <rv s="0">
    <fb>88.65</fb>
    <v>1</v>
  </rv>
  <rv s="0">
    <fb>2162914</fb>
    <v>2</v>
  </rv>
  <rv s="0">
    <fb>45373</fb>
    <v>0</v>
  </rv>
  <rv s="0">
    <fb>88.6</fb>
    <v>1</v>
  </rv>
  <rv s="0">
    <fb>1507460</fb>
    <v>2</v>
  </rv>
  <rv s="0">
    <fb>45376</fb>
    <v>0</v>
  </rv>
  <rv s="0">
    <fb>88.5</fb>
    <v>1</v>
  </rv>
  <rv s="0">
    <fb>1163704</fb>
    <v>2</v>
  </rv>
  <rv s="0">
    <fb>45377</fb>
    <v>0</v>
  </rv>
  <rv s="0">
    <fb>87.45</fb>
    <v>1</v>
  </rv>
  <rv s="0">
    <fb>1411961</fb>
    <v>2</v>
  </rv>
  <rv s="0">
    <fb>45378</fb>
    <v>0</v>
  </rv>
  <rv s="0">
    <fb>90.05</fb>
    <v>1</v>
  </rv>
  <rv s="0">
    <fb>1935394</fb>
    <v>2</v>
  </rv>
  <rv s="0">
    <fb>45379</fb>
    <v>0</v>
  </rv>
  <rv s="0">
    <fb>90.81</fb>
    <v>1</v>
  </rv>
  <rv s="0">
    <fb>1785835</fb>
    <v>2</v>
  </rv>
  <rv s="0">
    <fb>45383</fb>
    <v>0</v>
  </rv>
  <rv s="0">
    <fb>90.33</fb>
    <v>1</v>
  </rv>
  <rv s="0">
    <fb>1109597</fb>
    <v>2</v>
  </rv>
  <rv s="0">
    <fb>45384</fb>
    <v>0</v>
  </rv>
  <rv s="0">
    <fb>90.6</fb>
    <v>1</v>
  </rv>
  <rv s="0">
    <fb>1829435</fb>
    <v>2</v>
  </rv>
  <rv s="0">
    <fb>45385</fb>
    <v>0</v>
  </rv>
  <rv s="0">
    <fb>89.89</fb>
    <v>1</v>
  </rv>
  <rv s="0">
    <fb>1404637</fb>
    <v>2</v>
  </rv>
  <rv s="0">
    <fb>45386</fb>
    <v>0</v>
  </rv>
  <rv s="0">
    <fb>90.19</fb>
    <v>1</v>
  </rv>
  <rv s="0">
    <fb>1666995</fb>
    <v>2</v>
  </rv>
  <rv s="0">
    <fb>45387</fb>
    <v>0</v>
  </rv>
  <rv s="0">
    <fb>89.65</fb>
    <v>1</v>
  </rv>
  <rv s="0">
    <fb>1737921</fb>
    <v>2</v>
  </rv>
  <rv s="0">
    <fb>45390</fb>
    <v>0</v>
  </rv>
  <rv s="0">
    <fb>1437861</fb>
    <v>2</v>
  </rv>
  <rv s="0">
    <fb>45391</fb>
    <v>0</v>
  </rv>
  <rv s="0">
    <fb>91.13</fb>
    <v>1</v>
  </rv>
  <rv s="0">
    <fb>1184146</fb>
    <v>2</v>
  </rv>
  <rv s="0">
    <fb>45392</fb>
    <v>0</v>
  </rv>
  <rv s="0">
    <fb>88.89</fb>
    <v>1</v>
  </rv>
  <rv s="0">
    <fb>1623462</fb>
    <v>2</v>
  </rv>
  <rv s="0">
    <fb>45393</fb>
    <v>0</v>
  </rv>
  <rv s="0">
    <fb>88.55</fb>
    <v>1</v>
  </rv>
  <rv s="0">
    <fb>1325849</fb>
    <v>2</v>
  </rv>
  <rv s="0">
    <fb>45394</fb>
    <v>0</v>
  </rv>
  <rv s="0">
    <fb>88.63</fb>
    <v>1</v>
  </rv>
  <rv s="0">
    <fb>1395978</fb>
    <v>2</v>
  </rv>
  <rv s="0">
    <fb>45397</fb>
    <v>0</v>
  </rv>
  <rv s="0">
    <fb>89.32</fb>
    <v>1</v>
  </rv>
  <rv s="0">
    <fb>3517995</fb>
    <v>2</v>
  </rv>
  <rv s="0">
    <fb>45398</fb>
    <v>0</v>
  </rv>
  <rv s="0">
    <fb>87.42</fb>
    <v>1</v>
  </rv>
  <rv s="0">
    <fb>2098153</fb>
    <v>2</v>
  </rv>
  <rv s="0">
    <fb>45399</fb>
    <v>0</v>
  </rv>
  <rv s="0">
    <fb>2923183</fb>
    <v>2</v>
  </rv>
  <rv s="0">
    <fb>45400</fb>
    <v>0</v>
  </rv>
  <rv s="0">
    <fb>2528774</fb>
    <v>2</v>
  </rv>
  <rv s="0">
    <fb>45401</fb>
    <v>0</v>
  </rv>
  <rv s="0">
    <fb>91.77</fb>
    <v>1</v>
  </rv>
  <rv s="0">
    <fb>7398350</fb>
    <v>2</v>
  </rv>
  <rv s="0">
    <fb>45404</fb>
    <v>0</v>
  </rv>
  <rv s="0">
    <fb>92.73</fb>
    <v>1</v>
  </rv>
  <rv s="0">
    <fb>1818305</fb>
    <v>2</v>
  </rv>
  <rv s="0">
    <fb>45405</fb>
    <v>0</v>
  </rv>
  <rv s="0">
    <fb>92.84</fb>
    <v>1</v>
  </rv>
  <rv s="0">
    <fb>1843846</fb>
    <v>2</v>
  </rv>
  <rv s="0">
    <fb>45406</fb>
    <v>0</v>
  </rv>
  <rv s="0">
    <fb>93.43</fb>
    <v>1</v>
  </rv>
  <rv s="0">
    <fb>2001652</fb>
    <v>2</v>
  </rv>
  <rv s="0">
    <fb>45407</fb>
    <v>0</v>
  </rv>
  <rv s="0">
    <fb>94.11</fb>
    <v>1</v>
  </rv>
  <rv s="0">
    <fb>2191488</fb>
    <v>2</v>
  </rv>
  <rv s="0">
    <fb>45408</fb>
    <v>0</v>
  </rv>
  <rv s="0">
    <fb>92.93</fb>
    <v>1</v>
  </rv>
  <rv s="0">
    <fb>1418568</fb>
    <v>2</v>
  </rv>
  <rv s="0">
    <fb>45411</fb>
    <v>0</v>
  </rv>
  <rv s="0">
    <fb>93.97</fb>
    <v>1</v>
  </rv>
  <rv s="0">
    <fb>1146354</fb>
    <v>2</v>
  </rv>
  <rv s="0">
    <fb>45412</fb>
    <v>0</v>
  </rv>
  <rv s="0">
    <fb>94.4</fb>
    <v>1</v>
  </rv>
  <rv s="0">
    <fb>3731976</fb>
    <v>2</v>
  </rv>
  <rv s="0">
    <fb>45413</fb>
    <v>0</v>
  </rv>
  <rv s="0">
    <fb>94.8</fb>
    <v>1</v>
  </rv>
  <rv s="0">
    <fb>2372909</fb>
    <v>2</v>
  </rv>
  <rv s="0">
    <fb>45414</fb>
    <v>0</v>
  </rv>
  <rv s="0">
    <fb>95.25</fb>
    <v>1</v>
  </rv>
  <rv s="0">
    <fb>1991646</fb>
    <v>2</v>
  </rv>
  <rv s="0">
    <fb>45415</fb>
    <v>0</v>
  </rv>
  <rv s="0">
    <fb>95.56</fb>
    <v>1</v>
  </rv>
  <rv s="0">
    <fb>2465195</fb>
    <v>2</v>
  </rv>
  <rv s="0">
    <fb>45418</fb>
    <v>0</v>
  </rv>
  <rv s="0">
    <fb>96.13</fb>
    <v>1</v>
  </rv>
  <rv s="0">
    <fb>2071466</fb>
    <v>2</v>
  </rv>
  <rv s="0">
    <fb>45419</fb>
    <v>0</v>
  </rv>
  <rv s="0">
    <fb>97.5</fb>
    <v>1</v>
  </rv>
  <rv s="0">
    <fb>2029790</fb>
    <v>2</v>
  </rv>
  <rv s="0">
    <fb>45420</fb>
    <v>0</v>
  </rv>
  <rv s="0">
    <fb>97.57</fb>
    <v>1</v>
  </rv>
  <rv s="0">
    <fb>2179673</fb>
    <v>2</v>
  </rv>
  <rv s="0">
    <fb>45421</fb>
    <v>0</v>
  </rv>
  <rv s="0">
    <fb>98.12</fb>
    <v>1</v>
  </rv>
  <rv s="0">
    <fb>1613152</fb>
    <v>2</v>
  </rv>
  <rv s="0">
    <fb>45422</fb>
    <v>0</v>
  </rv>
  <rv s="0">
    <fb>97.7</fb>
    <v>1</v>
  </rv>
  <rv s="0">
    <fb>1688630</fb>
    <v>2</v>
  </rv>
  <rv s="0">
    <fb>45425</fb>
    <v>0</v>
  </rv>
  <rv s="0">
    <fb>97.64</fb>
    <v>1</v>
  </rv>
  <rv s="0">
    <fb>1557959</fb>
    <v>2</v>
  </rv>
  <rv s="0">
    <fb>45426</fb>
    <v>0</v>
  </rv>
  <rv s="0">
    <fb>96.64</fb>
    <v>1</v>
  </rv>
  <rv s="0">
    <fb>1723445</fb>
    <v>2</v>
  </rv>
  <rv s="0">
    <fb>45427</fb>
    <v>0</v>
  </rv>
  <rv s="0">
    <fb>96.91</fb>
    <v>1</v>
  </rv>
  <rv s="0">
    <fb>1749069</fb>
    <v>2</v>
  </rv>
  <rv s="0">
    <fb>45428</fb>
    <v>0</v>
  </rv>
  <rv s="0">
    <fb>2388169</fb>
    <v>2</v>
  </rv>
  <rv s="0">
    <fb>45429</fb>
    <v>0</v>
  </rv>
  <rv s="0">
    <fb>97.1</fb>
    <v>1</v>
  </rv>
  <rv s="0">
    <fb>1570651</fb>
    <v>2</v>
  </rv>
  <rv s="0">
    <fb>45432</fb>
    <v>0</v>
  </rv>
  <rv s="0">
    <fb>96.51</fb>
    <v>1</v>
  </rv>
  <rv s="0">
    <fb>1224455</fb>
    <v>2</v>
  </rv>
  <rv s="0">
    <fb>45433</fb>
    <v>0</v>
  </rv>
  <rv s="0">
    <fb>96.34</fb>
    <v>1</v>
  </rv>
  <rv s="0">
    <fb>1515950</fb>
    <v>2</v>
  </rv>
  <rv s="0">
    <fb>45434</fb>
    <v>0</v>
  </rv>
  <rv s="0">
    <fb>3657513</fb>
    <v>2</v>
  </rv>
  <rv s="0">
    <fb>45435</fb>
    <v>0</v>
  </rv>
  <rv s="0">
    <fb>93.87</fb>
    <v>1</v>
  </rv>
  <rv s="0">
    <fb>2056720</fb>
    <v>2</v>
  </rv>
  <rv s="0">
    <fb>45436</fb>
    <v>0</v>
  </rv>
  <rv s="0">
    <fb>94.43</fb>
    <v>1</v>
  </rv>
  <rv s="0">
    <fb>1639105</fb>
    <v>2</v>
  </rv>
  <rv s="0">
    <fb>45440</fb>
    <v>0</v>
  </rv>
  <rv s="0">
    <fb>93.21</fb>
    <v>1</v>
  </rv>
  <rv s="0">
    <fb>2168958</fb>
    <v>2</v>
  </rv>
  <rv s="0">
    <fb>45441</fb>
    <v>0</v>
  </rv>
  <rv s="0">
    <fb>91.91</fb>
    <v>1</v>
  </rv>
  <rv s="0">
    <fb>2013488</fb>
    <v>2</v>
  </rv>
  <rv s="0">
    <fb>45442</fb>
    <v>0</v>
  </rv>
  <rv s="0">
    <fb>92.45</fb>
    <v>1</v>
  </rv>
  <rv s="0">
    <fb>1929613</fb>
    <v>2</v>
  </rv>
  <rv s="0">
    <fb>45443</fb>
    <v>0</v>
  </rv>
  <rv s="0">
    <fb>94.55</fb>
    <v>1</v>
  </rv>
  <rv s="0">
    <fb>7907625</fb>
    <v>2</v>
  </rv>
  <rv s="0">
    <fb>45446</fb>
    <v>0</v>
  </rv>
  <rv s="0">
    <fb>93.68</fb>
    <v>1</v>
  </rv>
  <rv s="0">
    <fb>2211836</fb>
    <v>2</v>
  </rv>
  <rv s="0">
    <fb>45447</fb>
    <v>0</v>
  </rv>
  <rv s="0">
    <fb>93.72</fb>
    <v>1</v>
  </rv>
  <rv s="0">
    <fb>3445948</fb>
    <v>2</v>
  </rv>
  <rv s="0">
    <fb>45448</fb>
    <v>0</v>
  </rv>
  <rv s="0">
    <fb>92.6</fb>
    <v>1</v>
  </rv>
  <rv s="0">
    <fb>2129688</fb>
    <v>2</v>
  </rv>
  <rv s="0">
    <fb>45449</fb>
    <v>0</v>
  </rv>
  <rv s="0">
    <fb>91.89</fb>
    <v>1</v>
  </rv>
  <rv s="0">
    <fb>1416883</fb>
    <v>2</v>
  </rv>
  <rv s="0">
    <fb>45450</fb>
    <v>0</v>
  </rv>
  <rv s="0">
    <fb>91.61</fb>
    <v>1</v>
  </rv>
  <rv s="0">
    <fb>1312297</fb>
    <v>2</v>
  </rv>
  <rv s="0">
    <fb>45453</fb>
    <v>0</v>
  </rv>
  <rv s="0">
    <fb>92.32</fb>
    <v>1</v>
  </rv>
  <rv s="0">
    <fb>1803642</fb>
    <v>2</v>
  </rv>
  <rv s="0">
    <fb>45454</fb>
    <v>0</v>
  </rv>
  <rv s="0">
    <fb>91.75</fb>
    <v>1</v>
  </rv>
  <rv s="0">
    <fb>1315681</fb>
    <v>2</v>
  </rv>
  <rv s="0">
    <fb>45455</fb>
    <v>0</v>
  </rv>
  <rv s="0">
    <fb>91.14</fb>
    <v>1</v>
  </rv>
  <rv s="0">
    <fb>1333420</fb>
    <v>2</v>
  </rv>
  <rv s="0">
    <fb>45456</fb>
    <v>0</v>
  </rv>
  <rv s="0">
    <fb>90.61</fb>
    <v>1</v>
  </rv>
  <rv s="0">
    <fb>1598015</fb>
    <v>2</v>
  </rv>
  <rv s="0">
    <fb>45457</fb>
    <v>0</v>
  </rv>
  <rv s="0">
    <fb>90.87</fb>
    <v>1</v>
  </rv>
  <rv s="0">
    <fb>1258477</fb>
    <v>2</v>
  </rv>
  <rv s="0">
    <fb>45460</fb>
    <v>0</v>
  </rv>
  <rv s="0">
    <fb>90.65</fb>
    <v>1</v>
  </rv>
  <rv s="0">
    <fb>1401222</fb>
    <v>2</v>
  </rv>
  <rv s="0">
    <fb>45461</fb>
    <v>0</v>
  </rv>
  <rv s="0">
    <fb>90.39</fb>
    <v>1</v>
  </rv>
  <rv s="0">
    <fb>1336404</fb>
    <v>2</v>
  </rv>
  <rv s="0">
    <fb>45463</fb>
    <v>0</v>
  </rv>
  <rv s="0">
    <fb>90.53</fb>
    <v>1</v>
  </rv>
  <rv s="0">
    <fb>1383835</fb>
    <v>2</v>
  </rv>
  <rv s="0">
    <fb>45464</fb>
    <v>0</v>
  </rv>
  <rv s="0">
    <fb>90.34</fb>
    <v>1</v>
  </rv>
  <rv s="0">
    <fb>3202328</fb>
    <v>2</v>
  </rv>
  <rv s="0">
    <fb>45467</fb>
    <v>0</v>
  </rv>
  <rv s="0">
    <fb>91.27</fb>
    <v>1</v>
  </rv>
  <rv s="0">
    <fb>1441194</fb>
    <v>2</v>
  </rv>
  <rv s="0">
    <fb>45468</fb>
    <v>0</v>
  </rv>
  <rv s="0">
    <fb>89.39</fb>
    <v>1</v>
  </rv>
  <rv s="0">
    <fb>1531285</fb>
    <v>2</v>
  </rv>
  <rv s="0">
    <fb>45469</fb>
    <v>0</v>
  </rv>
  <rv s="0">
    <fb>1838729</fb>
    <v>2</v>
  </rv>
  <rv s="0">
    <fb>45470</fb>
    <v>0</v>
  </rv>
  <rv s="0">
    <fb>89.68</fb>
    <v>1</v>
  </rv>
  <rv s="0">
    <fb>1258140</fb>
    <v>2</v>
  </rv>
  <rv s="0">
    <fb>45471</fb>
    <v>0</v>
  </rv>
  <rv s="0">
    <fb>89.42</fb>
    <v>1</v>
  </rv>
  <rv s="0">
    <fb>2647348</fb>
    <v>2</v>
  </rv>
  <rv s="0">
    <fb>45474</fb>
    <v>0</v>
  </rv>
  <rv s="0">
    <fb>88.81</fb>
    <v>1</v>
  </rv>
  <rv s="0">
    <fb>1145188</fb>
    <v>2</v>
  </rv>
  <rv s="0">
    <fb>45475</fb>
    <v>0</v>
  </rv>
  <rv s="0">
    <fb>88.97</fb>
    <v>1</v>
  </rv>
  <rv s="0">
    <fb>1128198</fb>
    <v>2</v>
  </rv>
  <rv s="0">
    <fb>45476</fb>
    <v>0</v>
  </rv>
  <rv s="0">
    <fb>88.71</fb>
    <v>1</v>
  </rv>
  <rv s="0">
    <fb>922354</fb>
    <v>2</v>
  </rv>
  <rv s="0">
    <fb>45478</fb>
    <v>0</v>
  </rv>
  <rv s="0">
    <fb>89.27</fb>
    <v>1</v>
  </rv>
  <rv s="0">
    <fb>1551140</fb>
    <v>2</v>
  </rv>
  <rv s="0">
    <fb>45481</fb>
    <v>0</v>
  </rv>
  <rv s="0">
    <fb>88.42</fb>
    <v>1</v>
  </rv>
  <rv s="0">
    <fb>1169376</fb>
    <v>2</v>
  </rv>
  <rv s="0">
    <fb>45482</fb>
    <v>0</v>
  </rv>
  <rv s="0">
    <fb>88.85</fb>
    <v>1</v>
  </rv>
  <rv s="0">
    <fb>1589236</fb>
    <v>2</v>
  </rv>
  <rv s="0">
    <fb>45483</fb>
    <v>0</v>
  </rv>
  <rv s="0">
    <fb>89.87</fb>
    <v>1</v>
  </rv>
  <rv s="0">
    <fb>1188425</fb>
    <v>2</v>
  </rv>
  <rv s="0">
    <fb>45484</fb>
    <v>0</v>
  </rv>
  <rv s="0">
    <fb>91.46</fb>
    <v>1</v>
  </rv>
  <rv s="0">
    <fb>1345746</fb>
    <v>2</v>
  </rv>
  <rv s="0">
    <fb>45485</fb>
    <v>0</v>
  </rv>
  <rv s="0">
    <fb>92.19</fb>
    <v>1</v>
  </rv>
  <rv s="0">
    <fb>1222858</fb>
    <v>2</v>
  </rv>
  <rv s="0">
    <fb>45488</fb>
    <v>0</v>
  </rv>
  <rv s="0">
    <fb>90.26</fb>
    <v>1</v>
  </rv>
  <rv s="0">
    <fb>1490241</fb>
    <v>2</v>
  </rv>
  <rv s="0">
    <fb>45489</fb>
    <v>0</v>
  </rv>
  <rv s="0">
    <fb>91.55</fb>
    <v>1</v>
  </rv>
  <rv s="0">
    <fb>1526591</fb>
    <v>2</v>
  </rv>
  <rv s="0">
    <fb>45490</fb>
    <v>0</v>
  </rv>
  <rv s="0">
    <fb>93.76</fb>
    <v>1</v>
  </rv>
  <rv s="0">
    <fb>2039333</fb>
    <v>2</v>
  </rv>
  <rv s="0">
    <fb>45491</fb>
    <v>0</v>
  </rv>
  <rv s="0">
    <fb>2135657</fb>
    <v>2</v>
  </rv>
  <rv s="0">
    <fb>45492</fb>
    <v>0</v>
  </rv>
  <rv s="0">
    <fb>94.04</fb>
    <v>1</v>
  </rv>
  <rv s="0">
    <fb>1809737</fb>
    <v>2</v>
  </rv>
  <rv s="0">
    <fb>45495</fb>
    <v>0</v>
  </rv>
  <rv s="0">
    <fb>94.64</fb>
    <v>1</v>
  </rv>
  <rv s="0">
    <fb>1547938</fb>
    <v>2</v>
  </rv>
  <rv s="0">
    <fb>45496</fb>
    <v>0</v>
  </rv>
  <rv s="0">
    <fb>1245714</fb>
    <v>2</v>
  </rv>
  <rv s="0">
    <fb>45497</fb>
    <v>0</v>
  </rv>
  <rv s="0">
    <fb>95.88</fb>
    <v>1</v>
  </rv>
  <rv s="0">
    <fb>2179846</fb>
    <v>2</v>
  </rv>
  <rv s="0">
    <fb>45498</fb>
    <v>0</v>
  </rv>
  <rv s="0">
    <fb>95.92</fb>
    <v>1</v>
  </rv>
  <rv s="0">
    <fb>1920793</fb>
    <v>2</v>
  </rv>
  <rv s="0">
    <fb>45499</fb>
    <v>0</v>
  </rv>
  <rv s="0">
    <fb>96.44</fb>
    <v>1</v>
  </rv>
  <rv s="0">
    <fb>1438755</fb>
    <v>2</v>
  </rv>
  <rv s="0">
    <fb>45502</fb>
    <v>0</v>
  </rv>
  <rv s="0">
    <fb>96.87</fb>
    <v>1</v>
  </rv>
  <rv s="0">
    <fb>1320213</fb>
    <v>2</v>
  </rv>
  <rv s="0">
    <fb>45503</fb>
    <v>0</v>
  </rv>
  <rv s="0">
    <fb>98.16</fb>
    <v>1</v>
  </rv>
  <rv s="0">
    <fb>1127031</fb>
    <v>2</v>
  </rv>
  <rv s="0">
    <fb>45504</fb>
    <v>0</v>
  </rv>
  <rv s="0">
    <fb>97.52</fb>
    <v>1</v>
  </rv>
  <rv s="0">
    <fb>1623371</fb>
    <v>2</v>
  </rv>
  <rv s="0">
    <fb>45505</fb>
    <v>0</v>
  </rv>
  <rv s="0">
    <fb>100.21</fb>
    <v>1</v>
  </rv>
  <rv s="0">
    <fb>2409332</fb>
    <v>2</v>
  </rv>
  <rv s="0">
    <fb>45506</fb>
    <v>0</v>
  </rv>
  <rv s="0">
    <fb>101.83</fb>
    <v>1</v>
  </rv>
  <rv s="0">
    <fb>4425804</fb>
    <v>2</v>
  </rv>
  <rv s="0">
    <fb>45509</fb>
    <v>0</v>
  </rv>
  <rv s="0">
    <fb>100.7</fb>
    <v>1</v>
  </rv>
  <rv s="0">
    <fb>2846485</fb>
    <v>2</v>
  </rv>
  <rv s="0">
    <fb>45510</fb>
    <v>0</v>
  </rv>
  <rv s="0">
    <fb>100.89</fb>
    <v>1</v>
  </rv>
  <rv s="0">
    <fb>1956382</fb>
    <v>2</v>
  </rv>
  <rv s="0">
    <fb>45511</fb>
    <v>0</v>
  </rv>
  <rv s="0">
    <fb>101.19</fb>
    <v>1</v>
  </rv>
  <rv s="0">
    <fb>2139807</fb>
    <v>2</v>
  </rv>
  <rv s="0">
    <fb>45512</fb>
    <v>0</v>
  </rv>
  <rv s="0">
    <fb>100.5</fb>
    <v>1</v>
  </rv>
  <rv s="0">
    <fb>1784635</fb>
    <v>2</v>
  </rv>
  <rv s="0">
    <fb>45513</fb>
    <v>0</v>
  </rv>
  <rv s="0">
    <fb>101.02</fb>
    <v>1</v>
  </rv>
  <rv s="0">
    <fb>1512920</fb>
    <v>2</v>
  </rv>
  <rv s="0">
    <fb>45516</fb>
    <v>0</v>
  </rv>
  <rv s="0">
    <fb>101.94</fb>
    <v>1</v>
  </rv>
  <rv s="0">
    <fb>1238505</fb>
    <v>2</v>
  </rv>
  <rv s="0">
    <fb>45517</fb>
    <v>0</v>
  </rv>
  <rv s="0">
    <fb>101.6</fb>
    <v>1</v>
  </rv>
  <rv s="0">
    <fb>1505744</fb>
    <v>2</v>
  </rv>
  <rv s="0">
    <fb>45518</fb>
    <v>0</v>
  </rv>
  <rv s="0">
    <fb>100.86</fb>
    <v>1</v>
  </rv>
  <rv s="0">
    <fb>1639219</fb>
    <v>2</v>
  </rv>
  <rv s="0">
    <fb>45519</fb>
    <v>0</v>
  </rv>
  <rv s="0">
    <fb>99.23</fb>
    <v>1</v>
  </rv>
  <rv s="0">
    <fb>2757442</fb>
    <v>2</v>
  </rv>
  <rv s="0">
    <fb>45520</fb>
    <v>0</v>
  </rv>
  <rv s="0">
    <fb>100.1</fb>
    <v>1</v>
  </rv>
  <rv s="0">
    <fb>1684765</fb>
    <v>2</v>
  </rv>
  <rv s="0">
    <fb>45523</fb>
    <v>0</v>
  </rv>
  <rv s="0">
    <fb>100.41</fb>
    <v>1</v>
  </rv>
  <rv s="0">
    <fb>1837783</fb>
    <v>2</v>
  </rv>
  <rv s="0">
    <fb>45524</fb>
    <v>0</v>
  </rv>
  <rv s="0">
    <fb>100.17</fb>
    <v>1</v>
  </rv>
  <rv s="0">
    <fb>1460744</fb>
    <v>2</v>
  </rv>
  <rv s="0">
    <fb>45525</fb>
    <v>0</v>
  </rv>
  <rv s="0">
    <fb>100.42</fb>
    <v>1</v>
  </rv>
  <rv s="0">
    <fb>1922499</fb>
    <v>2</v>
  </rv>
  <rv s="0">
    <fb>45526</fb>
    <v>0</v>
  </rv>
  <rv s="0">
    <fb>100.67</fb>
    <v>1</v>
  </rv>
  <rv s="0">
    <fb>1844957</fb>
    <v>2</v>
  </rv>
  <rv s="0">
    <fb>45527</fb>
    <v>0</v>
  </rv>
  <rv s="0">
    <fb>100.6</fb>
    <v>1</v>
  </rv>
  <rv s="0">
    <fb>1620024</fb>
    <v>2</v>
  </rv>
  <rv s="0">
    <fb>45530</fb>
    <v>0</v>
  </rv>
  <rv s="0">
    <fb>100.9</fb>
    <v>1</v>
  </rv>
  <rv s="0">
    <fb>1221535</fb>
    <v>2</v>
  </rv>
  <rv s="0">
    <fb>45531</fb>
    <v>0</v>
  </rv>
  <rv s="0">
    <fb>99.59</fb>
    <v>1</v>
  </rv>
  <rv s="0">
    <fb>927271</fb>
    <v>2</v>
  </rv>
  <rv s="0">
    <fb>45532</fb>
    <v>0</v>
  </rv>
  <rv s="0">
    <fb>100.39</fb>
    <v>1</v>
  </rv>
  <rv s="0">
    <fb>1019536</fb>
    <v>2</v>
  </rv>
  <rv s="0">
    <fb>45533</fb>
    <v>0</v>
  </rv>
  <rv s="0">
    <fb>100.81</fb>
    <v>1</v>
  </rv>
  <rv s="0">
    <fb>1150898</fb>
    <v>2</v>
  </rv>
  <rv s="0">
    <fb>45534</fb>
    <v>0</v>
  </rv>
  <rv s="0">
    <fb>101.56</fb>
    <v>1</v>
  </rv>
  <rv s="0">
    <fb>2366505</fb>
    <v>2</v>
  </rv>
  <rv s="0">
    <fb>45538</fb>
    <v>0</v>
  </rv>
  <rv s="0">
    <fb>103.28</fb>
    <v>1</v>
  </rv>
  <rv s="0">
    <fb>2122586</fb>
    <v>2</v>
  </rv>
  <rv s="0">
    <fb>45539</fb>
    <v>0</v>
  </rv>
  <rv s="0">
    <fb>104.4</fb>
    <v>1</v>
  </rv>
  <rv s="0">
    <fb>1501047</fb>
    <v>2</v>
  </rv>
  <rv s="0">
    <fb>45540</fb>
    <v>0</v>
  </rv>
  <rv s="0">
    <fb>103.79</fb>
    <v>1</v>
  </rv>
  <rv s="0">
    <fb>1538696</fb>
    <v>2</v>
  </rv>
  <rv s="0">
    <fb>45541</fb>
    <v>0</v>
  </rv>
  <rv s="0">
    <fb>1760628</fb>
    <v>2</v>
  </rv>
  <rv s="0">
    <fb>45544</fb>
    <v>0</v>
  </rv>
  <rv s="0">
    <fb>104.75</fb>
    <v>1</v>
  </rv>
  <rv s="0">
    <fb>1672940</fb>
    <v>2</v>
  </rv>
  <rv s="0">
    <fb>45545</fb>
    <v>0</v>
  </rv>
  <rv s="0">
    <fb>104.97</fb>
    <v>1</v>
  </rv>
  <rv s="0">
    <fb>1271138</fb>
    <v>2</v>
  </rv>
  <rv s="0">
    <fb>45546</fb>
    <v>0</v>
  </rv>
  <rv s="0">
    <fb>103.82</fb>
    <v>1</v>
  </rv>
  <rv s="0">
    <fb>2685901</fb>
    <v>2</v>
  </rv>
  <rv s="0">
    <fb>45547</fb>
    <v>0</v>
  </rv>
  <rv s="0">
    <fb>103.39</fb>
    <v>1</v>
  </rv>
  <rv s="0">
    <fb>1528602</fb>
    <v>2</v>
  </rv>
  <rv s="0">
    <fb>45548</fb>
    <v>0</v>
  </rv>
  <rv s="0">
    <fb>104.56</fb>
    <v>1</v>
  </rv>
  <rv s="0">
    <fb>1274726</fb>
    <v>2</v>
  </rv>
  <rv s="0">
    <fb>45551</fb>
    <v>0</v>
  </rv>
  <rv s="0">
    <fb>104.85</fb>
    <v>1</v>
  </rv>
  <rv s="0">
    <fb>1467923</fb>
    <v>2</v>
  </rv>
  <rv s="0">
    <fb>45552</fb>
    <v>0</v>
  </rv>
  <rv s="0">
    <fb>104.54</fb>
    <v>1</v>
  </rv>
  <rv s="0">
    <fb>1391024</fb>
    <v>2</v>
  </rv>
  <rv s="0">
    <fb>45553</fb>
    <v>0</v>
  </rv>
  <rv s="0">
    <fb>103.41</fb>
    <v>1</v>
  </rv>
  <rv s="0">
    <fb>1347037</fb>
    <v>2</v>
  </rv>
  <rv s="0">
    <fb>45554</fb>
    <v>0</v>
  </rv>
  <rv s="0">
    <fb>102.12</fb>
    <v>1</v>
  </rv>
  <rv s="0">
    <fb>1761679</fb>
    <v>2</v>
  </rv>
  <rv s="0">
    <fb>45555</fb>
    <v>0</v>
  </rv>
  <rv s="0">
    <fb>103.35</fb>
    <v>1</v>
  </rv>
  <rv s="0">
    <fb>3492651</fb>
    <v>2</v>
  </rv>
  <rv s="0">
    <fb>45558</fb>
    <v>0</v>
  </rv>
  <rv s="0">
    <fb>104.02</fb>
    <v>1</v>
  </rv>
  <rv s="0">
    <fb>1053579</fb>
    <v>2</v>
  </rv>
  <rv s="0">
    <fb>45559</fb>
    <v>0</v>
  </rv>
  <rv s="0">
    <fb>102.82</fb>
    <v>1</v>
  </rv>
  <rv s="0">
    <fb>1063139</fb>
    <v>2</v>
  </rv>
  <rv s="0">
    <fb>45560</fb>
    <v>0</v>
  </rv>
  <rv s="0">
    <fb>103.16</fb>
    <v>1</v>
  </rv>
  <rv s="0">
    <fb>1151089</fb>
    <v>2</v>
  </rv>
  <rv s="0">
    <fb>45561</fb>
    <v>0</v>
  </rv>
  <rv s="0">
    <fb>103.12</fb>
    <v>1</v>
  </rv>
  <rv s="0">
    <fb>1391590</fb>
    <v>2</v>
  </rv>
  <rv s="0">
    <fb>45562</fb>
    <v>0</v>
  </rv>
  <rv s="0">
    <fb>104.05</fb>
    <v>1</v>
  </rv>
  <rv s="0">
    <fb>1366877</fb>
    <v>2</v>
  </rv>
  <rv s="0">
    <fb>45565</fb>
    <v>0</v>
  </rv>
  <rv s="0">
    <fb>104.13</fb>
    <v>1</v>
  </rv>
  <rv s="0">
    <fb>1449539</fb>
    <v>2</v>
  </rv>
  <rv s="0">
    <fb>45566</fb>
    <v>0</v>
  </rv>
  <rv s="0">
    <fb>105.15</fb>
    <v>1</v>
  </rv>
  <rv s="0">
    <fb>1834563</fb>
    <v>2</v>
  </rv>
  <rv s="0">
    <fb>45567</fb>
    <v>0</v>
  </rv>
  <rv s="0">
    <fb>104.45</fb>
    <v>1</v>
  </rv>
  <rv s="0">
    <fb>996739</fb>
    <v>2</v>
  </rv>
  <rv s="0">
    <fb>45568</fb>
    <v>0</v>
  </rv>
  <rv s="0">
    <fb>952060</fb>
    <v>2</v>
  </rv>
  <rv s="0">
    <fb>45569</fb>
    <v>0</v>
  </rv>
  <rv s="0">
    <fb>103.15</fb>
    <v>1</v>
  </rv>
  <rv s="0">
    <fb>952852</fb>
    <v>2</v>
  </rv>
  <rv s="0">
    <fb>45572</fb>
    <v>0</v>
  </rv>
  <rv s="0">
    <fb>101.14</fb>
    <v>1</v>
  </rv>
  <rv s="0">
    <fb>1967334</fb>
    <v>2</v>
  </rv>
  <rv s="0">
    <fb>45573</fb>
    <v>0</v>
  </rv>
  <rv s="0">
    <fb>102.11</fb>
    <v>1</v>
  </rv>
  <rv s="0">
    <fb>1328778</fb>
    <v>2</v>
  </rv>
  <rv s="0">
    <fb>45574</fb>
    <v>0</v>
  </rv>
  <rv s="0">
    <fb>102.37</fb>
    <v>1</v>
  </rv>
  <rv s="0">
    <fb>1114658</fb>
    <v>2</v>
  </rv>
  <rv s="0">
    <fb>45575</fb>
    <v>0</v>
  </rv>
  <rv s="0">
    <fb>101.58</fb>
    <v>1</v>
  </rv>
  <rv s="0">
    <fb>1179589</fb>
    <v>2</v>
  </rv>
  <rv s="0">
    <fb>45576</fb>
    <v>0</v>
  </rv>
  <rv s="0">
    <fb>102.32</fb>
    <v>1</v>
  </rv>
  <rv s="0">
    <fb>1317182</fb>
    <v>2</v>
  </rv>
  <rv s="0">
    <fb>45579</fb>
    <v>0</v>
  </rv>
  <rv s="0">
    <fb>103.04</fb>
    <v>1</v>
  </rv>
  <rv s="0">
    <fb>1976020</fb>
    <v>2</v>
  </rv>
  <rv s="0">
    <fb>45580</fb>
    <v>0</v>
  </rv>
  <rv s="0">
    <fb>105.45</fb>
    <v>1</v>
  </rv>
  <rv s="0">
    <fb>2748901</fb>
    <v>2</v>
  </rv>
  <rv s="0">
    <fb>45581</fb>
    <v>0</v>
  </rv>
  <rv s="0">
    <fb>106.14</fb>
    <v>1</v>
  </rv>
  <rv s="0">
    <fb>1869233</fb>
    <v>2</v>
  </rv>
  <rv s="0">
    <fb>45582</fb>
    <v>0</v>
  </rv>
  <rv s="0">
    <fb>105.66</fb>
    <v>1</v>
  </rv>
  <rv s="0">
    <fb>1727853</fb>
    <v>2</v>
  </rv>
  <rv s="0">
    <fb>45583</fb>
    <v>0</v>
  </rv>
  <rv s="0">
    <fb>106.76</fb>
    <v>1</v>
  </rv>
  <rv s="0">
    <fb>6365337</fb>
    <v>2</v>
  </rv>
  <rv s="0">
    <fb>45586</fb>
    <v>0</v>
  </rv>
  <rv s="0">
    <fb>106.26</fb>
    <v>1</v>
  </rv>
  <rv s="0">
    <fb>1405779</fb>
    <v>2</v>
  </rv>
  <rv s="0">
    <fb>45587</fb>
    <v>0</v>
  </rv>
  <rv s="0">
    <fb>105.7</fb>
    <v>1</v>
  </rv>
  <rv s="0">
    <fb>1207216</fb>
    <v>2</v>
  </rv>
  <rv s="0">
    <fb>45588</fb>
    <v>0</v>
  </rv>
  <rv s="0">
    <fb>107.4</fb>
    <v>1</v>
  </rv>
  <rv s="0">
    <fb>1663173</fb>
    <v>2</v>
  </rv>
  <rv s="0">
    <fb>45589</fb>
    <v>0</v>
  </rv>
  <rv s="0">
    <fb>107</fb>
    <v>1</v>
  </rv>
  <rv s="0">
    <fb>1127349</fb>
    <v>2</v>
  </rv>
  <rv s="0">
    <fb>45590</fb>
    <v>0</v>
  </rv>
  <rv s="0">
    <fb>104.6</fb>
    <v>1</v>
  </rv>
  <rv s="0">
    <fb>1734348</fb>
    <v>2</v>
  </rv>
  <rv s="0">
    <fb>45593</fb>
    <v>0</v>
  </rv>
  <rv s="0">
    <fb>104.81</fb>
    <v>1</v>
  </rv>
  <rv s="0">
    <fb>1204579</fb>
    <v>2</v>
  </rv>
  <rv s="0">
    <fb>45594</fb>
    <v>0</v>
  </rv>
  <rv s="0">
    <fb>102.91</fb>
    <v>1</v>
  </rv>
  <rv s="0">
    <fb>1452899</fb>
    <v>2</v>
  </rv>
  <rv s="0">
    <fb>45595</fb>
    <v>0</v>
  </rv>
  <rv s="0">
    <fb>102.72</fb>
    <v>1</v>
  </rv>
  <rv s="0">
    <fb>1641332</fb>
    <v>2</v>
  </rv>
  <rv s="0">
    <fb>45596</fb>
    <v>0</v>
  </rv>
  <rv s="0">
    <fb>101.68</fb>
    <v>1</v>
  </rv>
  <rv s="0">
    <fb>3732407</fb>
    <v>2</v>
  </rv>
  <rv s="0">
    <fb>45597</fb>
    <v>0</v>
  </rv>
  <rv s="0">
    <fb>100</fb>
    <v>1</v>
  </rv>
  <rv s="0">
    <fb>2832691</fb>
    <v>2</v>
  </rv>
  <rv s="0">
    <fb>45600</fb>
    <v>0</v>
  </rv>
  <rv s="0">
    <fb>99.15</fb>
    <v>1</v>
  </rv>
  <rv s="0">
    <fb>2088316</fb>
    <v>2</v>
  </rv>
  <rv s="0">
    <fb>45601</fb>
    <v>0</v>
  </rv>
  <rv s="0">
    <fb>99.82</fb>
    <v>1</v>
  </rv>
  <rv s="0">
    <fb>2062310</fb>
    <v>2</v>
  </rv>
  <rv s="0">
    <fb>45602</fb>
    <v>0</v>
  </rv>
  <rv s="0">
    <fb>98.96</fb>
    <v>1</v>
  </rv>
  <rv s="0">
    <fb>3701796</fb>
    <v>2</v>
  </rv>
  <rv s="0">
    <fb>45603</fb>
    <v>0</v>
  </rv>
  <rv s="0">
    <fb>97.58</fb>
    <v>1</v>
  </rv>
  <rv s="0">
    <fb>3061381</fb>
    <v>2</v>
  </rv>
  <rv s="0">
    <fb>45604</fb>
    <v>0</v>
  </rv>
  <rv s="0">
    <fb>98.13</fb>
    <v>1</v>
  </rv>
  <rv s="0">
    <fb>2915588</fb>
    <v>2</v>
  </rv>
  <rv s="0">
    <fb>45607</fb>
    <v>0</v>
  </rv>
  <rv s="0">
    <fb>98.48</fb>
    <v>1</v>
  </rv>
  <rv s="0">
    <fb>1968440</fb>
    <v>2</v>
  </rv>
  <rv s="0">
    <fb>45608</fb>
    <v>0</v>
  </rv>
  <rv s="0">
    <fb>97.04</fb>
    <v>1</v>
  </rv>
  <rv s="0">
    <fb>2682776</fb>
    <v>2</v>
  </rv>
  <rv s="0">
    <fb>45609</fb>
    <v>0</v>
  </rv>
  <rv s="0">
    <fb>95.41</fb>
    <v>1</v>
  </rv>
  <rv s="0">
    <fb>2129523</fb>
    <v>2</v>
  </rv>
  <rv s="0">
    <fb>45610</fb>
    <v>0</v>
  </rv>
  <rv s="0">
    <fb>95.24</fb>
    <v>1</v>
  </rv>
  <rv s="0">
    <fb>2112696</fb>
    <v>2</v>
  </rv>
  <rv s="0">
    <fb>45611</fb>
    <v>0</v>
  </rv>
  <rv s="0">
    <fb>2239156</fb>
    <v>2</v>
  </rv>
  <rv s="0">
    <fb>45614</fb>
    <v>0</v>
  </rv>
  <rv s="0">
    <fb>96.45</fb>
    <v>1</v>
  </rv>
  <rv s="0">
    <fb>1838749</fb>
    <v>2</v>
  </rv>
  <rv s="0">
    <fb>45615</fb>
    <v>0</v>
  </rv>
  <rv s="0">
    <fb>96.97</fb>
    <v>1</v>
  </rv>
  <rv s="0">
    <fb>1861442</fb>
    <v>2</v>
  </rv>
  <rv s="0">
    <fb>45616</fb>
    <v>0</v>
  </rv>
  <rv s="0">
    <fb>97.88</fb>
    <v>1</v>
  </rv>
  <rv s="0">
    <fb>2119615</fb>
    <v>2</v>
  </rv>
  <rv s="0">
    <fb>45617</fb>
    <v>0</v>
  </rv>
  <rv s="0">
    <fb>98.7</fb>
    <v>1</v>
  </rv>
  <rv s="0">
    <fb>1470557</fb>
    <v>2</v>
  </rv>
  <rv s="0">
    <fb>45618</fb>
    <v>0</v>
  </rv>
  <rv s="0">
    <fb>98.36</fb>
    <v>1</v>
  </rv>
  <rv s="0">
    <fb>1185988</fb>
    <v>2</v>
  </rv>
  <rv s="0">
    <fb>45621</fb>
    <v>0</v>
  </rv>
  <rv s="0">
    <fb>99.47</fb>
    <v>1</v>
  </rv>
  <rv s="0">
    <fb>3996180</fb>
    <v>2</v>
  </rv>
  <rv s="0">
    <fb>45622</fb>
    <v>0</v>
  </rv>
  <rv s="0">
    <fb>101.7</fb>
    <v>1</v>
  </rv>
  <rv s="0">
    <fb>2435337</fb>
    <v>2</v>
  </rv>
  <rv s="0">
    <fb>45623</fb>
    <v>0</v>
  </rv>
  <rv s="0">
    <fb>1330448</fb>
    <v>2</v>
  </rv>
  <rv s="0">
    <fb>45625</fb>
    <v>0</v>
  </rv>
  <rv s="0">
    <fb>100.59</fb>
    <v>1</v>
  </rv>
  <rv s="0">
    <fb>952343</fb>
    <v>2</v>
  </rv>
  <rv s="0">
    <fb>45628</fb>
    <v>0</v>
  </rv>
  <rv s="0">
    <fb>98.5</fb>
    <v>1</v>
  </rv>
  <rv s="0">
    <fb>1911596</fb>
    <v>2</v>
  </rv>
  <rv s="0">
    <fb>45629</fb>
    <v>0</v>
  </rv>
  <rv s="0">
    <fb>97.53</fb>
    <v>1</v>
  </rv>
  <rv s="0">
    <fb>1535995</fb>
    <v>2</v>
  </rv>
  <rv s="0">
    <fb>45630</fb>
    <v>0</v>
  </rv>
  <rv s="0">
    <fb>96.62</fb>
    <v>1</v>
  </rv>
  <rv s="0">
    <fb>5090667</fb>
    <v>2</v>
  </rv>
  <rv s="0">
    <fb>45631</fb>
    <v>0</v>
  </rv>
  <rv s="0">
    <fb>96.5</fb>
    <v>1</v>
  </rv>
  <rv s="0">
    <fb>2615839</fb>
    <v>2</v>
  </rv>
  <rv s="0">
    <fb>45632</fb>
    <v>0</v>
  </rv>
  <rv s="0">
    <fb>94.82</fb>
    <v>1</v>
  </rv>
  <rv s="0">
    <fb>2813525</fb>
    <v>2</v>
  </rv>
  <rv s="0">
    <fb>45635</fb>
    <v>0</v>
  </rv>
  <rv s="0">
    <fb>94.78</fb>
    <v>1</v>
  </rv>
  <rv s="0">
    <fb>2529568</fb>
    <v>2</v>
  </rv>
  <rv s="0">
    <fb>45636</fb>
    <v>0</v>
  </rv>
  <rv s="0">
    <fb>94.69</fb>
    <v>1</v>
  </rv>
  <rv s="0">
    <fb>1695783</fb>
    <v>2</v>
  </rv>
  <rv s="0">
    <fb>45637</fb>
    <v>0</v>
  </rv>
  <rv s="0">
    <fb>92.75</fb>
    <v>1</v>
  </rv>
  <rv s="0">
    <fb>2352368</fb>
    <v>2</v>
  </rv>
  <rv s="0">
    <fb>45638</fb>
    <v>0</v>
  </rv>
  <rv s="0">
    <fb>92.61</fb>
    <v>1</v>
  </rv>
  <rv s="0">
    <fb>2300218</fb>
    <v>2</v>
  </rv>
  <rv s="0">
    <fb>45639</fb>
    <v>0</v>
  </rv>
  <rv s="0">
    <fb>92.69</fb>
    <v>1</v>
  </rv>
  <rv s="0">
    <fb>1868498</fb>
    <v>2</v>
  </rv>
  <rv s="0">
    <fb>45642</fb>
    <v>0</v>
  </rv>
  <rv s="0">
    <fb>91.26</fb>
    <v>1</v>
  </rv>
  <rv s="0">
    <fb>3004564</fb>
    <v>2</v>
  </rv>
  <rv s="0">
    <fb>45643</fb>
    <v>0</v>
  </rv>
  <rv s="0">
    <fb>90.84</fb>
    <v>1</v>
  </rv>
  <rv s="0">
    <fb>2172159</fb>
    <v>2</v>
  </rv>
  <rv s="0">
    <fb>45644</fb>
    <v>0</v>
  </rv>
  <rv s="0">
    <fb>88.87</fb>
    <v>1</v>
  </rv>
  <rv s="0">
    <fb>2677519</fb>
    <v>2</v>
  </rv>
  <rv s="0">
    <fb>45645</fb>
    <v>0</v>
  </rv>
  <rv s="0">
    <fb>89.07</fb>
    <v>1</v>
  </rv>
  <rv s="0">
    <fb>2555753</fb>
    <v>2</v>
  </rv>
  <rv s="0">
    <fb>45646</fb>
    <v>0</v>
  </rv>
  <rv s="0">
    <fb>90.03</fb>
    <v>1</v>
  </rv>
  <rv s="0">
    <fb>4876371</fb>
    <v>2</v>
  </rv>
  <rv s="0">
    <fb>45649</fb>
    <v>0</v>
  </rv>
  <rv s="0">
    <fb>1979057</fb>
    <v>2</v>
  </rv>
  <rv s="0">
    <fb>45650</fb>
    <v>0</v>
  </rv>
  <rv s="0">
    <fb>89.58</fb>
    <v>1</v>
  </rv>
  <rv s="0">
    <fb>653911</fb>
    <v>2</v>
  </rv>
  <rv s="0">
    <fb>45652</fb>
    <v>0</v>
  </rv>
  <rv s="0">
    <fb>89.59</fb>
    <v>1</v>
  </rv>
  <rv s="0">
    <fb>1879775</fb>
    <v>2</v>
  </rv>
  <rv s="0">
    <fb>45653</fb>
    <v>0</v>
  </rv>
  <rv s="0">
    <fb>89.56</fb>
    <v>1</v>
  </rv>
  <rv s="0">
    <fb>1319594</fb>
    <v>2</v>
  </rv>
  <rv s="0">
    <fb>45656</fb>
    <v>0</v>
  </rv>
  <rv s="0">
    <fb>89.16</fb>
    <v>1</v>
  </rv>
  <rv s="0">
    <fb>1377975</fb>
    <v>2</v>
  </rv>
  <rv s="0">
    <fb>45657</fb>
    <v>0</v>
  </rv>
  <rv s="0">
    <fb>89.23</fb>
    <v>1</v>
  </rv>
  <rv s="0">
    <fb>1640959</fb>
    <v>2</v>
  </rv>
  <rv s="0">
    <fb>45659</fb>
    <v>0</v>
  </rv>
  <rv s="0">
    <fb>89.03</fb>
    <v>1</v>
  </rv>
  <rv s="0">
    <fb>1557946</fb>
    <v>2</v>
  </rv>
  <rv s="0">
    <fb>45660</fb>
    <v>0</v>
  </rv>
  <rv s="0">
    <fb>89.24</fb>
    <v>1</v>
  </rv>
  <rv s="0">
    <fb>1954733</fb>
    <v>2</v>
  </rv>
  <rv s="0">
    <fb>45663</fb>
    <v>0</v>
  </rv>
  <rv s="0">
    <fb>88.37</fb>
    <v>1</v>
  </rv>
  <rv s="0">
    <fb>1981278</fb>
    <v>2</v>
  </rv>
  <rv s="0">
    <fb>45664</fb>
    <v>0</v>
  </rv>
  <rv s="0">
    <fb>88</fb>
    <v>1</v>
  </rv>
  <rv s="0">
    <fb>2861220</fb>
    <v>2</v>
  </rv>
  <rv s="0">
    <fb>45665</fb>
    <v>0</v>
  </rv>
  <rv s="0">
    <fb>89.01</fb>
    <v>1</v>
  </rv>
  <rv s="0">
    <fb>1793238</fb>
    <v>2</v>
  </rv>
  <rv s="0">
    <fb>45667</fb>
    <v>0</v>
  </rv>
  <rv s="0">
    <fb>88.15</fb>
    <v>1</v>
  </rv>
  <rv s="0">
    <fb>2243180</fb>
    <v>2</v>
  </rv>
  <rv s="0">
    <fb>45670</fb>
    <v>0</v>
  </rv>
  <rv s="0">
    <fb>88.47</fb>
    <v>1</v>
  </rv>
  <rv s="0">
    <fb>1883715</fb>
    <v>2</v>
  </rv>
  <rv s="0">
    <fb>45671</fb>
    <v>0</v>
  </rv>
  <rv s="0">
    <fb>89.37</fb>
    <v>1</v>
  </rv>
  <rv s="0">
    <fb>2103980</fb>
    <v>2</v>
  </rv>
  <rv s="0">
    <fb>45672</fb>
    <v>0</v>
  </rv>
  <rv s="0">
    <fb>90.23</fb>
    <v>1</v>
  </rv>
  <rv s="0">
    <fb>1972026</fb>
    <v>2</v>
  </rv>
  <rv s="0">
    <fb>45673</fb>
    <v>0</v>
  </rv>
  <rv s="0">
    <fb>92.22</fb>
    <v>1</v>
  </rv>
  <rv s="0">
    <fb>2097561</fb>
    <v>2</v>
  </rv>
  <rv s="0">
    <fb>45674</fb>
    <v>0</v>
  </rv>
  <rv s="0">
    <fb>93.65</fb>
    <v>1</v>
  </rv>
  <rv s="0">
    <fb>3516804</fb>
    <v>2</v>
  </rv>
  <rv s="0">
    <fb>45678</fb>
    <v>0</v>
  </rv>
  <rv s="0">
    <fb>2761523</fb>
    <v>2</v>
  </rv>
  <rv s="0">
    <fb>45679</fb>
    <v>0</v>
  </rv>
  <rv s="0">
    <fb>90.77</fb>
    <v>1</v>
  </rv>
  <rv s="0">
    <fb>1805432</fb>
    <v>2</v>
  </rv>
  <rv s="0">
    <fb>45680</fb>
    <v>0</v>
  </rv>
  <rv s="0">
    <fb>90.76</fb>
    <v>1</v>
  </rv>
  <rv s="0">
    <fb>1649741</fb>
    <v>2</v>
  </rv>
  <rv s="0">
    <fb>45681</fb>
    <v>0</v>
  </rv>
  <rv s="0">
    <fb>2596989</fb>
    <v>2</v>
  </rv>
  <rv s="0">
    <fb>45684</fb>
    <v>0</v>
  </rv>
  <rv s="0">
    <fb>94.89</fb>
    <v>1</v>
  </rv>
  <rv s="0">
    <fb>4043815</fb>
    <v>2</v>
  </rv>
  <rv s="0">
    <fb>45685</fb>
    <v>0</v>
  </rv>
  <rv s="0">
    <fb>93.39</fb>
    <v>1</v>
  </rv>
  <rv s="0">
    <fb>2470603</fb>
    <v>2</v>
  </rv>
  <rv s="0">
    <fb>45686</fb>
    <v>0</v>
  </rv>
  <rv s="0">
    <fb>92.57</fb>
    <v>1</v>
  </rv>
  <rv s="0">
    <fb>1935876</fb>
    <v>2</v>
  </rv>
  <rv s="0">
    <fb>45687</fb>
    <v>0</v>
  </rv>
  <rv s="0">
    <fb>93.86</fb>
    <v>1</v>
  </rv>
  <rv s="0">
    <fb>2274316</fb>
    <v>2</v>
  </rv>
  <rv s="0">
    <fb>45688</fb>
    <v>0</v>
  </rv>
  <rv s="0">
    <fb>93.74</fb>
    <v>1</v>
  </rv>
  <rv s="0">
    <fb>6072722</fb>
    <v>2</v>
  </rv>
  <rv s="0">
    <fb>45691</fb>
    <v>0</v>
  </rv>
  <rv s="0">
    <fb>95.62</fb>
    <v>1</v>
  </rv>
  <rv s="0">
    <fb>3234925</fb>
    <v>2</v>
  </rv>
  <rv s="0">
    <fb>45692</fb>
    <v>0</v>
  </rv>
  <rv s="0">
    <fb>94.91</fb>
    <v>1</v>
  </rv>
  <rv s="0">
    <fb>2186451</fb>
    <v>2</v>
  </rv>
  <rv s="0">
    <fb>45693</fb>
    <v>0</v>
  </rv>
  <rv s="0">
    <fb>96.19</fb>
    <v>1</v>
  </rv>
  <rv s="0">
    <fb>1874087</fb>
    <v>2</v>
  </rv>
  <rv s="0">
    <fb>45694</fb>
    <v>0</v>
  </rv>
  <rv s="0">
    <fb>95.42</fb>
    <v>1</v>
  </rv>
  <rv s="0">
    <fb>1587040</fb>
    <v>2</v>
  </rv>
  <rv s="0">
    <fb>45695</fb>
    <v>0</v>
  </rv>
  <rv s="0">
    <fb>96.08</fb>
    <v>1</v>
  </rv>
  <rv s="0">
    <fb>1520031</fb>
    <v>2</v>
  </rv>
  <rv s="0">
    <fb>45698</fb>
    <v>0</v>
  </rv>
  <rv s="0">
    <fb>96.7</fb>
    <v>1</v>
  </rv>
  <rv s="0">
    <fb>1570620</fb>
    <v>2</v>
  </rv>
  <rv s="0">
    <fb>45699</fb>
    <v>0</v>
  </rv>
  <rv s="0">
    <fb>96.31</fb>
    <v>1</v>
  </rv>
  <rv s="0">
    <fb>3162385</fb>
    <v>2</v>
  </rv>
  <rv s="0">
    <fb>45700</fb>
    <v>0</v>
  </rv>
  <rv s="0">
    <fb>94.57</fb>
    <v>1</v>
  </rv>
  <rv s="0">
    <fb>3704165</fb>
    <v>2</v>
  </rv>
  <rv s="0">
    <fb>45701</fb>
    <v>0</v>
  </rv>
  <rv s="0">
    <fb>95.66</fb>
    <v>1</v>
  </rv>
  <rv s="0">
    <fb>1860296</fb>
    <v>2</v>
  </rv>
  <rv s="0">
    <fb>45702</fb>
    <v>0</v>
  </rv>
  <rv s="0">
    <fb>94.92</fb>
    <v>1</v>
  </rv>
  <rv s="0">
    <fb>1948212</fb>
    <v>2</v>
  </rv>
  <rv s="0">
    <fb>45706</fb>
    <v>0</v>
  </rv>
  <rv s="0">
    <fb>95.76</fb>
    <v>1</v>
  </rv>
  <rv s="0">
    <fb>2568491</fb>
    <v>2</v>
  </rv>
  <rv s="0">
    <fb>45707</fb>
    <v>0</v>
  </rv>
  <rv s="0">
    <fb>95.26</fb>
    <v>1</v>
  </rv>
  <rv s="0">
    <fb>1857550</fb>
    <v>2</v>
  </rv>
  <rv s="0">
    <fb>45708</fb>
    <v>0</v>
  </rv>
  <rv s="0">
    <fb>2580181</fb>
    <v>2</v>
  </rv>
  <rv s="0">
    <fb>45709</fb>
    <v>0</v>
  </rv>
  <rv s="0">
    <fb>98.26</fb>
    <v>1</v>
  </rv>
  <rv s="0">
    <fb>4414893</fb>
    <v>2</v>
  </rv>
  <rv s="0">
    <fb>45712</fb>
    <v>0</v>
  </rv>
  <rv s="0">
    <fb>99.68</fb>
    <v>1</v>
  </rv>
  <rv s="0">
    <fb>2943078</fb>
    <v>2</v>
  </rv>
  <rv s="0">
    <fb>45713</fb>
    <v>0</v>
  </rv>
  <rv s="0">
    <fb>100.97</fb>
    <v>1</v>
  </rv>
  <rv s="0">
    <fb>3481345</fb>
    <v>2</v>
  </rv>
  <rv s="0">
    <fb>45714</fb>
    <v>0</v>
  </rv>
  <rv s="0">
    <fb>99.96</fb>
    <v>1</v>
  </rv>
  <rv s="0">
    <fb>2072708</fb>
    <v>2</v>
  </rv>
  <rv s="0">
    <fb>45715</fb>
    <v>0</v>
  </rv>
  <rv s="0">
    <fb>99.92</fb>
    <v>1</v>
  </rv>
  <rv s="0">
    <fb>3314096</fb>
    <v>2</v>
  </rv>
  <rv s="0">
    <fb>45716</fb>
    <v>0</v>
  </rv>
  <rv s="0">
    <fb>101.52</fb>
    <v>1</v>
  </rv>
  <rv s="0">
    <fb>5254613</fb>
    <v>2</v>
  </rv>
  <rv s="0">
    <fb>45719</fb>
    <v>0</v>
  </rv>
  <rv s="0">
    <fb>3555914</fb>
    <v>2</v>
  </rv>
  <rv s="0">
    <fb>45720</fb>
    <v>0</v>
  </rv>
  <rv s="0">
    <fb>102.15</fb>
    <v>1</v>
  </rv>
  <rv s="0">
    <fb>3592034</fb>
    <v>2</v>
  </rv>
  <rv s="0">
    <fb>45721</fb>
    <v>0</v>
  </rv>
  <rv s="0">
    <fb>100.2</fb>
    <v>1</v>
  </rv>
  <rv s="0">
    <fb>5509676</fb>
    <v>2</v>
  </rv>
  <rv s="0">
    <fb>45722</fb>
    <v>0</v>
  </rv>
  <rv s="0">
    <fb>100.91</fb>
    <v>1</v>
  </rv>
  <rv s="0">
    <fb>4345916</fb>
    <v>2</v>
  </rv>
  <rv s="0">
    <fb>45723</fb>
    <v>0</v>
  </rv>
  <rv s="0">
    <fb>103.64</fb>
    <v>1</v>
  </rv>
  <rv s="0">
    <fb>2865771</fb>
    <v>2</v>
  </rv>
  <rv s="0">
    <fb>45726</fb>
    <v>0</v>
  </rv>
  <rv s="0">
    <fb>106.66</fb>
    <v>1</v>
  </rv>
  <rv s="0">
    <fb>3471894</fb>
    <v>2</v>
  </rv>
  <rv s="0">
    <fb>45727</fb>
    <v>0</v>
  </rv>
  <rv s="0">
    <fb>103.77</fb>
    <v>1</v>
  </rv>
  <rv s="0">
    <fb>2731268</fb>
    <v>2</v>
  </rv>
  <rv s="0">
    <fb>45728</fb>
    <v>0</v>
  </rv>
  <rv s="0">
    <fb>102.64</fb>
    <v>1</v>
  </rv>
  <rv s="0">
    <fb>3739207</fb>
    <v>2</v>
  </rv>
  <rv s="0">
    <fb>45729</fb>
    <v>0</v>
  </rv>
  <rv s="0">
    <fb>104.57</fb>
    <v>1</v>
  </rv>
  <rv s="0">
    <fb>2392163</fb>
    <v>2</v>
  </rv>
  <rv s="0">
    <fb>45730</fb>
    <v>0</v>
  </rv>
  <rv s="0">
    <fb>106.41</fb>
    <v>1</v>
  </rv>
  <rv s="0">
    <fb>3779158</fb>
    <v>2</v>
  </rv>
  <rv s="0">
    <fb>45733</fb>
    <v>0</v>
  </rv>
  <rv s="0">
    <fb>107.62</fb>
    <v>1</v>
  </rv>
  <rv s="0">
    <fb>3930736</fb>
    <v>2</v>
  </rv>
  <rv s="0">
    <fb>45734</fb>
    <v>0</v>
  </rv>
  <rv s="0">
    <fb>107.81</fb>
    <v>1</v>
  </rv>
  <rv s="0">
    <fb>3275711</fb>
    <v>2</v>
  </rv>
  <rv s="0">
    <fb>45735</fb>
    <v>0</v>
  </rv>
  <rv s="0">
    <fb>107.49</fb>
    <v>1</v>
  </rv>
  <rv s="0">
    <fb>2293611</fb>
    <v>2</v>
  </rv>
  <rv s="0">
    <fb>45736</fb>
    <v>0</v>
  </rv>
  <rv s="0">
    <fb>108.48</fb>
    <v>1</v>
  </rv>
  <rv s="0">
    <fb>1896164</fb>
    <v>2</v>
  </rv>
  <rv s="0">
    <fb>45737</fb>
    <v>0</v>
  </rv>
  <rv s="0">
    <fb>107.8</fb>
    <v>1</v>
  </rv>
  <rv s="0">
    <fb>4415458</fb>
    <v>2</v>
  </rv>
  <rv s="0">
    <fb>45740</fb>
    <v>0</v>
  </rv>
  <rv s="0">
    <fb>106.83</fb>
    <v>1</v>
  </rv>
  <rv s="0">
    <fb>1897938</fb>
    <v>2</v>
  </rv>
  <rv s="0">
    <fb>45741</fb>
    <v>0</v>
  </rv>
  <rv s="0">
    <fb>105.55</fb>
    <v>1</v>
  </rv>
  <rv s="0">
    <fb>2543771</fb>
    <v>2</v>
  </rv>
  <rv s="0">
    <fb>45742</fb>
    <v>0</v>
  </rv>
  <rv s="0">
    <fb>107.46</fb>
    <v>1</v>
  </rv>
  <rv s="0">
    <fb>1925093</fb>
    <v>2</v>
  </rv>
  <rv s="0">
    <fb>45743</fb>
    <v>0</v>
  </rv>
  <rv s="0">
    <fb>107.89</fb>
    <v>1</v>
  </rv>
  <rv s="0">
    <fb>1859144</fb>
    <v>2</v>
  </rv>
  <rv s="0">
    <fb>45744</fb>
    <v>0</v>
  </rv>
  <rv s="0">
    <fb>108.77</fb>
    <v>1</v>
  </rv>
  <rv s="0">
    <fb>2392331</fb>
    <v>2</v>
  </rv>
  <rv s="0">
    <fb>45747</fb>
    <v>0</v>
  </rv>
  <rv s="0">
    <fb>110.59</fb>
    <v>1</v>
  </rv>
  <rv s="0">
    <fb>2920439</fb>
    <v>2</v>
  </rv>
  <rv s="0">
    <fb>45748</fb>
    <v>0</v>
  </rv>
  <rv s="0">
    <fb>110.06</fb>
    <v>1</v>
  </rv>
  <rv s="0">
    <fb>2507642</fb>
    <v>2</v>
  </rv>
  <rv s="0">
    <fb>45749</fb>
    <v>0</v>
  </rv>
  <rv s="0">
    <fb>109.58</fb>
    <v>1</v>
  </rv>
  <rv s="0">
    <fb>2015191</fb>
    <v>2</v>
  </rv>
  <rv s="0">
    <fb>45750</fb>
    <v>0</v>
  </rv>
  <rv s="0">
    <fb>112.72</fb>
    <v>1</v>
  </rv>
  <rv s="0">
    <fb>4175537</fb>
    <v>2</v>
  </rv>
  <rv s="0">
    <fb>45751</fb>
    <v>0</v>
  </rv>
  <rv s="0">
    <fb>109.32</fb>
    <v>1</v>
  </rv>
  <rv s="0">
    <fb>6395885</fb>
    <v>2</v>
  </rv>
  <rv s="0">
    <fb>45754</fb>
    <v>0</v>
  </rv>
  <rv s="0">
    <fb>105.4</fb>
    <v>1</v>
  </rv>
  <rv s="0">
    <fb>4405486</fb>
    <v>2</v>
  </rv>
  <rv s="0">
    <fb>45755</fb>
    <v>0</v>
  </rv>
  <rv s="0">
    <fb>106.05</fb>
    <v>1</v>
  </rv>
  <rv s="0">
    <fb>2683063</fb>
    <v>2</v>
  </rv>
  <rv s="0">
    <fb>45756</fb>
    <v>0</v>
  </rv>
  <rv s="0">
    <fb>105.77</fb>
    <v>1</v>
  </rv>
  <rv s="0">
    <fb>4912769</fb>
    <v>2</v>
  </rv>
  <rv s="0">
    <fb>45757</fb>
    <v>0</v>
  </rv>
  <rv s="0">
    <fb>108.3</fb>
    <v>1</v>
  </rv>
  <rv s="0">
    <fb>3382289</fb>
    <v>2</v>
  </rv>
  <rv s="0">
    <fb>45758</fb>
    <v>0</v>
  </rv>
  <rv s="0">
    <fb>109.84</fb>
    <v>1</v>
  </rv>
  <rv s="0">
    <fb>2617288</fb>
    <v>2</v>
  </rv>
  <rv s="0">
    <fb>45761</fb>
    <v>0</v>
  </rv>
  <rv s="0">
    <fb>112.25</fb>
    <v>1</v>
  </rv>
  <rv s="0">
    <fb>2133340</fb>
    <v>2</v>
  </rv>
  <rv s="0">
    <fb>45762</fb>
    <v>0</v>
  </rv>
  <rv s="0">
    <fb>111.81</fb>
    <v>1</v>
  </rv>
  <rv s="0">
    <fb>2314523</fb>
    <v>2</v>
  </rv>
  <rv s="0">
    <fb>45763</fb>
    <v>0</v>
  </rv>
  <rv s="0">
    <fb>111.44</fb>
    <v>1</v>
  </rv>
  <rv s="0">
    <fb>2133038</fb>
    <v>2</v>
  </rv>
  <rv s="0">
    <fb>45764</fb>
    <v>0</v>
  </rv>
  <rv s="0">
    <fb>112.1</fb>
    <v>1</v>
  </rv>
  <rv s="0">
    <fb>2055242</fb>
    <v>2</v>
  </rv>
  <rv s="0">
    <fb>45768</fb>
    <v>0</v>
  </rv>
  <rv s="0">
    <fb>110.96</fb>
    <v>1</v>
  </rv>
  <rv s="0">
    <fb>2333943</fb>
    <v>2</v>
  </rv>
  <rv s="0">
    <fb>45769</fb>
    <v>0</v>
  </rv>
  <rv s="0">
    <fb>113.3</fb>
    <v>1</v>
  </rv>
  <rv s="0">
    <fb>1833656</fb>
    <v>2</v>
  </rv>
  <rv s="0">
    <fb>45770</fb>
    <v>0</v>
  </rv>
  <rv s="0">
    <fb>112.52</fb>
    <v>1</v>
  </rv>
  <rv s="0">
    <fb>2098373</fb>
    <v>2</v>
  </rv>
  <rv s="0">
    <fb>45771</fb>
    <v>0</v>
  </rv>
  <rv s="0">
    <fb>111.29</fb>
    <v>1</v>
  </rv>
  <rv s="0">
    <fb>2389269</fb>
    <v>2</v>
  </rv>
  <rv s="0">
    <fb>45772</fb>
    <v>0</v>
  </rv>
  <rv s="0">
    <fb>110.45</fb>
    <v>1</v>
  </rv>
  <rv s="0">
    <fb>2820849</fb>
    <v>2</v>
  </rv>
  <rv s="0">
    <fb>45775</fb>
    <v>0</v>
  </rv>
  <rv s="0">
    <fb>111.13</fb>
    <v>1</v>
  </rv>
  <rv s="0">
    <fb>2938240</fb>
    <v>2</v>
  </rv>
  <rv s="0">
    <fb>45776</fb>
    <v>0</v>
  </rv>
  <rv s="0">
    <fb>112.13</fb>
    <v>1</v>
  </rv>
  <rv s="0">
    <fb>2000418</fb>
    <v>2</v>
  </rv>
  <rv s="0">
    <fb>45777</fb>
    <v>0</v>
  </rv>
  <rv s="0">
    <fb>112.75</fb>
    <v>1</v>
  </rv>
  <rv s="0">
    <fb>4940839</fb>
    <v>2</v>
  </rv>
  <rv s="0">
    <fb>45778</fb>
    <v>0</v>
  </rv>
  <rv s="0">
    <fb>112.56</fb>
    <v>1</v>
  </rv>
  <rv s="0">
    <fb>3265519</fb>
    <v>2</v>
  </rv>
  <rv s="0">
    <fb>45779</fb>
    <v>0</v>
  </rv>
  <rv s="0">
    <fb>110.03</fb>
    <v>1</v>
  </rv>
  <rv s="0">
    <fb>3421767</fb>
    <v>2</v>
  </rv>
  <rv s="0">
    <fb>45782</fb>
    <v>0</v>
  </rv>
  <rv s="0">
    <fb>109.52</fb>
    <v>1</v>
  </rv>
  <rv s="0">
    <fb>3225219</fb>
    <v>2</v>
  </rv>
  <rv s="0">
    <fb>45783</fb>
    <v>0</v>
  </rv>
  <rv s="0">
    <fb>110.47</fb>
    <v>1</v>
  </rv>
  <rv s="0">
    <fb>2186858</fb>
    <v>2</v>
  </rv>
  <rv s="0">
    <fb>45784</fb>
    <v>0</v>
  </rv>
  <rv s="0">
    <fb>111.04</fb>
    <v>1</v>
  </rv>
  <rv s="0">
    <fb>3555181</fb>
    <v>2</v>
  </rv>
  <rv s="0">
    <fb>45785</fb>
    <v>0</v>
  </rv>
  <rv s="0">
    <fb>107.75</fb>
    <v>1</v>
  </rv>
  <rv s="0">
    <fb>3652455</fb>
    <v>2</v>
  </rv>
  <rv s="0">
    <fb>45786</fb>
    <v>0</v>
  </rv>
  <rv s="0">
    <fb>107.68</fb>
    <v>1</v>
  </rv>
  <rv s="0">
    <fb>2248912</fb>
    <v>2</v>
  </rv>
  <rv s="0">
    <fb>45789</fb>
    <v>0</v>
  </rv>
  <rv s="0">
    <fb>103.54</fb>
    <v>1</v>
  </rv>
  <rv s="0">
    <fb>3918415</fb>
    <v>2</v>
  </rv>
  <rv s="0">
    <fb>45790</fb>
    <v>0</v>
  </rv>
  <rv s="0">
    <fb>100.58</fb>
    <v>1</v>
  </rv>
  <rv s="0">
    <fb>4495917</fb>
    <v>2</v>
  </rv>
  <rv s="0">
    <fb>45791</fb>
    <v>0</v>
  </rv>
  <rv s="0">
    <fb>99.27</fb>
    <v>1</v>
  </rv>
  <rv s="0">
    <fb>3383905</fb>
    <v>2</v>
  </rv>
  <rv s="0">
    <fb>45792</fb>
    <v>0</v>
  </rv>
  <rv s="0">
    <fb>102.01</fb>
    <v>1</v>
  </rv>
  <rv s="0">
    <fb>3497345</fb>
    <v>2</v>
  </rv>
  <rv s="0">
    <fb>45793</fb>
    <v>0</v>
  </rv>
  <rv s="0">
    <fb>104.29</fb>
    <v>1</v>
  </rv>
  <rv s="0">
    <fb>2758882</fb>
    <v>2</v>
  </rv>
  <rv s="0">
    <fb>45796</fb>
    <v>0</v>
  </rv>
  <rv s="0">
    <fb>105.38</fb>
    <v>1</v>
  </rv>
  <rv s="0">
    <fb>2047865</fb>
    <v>2</v>
  </rv>
  <rv s="0">
    <fb>45797</fb>
    <v>0</v>
  </rv>
  <rv s="0">
    <fb>105.71</fb>
    <v>1</v>
  </rv>
  <rv s="0">
    <fb>2177662</fb>
    <v>2</v>
  </rv>
  <rv s="0">
    <fb>45798</fb>
    <v>0</v>
  </rv>
  <rv s="0">
    <fb>105.22</fb>
    <v>1</v>
  </rv>
  <rv s="0">
    <fb>2741568</fb>
    <v>2</v>
  </rv>
  <rv s="0">
    <fb>45799</fb>
    <v>0</v>
  </rv>
  <rv s="0">
    <fb>103.42</fb>
    <v>1</v>
  </rv>
  <rv s="0">
    <fb>2266069</fb>
    <v>2</v>
  </rv>
  <rv s="0">
    <fb>45800</fb>
    <v>0</v>
  </rv>
  <rv s="0">
    <fb>104.1</fb>
    <v>1</v>
  </rv>
  <rv s="0">
    <fb>2116235</fb>
    <v>2</v>
  </rv>
  <rv s="0">
    <fb>45804</fb>
    <v>0</v>
  </rv>
  <rv s="0">
    <fb>103.97</fb>
    <v>1</v>
  </rv>
  <rv s="0">
    <fb>2638922</fb>
    <v>2</v>
  </rv>
  <rv s="0">
    <fb>45805</fb>
    <v>0</v>
  </rv>
  <rv s="0">
    <fb>1945687</fb>
    <v>2</v>
  </rv>
  <rv s="0">
    <fb>45806</fb>
    <v>0</v>
  </rv>
  <rv s="0">
    <fb>103.38</fb>
    <v>1</v>
  </rv>
  <rv s="0">
    <fb>2762859</fb>
    <v>2</v>
  </rv>
  <rv s="0">
    <fb>45807</fb>
    <v>0</v>
  </rv>
  <rv s="0">
    <fb>104.49</fb>
    <v>1</v>
  </rv>
  <rv s="0">
    <fb>6398572</fb>
    <v>2</v>
  </rv>
  <rv s="0">
    <fb>45810</fb>
    <v>0</v>
  </rv>
  <rv s="0">
    <fb>103.86</fb>
    <v>1</v>
  </rv>
  <rv s="0">
    <fb>2292241</fb>
    <v>2</v>
  </rv>
  <rv s="0">
    <fb>45811</fb>
    <v>0</v>
  </rv>
  <rv s="0">
    <fb>103.24</fb>
    <v>1</v>
  </rv>
  <rv s="0">
    <fb>2316659</fb>
    <v>2</v>
  </rv>
  <rv s="0">
    <fb>45812</fb>
    <v>0</v>
  </rv>
  <rv s="0">
    <fb>102.21</fb>
    <v>1</v>
  </rv>
  <rv s="0">
    <fb>1845717</fb>
    <v>2</v>
  </rv>
  <rv s="0">
    <fb>45813</fb>
    <v>0</v>
  </rv>
  <rv s="0">
    <fb>102.27</fb>
    <v>1</v>
  </rv>
  <rv s="0">
    <fb>2734457</fb>
    <v>2</v>
  </rv>
  <rv s="0">
    <fb>45814</fb>
    <v>0</v>
  </rv>
  <rv s="0">
    <fb>101.61</fb>
    <v>1</v>
  </rv>
  <rv s="0">
    <fb>1694578</fb>
    <v>2</v>
  </rv>
  <rv s="0">
    <fb>45817</fb>
    <v>0</v>
  </rv>
  <rv s="0">
    <fb>101.11</fb>
    <v>1</v>
  </rv>
  <rv s="0">
    <fb>1781808</fb>
    <v>2</v>
  </rv>
  <rv s="0">
    <fb>45818</fb>
    <v>0</v>
  </rv>
  <rv s="0">
    <fb>102.4</fb>
    <v>1</v>
  </rv>
  <rv s="0">
    <fb>2311885</fb>
    <v>2</v>
  </rv>
  <rv s="0">
    <fb>45819</fb>
    <v>0</v>
  </rv>
  <rv s="0">
    <fb>102.55</fb>
    <v>1</v>
  </rv>
  <rv s="0">
    <fb>2439137</fb>
    <v>2</v>
  </rv>
  <rv s="0">
    <fb>45820</fb>
    <v>0</v>
  </rv>
  <rv s="0">
    <fb>103.76</fb>
    <v>1</v>
  </rv>
  <rv s="0">
    <fb>1902564</fb>
    <v>2</v>
  </rv>
  <rv s="0">
    <fb>45821</fb>
    <v>0</v>
  </rv>
  <rv s="0">
    <fb>103.96</fb>
    <v>1</v>
  </rv>
  <rv s="0">
    <fb>3337359</fb>
    <v>2</v>
  </rv>
  <rv s="0">
    <fb>45824</fb>
    <v>0</v>
  </rv>
  <rv s="0">
    <fb>101.63</fb>
    <v>1</v>
  </rv>
  <rv s="0">
    <fb>2737989</fb>
    <v>2</v>
  </rv>
  <rv s="0">
    <fb>45825</fb>
    <v>0</v>
  </rv>
  <rv s="0">
    <fb>101.35</fb>
    <v>1</v>
  </rv>
  <rv s="0">
    <fb>2844894</fb>
    <v>2</v>
  </rv>
  <rv s="0">
    <fb>45826</fb>
    <v>0</v>
  </rv>
  <rv s="0">
    <fb>100.73</fb>
    <v>1</v>
  </rv>
  <rv s="0">
    <fb>2620595</fb>
    <v>2</v>
  </rv>
  <rv s="0">
    <fb>45828</fb>
    <v>0</v>
  </rv>
  <rv s="0">
    <fb>7504224</fb>
    <v>2</v>
  </rv>
  <rv s="0">
    <fb>45831</fb>
    <v>0</v>
  </rv>
  <rv s="0">
    <fb>101.15</fb>
    <v>1</v>
  </rv>
  <rv s="0">
    <fb>3957784</fb>
    <v>2</v>
  </rv>
  <rv s="0">
    <fb>45832</fb>
    <v>0</v>
  </rv>
  <rv s="0">
    <fb>100.19</fb>
    <v>1</v>
  </rv>
  <rv s="0">
    <fb>2952898</fb>
    <v>2</v>
  </rv>
  <rv s="0">
    <fb>45833</fb>
    <v>0</v>
  </rv>
  <rv s="0">
    <fb>98.05</fb>
    <v>1</v>
  </rv>
  <rv s="0">
    <fb>4397192</fb>
    <v>2</v>
  </rv>
  <rv s="0">
    <fb>45834</fb>
    <v>0</v>
  </rv>
  <rv s="0">
    <fb>98.41</fb>
    <v>1</v>
  </rv>
  <rv s="0">
    <fb>2655622</fb>
    <v>2</v>
  </rv>
  <rv s="0">
    <fb>45835</fb>
    <v>0</v>
  </rv>
  <rv s="0">
    <fb>98.15</fb>
    <v>1</v>
  </rv>
  <rv s="0">
    <fb>2880053</fb>
    <v>2</v>
  </rv>
  <rv s="0">
    <fb>45838</fb>
    <v>0</v>
  </rv>
  <rv s="0">
    <fb>100.35</fb>
    <v>1</v>
  </rv>
  <rv s="0">
    <fb>2930483</fb>
    <v>2</v>
  </rv>
  <rv s="0">
    <fb>45839</fb>
    <v>0</v>
  </rv>
  <rv s="0">
    <fb>100.78</fb>
    <v>1</v>
  </rv>
  <rv s="0">
    <fb>2749128</fb>
    <v>2</v>
  </rv>
  <rv s="0">
    <fb>45840</fb>
    <v>0</v>
  </rv>
  <rv s="0">
    <fb>2485839</fb>
    <v>2</v>
  </rv>
  <rv s="0">
    <fb>45841</fb>
    <v>0</v>
  </rv>
  <rv s="0">
    <fb>100.31</fb>
    <v>1</v>
  </rv>
  <rv s="0">
    <fb>1316576</fb>
    <v>2</v>
  </rv>
  <rv s="0">
    <fb>45845</fb>
    <v>0</v>
  </rv>
  <rv s="0">
    <fb>99.71</fb>
    <v>1</v>
  </rv>
  <rv s="0">
    <fb>1800719</fb>
    <v>2</v>
  </rv>
  <rv s="0">
    <fb>45846</fb>
    <v>0</v>
  </rv>
  <rv s="0">
    <fb>99.31</fb>
    <v>1</v>
  </rv>
  <rv s="0">
    <fb>3451218</fb>
    <v>2</v>
  </rv>
  <rv s="0">
    <fb>45847</fb>
    <v>0</v>
  </rv>
  <rv s="0">
    <fb>99.97</fb>
    <v>1</v>
  </rv>
  <rv s="0">
    <fb>2782533</fb>
    <v>2</v>
  </rv>
  <rv s="0">
    <fb>45848</fb>
    <v>0</v>
  </rv>
  <rv s="0">
    <fb>101.07</fb>
    <v>1</v>
  </rv>
  <rv s="0">
    <fb>1851807</fb>
    <v>2</v>
  </rv>
  <rv s="0">
    <fb>45849</fb>
    <v>0</v>
  </rv>
  <rv s="0">
    <fb>1853687</fb>
    <v>2</v>
  </rv>
  <rv s="0">
    <fb>45852</fb>
    <v>0</v>
  </rv>
  <rv s="0">
    <fb>101.01</fb>
    <v>1</v>
  </rv>
  <rv s="0">
    <fb>1409864</fb>
    <v>2</v>
  </rv>
  <rv s="0">
    <fb>45853</fb>
    <v>0</v>
  </rv>
  <rv s="0">
    <fb>99.95</fb>
    <v>1</v>
  </rv>
  <rv s="0">
    <fb>1731322</fb>
    <v>2</v>
  </rv>
  <rv s="0">
    <fb>45854</fb>
    <v>0</v>
  </rv>
  <rv s="0">
    <fb>100.46</fb>
    <v>1</v>
  </rv>
  <rv s="0">
    <fb>1865373</fb>
    <v>2</v>
  </rv>
  <rv s="0">
    <fb>45855</fb>
    <v>0</v>
  </rv>
  <rv s="0">
    <fb>2131709</fb>
    <v>2</v>
  </rv>
  <rv s="0">
    <fb>45856</fb>
    <v>0</v>
  </rv>
  <rv s="0">
    <fb>101.08</fb>
    <v>1</v>
  </rv>
  <rv s="0">
    <fb>1813453</fb>
    <v>2</v>
  </rv>
  <rv s="0">
    <fb>45859</fb>
    <v>0</v>
  </rv>
  <rv s="0">
    <fb>102.07</fb>
    <v>1</v>
  </rv>
  <rv s="0">
    <fb>1667769</fb>
    <v>2</v>
  </rv>
  <rv s="0">
    <fb>45860</fb>
    <v>0</v>
  </rv>
  <rv s="0">
    <fb>103.59</fb>
    <v>1</v>
  </rv>
  <rv s="0">
    <fb>1663862</fb>
    <v>2</v>
  </rv>
  <rv s="0">
    <fb>45861</fb>
    <v>0</v>
  </rv>
  <rv s="0">
    <fb>2563086</fb>
    <v>2</v>
  </rv>
  <rv s="0">
    <fb>45862</fb>
    <v>0</v>
  </rv>
  <rv s="0">
    <fb>102.05</fb>
    <v>1</v>
  </rv>
  <rv s="0">
    <fb>2467810</fb>
    <v>2</v>
  </rv>
  <rv s="0">
    <fb>45863</fb>
    <v>0</v>
  </rv>
  <rv s="0">
    <fb>102.26</fb>
    <v>1</v>
  </rv>
  <rv s="0">
    <fb>1375737</fb>
    <v>2</v>
  </rv>
  <rv s="0">
    <fb>45866</fb>
    <v>0</v>
  </rv>
  <rv s="0">
    <fb>100.98</fb>
    <v>1</v>
  </rv>
  <rv s="0">
    <fb>1995248</fb>
    <v>2</v>
  </rv>
  <rv s="0">
    <fb>45867</fb>
    <v>0</v>
  </rv>
  <rv s="0">
    <fb>102.24</fb>
    <v>1</v>
  </rv>
  <rv s="0">
    <fb>1265041</fb>
    <v>2</v>
  </rv>
  <rv s="0">
    <fb>45868</fb>
    <v>0</v>
  </rv>
  <rv s="0">
    <fb>102.59</fb>
    <v>1</v>
  </rv>
  <rv s="0">
    <fb>1565213</fb>
    <v>2</v>
  </rv>
  <rv s="0">
    <fb>45869</fb>
    <v>0</v>
  </rv>
  <rv s="0">
    <fb>103.5</fb>
    <v>1</v>
  </rv>
  <rv s="0">
    <fb>3483197</fb>
    <v>2</v>
  </rv>
  <rv s="0">
    <fb>45870</fb>
    <v>0</v>
  </rv>
  <rv s="0">
    <fb>104.44</fb>
    <v>1</v>
  </rv>
  <rv s="0">
    <fb>2272580</fb>
    <v>2</v>
  </rv>
  <rv s="0">
    <fb>45873</fb>
    <v>0</v>
  </rv>
  <rv s="0">
    <fb>105.36</fb>
    <v>1</v>
  </rv>
  <rv s="0">
    <fb>2345153</fb>
    <v>2</v>
  </rv>
  <rv s="0">
    <fb>45874</fb>
    <v>0</v>
  </rv>
  <rv s="0">
    <fb>104.18</fb>
    <v>1</v>
  </rv>
  <rv s="0">
    <fb>2515949</fb>
    <v>2</v>
  </rv>
  <rv s="0">
    <fb>45875</fb>
    <v>0</v>
  </rv>
  <rv s="0">
    <fb>104.15</fb>
    <v>1</v>
  </rv>
  <rv s="0">
    <fb>1993167</fb>
    <v>2</v>
  </rv>
  <rv s="0">
    <fb>45876</fb>
    <v>0</v>
  </rv>
  <rv s="0">
    <fb>105</fb>
    <v>1</v>
  </rv>
  <rv s="0">
    <fb>2577713</fb>
    <v>2</v>
  </rv>
  <rv s="0">
    <fb>45877</fb>
    <v>0</v>
  </rv>
  <rv s="0">
    <fb>104.48</fb>
    <v>1</v>
  </rv>
  <rv s="0">
    <fb>2796477</fb>
    <v>2</v>
  </rv>
  <rv s="0">
    <fb>45880</fb>
    <v>0</v>
  </rv>
  <rv s="0">
    <fb>104.12</fb>
    <v>1</v>
  </rv>
  <rv s="0">
    <fb>2357182</fb>
    <v>2</v>
  </rv>
  <rv s="0">
    <fb>45881</fb>
    <v>0</v>
  </rv>
  <rv s="0">
    <fb>103.69</fb>
    <v>1</v>
  </rv>
  <rv s="0">
    <fb>2578774</fb>
    <v>2</v>
  </rv>
  <rv s="0">
    <fb>45882</fb>
    <v>0</v>
  </rv>
  <rv s="0">
    <fb>103.66</fb>
    <v>1</v>
  </rv>
  <rv s="0">
    <fb>2728415</fb>
    <v>2</v>
  </rv>
  <rv s="0">
    <fb>45883</fb>
    <v>0</v>
  </rv>
  <rv s="0">
    <fb>102.86</fb>
    <v>1</v>
  </rv>
  <rv s="0">
    <fb>2171761</fb>
    <v>2</v>
  </rv>
  <rv s="0">
    <fb>45884</fb>
    <v>0</v>
  </rv>
  <rv s="0">
    <fb>100.77</fb>
    <v>1</v>
  </rv>
  <rv s="0">
    <fb>3098753</fb>
    <v>2</v>
  </rv>
  <rv s="0">
    <fb>45887</fb>
    <v>0</v>
  </rv>
  <rv s="0">
    <fb>99.74</fb>
    <v>1</v>
  </rv>
  <rv s="0">
    <fb>2789322</fb>
    <v>2</v>
  </rv>
  <rv s="0">
    <fb>45888</fb>
    <v>0</v>
  </rv>
  <rv s="0">
    <fb>101.1</fb>
    <v>1</v>
  </rv>
  <rv s="0">
    <fb>3948355</fb>
    <v>2</v>
  </rv>
  <rv s="0">
    <fb>45889</fb>
    <v>0</v>
  </rv>
  <rv s="0">
    <fb>101.76</fb>
    <v>1</v>
  </rv>
  <rv s="0">
    <fb>3216440</fb>
    <v>2</v>
  </rv>
  <rv s="0">
    <fb>45890</fb>
    <v>0</v>
  </rv>
  <rv s="0">
    <fb>101.5</fb>
    <v>1</v>
  </rv>
  <rv s="0">
    <fb>2282712</fb>
    <v>2</v>
  </rv>
  <rv s="0">
    <fb>45891</fb>
    <v>0</v>
  </rv>
  <rv s="0">
    <fb>101.65</fb>
    <v>1</v>
  </rv>
  <rv s="0">
    <fb>2753050</fb>
    <v>2</v>
  </rv>
  <rv s="0">
    <fb>45894</fb>
    <v>0</v>
  </rv>
  <rv s="0">
    <fb>2498894</fb>
    <v>2</v>
  </rv>
  <rv s="0">
    <fb>45895</fb>
    <v>0</v>
  </rv>
  <rv s="0">
    <fb>99.72</fb>
    <v>1</v>
  </rv>
  <rv s="0">
    <fb>3309463</fb>
    <v>2</v>
  </rv>
  <rv s="0">
    <fb>45896</fb>
    <v>0</v>
  </rv>
  <rv s="0">
    <fb>100.07</fb>
    <v>1</v>
  </rv>
  <rv s="0">
    <fb>4313818</fb>
    <v>2</v>
  </rv>
  <rv s="0">
    <fb>45897</fb>
    <v>0</v>
  </rv>
  <rv s="0">
    <fb>98.17</fb>
    <v>1</v>
  </rv>
  <rv s="0">
    <fb>2400163</fb>
    <v>2</v>
  </rv>
  <rv s="0">
    <fb>45898</fb>
    <v>0</v>
  </rv>
  <rv s="0">
    <fb>98.23</fb>
    <v>1</v>
  </rv>
  <rv s="0">
    <fb>4220120</fb>
    <v>2</v>
  </rv>
  <rv s="0">
    <fb>45902</fb>
    <v>0</v>
  </rv>
  <rv s="0">
    <fb>97.2</fb>
    <v>1</v>
  </rv>
  <rv s="0">
    <fb>3019315</fb>
    <v>2</v>
  </rv>
  <rv s="0">
    <fb>45903</fb>
    <v>0</v>
  </rv>
  <rv s="0">
    <fb>97.85</fb>
    <v>1</v>
  </rv>
  <rv s="0">
    <fb>4306674</fb>
    <v>2</v>
  </rv>
  <rv s="0">
    <fb>45904</fb>
    <v>0</v>
  </rv>
  <rv s="0">
    <fb>97.8</fb>
    <v>1</v>
  </rv>
  <rv s="0">
    <fb>2033303</fb>
    <v>2</v>
  </rv>
  <rv s="0">
    <fb>45905</fb>
    <v>0</v>
  </rv>
  <rv s="0">
    <fb>1724666</fb>
    <v>2</v>
  </rv>
  <rv s="0">
    <fb>45908</fb>
    <v>0</v>
  </rv>
  <rv s="0">
    <fb>96.65</fb>
    <v>1</v>
  </rv>
  <rv s="0">
    <fb>2189394</fb>
    <v>2</v>
  </rv>
  <rv s="0">
    <fb>45909</fb>
    <v>0</v>
  </rv>
  <rv s="0">
    <fb>96.98</fb>
    <v>1</v>
  </rv>
  <rv s="0">
    <fb>1282697</fb>
    <v>2</v>
  </rv>
  <rv s="0">
    <fb>45910</fb>
    <v>0</v>
  </rv>
  <rv s="0">
    <fb>97.08</fb>
    <v>1</v>
  </rv>
  <rv s="0">
    <fb>1603960</fb>
    <v>2</v>
  </rv>
  <rv s="0">
    <fb>45911</fb>
    <v>0</v>
  </rv>
  <rv s="0">
    <fb>1689992</fb>
    <v>2</v>
  </rv>
  <rv s="0">
    <fb>45912</fb>
    <v>0</v>
  </rv>
  <rv s="0">
    <fb>97.55</fb>
    <v>1</v>
  </rv>
  <rv s="0">
    <fb>1249463</fb>
    <v>2</v>
  </rv>
  <rv s="0">
    <fb>45915</fb>
    <v>0</v>
  </rv>
  <rv s="0">
    <fb>97</fb>
    <v>1</v>
  </rv>
  <rv s="0">
    <fb>1351898</fb>
    <v>2</v>
  </rv>
  <rv s="0">
    <fb>45916</fb>
    <v>0</v>
  </rv>
  <rv s="0">
    <fb>95.57</fb>
    <v>1</v>
  </rv>
  <rv s="0">
    <fb>2116706</fb>
    <v>2</v>
  </rv>
  <rv s="0">
    <fb>45917</fb>
    <v>0</v>
  </rv>
  <rv s="0">
    <fb>96.4</fb>
    <v>1</v>
  </rv>
  <rv s="0">
    <fb>1879757</fb>
    <v>2</v>
  </rv>
  <rv s="0">
    <fb>45918</fb>
    <v>0</v>
  </rv>
  <rv s="0">
    <fb>96.35</fb>
    <v>1</v>
  </rv>
  <rv s="0">
    <fb>1815705</fb>
    <v>2</v>
  </rv>
  <rv s="0">
    <fb>45919</fb>
    <v>0</v>
  </rv>
  <rv s="0">
    <fb>96.33</fb>
    <v>1</v>
  </rv>
  <rv s="0">
    <fb>4091681</fb>
    <v>2</v>
  </rv>
  <rv s="0">
    <fb>45922</fb>
    <v>0</v>
  </rv>
  <rv s="0">
    <fb>1938992</fb>
    <v>2</v>
  </rv>
  <rv s="0">
    <fb>45923</fb>
    <v>0</v>
  </rv>
  <rv s="0">
    <fb>98.55</fb>
    <v>1</v>
  </rv>
  <rv s="0">
    <fb>2204294</fb>
    <v>2</v>
  </rv>
  <rv s="0">
    <fb>45924</fb>
    <v>0</v>
  </rv>
  <rv s="0">
    <fb>98.81</fb>
    <v>1</v>
  </rv>
  <rv s="0">
    <fb>1611788</fb>
    <v>2</v>
  </rv>
  <rv s="0">
    <fb>45925</fb>
    <v>0</v>
  </rv>
  <rv s="0">
    <fb>98.35</fb>
    <v>1</v>
  </rv>
  <rv s="0">
    <fb>1848471</fb>
    <v>2</v>
  </rv>
  <rv s="0">
    <fb>45926</fb>
    <v>0</v>
  </rv>
  <rv s="0">
    <fb>99.62</fb>
    <v>1</v>
  </rv>
  <rv s="0">
    <fb>1947302</fb>
    <v>2</v>
  </rv>
  <rv s="0">
    <fb>45929</fb>
    <v>0</v>
  </rv>
  <rv s="0">
    <fb>99.57</fb>
    <v>1</v>
  </rv>
  <rv s="0">
    <fb>1875302</fb>
    <v>2</v>
  </rv>
  <rv s="0">
    <fb>45930</fb>
    <v>0</v>
  </rv>
  <rv s="0">
    <fb>100.52</fb>
    <v>1</v>
  </rv>
  <rv s="0">
    <fb>2199219</fb>
    <v>2</v>
  </rv>
  <rv s="0">
    <fb>45931</fb>
    <v>0</v>
  </rv>
  <rv s="0">
    <fb>2301874</fb>
    <v>2</v>
  </rv>
  <rv s="0">
    <fb>45932</fb>
    <v>0</v>
  </rv>
  <rv s="0">
    <fb>1449485</fb>
    <v>2</v>
  </rv>
  <rv s="0">
    <fb>45933</fb>
    <v>0</v>
  </rv>
  <rv s="0">
    <fb>1676205</fb>
    <v>2</v>
  </rv>
  <rv s="0">
    <fb>45936</fb>
    <v>0</v>
  </rv>
  <rv s="0">
    <fb>99.33</fb>
    <v>1</v>
  </rv>
  <rv s="0">
    <fb>1769805</fb>
    <v>2</v>
  </rv>
  <rv s="0">
    <fb>45937</fb>
    <v>0</v>
  </rv>
  <rv s="0">
    <fb>100.04</fb>
    <v>1</v>
  </rv>
  <rv s="0">
    <fb>1722042</fb>
    <v>2</v>
  </rv>
  <rv s="0">
    <fb>45938</fb>
    <v>0</v>
  </rv>
  <rv s="0">
    <fb>100.83</fb>
    <v>1</v>
  </rv>
  <rv s="0">
    <fb>1570590</fb>
    <v>2</v>
  </rv>
  <rv s="0">
    <fb>45939</fb>
    <v>0</v>
  </rv>
  <rv s="0">
    <fb>100.8</fb>
    <v>1</v>
  </rv>
  <rv s="0">
    <fb>1816124</fb>
    <v>2</v>
  </rv>
  <rv s="0">
    <fb>45940</fb>
    <v>0</v>
  </rv>
  <rv s="0">
    <fb>102.39</fb>
    <v>1</v>
  </rv>
  <rv s="0">
    <fb>2059205</fb>
    <v>2</v>
  </rv>
  <rv s="0">
    <fb>45943</fb>
    <v>0</v>
  </rv>
  <rv s="0">
    <fb>1515680</fb>
    <v>2</v>
  </rv>
  <rv s="0">
    <fb>45944</fb>
    <v>0</v>
  </rv>
  <rv s="0">
    <fb>101.89</fb>
    <v>1</v>
  </rv>
  <rv s="0">
    <fb>1423256</fb>
    <v>2</v>
  </rv>
  <rv s="0">
    <fb>45945</fb>
    <v>0</v>
  </rv>
  <rv s="0">
    <fb>102.29</fb>
    <v>1</v>
  </rv>
  <rv s="0">
    <fb>1556615</fb>
    <v>2</v>
  </rv>
  <rv s="0">
    <fb>45946</fb>
    <v>0</v>
  </rv>
  <rv s="0">
    <fb>1558806</fb>
    <v>2</v>
  </rv>
  <rv s="0">
    <fb>45947</fb>
    <v>0</v>
  </rv>
  <rv s="0">
    <fb>1597575</fb>
    <v>2</v>
  </rv>
  <rv s="0">
    <fb>45950</fb>
    <v>0</v>
  </rv>
  <rv s="0">
    <fb>101.72</fb>
    <v>1</v>
  </rv>
  <rv s="0">
    <fb>1129321</fb>
    <v>2</v>
  </rv>
  <rv s="0">
    <fb>45951</fb>
    <v>0</v>
  </rv>
  <rv s="0">
    <fb>1116965</fb>
    <v>2</v>
  </rv>
  <rv s="0">
    <fb>45952</fb>
    <v>0</v>
  </rv>
  <rv s="0">
    <fb>1508989</fb>
    <v>2</v>
  </rv>
  <rv s="0">
    <fb>45953</fb>
    <v>0</v>
  </rv>
  <rv s="0">
    <fb>1302838</fb>
    <v>2</v>
  </rv>
  <rv s="0">
    <fb>45954</fb>
    <v>0</v>
  </rv>
  <rv s="0">
    <fb>1036366</fb>
    <v>2</v>
  </rv>
  <rv s="0">
    <fb>45957</fb>
    <v>0</v>
  </rv>
  <rv s="0">
    <fb>100.22</fb>
    <v>1</v>
  </rv>
  <rv s="0">
    <fb>1537561</fb>
    <v>2</v>
  </rv>
  <rv s="0">
    <fb>45958</fb>
    <v>0</v>
  </rv>
  <rv s="0">
    <fb>1156747</fb>
    <v>2</v>
  </rv>
  <rv s="0">
    <fb>45959</fb>
    <v>0</v>
  </rv>
  <rv s="0">
    <fb>1804147</fb>
    <v>2</v>
  </rv>
  <rv s="0">
    <fb>45960</fb>
    <v>0</v>
  </rv>
  <rv s="0">
    <fb>98.19</fb>
    <v>1</v>
  </rv>
  <rv s="0">
    <fb>2073284</fb>
    <v>2</v>
  </rv>
  <rv s="0">
    <fb>45961</fb>
    <v>0</v>
  </rv>
  <rv s="0">
    <fb>97.41</fb>
    <v>1</v>
  </rv>
  <rv s="0">
    <fb>2770794</fb>
    <v>2</v>
  </rv>
  <rv s="0">
    <fb>45964</fb>
    <v>0</v>
  </rv>
  <rv s="0">
    <fb>1692176</fb>
    <v>2</v>
  </rv>
  <rv s="0">
    <fb>45965</fb>
    <v>0</v>
  </rv>
  <rv s="0">
    <fb>97.96</fb>
    <v>1</v>
  </rv>
  <rv s="0">
    <fb>1614634</fb>
    <v>2</v>
  </rv>
  <rv s="0">
    <fb>45966</fb>
    <v>0</v>
  </rv>
  <rv s="0">
    <fb>96.11</fb>
    <v>1</v>
  </rv>
  <rv s="0">
    <fb>2273863</fb>
    <v>2</v>
  </rv>
  <rv s="0">
    <fb>45967</fb>
    <v>0</v>
  </rv>
  <rv s="0">
    <fb>96.99</fb>
    <v>1</v>
  </rv>
  <rv s="0">
    <fb>3064515</fb>
    <v>2</v>
  </rv>
  <rv s="0">
    <fb>45968</fb>
    <v>0</v>
  </rv>
  <rv s="0">
    <fb>98.52</fb>
    <v>1</v>
  </rv>
  <rv s="0">
    <fb>2924446</fb>
    <v>2</v>
  </rv>
  <rv s="0">
    <fb>45971</fb>
    <v>0</v>
  </rv>
  <rv s="0">
    <fb>98.24</fb>
    <v>1</v>
  </rv>
  <rv s="0">
    <fb>2188924</fb>
    <v>2</v>
  </rv>
  <rv s="0">
    <fb>45972</fb>
    <v>0</v>
  </rv>
  <rv s="0">
    <fb>1779798</fb>
    <v>2</v>
  </rv>
  <rv s="0">
    <fb>45973</fb>
    <v>0</v>
  </rv>
  <rv s="0">
    <fb>1340259</fb>
    <v>2</v>
  </rv>
  <rv s="0">
    <fb>45974</fb>
    <v>0</v>
  </rv>
  <rv s="0">
    <fb>100.95</fb>
    <v>1</v>
  </rv>
  <rv s="0">
    <fb>1977816</fb>
    <v>2</v>
  </rv>
  <rv s="0">
    <fb>45975</fb>
    <v>0</v>
  </rv>
  <rv s="0">
    <fb>101.66</fb>
    <v>1</v>
  </rv>
  <rv s="0">
    <fb>2443256</fb>
    <v>2</v>
  </rv>
  <rv s="0">
    <fb>45978</fb>
    <v>0</v>
  </rv>
  <rv s="0">
    <fb>103.85</fb>
    <v>1</v>
  </rv>
  <rv s="0">
    <fb>3007831</fb>
    <v>2</v>
  </rv>
  <rv s="0">
    <fb>45979</fb>
    <v>0</v>
  </rv>
  <rv s="0">
    <fb>2585563</fb>
    <v>2</v>
  </rv>
  <rv s="0">
    <fb>45980</fb>
    <v>0</v>
  </rv>
  <rv s="0">
    <fb>100.38</fb>
    <v>1</v>
  </rv>
  <rv s="0">
    <fb>3059734</fb>
    <v>2</v>
  </rv>
  <rv s="0">
    <fb>45981</fb>
    <v>0</v>
  </rv>
  <rv s="0">
    <fb>2462396</fb>
    <v>2</v>
  </rv>
  <rv s="0">
    <fb>45982</fb>
    <v>0</v>
  </rv>
  <rv s="0">
    <fb>100.16</fb>
    <v>1</v>
  </rv>
  <rv s="0">
    <fb>4721989</fb>
    <v>2</v>
  </rv>
  <rv s="0">
    <fb>45985</fb>
    <v>0</v>
  </rv>
  <rv s="0">
    <fb>98.92</fb>
    <v>1</v>
  </rv>
  <rv s="0">
    <fb>7708010</fb>
    <v>2</v>
  </rv>
  <rv s="0">
    <fb>45986</fb>
    <v>0</v>
  </rv>
  <rv s="0">
    <fb>98.85</fb>
    <v>1</v>
  </rv>
  <rv s="0">
    <fb>2127188</fb>
    <v>2</v>
  </rv>
  <rv s="0">
    <fb>45987</fb>
    <v>0</v>
  </rv>
  <rv s="0">
    <fb>100.14</fb>
    <v>1</v>
  </rv>
  <rv s="0">
    <fb>1305669</fb>
    <v>2</v>
  </rv>
  <rv s="0">
    <fb>45989</fb>
    <v>0</v>
  </rv>
  <rv s="0">
    <fb>100.36</fb>
    <v>1</v>
  </rv>
  <rv s="0">
    <fb>1063335</fb>
    <v>2</v>
  </rv>
  <rv s="0">
    <fb>45992</fb>
    <v>0</v>
  </rv>
  <rv s="0">
    <fb>2744812</fb>
    <v>2</v>
  </rv>
  <rv s="0">
    <fb>45993</fb>
    <v>0</v>
  </rv>
  <rv s="0">
    <fb>2753150</fb>
    <v>2</v>
  </rv>
  <rv s="0">
    <fb>45994</fb>
    <v>0</v>
  </rv>
  <rv s="0">
    <fb>1762033</fb>
    <v>2</v>
  </rv>
  <rv s="0">
    <fb>45995</fb>
    <v>0</v>
  </rv>
  <rv s="0">
    <fb>96.22</fb>
    <v>1</v>
  </rv>
  <rv s="0">
    <fb>2303530</fb>
    <v>2</v>
  </rv>
  <rv s="0">
    <fb>45996</fb>
    <v>0</v>
  </rv>
  <rv s="0">
    <fb>96.6</fb>
    <v>1</v>
  </rv>
  <rv s="0">
    <fb>1775844</fb>
    <v>2</v>
  </rv>
  <rv s="0">
    <fb>45999</fb>
    <v>0</v>
  </rv>
  <rv s="0">
    <fb>95.45</fb>
    <v>1</v>
  </rv>
  <rv s="0">
    <fb>2089307</fb>
    <v>2</v>
  </rv>
  <rv s="0">
    <fb>46000</fb>
    <v>0</v>
  </rv>
  <rv s="0">
    <fb>95.82</fb>
    <v>1</v>
  </rv>
  <rv s="0">
    <fb>1823336</fb>
    <v>2</v>
  </rv>
  <rv s="0">
    <fb>46001</fb>
    <v>0</v>
  </rv>
  <rv s="0">
    <fb>1848956</fb>
    <v>2</v>
  </rv>
  <rv s="0">
    <fb>46002</fb>
    <v>0</v>
  </rv>
  <rv s="0">
    <fb>95.64</fb>
    <v>1</v>
  </rv>
  <rv s="0">
    <fb>1396780</fb>
    <v>2</v>
  </rv>
  <rv s="0">
    <fb>46003</fb>
    <v>0</v>
  </rv>
  <rv s="0">
    <fb>2638227</fb>
    <v>2</v>
  </rv>
  <rv s="0">
    <fb>46006</fb>
    <v>0</v>
  </rv>
  <rv s="0">
    <fb>99.39</fb>
    <v>1</v>
  </rv>
  <rv s="0">
    <fb>2388088</fb>
    <v>2</v>
  </rv>
  <rv s="0">
    <fb>46007</fb>
    <v>0</v>
  </rv>
  <rv s="0">
    <fb>98.9</fb>
    <v>1</v>
  </rv>
  <rv s="0">
    <fb>2321135</fb>
    <v>2</v>
  </rv>
  <rv s="0">
    <fb>46008</fb>
    <v>0</v>
  </rv>
  <rv s="0">
    <fb>2330732</fb>
    <v>2</v>
  </rv>
  <rv s="0">
    <fb>46009</fb>
    <v>0</v>
  </rv>
  <rv s="0">
    <fb>99.99</fb>
    <v>1</v>
  </rv>
  <rv s="0">
    <fb>2345340</fb>
    <v>2</v>
  </rv>
  <rv s="0">
    <fb>46010</fb>
    <v>0</v>
  </rv>
  <rv s="0">
    <fb>98.06</fb>
    <v>1</v>
  </rv>
  <rv s="0">
    <fb>4366286</fb>
    <v>2</v>
  </rv>
  <rv s="0">
    <fb>46013</fb>
    <v>0</v>
  </rv>
  <rv s="0">
    <fb>98.57</fb>
    <v>1</v>
  </rv>
  <rv s="0">
    <fb>1526222</fb>
    <v>2</v>
  </rv>
  <rv s="0">
    <fb>46014</fb>
    <v>0</v>
  </rv>
  <rv s="0">
    <fb>98.95</fb>
    <v>1</v>
  </rv>
  <rv s="0">
    <fb>1485103</fb>
    <v>2</v>
  </rv>
  <rv s="0">
    <fb>46015</fb>
    <v>0</v>
  </rv>
  <rv s="0">
    <fb>99.53</fb>
    <v>1</v>
  </rv>
  <rv s="0">
    <fb>522559</fb>
    <v>2</v>
  </rv>
  <rv s="0">
    <fb>46017</fb>
    <v>0</v>
  </rv>
  <rv s="0">
    <fb>99.3</fb>
    <v>1</v>
  </rv>
  <rv s="0">
    <fb>611485</fb>
    <v>2</v>
  </rv>
  <rv s="0">
    <fb>46020</fb>
    <v>0</v>
  </rv>
  <rv s="0">
    <fb>99.54</fb>
    <v>1</v>
  </rv>
  <rv s="0">
    <fb>1647935</fb>
    <v>2</v>
  </rv>
  <rv s="0">
    <fb>46021</fb>
    <v>0</v>
  </rv>
  <rv s="0">
    <fb>99.89</fb>
    <v>1</v>
  </rv>
  <rv s="0">
    <fb>1019883</fb>
    <v>2</v>
  </rv>
  <rv s="0">
    <fb>46022</fb>
    <v>0</v>
  </rv>
  <rv s="0">
    <fb>99.32</fb>
    <v>1</v>
  </rv>
  <rv s="0">
    <fb>1218242</fb>
    <v>2</v>
  </rv>
  <rv s="0">
    <fb>46024</fb>
    <v>0</v>
  </rv>
  <rv s="0">
    <fb>1441121</fb>
    <v>2</v>
  </rv>
  <rv s="0">
    <fb>46027</fb>
    <v>0</v>
  </rv>
  <rv s="0">
    <fb>2112395</fb>
    <v>2</v>
  </rv>
  <rv s="0">
    <fb>46028</fb>
    <v>0</v>
  </rv>
  <rv s="0">
    <fb>1643792</fb>
    <v>2</v>
  </rv>
  <rv s="0">
    <fb>46029</fb>
    <v>0</v>
  </rv>
  <rv s="0">
    <fb>99.37</fb>
    <v>1</v>
  </rv>
  <rv s="0">
    <fb>1638957</fb>
    <v>2</v>
  </rv>
  <rv s="0">
    <fb>46030</fb>
    <v>0</v>
  </rv>
  <rv s="0">
    <fb>100.18</fb>
    <v>1</v>
  </rv>
  <rv s="0">
    <fb>1717623</fb>
    <v>2</v>
  </rv>
  <rv s="0">
    <fb>46031</fb>
    <v>0</v>
  </rv>
  <rv s="0">
    <fb>99.21</fb>
    <v>1</v>
  </rv>
  <rv s="0">
    <fb>1354245</fb>
    <v>2</v>
  </rv>
  <rv s="0">
    <fb>46034</fb>
    <v>0</v>
  </rv>
  <rv s="0">
    <fb>98.83</fb>
    <v>1</v>
  </rv>
  <rv s="0">
    <fb>1987289</fb>
    <v>2</v>
  </rv>
  <rv s="0">
    <fb>46035</fb>
    <v>0</v>
  </rv>
  <rv s="0">
    <fb>2073342</fb>
    <v>2</v>
  </rv>
  <rv s="0">
    <fb>46036</fb>
    <v>0</v>
  </rv>
  <rv s="0">
    <fb>101.47</fb>
    <v>1</v>
  </rv>
  <rv s="0">
    <fb>1963060</fb>
    <v>2</v>
  </rv>
  <rv s="0">
    <fb>46037</fb>
    <v>0</v>
  </rv>
  <rv s="0">
    <fb>102.58</fb>
    <v>1</v>
  </rv>
  <rv s="0">
    <fb>1813479</fb>
    <v>2</v>
  </rv>
  <rv s="0">
    <fb>46038</fb>
    <v>0</v>
  </rv>
  <rv s="0">
    <fb>103.81</fb>
    <v>1</v>
  </rv>
  <rv s="0">
    <fb>2201908</fb>
    <v>2</v>
  </rv>
  <rv s="1">
    <v>3</v>
    <v>ED</v>
    <v>Daily</v>
    <v>45292</v>
    <v>46041</v>
    <v>0</v>
    <v>1</v>
    <v>639041184000000000,639044469619037432,0</v>
    <v>0</v>
    <v>a1rmkr</v>
    <v>XNYS:ED</v>
    <v>1</v>
    <v>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0">
      <v>3</v>
    </spb>
    <spb s="1">
      <v>1</v>
      <v>2</v>
      <v>3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19" formatCode="m/d/yyyy"/>
    </x:dxf>
    <x:dxf>
      <x:numFmt numFmtId="0" formatCode="General"/>
    </x:dxf>
    <x:dxf>
      <x:numFmt numFmtId="3" formatCode="#,##0"/>
    </x:dxf>
  </dxfs>
  <richProperties>
    <rPr n="NumberFormat" t="s"/>
  </richProperties>
  <richStyles>
    <rSty dxfid="0"/>
    <rSty dxfid="1">
      <rpv i="0">_([$$-en-US]* #,##0.00_);_([$$-en-US]* (#,##0.00);_([$$-en-US]* "-"??_);_(@_)</rpv>
    </rSty>
    <rSty dxfid="2">
      <rpv i="0">#,##0</rpv>
    </rSty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84C931-BF55-4D5F-826F-2D4BC30C0935}" name="Weekly" displayName="Weekly" ref="A1:F121" tableType="queryTable" totalsRowShown="0">
  <autoFilter ref="A1:F121" xr:uid="{2F84C931-BF55-4D5F-826F-2D4BC30C0935}"/>
  <tableColumns count="6">
    <tableColumn id="1" xr3:uid="{4237B63B-FEBB-4172-AA74-0EC650744695}" uniqueName="1" name="Date" queryTableFieldId="1" dataDxfId="0"/>
    <tableColumn id="2" xr3:uid="{A8E5EAA8-BFE7-4C9D-88F0-689F937A140E}" uniqueName="2" name="Average" queryTableFieldId="2"/>
    <tableColumn id="3" xr3:uid="{4DF14B95-E25D-4452-AE19-60E2BFAD7A78}" uniqueName="3" name="Forecast" queryTableFieldId="3"/>
    <tableColumn id="4" xr3:uid="{5335A445-5D52-4485-80F7-1B7F013028E2}" uniqueName="4" name="PI" queryTableFieldId="4"/>
    <tableColumn id="5" xr3:uid="{9E9F7484-395C-4204-B0F2-C864F69C1159}" uniqueName="5" name="Lower" queryTableFieldId="5"/>
    <tableColumn id="6" xr3:uid="{C9243936-ACCA-49D9-878B-A4EBFD977CC1}" uniqueName="6" name="Upper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ECD08-FA23-4573-84E4-B5D2BCD93DD4}">
  <dimension ref="A1:F121"/>
  <sheetViews>
    <sheetView tabSelected="1" topLeftCell="A98" workbookViewId="0">
      <selection activeCell="C109" sqref="C109"/>
    </sheetView>
  </sheetViews>
  <sheetFormatPr defaultRowHeight="15" x14ac:dyDescent="0.25"/>
  <cols>
    <col min="1" max="2" width="10.42578125" bestFit="1" customWidth="1"/>
    <col min="3" max="3" width="12" bestFit="1" customWidth="1"/>
  </cols>
  <sheetData>
    <row r="1" spans="1:6" x14ac:dyDescent="0.25">
      <c r="A1" t="s">
        <v>0</v>
      </c>
      <c r="B1" t="s">
        <v>1</v>
      </c>
      <c r="C1" t="s">
        <v>7</v>
      </c>
      <c r="D1" t="s">
        <v>8</v>
      </c>
      <c r="E1" t="s">
        <v>9</v>
      </c>
      <c r="F1" t="s">
        <v>10</v>
      </c>
    </row>
    <row r="2" spans="1:6" x14ac:dyDescent="0.25">
      <c r="A2" s="1">
        <v>45291</v>
      </c>
      <c r="B2">
        <v>93.045000000000002</v>
      </c>
    </row>
    <row r="3" spans="1:6" x14ac:dyDescent="0.25">
      <c r="A3" s="1">
        <v>45298</v>
      </c>
      <c r="B3">
        <v>92.94</v>
      </c>
    </row>
    <row r="4" spans="1:6" x14ac:dyDescent="0.25">
      <c r="A4" s="1">
        <v>45305</v>
      </c>
      <c r="B4">
        <v>90.342500000000001</v>
      </c>
    </row>
    <row r="5" spans="1:6" x14ac:dyDescent="0.25">
      <c r="A5" s="1">
        <v>45312</v>
      </c>
      <c r="B5">
        <v>89.266000000000005</v>
      </c>
    </row>
    <row r="6" spans="1:6" x14ac:dyDescent="0.25">
      <c r="A6" s="1">
        <v>45319</v>
      </c>
      <c r="B6">
        <v>91.210000000000008</v>
      </c>
    </row>
    <row r="7" spans="1:6" x14ac:dyDescent="0.25">
      <c r="A7" s="1">
        <v>45326</v>
      </c>
      <c r="B7">
        <v>89.328000000000003</v>
      </c>
    </row>
    <row r="8" spans="1:6" x14ac:dyDescent="0.25">
      <c r="A8" s="1">
        <v>45333</v>
      </c>
      <c r="B8">
        <v>87.7</v>
      </c>
    </row>
    <row r="9" spans="1:6" x14ac:dyDescent="0.25">
      <c r="A9" s="1">
        <v>45340</v>
      </c>
      <c r="B9">
        <v>88.007499999999993</v>
      </c>
    </row>
    <row r="10" spans="1:6" x14ac:dyDescent="0.25">
      <c r="A10" s="1">
        <v>45347</v>
      </c>
      <c r="B10">
        <v>86.792000000000002</v>
      </c>
    </row>
    <row r="11" spans="1:6" x14ac:dyDescent="0.25">
      <c r="A11" s="1">
        <v>45354</v>
      </c>
      <c r="B11">
        <v>89.605999999999995</v>
      </c>
    </row>
    <row r="12" spans="1:6" x14ac:dyDescent="0.25">
      <c r="A12" s="1">
        <v>45361</v>
      </c>
      <c r="B12">
        <v>89.581999999999994</v>
      </c>
    </row>
    <row r="13" spans="1:6" x14ac:dyDescent="0.25">
      <c r="A13" s="1">
        <v>45368</v>
      </c>
      <c r="B13">
        <v>88.998000000000005</v>
      </c>
    </row>
    <row r="14" spans="1:6" x14ac:dyDescent="0.25">
      <c r="A14" s="1">
        <v>45375</v>
      </c>
      <c r="B14">
        <v>89.202500000000001</v>
      </c>
    </row>
    <row r="15" spans="1:6" x14ac:dyDescent="0.25">
      <c r="A15" s="1">
        <v>45382</v>
      </c>
      <c r="B15">
        <v>90.132000000000005</v>
      </c>
    </row>
    <row r="16" spans="1:6" x14ac:dyDescent="0.25">
      <c r="A16" s="1">
        <v>45389</v>
      </c>
      <c r="B16">
        <v>89.56</v>
      </c>
    </row>
    <row r="17" spans="1:2" x14ac:dyDescent="0.25">
      <c r="A17" s="1">
        <v>45396</v>
      </c>
      <c r="B17">
        <v>89.947999999999993</v>
      </c>
    </row>
    <row r="18" spans="1:2" x14ac:dyDescent="0.25">
      <c r="A18" s="1">
        <v>45403</v>
      </c>
      <c r="B18">
        <v>93.207999999999998</v>
      </c>
    </row>
    <row r="19" spans="1:2" x14ac:dyDescent="0.25">
      <c r="A19" s="1">
        <v>45410</v>
      </c>
      <c r="B19">
        <v>94.796000000000006</v>
      </c>
    </row>
    <row r="20" spans="1:2" x14ac:dyDescent="0.25">
      <c r="A20" s="1">
        <v>45417</v>
      </c>
      <c r="B20">
        <v>97.403999999999996</v>
      </c>
    </row>
    <row r="21" spans="1:2" x14ac:dyDescent="0.25">
      <c r="A21" s="1">
        <v>45424</v>
      </c>
      <c r="B21">
        <v>97.039999999999992</v>
      </c>
    </row>
    <row r="22" spans="1:2" x14ac:dyDescent="0.25">
      <c r="A22" s="1">
        <v>45431</v>
      </c>
      <c r="B22">
        <v>95.456000000000003</v>
      </c>
    </row>
    <row r="23" spans="1:2" x14ac:dyDescent="0.25">
      <c r="A23" s="1">
        <v>45438</v>
      </c>
      <c r="B23">
        <v>93.03</v>
      </c>
    </row>
    <row r="24" spans="1:2" x14ac:dyDescent="0.25">
      <c r="A24" s="1">
        <v>45445</v>
      </c>
      <c r="B24">
        <v>92.7</v>
      </c>
    </row>
    <row r="25" spans="1:2" x14ac:dyDescent="0.25">
      <c r="A25" s="1">
        <v>45452</v>
      </c>
      <c r="B25">
        <v>91.337999999999994</v>
      </c>
    </row>
    <row r="26" spans="1:2" x14ac:dyDescent="0.25">
      <c r="A26" s="1">
        <v>45459</v>
      </c>
      <c r="B26">
        <v>90.477500000000006</v>
      </c>
    </row>
    <row r="27" spans="1:2" x14ac:dyDescent="0.25">
      <c r="A27" s="1">
        <v>45466</v>
      </c>
      <c r="B27">
        <v>89.885999999999996</v>
      </c>
    </row>
    <row r="28" spans="1:2" x14ac:dyDescent="0.25">
      <c r="A28" s="1">
        <v>45473</v>
      </c>
      <c r="B28">
        <v>88.94</v>
      </c>
    </row>
    <row r="29" spans="1:2" x14ac:dyDescent="0.25">
      <c r="A29" s="1">
        <v>45480</v>
      </c>
      <c r="B29">
        <v>90.158000000000001</v>
      </c>
    </row>
    <row r="30" spans="1:2" x14ac:dyDescent="0.25">
      <c r="A30" s="1">
        <v>45487</v>
      </c>
      <c r="B30">
        <v>92.744</v>
      </c>
    </row>
    <row r="31" spans="1:2" x14ac:dyDescent="0.25">
      <c r="A31" s="1">
        <v>45494</v>
      </c>
      <c r="B31">
        <v>95.225999999999999</v>
      </c>
    </row>
    <row r="32" spans="1:2" x14ac:dyDescent="0.25">
      <c r="A32" s="1">
        <v>45501</v>
      </c>
      <c r="B32">
        <v>98.917999999999992</v>
      </c>
    </row>
    <row r="33" spans="1:2" x14ac:dyDescent="0.25">
      <c r="A33" s="1">
        <v>45508</v>
      </c>
      <c r="B33">
        <v>100.86</v>
      </c>
    </row>
    <row r="34" spans="1:2" x14ac:dyDescent="0.25">
      <c r="A34" s="1">
        <v>45515</v>
      </c>
      <c r="B34">
        <v>100.746</v>
      </c>
    </row>
    <row r="35" spans="1:2" x14ac:dyDescent="0.25">
      <c r="A35" s="1">
        <v>45522</v>
      </c>
      <c r="B35">
        <v>100.45399999999999</v>
      </c>
    </row>
    <row r="36" spans="1:2" x14ac:dyDescent="0.25">
      <c r="A36" s="1">
        <v>45529</v>
      </c>
      <c r="B36">
        <v>100.65</v>
      </c>
    </row>
    <row r="37" spans="1:2" x14ac:dyDescent="0.25">
      <c r="A37" s="1">
        <v>45536</v>
      </c>
      <c r="B37">
        <v>103.6875</v>
      </c>
    </row>
    <row r="38" spans="1:2" x14ac:dyDescent="0.25">
      <c r="A38" s="1">
        <v>45543</v>
      </c>
      <c r="B38">
        <v>104.298</v>
      </c>
    </row>
    <row r="39" spans="1:2" x14ac:dyDescent="0.25">
      <c r="A39" s="1">
        <v>45550</v>
      </c>
      <c r="B39">
        <v>103.654</v>
      </c>
    </row>
    <row r="40" spans="1:2" x14ac:dyDescent="0.25">
      <c r="A40" s="1">
        <v>45557</v>
      </c>
      <c r="B40">
        <v>103.434</v>
      </c>
    </row>
    <row r="41" spans="1:2" x14ac:dyDescent="0.25">
      <c r="A41" s="1">
        <v>45564</v>
      </c>
      <c r="B41">
        <v>104.18</v>
      </c>
    </row>
    <row r="42" spans="1:2" x14ac:dyDescent="0.25">
      <c r="A42" s="1">
        <v>45571</v>
      </c>
      <c r="B42">
        <v>101.904</v>
      </c>
    </row>
    <row r="43" spans="1:2" x14ac:dyDescent="0.25">
      <c r="A43" s="1">
        <v>45578</v>
      </c>
      <c r="B43">
        <v>105.41</v>
      </c>
    </row>
    <row r="44" spans="1:2" x14ac:dyDescent="0.25">
      <c r="A44" s="1">
        <v>45585</v>
      </c>
      <c r="B44">
        <v>106.19200000000001</v>
      </c>
    </row>
    <row r="45" spans="1:2" x14ac:dyDescent="0.25">
      <c r="A45" s="1">
        <v>45592</v>
      </c>
      <c r="B45">
        <v>102.42400000000001</v>
      </c>
    </row>
    <row r="46" spans="1:2" x14ac:dyDescent="0.25">
      <c r="A46" s="1">
        <v>45599</v>
      </c>
      <c r="B46">
        <v>98.727999999999994</v>
      </c>
    </row>
    <row r="47" spans="1:2" x14ac:dyDescent="0.25">
      <c r="A47" s="1">
        <v>45606</v>
      </c>
      <c r="B47">
        <v>96.522000000000006</v>
      </c>
    </row>
    <row r="48" spans="1:2" x14ac:dyDescent="0.25">
      <c r="A48" s="1">
        <v>45613</v>
      </c>
      <c r="B48">
        <v>97.671999999999997</v>
      </c>
    </row>
    <row r="49" spans="1:2" x14ac:dyDescent="0.25">
      <c r="A49" s="1">
        <v>45620</v>
      </c>
      <c r="B49">
        <v>100.83500000000001</v>
      </c>
    </row>
    <row r="50" spans="1:2" x14ac:dyDescent="0.25">
      <c r="A50" s="1">
        <v>45627</v>
      </c>
      <c r="B50">
        <v>96.793999999999997</v>
      </c>
    </row>
    <row r="51" spans="1:2" x14ac:dyDescent="0.25">
      <c r="A51" s="1">
        <v>45634</v>
      </c>
      <c r="B51">
        <v>93.504000000000005</v>
      </c>
    </row>
    <row r="52" spans="1:2" x14ac:dyDescent="0.25">
      <c r="A52" s="1">
        <v>45641</v>
      </c>
      <c r="B52">
        <v>90.013999999999996</v>
      </c>
    </row>
    <row r="53" spans="1:2" x14ac:dyDescent="0.25">
      <c r="A53" s="1">
        <v>45648</v>
      </c>
      <c r="B53">
        <v>89.6</v>
      </c>
    </row>
    <row r="54" spans="1:2" x14ac:dyDescent="0.25">
      <c r="A54" s="1">
        <v>45655</v>
      </c>
      <c r="B54">
        <v>89.164999999999992</v>
      </c>
    </row>
    <row r="55" spans="1:2" x14ac:dyDescent="0.25">
      <c r="A55" s="1">
        <v>45662</v>
      </c>
      <c r="B55">
        <v>88.382500000000007</v>
      </c>
    </row>
    <row r="56" spans="1:2" x14ac:dyDescent="0.25">
      <c r="A56" s="1">
        <v>45669</v>
      </c>
      <c r="B56">
        <v>90.787999999999997</v>
      </c>
    </row>
    <row r="57" spans="1:2" x14ac:dyDescent="0.25">
      <c r="A57" s="1">
        <v>45676</v>
      </c>
      <c r="B57">
        <v>91.334999999999994</v>
      </c>
    </row>
    <row r="58" spans="1:2" x14ac:dyDescent="0.25">
      <c r="A58" s="1">
        <v>45683</v>
      </c>
      <c r="B58">
        <v>93.69</v>
      </c>
    </row>
    <row r="59" spans="1:2" x14ac:dyDescent="0.25">
      <c r="A59" s="1">
        <v>45690</v>
      </c>
      <c r="B59">
        <v>95.644000000000005</v>
      </c>
    </row>
    <row r="60" spans="1:2" x14ac:dyDescent="0.25">
      <c r="A60" s="1">
        <v>45697</v>
      </c>
      <c r="B60">
        <v>95.632000000000005</v>
      </c>
    </row>
    <row r="61" spans="1:2" x14ac:dyDescent="0.25">
      <c r="A61" s="1">
        <v>45704</v>
      </c>
      <c r="B61">
        <v>96.26</v>
      </c>
    </row>
    <row r="62" spans="1:2" x14ac:dyDescent="0.25">
      <c r="A62" s="1">
        <v>45711</v>
      </c>
      <c r="B62">
        <v>100.41</v>
      </c>
    </row>
    <row r="63" spans="1:2" x14ac:dyDescent="0.25">
      <c r="A63" s="1">
        <v>45718</v>
      </c>
      <c r="B63">
        <v>102.184</v>
      </c>
    </row>
    <row r="64" spans="1:2" x14ac:dyDescent="0.25">
      <c r="A64" s="1">
        <v>45725</v>
      </c>
      <c r="B64">
        <v>104.81</v>
      </c>
    </row>
    <row r="65" spans="1:2" x14ac:dyDescent="0.25">
      <c r="A65" s="1">
        <v>45732</v>
      </c>
      <c r="B65">
        <v>107.84</v>
      </c>
    </row>
    <row r="66" spans="1:2" x14ac:dyDescent="0.25">
      <c r="A66" s="1">
        <v>45739</v>
      </c>
      <c r="B66">
        <v>107.3</v>
      </c>
    </row>
    <row r="67" spans="1:2" x14ac:dyDescent="0.25">
      <c r="A67" s="1">
        <v>45746</v>
      </c>
      <c r="B67">
        <v>110.45399999999999</v>
      </c>
    </row>
    <row r="68" spans="1:2" x14ac:dyDescent="0.25">
      <c r="A68" s="1">
        <v>45753</v>
      </c>
      <c r="B68">
        <v>107.072</v>
      </c>
    </row>
    <row r="69" spans="1:2" x14ac:dyDescent="0.25">
      <c r="A69" s="1">
        <v>45760</v>
      </c>
      <c r="B69">
        <v>111.9</v>
      </c>
    </row>
    <row r="70" spans="1:2" x14ac:dyDescent="0.25">
      <c r="A70" s="1">
        <v>45767</v>
      </c>
      <c r="B70">
        <v>111.70399999999999</v>
      </c>
    </row>
    <row r="71" spans="1:2" x14ac:dyDescent="0.25">
      <c r="A71" s="1">
        <v>45774</v>
      </c>
      <c r="B71">
        <v>111.72</v>
      </c>
    </row>
    <row r="72" spans="1:2" x14ac:dyDescent="0.25">
      <c r="A72" s="1">
        <v>45781</v>
      </c>
      <c r="B72">
        <v>109.292</v>
      </c>
    </row>
    <row r="73" spans="1:2" x14ac:dyDescent="0.25">
      <c r="A73" s="1">
        <v>45788</v>
      </c>
      <c r="B73">
        <v>101.938</v>
      </c>
    </row>
    <row r="74" spans="1:2" x14ac:dyDescent="0.25">
      <c r="A74" s="1">
        <v>45795</v>
      </c>
      <c r="B74">
        <v>104.76599999999999</v>
      </c>
    </row>
    <row r="75" spans="1:2" x14ac:dyDescent="0.25">
      <c r="A75" s="1">
        <v>45802</v>
      </c>
      <c r="B75">
        <v>103.4875</v>
      </c>
    </row>
    <row r="76" spans="1:2" x14ac:dyDescent="0.25">
      <c r="A76" s="1">
        <v>45809</v>
      </c>
      <c r="B76">
        <v>102.63799999999999</v>
      </c>
    </row>
    <row r="77" spans="1:2" x14ac:dyDescent="0.25">
      <c r="A77" s="1">
        <v>45816</v>
      </c>
      <c r="B77">
        <v>102.756</v>
      </c>
    </row>
    <row r="78" spans="1:2" x14ac:dyDescent="0.25">
      <c r="A78" s="1">
        <v>45823</v>
      </c>
      <c r="B78">
        <v>101.17</v>
      </c>
    </row>
    <row r="79" spans="1:2" x14ac:dyDescent="0.25">
      <c r="A79" s="1">
        <v>45830</v>
      </c>
      <c r="B79">
        <v>99.19</v>
      </c>
    </row>
    <row r="80" spans="1:2" x14ac:dyDescent="0.25">
      <c r="A80" s="1">
        <v>45837</v>
      </c>
      <c r="B80">
        <v>100.34</v>
      </c>
    </row>
    <row r="81" spans="1:2" x14ac:dyDescent="0.25">
      <c r="A81" s="1">
        <v>45844</v>
      </c>
      <c r="B81">
        <v>100.13</v>
      </c>
    </row>
    <row r="82" spans="1:2" x14ac:dyDescent="0.25">
      <c r="A82" s="1">
        <v>45851</v>
      </c>
      <c r="B82">
        <v>100.62</v>
      </c>
    </row>
    <row r="83" spans="1:2" x14ac:dyDescent="0.25">
      <c r="A83" s="1">
        <v>45858</v>
      </c>
      <c r="B83">
        <v>102.504</v>
      </c>
    </row>
    <row r="84" spans="1:2" x14ac:dyDescent="0.25">
      <c r="A84" s="1">
        <v>45865</v>
      </c>
      <c r="B84">
        <v>102.75</v>
      </c>
    </row>
    <row r="85" spans="1:2" x14ac:dyDescent="0.25">
      <c r="A85" s="1">
        <v>45872</v>
      </c>
      <c r="B85">
        <v>104.634</v>
      </c>
    </row>
    <row r="86" spans="1:2" x14ac:dyDescent="0.25">
      <c r="A86" s="1">
        <v>45879</v>
      </c>
      <c r="B86">
        <v>103.02</v>
      </c>
    </row>
    <row r="87" spans="1:2" x14ac:dyDescent="0.25">
      <c r="A87" s="1">
        <v>45886</v>
      </c>
      <c r="B87">
        <v>101.15</v>
      </c>
    </row>
    <row r="88" spans="1:2" x14ac:dyDescent="0.25">
      <c r="A88" s="1">
        <v>45893</v>
      </c>
      <c r="B88">
        <v>99.227999999999994</v>
      </c>
    </row>
    <row r="89" spans="1:2" x14ac:dyDescent="0.25">
      <c r="A89" s="1">
        <v>45900</v>
      </c>
      <c r="B89">
        <v>97.724999999999994</v>
      </c>
    </row>
    <row r="90" spans="1:2" x14ac:dyDescent="0.25">
      <c r="A90" s="1">
        <v>45907</v>
      </c>
      <c r="B90">
        <v>97.192000000000007</v>
      </c>
    </row>
    <row r="91" spans="1:2" x14ac:dyDescent="0.25">
      <c r="A91" s="1">
        <v>45914</v>
      </c>
      <c r="B91">
        <v>96.33</v>
      </c>
    </row>
    <row r="92" spans="1:2" x14ac:dyDescent="0.25">
      <c r="A92" s="1">
        <v>45921</v>
      </c>
      <c r="B92">
        <v>98.39</v>
      </c>
    </row>
    <row r="93" spans="1:2" x14ac:dyDescent="0.25">
      <c r="A93" s="1">
        <v>45928</v>
      </c>
      <c r="B93">
        <v>98.941999999999993</v>
      </c>
    </row>
    <row r="94" spans="1:2" x14ac:dyDescent="0.25">
      <c r="A94" s="1">
        <v>45935</v>
      </c>
      <c r="B94">
        <v>100.678</v>
      </c>
    </row>
    <row r="95" spans="1:2" x14ac:dyDescent="0.25">
      <c r="A95" s="1">
        <v>45942</v>
      </c>
      <c r="B95">
        <v>101.46</v>
      </c>
    </row>
    <row r="96" spans="1:2" x14ac:dyDescent="0.25">
      <c r="A96" s="1">
        <v>45949</v>
      </c>
      <c r="B96">
        <v>101.206</v>
      </c>
    </row>
    <row r="97" spans="1:2" x14ac:dyDescent="0.25">
      <c r="A97" s="1">
        <v>45956</v>
      </c>
      <c r="B97">
        <v>98.274000000000001</v>
      </c>
    </row>
    <row r="98" spans="1:2" x14ac:dyDescent="0.25">
      <c r="A98" s="1">
        <v>45963</v>
      </c>
      <c r="B98">
        <v>97.244</v>
      </c>
    </row>
    <row r="99" spans="1:2" x14ac:dyDescent="0.25">
      <c r="A99" s="1">
        <v>45970</v>
      </c>
      <c r="B99">
        <v>100.126</v>
      </c>
    </row>
    <row r="100" spans="1:2" x14ac:dyDescent="0.25">
      <c r="A100" s="1">
        <v>45977</v>
      </c>
      <c r="B100">
        <v>101.64999999999999</v>
      </c>
    </row>
    <row r="101" spans="1:2" x14ac:dyDescent="0.25">
      <c r="A101" s="1">
        <v>45984</v>
      </c>
      <c r="B101">
        <v>99.567499999999995</v>
      </c>
    </row>
    <row r="102" spans="1:2" x14ac:dyDescent="0.25">
      <c r="A102" s="1">
        <v>45991</v>
      </c>
      <c r="B102">
        <v>96.804000000000002</v>
      </c>
    </row>
    <row r="103" spans="1:2" x14ac:dyDescent="0.25">
      <c r="A103" s="1">
        <v>45998</v>
      </c>
      <c r="B103">
        <v>95.97</v>
      </c>
    </row>
    <row r="104" spans="1:2" x14ac:dyDescent="0.25">
      <c r="A104" s="1">
        <v>46005</v>
      </c>
      <c r="B104">
        <v>99.31</v>
      </c>
    </row>
    <row r="105" spans="1:2" x14ac:dyDescent="0.25">
      <c r="A105" s="1">
        <v>46012</v>
      </c>
      <c r="B105">
        <v>99.087500000000006</v>
      </c>
    </row>
    <row r="106" spans="1:2" x14ac:dyDescent="0.25">
      <c r="A106" s="1">
        <v>46019</v>
      </c>
      <c r="B106">
        <v>99.685000000000002</v>
      </c>
    </row>
    <row r="107" spans="1:2" x14ac:dyDescent="0.25">
      <c r="A107" s="1">
        <v>46026</v>
      </c>
      <c r="B107">
        <v>99.316000000000003</v>
      </c>
    </row>
    <row r="108" spans="1:2" x14ac:dyDescent="0.25">
      <c r="A108" s="1">
        <v>46033</v>
      </c>
      <c r="B108">
        <v>101.38</v>
      </c>
    </row>
    <row r="109" spans="1:2" x14ac:dyDescent="0.25">
      <c r="A109" s="1">
        <v>46040</v>
      </c>
    </row>
    <row r="110" spans="1:2" x14ac:dyDescent="0.25">
      <c r="A110" s="1">
        <v>46047</v>
      </c>
    </row>
    <row r="111" spans="1:2" x14ac:dyDescent="0.25">
      <c r="A111" s="1">
        <v>46054</v>
      </c>
    </row>
    <row r="112" spans="1:2" x14ac:dyDescent="0.25">
      <c r="A112" s="1">
        <v>46061</v>
      </c>
    </row>
    <row r="113" spans="1:1" x14ac:dyDescent="0.25">
      <c r="A113" s="1">
        <v>46068</v>
      </c>
    </row>
    <row r="114" spans="1:1" x14ac:dyDescent="0.25">
      <c r="A114" s="1">
        <v>46075</v>
      </c>
    </row>
    <row r="115" spans="1:1" x14ac:dyDescent="0.25">
      <c r="A115" s="1">
        <v>46082</v>
      </c>
    </row>
    <row r="116" spans="1:1" x14ac:dyDescent="0.25">
      <c r="A116" s="1">
        <v>46089</v>
      </c>
    </row>
    <row r="117" spans="1:1" x14ac:dyDescent="0.25">
      <c r="A117" s="1">
        <v>46096</v>
      </c>
    </row>
    <row r="118" spans="1:1" x14ac:dyDescent="0.25">
      <c r="A118" s="1">
        <v>46103</v>
      </c>
    </row>
    <row r="119" spans="1:1" x14ac:dyDescent="0.25">
      <c r="A119" s="1">
        <v>46110</v>
      </c>
    </row>
    <row r="120" spans="1:1" x14ac:dyDescent="0.25">
      <c r="A120" s="1"/>
    </row>
    <row r="121" spans="1:1" x14ac:dyDescent="0.25">
      <c r="A12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F43F9-2C8F-4F53-A4E1-034AE0838EB4}">
  <dimension ref="A1:H514"/>
  <sheetViews>
    <sheetView topLeftCell="B1" zoomScale="70" zoomScaleNormal="70" workbookViewId="0">
      <selection activeCell="H1" activeCellId="4" sqref="A1:A1048576 B1:B1048576 E1:E1048576 G1:G1048576 H1:H1048576"/>
    </sheetView>
  </sheetViews>
  <sheetFormatPr defaultRowHeight="15" x14ac:dyDescent="0.25"/>
  <cols>
    <col min="1" max="1" width="12" bestFit="1" customWidth="1"/>
    <col min="3" max="3" width="11.140625" bestFit="1" customWidth="1"/>
    <col min="4" max="4" width="14.85546875" bestFit="1" customWidth="1"/>
    <col min="7" max="7" width="14.85546875" bestFit="1" customWidth="1"/>
    <col min="8" max="8" width="13.5703125" bestFit="1" customWidth="1"/>
  </cols>
  <sheetData>
    <row r="1" spans="1:8" x14ac:dyDescent="0.25">
      <c r="A1" s="2" t="str" cm="1">
        <f t="array" aca="1" ref="A1:C514" ca="1">_xlfn.STOCKHISTORY("ED","2024-01-01",TODAY(),0,1,0,1,5)</f>
        <v>Date</v>
      </c>
      <c r="B1" s="2" t="str">
        <f ca="1"/>
        <v>Close</v>
      </c>
      <c r="C1" s="2" t="str">
        <f ca="1"/>
        <v>Volume</v>
      </c>
      <c r="D1" s="3" t="s">
        <v>2</v>
      </c>
      <c r="E1" s="3" t="s">
        <v>3</v>
      </c>
      <c r="F1" s="4" t="s">
        <v>4</v>
      </c>
      <c r="G1" s="4" t="s">
        <v>5</v>
      </c>
      <c r="H1" s="4" t="s">
        <v>6</v>
      </c>
    </row>
    <row r="2" spans="1:8" x14ac:dyDescent="0.25">
      <c r="A2" vm="1">
        <f ca="1"/>
        <v>45293</v>
      </c>
      <c r="B2" vm="2">
        <f ca="1"/>
        <v>92.41</v>
      </c>
      <c r="C2" vm="3">
        <f ca="1"/>
        <v>1806880</v>
      </c>
      <c r="D2">
        <f ca="1">B2*C2</f>
        <v>166973780.79999998</v>
      </c>
      <c r="E2">
        <f ca="1">SUM($D$2:D2)/SUM($C$2:C2)</f>
        <v>92.41</v>
      </c>
      <c r="F2">
        <f ca="1">_xlfn.STDEV.P($B$2:B2)</f>
        <v>0</v>
      </c>
      <c r="G2">
        <f ca="1">E2 + F2</f>
        <v>92.41</v>
      </c>
      <c r="H2">
        <f ca="1">E2 - F2</f>
        <v>92.41</v>
      </c>
    </row>
    <row r="3" spans="1:8" x14ac:dyDescent="0.25">
      <c r="A3" vm="4">
        <f ca="1"/>
        <v>45294</v>
      </c>
      <c r="B3" vm="5">
        <f ca="1"/>
        <v>93</v>
      </c>
      <c r="C3" vm="6">
        <f ca="1"/>
        <v>2014288</v>
      </c>
      <c r="D3">
        <f t="shared" ref="D3:D66" ca="1" si="0">B3*C3</f>
        <v>187328784</v>
      </c>
      <c r="E3">
        <f ca="1">SUM($D$2:D3)/SUM($C$2:C3)</f>
        <v>92.721012214066477</v>
      </c>
      <c r="F3">
        <f ca="1">_xlfn.STDEV.P($B$2:B3)</f>
        <v>0.29500000000000171</v>
      </c>
      <c r="G3">
        <f t="shared" ref="G3:G66" ca="1" si="1">E3 + F3</f>
        <v>93.016012214066478</v>
      </c>
      <c r="H3">
        <f t="shared" ref="H3:H66" ca="1" si="2">E3 - F3</f>
        <v>92.426012214066475</v>
      </c>
    </row>
    <row r="4" spans="1:8" x14ac:dyDescent="0.25">
      <c r="A4" vm="7">
        <f ca="1"/>
        <v>45295</v>
      </c>
      <c r="B4" vm="8">
        <f ca="1"/>
        <v>93.25</v>
      </c>
      <c r="C4" vm="9">
        <f ca="1"/>
        <v>1727129</v>
      </c>
      <c r="D4">
        <f t="shared" ca="1" si="0"/>
        <v>161054779.25</v>
      </c>
      <c r="E4">
        <f ca="1">SUM($D$2:D4)/SUM($C$2:C4)</f>
        <v>92.885680786374621</v>
      </c>
      <c r="F4">
        <f ca="1">_xlfn.STDEV.P($B$2:B4)</f>
        <v>0.35216788925485998</v>
      </c>
      <c r="G4">
        <f t="shared" ca="1" si="1"/>
        <v>93.237848675629479</v>
      </c>
      <c r="H4">
        <f t="shared" ca="1" si="2"/>
        <v>92.533512897119763</v>
      </c>
    </row>
    <row r="5" spans="1:8" x14ac:dyDescent="0.25">
      <c r="A5" vm="10">
        <f ca="1"/>
        <v>45296</v>
      </c>
      <c r="B5" vm="11">
        <f ca="1"/>
        <v>93.52</v>
      </c>
      <c r="C5" vm="12">
        <f ca="1"/>
        <v>1971991</v>
      </c>
      <c r="D5">
        <f t="shared" ca="1" si="0"/>
        <v>184420598.31999999</v>
      </c>
      <c r="E5">
        <f ca="1">SUM($D$2:D5)/SUM($C$2:C5)</f>
        <v>93.052013748675563</v>
      </c>
      <c r="F5">
        <f ca="1">_xlfn.STDEV.P($B$2:B5)</f>
        <v>0.4101524106963168</v>
      </c>
      <c r="G5">
        <f t="shared" ca="1" si="1"/>
        <v>93.462166159371876</v>
      </c>
      <c r="H5">
        <f t="shared" ca="1" si="2"/>
        <v>92.64186133797925</v>
      </c>
    </row>
    <row r="6" spans="1:8" x14ac:dyDescent="0.25">
      <c r="A6" vm="13">
        <f ca="1"/>
        <v>45299</v>
      </c>
      <c r="B6" vm="14">
        <f ca="1"/>
        <v>93.81</v>
      </c>
      <c r="C6" vm="15">
        <f ca="1"/>
        <v>1203530</v>
      </c>
      <c r="D6">
        <f t="shared" ca="1" si="0"/>
        <v>112903149.3</v>
      </c>
      <c r="E6">
        <f ca="1">SUM($D$2:D6)/SUM($C$2:C6)</f>
        <v>93.156584842783261</v>
      </c>
      <c r="F6">
        <f ca="1">_xlfn.STDEV.P($B$2:B6)</f>
        <v>0.47771958301916106</v>
      </c>
      <c r="G6">
        <f t="shared" ca="1" si="1"/>
        <v>93.634304425802426</v>
      </c>
      <c r="H6">
        <f t="shared" ca="1" si="2"/>
        <v>92.678865259764095</v>
      </c>
    </row>
    <row r="7" spans="1:8" x14ac:dyDescent="0.25">
      <c r="A7" vm="16">
        <f ca="1"/>
        <v>45300</v>
      </c>
      <c r="B7" vm="17">
        <f ca="1"/>
        <v>93.7</v>
      </c>
      <c r="C7" vm="18">
        <f ca="1"/>
        <v>1291766</v>
      </c>
      <c r="D7">
        <f t="shared" ca="1" si="0"/>
        <v>121038474.2</v>
      </c>
      <c r="E7">
        <f ca="1">SUM($D$2:D7)/SUM($C$2:C7)</f>
        <v>93.226672141135239</v>
      </c>
      <c r="F7">
        <f ca="1">_xlfn.STDEV.P($B$2:B7)</f>
        <v>0.47453193312521869</v>
      </c>
      <c r="G7">
        <f t="shared" ca="1" si="1"/>
        <v>93.70120407426046</v>
      </c>
      <c r="H7">
        <f t="shared" ca="1" si="2"/>
        <v>92.752140208010019</v>
      </c>
    </row>
    <row r="8" spans="1:8" x14ac:dyDescent="0.25">
      <c r="A8" vm="19">
        <f ca="1"/>
        <v>45301</v>
      </c>
      <c r="B8" vm="20">
        <f ca="1"/>
        <v>94.32</v>
      </c>
      <c r="C8" vm="21">
        <f ca="1"/>
        <v>1572378</v>
      </c>
      <c r="D8">
        <f t="shared" ca="1" si="0"/>
        <v>148306692.95999998</v>
      </c>
      <c r="E8">
        <f ca="1">SUM($D$2:D8)/SUM($C$2:C8)</f>
        <v>93.375026499914298</v>
      </c>
      <c r="F8">
        <f ca="1">_xlfn.STDEV.P($B$2:B8)</f>
        <v>0.57011277079940159</v>
      </c>
      <c r="G8">
        <f t="shared" ca="1" si="1"/>
        <v>93.945139270713696</v>
      </c>
      <c r="H8">
        <f t="shared" ca="1" si="2"/>
        <v>92.804913729114901</v>
      </c>
    </row>
    <row r="9" spans="1:8" x14ac:dyDescent="0.25">
      <c r="A9" vm="22">
        <f ca="1"/>
        <v>45302</v>
      </c>
      <c r="B9" vm="23">
        <f ca="1"/>
        <v>91.25</v>
      </c>
      <c r="C9" vm="24">
        <f ca="1"/>
        <v>2045304</v>
      </c>
      <c r="D9">
        <f t="shared" ca="1" si="0"/>
        <v>186633990</v>
      </c>
      <c r="E9">
        <f ca="1">SUM($D$2:D9)/SUM($C$2:C9)</f>
        <v>93.056223565945231</v>
      </c>
      <c r="F9">
        <f ca="1">_xlfn.STDEV.P($B$2:B9)</f>
        <v>0.89676850413024611</v>
      </c>
      <c r="G9">
        <f t="shared" ca="1" si="1"/>
        <v>93.952992070075481</v>
      </c>
      <c r="H9">
        <f t="shared" ca="1" si="2"/>
        <v>92.159455061814981</v>
      </c>
    </row>
    <row r="10" spans="1:8" x14ac:dyDescent="0.25">
      <c r="A10" vm="25">
        <f ca="1"/>
        <v>45303</v>
      </c>
      <c r="B10" vm="26">
        <f ca="1"/>
        <v>91.62</v>
      </c>
      <c r="C10" vm="27">
        <f ca="1"/>
        <v>2202499</v>
      </c>
      <c r="D10">
        <f t="shared" ca="1" si="0"/>
        <v>201792958.38</v>
      </c>
      <c r="E10">
        <f ca="1">SUM($D$2:D10)/SUM($C$2:C10)</f>
        <v>92.856468077797317</v>
      </c>
      <c r="F10">
        <f ca="1">_xlfn.STDEV.P($B$2:B10)</f>
        <v>0.97381266736015937</v>
      </c>
      <c r="G10">
        <f t="shared" ca="1" si="1"/>
        <v>93.830280745157481</v>
      </c>
      <c r="H10">
        <f t="shared" ca="1" si="2"/>
        <v>91.882655410437152</v>
      </c>
    </row>
    <row r="11" spans="1:8" x14ac:dyDescent="0.25">
      <c r="A11" vm="28">
        <f ca="1"/>
        <v>45307</v>
      </c>
      <c r="B11" vm="29">
        <f ca="1"/>
        <v>91.56</v>
      </c>
      <c r="C11" vm="30">
        <f ca="1"/>
        <v>2038202</v>
      </c>
      <c r="D11">
        <f t="shared" ca="1" si="0"/>
        <v>186617775.12</v>
      </c>
      <c r="E11">
        <f ca="1">SUM($D$2:D11)/SUM($C$2:C11)</f>
        <v>92.708629389883058</v>
      </c>
      <c r="F11">
        <f ca="1">_xlfn.STDEV.P($B$2:B11)</f>
        <v>1.0181669804113651</v>
      </c>
      <c r="G11">
        <f t="shared" ca="1" si="1"/>
        <v>93.726796370294423</v>
      </c>
      <c r="H11">
        <f t="shared" ca="1" si="2"/>
        <v>91.690462409471692</v>
      </c>
    </row>
    <row r="12" spans="1:8" x14ac:dyDescent="0.25">
      <c r="A12" vm="31">
        <f ca="1"/>
        <v>45308</v>
      </c>
      <c r="B12" vm="32">
        <f ca="1"/>
        <v>90.55</v>
      </c>
      <c r="C12" vm="33">
        <f ca="1"/>
        <v>1885348</v>
      </c>
      <c r="D12">
        <f t="shared" ca="1" si="0"/>
        <v>170718261.40000001</v>
      </c>
      <c r="E12">
        <f ca="1">SUM($D$2:D12)/SUM($C$2:C12)</f>
        <v>92.502662350896273</v>
      </c>
      <c r="F12">
        <f ca="1">_xlfn.STDEV.P($B$2:B12)</f>
        <v>1.1735986896284092</v>
      </c>
      <c r="G12">
        <f t="shared" ca="1" si="1"/>
        <v>93.676261040524679</v>
      </c>
      <c r="H12">
        <f t="shared" ca="1" si="2"/>
        <v>91.329063661267867</v>
      </c>
    </row>
    <row r="13" spans="1:8" x14ac:dyDescent="0.25">
      <c r="A13" vm="34">
        <f ca="1"/>
        <v>45309</v>
      </c>
      <c r="B13" vm="35">
        <f ca="1"/>
        <v>89.4</v>
      </c>
      <c r="C13" vm="36">
        <f ca="1"/>
        <v>1682318</v>
      </c>
      <c r="D13">
        <f t="shared" ca="1" si="0"/>
        <v>150399229.20000002</v>
      </c>
      <c r="E13">
        <f ca="1">SUM($D$2:D13)/SUM($C$2:C13)</f>
        <v>92.259226381218255</v>
      </c>
      <c r="F13">
        <f ca="1">_xlfn.STDEV.P($B$2:B13)</f>
        <v>1.4360388709533194</v>
      </c>
      <c r="G13">
        <f t="shared" ca="1" si="1"/>
        <v>93.695265252171581</v>
      </c>
      <c r="H13">
        <f t="shared" ca="1" si="2"/>
        <v>90.82318751026493</v>
      </c>
    </row>
    <row r="14" spans="1:8" x14ac:dyDescent="0.25">
      <c r="A14" vm="37">
        <f ca="1"/>
        <v>45310</v>
      </c>
      <c r="B14" vm="38">
        <f ca="1"/>
        <v>89.86</v>
      </c>
      <c r="C14" vm="39">
        <f ca="1"/>
        <v>1689928</v>
      </c>
      <c r="D14">
        <f t="shared" ca="1" si="0"/>
        <v>151856930.08000001</v>
      </c>
      <c r="E14">
        <f ca="1">SUM($D$2:D14)/SUM($C$2:C14)</f>
        <v>92.083945524039649</v>
      </c>
      <c r="F14">
        <f ca="1">_xlfn.STDEV.P($B$2:B14)</f>
        <v>1.5327872280230312</v>
      </c>
      <c r="G14">
        <f t="shared" ca="1" si="1"/>
        <v>93.616732752062674</v>
      </c>
      <c r="H14">
        <f t="shared" ca="1" si="2"/>
        <v>90.551158296016624</v>
      </c>
    </row>
    <row r="15" spans="1:8" x14ac:dyDescent="0.25">
      <c r="A15" vm="40">
        <f ca="1"/>
        <v>45313</v>
      </c>
      <c r="B15" vm="41">
        <f ca="1"/>
        <v>89.2</v>
      </c>
      <c r="C15" vm="42">
        <f ca="1"/>
        <v>1678501</v>
      </c>
      <c r="D15">
        <f t="shared" ca="1" si="0"/>
        <v>149722289.20000002</v>
      </c>
      <c r="E15">
        <f ca="1">SUM($D$2:D15)/SUM($C$2:C15)</f>
        <v>91.888834949707103</v>
      </c>
      <c r="F15">
        <f ca="1">_xlfn.STDEV.P($B$2:B15)</f>
        <v>1.6636983942225738</v>
      </c>
      <c r="G15">
        <f t="shared" ca="1" si="1"/>
        <v>93.552533343929682</v>
      </c>
      <c r="H15">
        <f t="shared" ca="1" si="2"/>
        <v>90.225136555484525</v>
      </c>
    </row>
    <row r="16" spans="1:8" x14ac:dyDescent="0.25">
      <c r="A16" vm="43">
        <f ca="1"/>
        <v>45314</v>
      </c>
      <c r="B16" vm="44">
        <f ca="1"/>
        <v>89.12</v>
      </c>
      <c r="C16" vm="45">
        <f ca="1"/>
        <v>1586101</v>
      </c>
      <c r="D16">
        <f t="shared" ca="1" si="0"/>
        <v>141353321.12</v>
      </c>
      <c r="E16">
        <f ca="1">SUM($D$2:D16)/SUM($C$2:C16)</f>
        <v>91.722460318569787</v>
      </c>
      <c r="F16">
        <f ca="1">_xlfn.STDEV.P($B$2:B16)</f>
        <v>1.7565529374949724</v>
      </c>
      <c r="G16">
        <f t="shared" ca="1" si="1"/>
        <v>93.479013256064761</v>
      </c>
      <c r="H16">
        <f t="shared" ca="1" si="2"/>
        <v>89.965907381074814</v>
      </c>
    </row>
    <row r="17" spans="1:8" x14ac:dyDescent="0.25">
      <c r="A17" vm="46">
        <f ca="1"/>
        <v>45315</v>
      </c>
      <c r="B17" vm="47">
        <f ca="1"/>
        <v>88.32</v>
      </c>
      <c r="C17" vm="48">
        <f ca="1"/>
        <v>1932368</v>
      </c>
      <c r="D17">
        <f t="shared" ca="1" si="0"/>
        <v>170666741.75999999</v>
      </c>
      <c r="E17">
        <f ca="1">SUM($D$2:D17)/SUM($C$2:C17)</f>
        <v>91.490369023723829</v>
      </c>
      <c r="F17">
        <f ca="1">_xlfn.STDEV.P($B$2:B17)</f>
        <v>1.8948844580541044</v>
      </c>
      <c r="G17">
        <f t="shared" ca="1" si="1"/>
        <v>93.385253481777937</v>
      </c>
      <c r="H17">
        <f t="shared" ca="1" si="2"/>
        <v>89.595484565669722</v>
      </c>
    </row>
    <row r="18" spans="1:8" x14ac:dyDescent="0.25">
      <c r="A18" vm="49">
        <f ca="1"/>
        <v>45316</v>
      </c>
      <c r="B18" vm="50">
        <f ca="1"/>
        <v>89.67</v>
      </c>
      <c r="C18" vm="51">
        <f ca="1"/>
        <v>1548425</v>
      </c>
      <c r="D18">
        <f t="shared" ca="1" si="0"/>
        <v>138847269.75</v>
      </c>
      <c r="E18">
        <f ca="1">SUM($D$2:D18)/SUM($C$2:C18)</f>
        <v>91.396025245677649</v>
      </c>
      <c r="F18">
        <f ca="1">_xlfn.STDEV.P($B$2:B18)</f>
        <v>1.8910909321063349</v>
      </c>
      <c r="G18">
        <f t="shared" ca="1" si="1"/>
        <v>93.287116177783986</v>
      </c>
      <c r="H18">
        <f t="shared" ca="1" si="2"/>
        <v>89.504934313571312</v>
      </c>
    </row>
    <row r="19" spans="1:8" x14ac:dyDescent="0.25">
      <c r="A19" vm="52">
        <f ca="1"/>
        <v>45317</v>
      </c>
      <c r="B19" vm="53">
        <f ca="1"/>
        <v>90.02</v>
      </c>
      <c r="C19" vm="54">
        <f ca="1"/>
        <v>2218871</v>
      </c>
      <c r="D19">
        <f t="shared" ca="1" si="0"/>
        <v>199742767.41999999</v>
      </c>
      <c r="E19">
        <f ca="1">SUM($D$2:D19)/SUM($C$2:C19)</f>
        <v>91.300896912860367</v>
      </c>
      <c r="F19">
        <f ca="1">_xlfn.STDEV.P($B$2:B19)</f>
        <v>1.8665601821479654</v>
      </c>
      <c r="G19">
        <f t="shared" ca="1" si="1"/>
        <v>93.167457095008331</v>
      </c>
      <c r="H19">
        <f t="shared" ca="1" si="2"/>
        <v>89.434336730712403</v>
      </c>
    </row>
    <row r="20" spans="1:8" x14ac:dyDescent="0.25">
      <c r="A20" vm="55">
        <f ca="1"/>
        <v>45320</v>
      </c>
      <c r="B20" vm="56">
        <f ca="1"/>
        <v>90.59</v>
      </c>
      <c r="C20" vm="57">
        <f ca="1"/>
        <v>2173342</v>
      </c>
      <c r="D20">
        <f t="shared" ca="1" si="0"/>
        <v>196883051.78</v>
      </c>
      <c r="E20">
        <f ca="1">SUM($D$2:D20)/SUM($C$2:C20)</f>
        <v>91.255812011082043</v>
      </c>
      <c r="F20">
        <f ca="1">_xlfn.STDEV.P($B$2:B20)</f>
        <v>1.8250115166790255</v>
      </c>
      <c r="G20">
        <f t="shared" ca="1" si="1"/>
        <v>93.080823527761069</v>
      </c>
      <c r="H20">
        <f t="shared" ca="1" si="2"/>
        <v>89.430800494403016</v>
      </c>
    </row>
    <row r="21" spans="1:8" x14ac:dyDescent="0.25">
      <c r="A21" vm="58">
        <f ca="1"/>
        <v>45321</v>
      </c>
      <c r="B21" vm="59">
        <f ca="1"/>
        <v>90.68</v>
      </c>
      <c r="C21" vm="60">
        <f ca="1"/>
        <v>1550005</v>
      </c>
      <c r="D21">
        <f t="shared" ca="1" si="0"/>
        <v>140554453.40000001</v>
      </c>
      <c r="E21">
        <f ca="1">SUM($D$2:D21)/SUM($C$2:C21)</f>
        <v>91.230894867648274</v>
      </c>
      <c r="F21">
        <f ca="1">_xlfn.STDEV.P($B$2:B21)</f>
        <v>1.7843426660818256</v>
      </c>
      <c r="G21">
        <f t="shared" ca="1" si="1"/>
        <v>93.015237533730101</v>
      </c>
      <c r="H21">
        <f t="shared" ca="1" si="2"/>
        <v>89.446552201566448</v>
      </c>
    </row>
    <row r="22" spans="1:8" x14ac:dyDescent="0.25">
      <c r="A22" vm="61">
        <f ca="1"/>
        <v>45322</v>
      </c>
      <c r="B22" vm="62">
        <f ca="1"/>
        <v>90.9</v>
      </c>
      <c r="C22" vm="63">
        <f ca="1"/>
        <v>3138166</v>
      </c>
      <c r="D22">
        <f t="shared" ca="1" si="0"/>
        <v>285259289.40000004</v>
      </c>
      <c r="E22">
        <f ca="1">SUM($D$2:D22)/SUM($C$2:C22)</f>
        <v>91.204239992771591</v>
      </c>
      <c r="F22">
        <f ca="1">_xlfn.STDEV.P($B$2:B22)</f>
        <v>1.7433451047325679</v>
      </c>
      <c r="G22">
        <f t="shared" ca="1" si="1"/>
        <v>92.94758509750416</v>
      </c>
      <c r="H22">
        <f t="shared" ca="1" si="2"/>
        <v>89.460894888039022</v>
      </c>
    </row>
    <row r="23" spans="1:8" x14ac:dyDescent="0.25">
      <c r="A23" vm="64">
        <f ca="1"/>
        <v>45323</v>
      </c>
      <c r="B23" vm="65">
        <f ca="1"/>
        <v>92.78</v>
      </c>
      <c r="C23" vm="66">
        <f ca="1"/>
        <v>1625052</v>
      </c>
      <c r="D23">
        <f t="shared" ca="1" si="0"/>
        <v>150772324.56</v>
      </c>
      <c r="E23">
        <f ca="1">SUM($D$2:D23)/SUM($C$2:C23)</f>
        <v>91.267338588617463</v>
      </c>
      <c r="F23">
        <f ca="1">_xlfn.STDEV.P($B$2:B23)</f>
        <v>1.7319167831629934</v>
      </c>
      <c r="G23">
        <f t="shared" ca="1" si="1"/>
        <v>92.99925537178045</v>
      </c>
      <c r="H23">
        <f t="shared" ca="1" si="2"/>
        <v>89.535421805454476</v>
      </c>
    </row>
    <row r="24" spans="1:8" x14ac:dyDescent="0.25">
      <c r="A24" vm="67">
        <f ca="1"/>
        <v>45324</v>
      </c>
      <c r="B24" vm="68">
        <f ca="1"/>
        <v>91.1</v>
      </c>
      <c r="C24" vm="69">
        <f ca="1"/>
        <v>1978373</v>
      </c>
      <c r="D24">
        <f t="shared" ca="1" si="0"/>
        <v>180229780.29999998</v>
      </c>
      <c r="E24">
        <f ca="1">SUM($D$2:D24)/SUM($C$2:C24)</f>
        <v>91.259560106591152</v>
      </c>
      <c r="F24">
        <f ca="1">_xlfn.STDEV.P($B$2:B24)</f>
        <v>1.6945684385166133</v>
      </c>
      <c r="G24">
        <f t="shared" ca="1" si="1"/>
        <v>92.954128545107764</v>
      </c>
      <c r="H24">
        <f t="shared" ca="1" si="2"/>
        <v>89.564991668074541</v>
      </c>
    </row>
    <row r="25" spans="1:8" x14ac:dyDescent="0.25">
      <c r="A25" vm="70">
        <f ca="1"/>
        <v>45327</v>
      </c>
      <c r="B25" vm="50">
        <f ca="1"/>
        <v>89.67</v>
      </c>
      <c r="C25" vm="71">
        <f ca="1"/>
        <v>1852011</v>
      </c>
      <c r="D25">
        <f t="shared" ca="1" si="0"/>
        <v>166069826.37</v>
      </c>
      <c r="E25">
        <f ca="1">SUM($D$2:D25)/SUM($C$2:C25)</f>
        <v>91.193275513109128</v>
      </c>
      <c r="F25">
        <f ca="1">_xlfn.STDEV.P($B$2:B25)</f>
        <v>1.6917969982634828</v>
      </c>
      <c r="G25">
        <f t="shared" ca="1" si="1"/>
        <v>92.885072511372613</v>
      </c>
      <c r="H25">
        <f t="shared" ca="1" si="2"/>
        <v>89.501478514845644</v>
      </c>
    </row>
    <row r="26" spans="1:8" x14ac:dyDescent="0.25">
      <c r="A26" vm="72">
        <f ca="1"/>
        <v>45328</v>
      </c>
      <c r="B26" vm="73">
        <f ca="1"/>
        <v>89.77</v>
      </c>
      <c r="C26" vm="74">
        <f ca="1"/>
        <v>1621500</v>
      </c>
      <c r="D26">
        <f t="shared" ca="1" si="0"/>
        <v>145562055</v>
      </c>
      <c r="E26">
        <f ca="1">SUM($D$2:D26)/SUM($C$2:C26)</f>
        <v>91.143142406975201</v>
      </c>
      <c r="F26">
        <f ca="1">_xlfn.STDEV.P($B$2:B26)</f>
        <v>1.6832195816351467</v>
      </c>
      <c r="G26">
        <f t="shared" ca="1" si="1"/>
        <v>92.826361988610344</v>
      </c>
      <c r="H26">
        <f t="shared" ca="1" si="2"/>
        <v>89.459922825340058</v>
      </c>
    </row>
    <row r="27" spans="1:8" x14ac:dyDescent="0.25">
      <c r="A27" vm="75">
        <f ca="1"/>
        <v>45329</v>
      </c>
      <c r="B27" vm="76">
        <f ca="1"/>
        <v>89.47</v>
      </c>
      <c r="C27" vm="77">
        <f ca="1"/>
        <v>1413513</v>
      </c>
      <c r="D27">
        <f t="shared" ca="1" si="0"/>
        <v>126467008.11</v>
      </c>
      <c r="E27">
        <f ca="1">SUM($D$2:D27)/SUM($C$2:C27)</f>
        <v>91.093297965475273</v>
      </c>
      <c r="F27">
        <f ca="1">_xlfn.STDEV.P($B$2:B27)</f>
        <v>1.6838350844770917</v>
      </c>
      <c r="G27">
        <f t="shared" ca="1" si="1"/>
        <v>92.777133049952369</v>
      </c>
      <c r="H27">
        <f t="shared" ca="1" si="2"/>
        <v>89.409462880998177</v>
      </c>
    </row>
    <row r="28" spans="1:8" x14ac:dyDescent="0.25">
      <c r="A28" vm="78">
        <f ca="1"/>
        <v>45330</v>
      </c>
      <c r="B28" vm="79">
        <f ca="1"/>
        <v>88.67</v>
      </c>
      <c r="C28" vm="80">
        <f ca="1"/>
        <v>1626478</v>
      </c>
      <c r="D28">
        <f t="shared" ca="1" si="0"/>
        <v>144219804.25999999</v>
      </c>
      <c r="E28">
        <f ca="1">SUM($D$2:D28)/SUM($C$2:C28)</f>
        <v>91.012982128495182</v>
      </c>
      <c r="F28">
        <f ca="1">_xlfn.STDEV.P($B$2:B28)</f>
        <v>1.7167418977482385</v>
      </c>
      <c r="G28">
        <f t="shared" ca="1" si="1"/>
        <v>92.729724026243417</v>
      </c>
      <c r="H28">
        <f t="shared" ca="1" si="2"/>
        <v>89.296240230746946</v>
      </c>
    </row>
    <row r="29" spans="1:8" x14ac:dyDescent="0.25">
      <c r="A29" vm="81">
        <f ca="1"/>
        <v>45331</v>
      </c>
      <c r="B29" vm="82">
        <f ca="1"/>
        <v>89.06</v>
      </c>
      <c r="C29" vm="83">
        <f ca="1"/>
        <v>1457619</v>
      </c>
      <c r="D29">
        <f t="shared" ca="1" si="0"/>
        <v>129815548.14</v>
      </c>
      <c r="E29">
        <f ca="1">SUM($D$2:D29)/SUM($C$2:C29)</f>
        <v>90.956647325215627</v>
      </c>
      <c r="F29">
        <f ca="1">_xlfn.STDEV.P($B$2:B29)</f>
        <v>1.7255772104381977</v>
      </c>
      <c r="G29">
        <f t="shared" ca="1" si="1"/>
        <v>92.68222453565383</v>
      </c>
      <c r="H29">
        <f t="shared" ca="1" si="2"/>
        <v>89.231070114777424</v>
      </c>
    </row>
    <row r="30" spans="1:8" x14ac:dyDescent="0.25">
      <c r="A30" vm="84">
        <f ca="1"/>
        <v>45334</v>
      </c>
      <c r="B30" vm="85">
        <f ca="1"/>
        <v>89.45</v>
      </c>
      <c r="C30" vm="86">
        <f ca="1"/>
        <v>1627308</v>
      </c>
      <c r="D30">
        <f t="shared" ca="1" si="0"/>
        <v>145562700.59999999</v>
      </c>
      <c r="E30">
        <f ca="1">SUM($D$2:D30)/SUM($C$2:C30)</f>
        <v>90.909641628664758</v>
      </c>
      <c r="F30">
        <f ca="1">_xlfn.STDEV.P($B$2:B30)</f>
        <v>1.7182142376515477</v>
      </c>
      <c r="G30">
        <f t="shared" ca="1" si="1"/>
        <v>92.62785586631631</v>
      </c>
      <c r="H30">
        <f t="shared" ca="1" si="2"/>
        <v>89.191427391013207</v>
      </c>
    </row>
    <row r="31" spans="1:8" x14ac:dyDescent="0.25">
      <c r="A31" vm="87">
        <f ca="1"/>
        <v>45335</v>
      </c>
      <c r="B31" vm="88">
        <f ca="1"/>
        <v>86.67</v>
      </c>
      <c r="C31" vm="89">
        <f ca="1"/>
        <v>3513616</v>
      </c>
      <c r="D31">
        <f t="shared" ca="1" si="0"/>
        <v>304525098.72000003</v>
      </c>
      <c r="E31">
        <f ca="1">SUM($D$2:D31)/SUM($C$2:C31)</f>
        <v>90.642069852410927</v>
      </c>
      <c r="F31">
        <f ca="1">_xlfn.STDEV.P($B$2:B31)</f>
        <v>1.8537106630275988</v>
      </c>
      <c r="G31">
        <f t="shared" ca="1" si="1"/>
        <v>92.495780515438526</v>
      </c>
      <c r="H31">
        <f t="shared" ca="1" si="2"/>
        <v>88.788359189383328</v>
      </c>
    </row>
    <row r="32" spans="1:8" x14ac:dyDescent="0.25">
      <c r="A32" vm="90">
        <f ca="1"/>
        <v>45336</v>
      </c>
      <c r="B32" vm="91">
        <f ca="1"/>
        <v>86.84</v>
      </c>
      <c r="C32" vm="92">
        <f ca="1"/>
        <v>2412954</v>
      </c>
      <c r="D32">
        <f t="shared" ca="1" si="0"/>
        <v>209540925.36000001</v>
      </c>
      <c r="E32">
        <f ca="1">SUM($D$2:D32)/SUM($C$2:C32)</f>
        <v>90.484127199566515</v>
      </c>
      <c r="F32">
        <f ca="1">_xlfn.STDEV.P($B$2:B32)</f>
        <v>1.951902244613857</v>
      </c>
      <c r="G32">
        <f t="shared" ca="1" si="1"/>
        <v>92.436029444180377</v>
      </c>
      <c r="H32">
        <f t="shared" ca="1" si="2"/>
        <v>88.532224954952653</v>
      </c>
    </row>
    <row r="33" spans="1:8" x14ac:dyDescent="0.25">
      <c r="A33" vm="93">
        <f ca="1"/>
        <v>45337</v>
      </c>
      <c r="B33" vm="94">
        <f ca="1"/>
        <v>88.22</v>
      </c>
      <c r="C33" vm="95">
        <f ca="1"/>
        <v>2168515</v>
      </c>
      <c r="D33">
        <f t="shared" ca="1" si="0"/>
        <v>191306393.30000001</v>
      </c>
      <c r="E33">
        <f ca="1">SUM($D$2:D33)/SUM($C$2:C33)</f>
        <v>90.402642633231096</v>
      </c>
      <c r="F33">
        <f ca="1">_xlfn.STDEV.P($B$2:B33)</f>
        <v>1.9672325252988647</v>
      </c>
      <c r="G33">
        <f t="shared" ca="1" si="1"/>
        <v>92.369875158529965</v>
      </c>
      <c r="H33">
        <f t="shared" ca="1" si="2"/>
        <v>88.435410107932228</v>
      </c>
    </row>
    <row r="34" spans="1:8" x14ac:dyDescent="0.25">
      <c r="A34" vm="96">
        <f ca="1"/>
        <v>45338</v>
      </c>
      <c r="B34" vm="97">
        <f ca="1"/>
        <v>87.32</v>
      </c>
      <c r="C34" vm="98">
        <f ca="1"/>
        <v>2949343</v>
      </c>
      <c r="D34">
        <f t="shared" ca="1" si="0"/>
        <v>257536630.75999999</v>
      </c>
      <c r="E34">
        <f ca="1">SUM($D$2:D34)/SUM($C$2:C34)</f>
        <v>90.258793749510147</v>
      </c>
      <c r="F34">
        <f ca="1">_xlfn.STDEV.P($B$2:B34)</f>
        <v>2.0160263309604374</v>
      </c>
      <c r="G34">
        <f t="shared" ca="1" si="1"/>
        <v>92.27482008047059</v>
      </c>
      <c r="H34">
        <f t="shared" ca="1" si="2"/>
        <v>88.242767418549704</v>
      </c>
    </row>
    <row r="35" spans="1:8" x14ac:dyDescent="0.25">
      <c r="A35" vm="99">
        <f ca="1"/>
        <v>45342</v>
      </c>
      <c r="B35" vm="100">
        <f ca="1"/>
        <v>87.58</v>
      </c>
      <c r="C35" vm="101">
        <f ca="1"/>
        <v>1974526</v>
      </c>
      <c r="D35">
        <f t="shared" ca="1" si="0"/>
        <v>172928987.07999998</v>
      </c>
      <c r="E35">
        <f ca="1">SUM($D$2:D35)/SUM($C$2:C35)</f>
        <v>90.177641583188304</v>
      </c>
      <c r="F35">
        <f ca="1">_xlfn.STDEV.P($B$2:B35)</f>
        <v>2.0456169913824356</v>
      </c>
      <c r="G35">
        <f t="shared" ca="1" si="1"/>
        <v>92.223258574570735</v>
      </c>
      <c r="H35">
        <f t="shared" ca="1" si="2"/>
        <v>88.132024591805873</v>
      </c>
    </row>
    <row r="36" spans="1:8" x14ac:dyDescent="0.25">
      <c r="A36" vm="102">
        <f ca="1"/>
        <v>45343</v>
      </c>
      <c r="B36" vm="103">
        <f ca="1"/>
        <v>88.61</v>
      </c>
      <c r="C36" vm="104">
        <f ca="1"/>
        <v>1747225</v>
      </c>
      <c r="D36">
        <f t="shared" ca="1" si="0"/>
        <v>154821607.25</v>
      </c>
      <c r="E36">
        <f ca="1">SUM($D$2:D36)/SUM($C$2:C36)</f>
        <v>90.136715063956416</v>
      </c>
      <c r="F36">
        <f ca="1">_xlfn.STDEV.P($B$2:B36)</f>
        <v>2.0379380135172842</v>
      </c>
      <c r="G36">
        <f t="shared" ca="1" si="1"/>
        <v>92.174653077473707</v>
      </c>
      <c r="H36">
        <f t="shared" ca="1" si="2"/>
        <v>88.098777050439125</v>
      </c>
    </row>
    <row r="37" spans="1:8" x14ac:dyDescent="0.25">
      <c r="A37" vm="105">
        <f ca="1"/>
        <v>45344</v>
      </c>
      <c r="B37" vm="106">
        <f ca="1"/>
        <v>87.91</v>
      </c>
      <c r="C37" vm="107">
        <f ca="1"/>
        <v>1628834</v>
      </c>
      <c r="D37">
        <f t="shared" ca="1" si="0"/>
        <v>143190796.94</v>
      </c>
      <c r="E37">
        <f ca="1">SUM($D$2:D37)/SUM($C$2:C37)</f>
        <v>90.083808767418191</v>
      </c>
      <c r="F37">
        <f ca="1">_xlfn.STDEV.P($B$2:B37)</f>
        <v>2.048784700743346</v>
      </c>
      <c r="G37">
        <f t="shared" ca="1" si="1"/>
        <v>92.132593468161531</v>
      </c>
      <c r="H37">
        <f t="shared" ca="1" si="2"/>
        <v>88.03502406667485</v>
      </c>
    </row>
    <row r="38" spans="1:8" x14ac:dyDescent="0.25">
      <c r="A38" vm="108">
        <f ca="1"/>
        <v>45345</v>
      </c>
      <c r="B38" vm="109">
        <f ca="1"/>
        <v>87.93</v>
      </c>
      <c r="C38" vm="110">
        <f ca="1"/>
        <v>1190734</v>
      </c>
      <c r="D38">
        <f t="shared" ca="1" si="0"/>
        <v>104701240.62</v>
      </c>
      <c r="E38">
        <f ca="1">SUM($D$2:D38)/SUM($C$2:C38)</f>
        <v>90.047037450501264</v>
      </c>
      <c r="F38">
        <f ca="1">_xlfn.STDEV.P($B$2:B38)</f>
        <v>2.0563499260246307</v>
      </c>
      <c r="G38">
        <f t="shared" ca="1" si="1"/>
        <v>92.103387376525902</v>
      </c>
      <c r="H38">
        <f t="shared" ca="1" si="2"/>
        <v>87.990687524476627</v>
      </c>
    </row>
    <row r="39" spans="1:8" x14ac:dyDescent="0.25">
      <c r="A39" vm="111">
        <f ca="1"/>
        <v>45348</v>
      </c>
      <c r="B39" vm="112">
        <f ca="1"/>
        <v>86.21</v>
      </c>
      <c r="C39" vm="113">
        <f ca="1"/>
        <v>1562868</v>
      </c>
      <c r="D39">
        <f t="shared" ca="1" si="0"/>
        <v>134734850.28</v>
      </c>
      <c r="E39">
        <f ca="1">SUM($D$2:D39)/SUM($C$2:C39)</f>
        <v>89.962940307000608</v>
      </c>
      <c r="F39">
        <f ca="1">_xlfn.STDEV.P($B$2:B39)</f>
        <v>2.1277770675772123</v>
      </c>
      <c r="G39">
        <f t="shared" ca="1" si="1"/>
        <v>92.090717374577821</v>
      </c>
      <c r="H39">
        <f t="shared" ca="1" si="2"/>
        <v>87.835163239423395</v>
      </c>
    </row>
    <row r="40" spans="1:8" x14ac:dyDescent="0.25">
      <c r="A40" vm="114">
        <f ca="1"/>
        <v>45349</v>
      </c>
      <c r="B40" vm="115">
        <f ca="1"/>
        <v>86.88</v>
      </c>
      <c r="C40" vm="116">
        <f ca="1"/>
        <v>1159107</v>
      </c>
      <c r="D40">
        <f t="shared" ca="1" si="0"/>
        <v>100703216.16</v>
      </c>
      <c r="E40">
        <f ca="1">SUM($D$2:D40)/SUM($C$2:C40)</f>
        <v>89.913628733006945</v>
      </c>
      <c r="F40">
        <f ca="1">_xlfn.STDEV.P($B$2:B40)</f>
        <v>2.1613136422305868</v>
      </c>
      <c r="G40">
        <f t="shared" ca="1" si="1"/>
        <v>92.074942375237526</v>
      </c>
      <c r="H40">
        <f t="shared" ca="1" si="2"/>
        <v>87.752315090776364</v>
      </c>
    </row>
    <row r="41" spans="1:8" x14ac:dyDescent="0.25">
      <c r="A41" vm="117">
        <f ca="1"/>
        <v>45350</v>
      </c>
      <c r="B41" vm="118">
        <f ca="1"/>
        <v>86.65</v>
      </c>
      <c r="C41" vm="119">
        <f ca="1"/>
        <v>1185454</v>
      </c>
      <c r="D41">
        <f t="shared" ca="1" si="0"/>
        <v>102719589.10000001</v>
      </c>
      <c r="E41">
        <f ca="1">SUM($D$2:D41)/SUM($C$2:C41)</f>
        <v>89.861099781989381</v>
      </c>
      <c r="F41">
        <f ca="1">_xlfn.STDEV.P($B$2:B41)</f>
        <v>2.1981316498335581</v>
      </c>
      <c r="G41">
        <f t="shared" ca="1" si="1"/>
        <v>92.059231431822937</v>
      </c>
      <c r="H41">
        <f t="shared" ca="1" si="2"/>
        <v>87.662968132155825</v>
      </c>
    </row>
    <row r="42" spans="1:8" x14ac:dyDescent="0.25">
      <c r="A42" vm="120">
        <f ca="1"/>
        <v>45351</v>
      </c>
      <c r="B42" vm="121">
        <f ca="1"/>
        <v>87.21</v>
      </c>
      <c r="C42" vm="122">
        <f ca="1"/>
        <v>2803360</v>
      </c>
      <c r="D42">
        <f t="shared" ca="1" si="0"/>
        <v>244481025.59999999</v>
      </c>
      <c r="E42">
        <f ca="1">SUM($D$2:D42)/SUM($C$2:C42)</f>
        <v>89.763893371366692</v>
      </c>
      <c r="F42">
        <f ca="1">_xlfn.STDEV.P($B$2:B42)</f>
        <v>2.211579525502184</v>
      </c>
      <c r="G42">
        <f t="shared" ca="1" si="1"/>
        <v>91.97547289686888</v>
      </c>
      <c r="H42">
        <f t="shared" ca="1" si="2"/>
        <v>87.552313845864504</v>
      </c>
    </row>
    <row r="43" spans="1:8" x14ac:dyDescent="0.25">
      <c r="A43" vm="123">
        <f ca="1"/>
        <v>45352</v>
      </c>
      <c r="B43" vm="124">
        <f ca="1"/>
        <v>87.01</v>
      </c>
      <c r="C43" vm="125">
        <f ca="1"/>
        <v>1571973</v>
      </c>
      <c r="D43">
        <f t="shared" ca="1" si="0"/>
        <v>136777370.73000002</v>
      </c>
      <c r="E43">
        <f ca="1">SUM($D$2:D43)/SUM($C$2:C43)</f>
        <v>89.708412486267875</v>
      </c>
      <c r="F43">
        <f ca="1">_xlfn.STDEV.P($B$2:B43)</f>
        <v>2.2282290131733302</v>
      </c>
      <c r="G43">
        <f t="shared" ca="1" si="1"/>
        <v>91.936641499441208</v>
      </c>
      <c r="H43">
        <f t="shared" ca="1" si="2"/>
        <v>87.480183473094542</v>
      </c>
    </row>
    <row r="44" spans="1:8" x14ac:dyDescent="0.25">
      <c r="A44" vm="126">
        <f ca="1"/>
        <v>45355</v>
      </c>
      <c r="B44" vm="127">
        <f ca="1"/>
        <v>89.13</v>
      </c>
      <c r="C44" vm="128">
        <f ca="1"/>
        <v>1960927</v>
      </c>
      <c r="D44">
        <f t="shared" ca="1" si="0"/>
        <v>174777423.50999999</v>
      </c>
      <c r="E44">
        <f ca="1">SUM($D$2:D44)/SUM($C$2:C44)</f>
        <v>89.694232662692215</v>
      </c>
      <c r="F44">
        <f ca="1">_xlfn.STDEV.P($B$2:B44)</f>
        <v>2.2045072811453905</v>
      </c>
      <c r="G44">
        <f t="shared" ca="1" si="1"/>
        <v>91.898739943837612</v>
      </c>
      <c r="H44">
        <f t="shared" ca="1" si="2"/>
        <v>87.489725381546819</v>
      </c>
    </row>
    <row r="45" spans="1:8" x14ac:dyDescent="0.25">
      <c r="A45" vm="129">
        <f ca="1"/>
        <v>45356</v>
      </c>
      <c r="B45" vm="130">
        <f ca="1"/>
        <v>88.99</v>
      </c>
      <c r="C45" vm="131">
        <f ca="1"/>
        <v>2037247</v>
      </c>
      <c r="D45">
        <f t="shared" ca="1" si="0"/>
        <v>181294610.53</v>
      </c>
      <c r="E45">
        <f ca="1">SUM($D$2:D45)/SUM($C$2:C45)</f>
        <v>89.676741891098601</v>
      </c>
      <c r="F45">
        <f ca="1">_xlfn.STDEV.P($B$2:B45)</f>
        <v>2.1825558412100254</v>
      </c>
      <c r="G45">
        <f t="shared" ca="1" si="1"/>
        <v>91.859297732308633</v>
      </c>
      <c r="H45">
        <f t="shared" ca="1" si="2"/>
        <v>87.494186049888569</v>
      </c>
    </row>
    <row r="46" spans="1:8" x14ac:dyDescent="0.25">
      <c r="A46" vm="132">
        <f ca="1"/>
        <v>45357</v>
      </c>
      <c r="B46" vm="133">
        <f ca="1"/>
        <v>89.85</v>
      </c>
      <c r="C46" vm="134">
        <f ca="1"/>
        <v>1436735</v>
      </c>
      <c r="D46">
        <f t="shared" ca="1" si="0"/>
        <v>129090639.74999999</v>
      </c>
      <c r="E46">
        <f ca="1">SUM($D$2:D46)/SUM($C$2:C46)</f>
        <v>89.679724376107487</v>
      </c>
      <c r="F46">
        <f ca="1">_xlfn.STDEV.P($B$2:B46)</f>
        <v>2.1582011942962427</v>
      </c>
      <c r="G46">
        <f t="shared" ca="1" si="1"/>
        <v>91.837925570403726</v>
      </c>
      <c r="H46">
        <f t="shared" ca="1" si="2"/>
        <v>87.521523181811247</v>
      </c>
    </row>
    <row r="47" spans="1:8" x14ac:dyDescent="0.25">
      <c r="A47" vm="135">
        <f ca="1"/>
        <v>45358</v>
      </c>
      <c r="B47" vm="136">
        <f ca="1"/>
        <v>89.94</v>
      </c>
      <c r="C47" vm="137">
        <f ca="1"/>
        <v>1007905</v>
      </c>
      <c r="D47">
        <f t="shared" ca="1" si="0"/>
        <v>90650975.700000003</v>
      </c>
      <c r="E47">
        <f ca="1">SUM($D$2:D47)/SUM($C$2:C47)</f>
        <v>89.68282999345206</v>
      </c>
      <c r="F47">
        <f ca="1">_xlfn.STDEV.P($B$2:B47)</f>
        <v>2.1347545490939064</v>
      </c>
      <c r="G47">
        <f t="shared" ca="1" si="1"/>
        <v>91.817584542545973</v>
      </c>
      <c r="H47">
        <f t="shared" ca="1" si="2"/>
        <v>87.548075444358147</v>
      </c>
    </row>
    <row r="48" spans="1:8" x14ac:dyDescent="0.25">
      <c r="A48" vm="138">
        <f ca="1"/>
        <v>45359</v>
      </c>
      <c r="B48" vm="139">
        <f ca="1"/>
        <v>90.12</v>
      </c>
      <c r="C48" vm="140">
        <f ca="1"/>
        <v>1072856</v>
      </c>
      <c r="D48">
        <f t="shared" ca="1" si="0"/>
        <v>96685782.719999999</v>
      </c>
      <c r="E48">
        <f ca="1">SUM($D$2:D48)/SUM($C$2:C48)</f>
        <v>89.688312831550391</v>
      </c>
      <c r="F48">
        <f ca="1">_xlfn.STDEV.P($B$2:B48)</f>
        <v>2.1125075370659046</v>
      </c>
      <c r="G48">
        <f t="shared" ca="1" si="1"/>
        <v>91.8008203686163</v>
      </c>
      <c r="H48">
        <f t="shared" ca="1" si="2"/>
        <v>87.575805294484482</v>
      </c>
    </row>
    <row r="49" spans="1:8" x14ac:dyDescent="0.25">
      <c r="A49" vm="141">
        <f ca="1"/>
        <v>45362</v>
      </c>
      <c r="B49" vm="142">
        <f ca="1"/>
        <v>90.8</v>
      </c>
      <c r="C49" vm="143">
        <f ca="1"/>
        <v>1197165</v>
      </c>
      <c r="D49">
        <f t="shared" ca="1" si="0"/>
        <v>108702582</v>
      </c>
      <c r="E49">
        <f ca="1">SUM($D$2:D49)/SUM($C$2:C49)</f>
        <v>89.703655980206179</v>
      </c>
      <c r="F49">
        <f ca="1">_xlfn.STDEV.P($B$2:B49)</f>
        <v>2.0954292913220804</v>
      </c>
      <c r="G49">
        <f t="shared" ca="1" si="1"/>
        <v>91.799085271528256</v>
      </c>
      <c r="H49">
        <f t="shared" ca="1" si="2"/>
        <v>87.608226688884102</v>
      </c>
    </row>
    <row r="50" spans="1:8" x14ac:dyDescent="0.25">
      <c r="A50" vm="144">
        <f ca="1"/>
        <v>45363</v>
      </c>
      <c r="B50" vm="145">
        <f ca="1"/>
        <v>89.93</v>
      </c>
      <c r="C50" vm="146">
        <f ca="1"/>
        <v>1316827</v>
      </c>
      <c r="D50">
        <f t="shared" ca="1" si="0"/>
        <v>118422252.11000001</v>
      </c>
      <c r="E50">
        <f ca="1">SUM($D$2:D50)/SUM($C$2:C50)</f>
        <v>89.707040772796248</v>
      </c>
      <c r="F50">
        <f ca="1">_xlfn.STDEV.P($B$2:B50)</f>
        <v>2.0740137080809737</v>
      </c>
      <c r="G50">
        <f t="shared" ca="1" si="1"/>
        <v>91.781054480877216</v>
      </c>
      <c r="H50">
        <f t="shared" ca="1" si="2"/>
        <v>87.633027064715279</v>
      </c>
    </row>
    <row r="51" spans="1:8" x14ac:dyDescent="0.25">
      <c r="A51" vm="147">
        <f ca="1"/>
        <v>45364</v>
      </c>
      <c r="B51" vm="148">
        <f ca="1"/>
        <v>89.57</v>
      </c>
      <c r="C51" vm="149">
        <f ca="1"/>
        <v>1673563</v>
      </c>
      <c r="D51">
        <f t="shared" ca="1" si="0"/>
        <v>149901037.91</v>
      </c>
      <c r="E51">
        <f ca="1">SUM($D$2:D51)/SUM($C$2:C51)</f>
        <v>89.704484838382612</v>
      </c>
      <c r="F51">
        <f ca="1">_xlfn.STDEV.P($B$2:B51)</f>
        <v>2.0534358426792885</v>
      </c>
      <c r="G51">
        <f t="shared" ca="1" si="1"/>
        <v>91.757920681061904</v>
      </c>
      <c r="H51">
        <f t="shared" ca="1" si="2"/>
        <v>87.65104899570332</v>
      </c>
    </row>
    <row r="52" spans="1:8" x14ac:dyDescent="0.25">
      <c r="A52" vm="150">
        <f ca="1"/>
        <v>45365</v>
      </c>
      <c r="B52" vm="79">
        <f ca="1"/>
        <v>88.67</v>
      </c>
      <c r="C52" vm="151">
        <f ca="1"/>
        <v>1450252</v>
      </c>
      <c r="D52">
        <f t="shared" ca="1" si="0"/>
        <v>128593844.84</v>
      </c>
      <c r="E52">
        <f ca="1">SUM($D$2:D52)/SUM($C$2:C52)</f>
        <v>89.688031183079687</v>
      </c>
      <c r="F52">
        <f ca="1">_xlfn.STDEV.P($B$2:B52)</f>
        <v>2.039251074353575</v>
      </c>
      <c r="G52">
        <f t="shared" ca="1" si="1"/>
        <v>91.727282257433259</v>
      </c>
      <c r="H52">
        <f t="shared" ca="1" si="2"/>
        <v>87.648780108726115</v>
      </c>
    </row>
    <row r="53" spans="1:8" x14ac:dyDescent="0.25">
      <c r="A53" vm="152">
        <f ca="1"/>
        <v>45366</v>
      </c>
      <c r="B53" vm="153">
        <f ca="1"/>
        <v>88.94</v>
      </c>
      <c r="C53" vm="154">
        <f ca="1"/>
        <v>3462511</v>
      </c>
      <c r="D53">
        <f t="shared" ca="1" si="0"/>
        <v>307955728.33999997</v>
      </c>
      <c r="E53">
        <f ca="1">SUM($D$2:D53)/SUM($C$2:C53)</f>
        <v>89.660664686989037</v>
      </c>
      <c r="F53">
        <f ca="1">_xlfn.STDEV.P($B$2:B53)</f>
        <v>2.0228368166963562</v>
      </c>
      <c r="G53">
        <f t="shared" ca="1" si="1"/>
        <v>91.683501503685392</v>
      </c>
      <c r="H53">
        <f t="shared" ca="1" si="2"/>
        <v>87.637827870292682</v>
      </c>
    </row>
    <row r="54" spans="1:8" x14ac:dyDescent="0.25">
      <c r="A54" vm="155">
        <f ca="1"/>
        <v>45369</v>
      </c>
      <c r="B54" vm="130">
        <f ca="1"/>
        <v>88.99</v>
      </c>
      <c r="C54" vm="156">
        <f ca="1"/>
        <v>1354963</v>
      </c>
      <c r="D54">
        <f t="shared" ca="1" si="0"/>
        <v>120578157.36999999</v>
      </c>
      <c r="E54">
        <f ca="1">SUM($D$2:D54)/SUM($C$2:C54)</f>
        <v>89.651198660139571</v>
      </c>
      <c r="F54">
        <f ca="1">_xlfn.STDEV.P($B$2:B54)</f>
        <v>2.0064242674585646</v>
      </c>
      <c r="G54">
        <f t="shared" ca="1" si="1"/>
        <v>91.65762292759814</v>
      </c>
      <c r="H54">
        <f t="shared" ca="1" si="2"/>
        <v>87.644774392681001</v>
      </c>
    </row>
    <row r="55" spans="1:8" x14ac:dyDescent="0.25">
      <c r="A55" vm="157">
        <f ca="1"/>
        <v>45370</v>
      </c>
      <c r="B55" vm="158">
        <f ca="1"/>
        <v>89.71</v>
      </c>
      <c r="C55" vm="159">
        <f ca="1"/>
        <v>1507656</v>
      </c>
      <c r="D55">
        <f t="shared" ca="1" si="0"/>
        <v>135251819.75999999</v>
      </c>
      <c r="E55">
        <f ca="1">SUM($D$2:D55)/SUM($C$2:C55)</f>
        <v>89.652107854558366</v>
      </c>
      <c r="F55">
        <f ca="1">_xlfn.STDEV.P($B$2:B55)</f>
        <v>1.9877663567842263</v>
      </c>
      <c r="G55">
        <f t="shared" ca="1" si="1"/>
        <v>91.639874211342587</v>
      </c>
      <c r="H55">
        <f t="shared" ca="1" si="2"/>
        <v>87.664341497774146</v>
      </c>
    </row>
    <row r="56" spans="1:8" x14ac:dyDescent="0.25">
      <c r="A56" vm="160">
        <f ca="1"/>
        <v>45371</v>
      </c>
      <c r="B56" vm="161">
        <f ca="1"/>
        <v>89.04</v>
      </c>
      <c r="C56" vm="162">
        <f ca="1"/>
        <v>1545741</v>
      </c>
      <c r="D56">
        <f t="shared" ca="1" si="0"/>
        <v>137632778.64000002</v>
      </c>
      <c r="E56">
        <f ca="1">SUM($D$2:D56)/SUM($C$2:C56)</f>
        <v>89.642555702960678</v>
      </c>
      <c r="F56">
        <f ca="1">_xlfn.STDEV.P($B$2:B56)</f>
        <v>1.9718840594217635</v>
      </c>
      <c r="G56">
        <f t="shared" ca="1" si="1"/>
        <v>91.614439762382446</v>
      </c>
      <c r="H56">
        <f t="shared" ca="1" si="2"/>
        <v>87.67067164353891</v>
      </c>
    </row>
    <row r="57" spans="1:8" x14ac:dyDescent="0.25">
      <c r="A57" vm="163">
        <f ca="1"/>
        <v>45372</v>
      </c>
      <c r="B57" vm="164">
        <f ca="1"/>
        <v>88.65</v>
      </c>
      <c r="C57" vm="165">
        <f ca="1"/>
        <v>2162914</v>
      </c>
      <c r="D57">
        <f t="shared" ca="1" si="0"/>
        <v>191742326.10000002</v>
      </c>
      <c r="E57">
        <f ca="1">SUM($D$2:D57)/SUM($C$2:C57)</f>
        <v>89.621345275967869</v>
      </c>
      <c r="F57">
        <f ca="1">_xlfn.STDEV.P($B$2:B57)</f>
        <v>1.9594767676107119</v>
      </c>
      <c r="G57">
        <f t="shared" ca="1" si="1"/>
        <v>91.580822043578578</v>
      </c>
      <c r="H57">
        <f t="shared" ca="1" si="2"/>
        <v>87.661868508357159</v>
      </c>
    </row>
    <row r="58" spans="1:8" x14ac:dyDescent="0.25">
      <c r="A58" vm="166">
        <f ca="1"/>
        <v>45373</v>
      </c>
      <c r="B58" vm="167">
        <f ca="1"/>
        <v>88.6</v>
      </c>
      <c r="C58" vm="168">
        <f ca="1"/>
        <v>1507460</v>
      </c>
      <c r="D58">
        <f t="shared" ca="1" si="0"/>
        <v>133560955.99999999</v>
      </c>
      <c r="E58">
        <f ca="1">SUM($D$2:D58)/SUM($C$2:C58)</f>
        <v>89.606356950393277</v>
      </c>
      <c r="F58">
        <f ca="1">_xlfn.STDEV.P($B$2:B58)</f>
        <v>1.9477297910319855</v>
      </c>
      <c r="G58">
        <f t="shared" ca="1" si="1"/>
        <v>91.554086741425266</v>
      </c>
      <c r="H58">
        <f t="shared" ca="1" si="2"/>
        <v>87.658627159361288</v>
      </c>
    </row>
    <row r="59" spans="1:8" x14ac:dyDescent="0.25">
      <c r="A59" vm="169">
        <f ca="1"/>
        <v>45376</v>
      </c>
      <c r="B59" vm="170">
        <f ca="1"/>
        <v>88.5</v>
      </c>
      <c r="C59" vm="171">
        <f ca="1"/>
        <v>1163704</v>
      </c>
      <c r="D59">
        <f t="shared" ca="1" si="0"/>
        <v>102987804</v>
      </c>
      <c r="E59">
        <f ca="1">SUM($D$2:D59)/SUM($C$2:C59)</f>
        <v>89.593963842468355</v>
      </c>
      <c r="F59">
        <f ca="1">_xlfn.STDEV.P($B$2:B59)</f>
        <v>1.9371353824379405</v>
      </c>
      <c r="G59">
        <f t="shared" ca="1" si="1"/>
        <v>91.531099224906299</v>
      </c>
      <c r="H59">
        <f t="shared" ca="1" si="2"/>
        <v>87.656828460030411</v>
      </c>
    </row>
    <row r="60" spans="1:8" x14ac:dyDescent="0.25">
      <c r="A60" vm="172">
        <f ca="1"/>
        <v>45377</v>
      </c>
      <c r="B60" vm="173">
        <f ca="1"/>
        <v>87.45</v>
      </c>
      <c r="C60" vm="174">
        <f ca="1"/>
        <v>1411961</v>
      </c>
      <c r="D60">
        <f t="shared" ca="1" si="0"/>
        <v>123475989.45</v>
      </c>
      <c r="E60">
        <f ca="1">SUM($D$2:D60)/SUM($C$2:C60)</f>
        <v>89.565215046255858</v>
      </c>
      <c r="F60">
        <f ca="1">_xlfn.STDEV.P($B$2:B60)</f>
        <v>1.9420169313275231</v>
      </c>
      <c r="G60">
        <f t="shared" ca="1" si="1"/>
        <v>91.507231977583388</v>
      </c>
      <c r="H60">
        <f t="shared" ca="1" si="2"/>
        <v>87.623198114928329</v>
      </c>
    </row>
    <row r="61" spans="1:8" x14ac:dyDescent="0.25">
      <c r="A61" vm="175">
        <f ca="1"/>
        <v>45378</v>
      </c>
      <c r="B61" vm="176">
        <f ca="1"/>
        <v>90.05</v>
      </c>
      <c r="C61" vm="177">
        <f ca="1"/>
        <v>1935394</v>
      </c>
      <c r="D61">
        <f t="shared" ca="1" si="0"/>
        <v>174282229.69999999</v>
      </c>
      <c r="E61">
        <f ca="1">SUM($D$2:D61)/SUM($C$2:C61)</f>
        <v>89.57396464438294</v>
      </c>
      <c r="F61">
        <f ca="1">_xlfn.STDEV.P($B$2:B61)</f>
        <v>1.9264877295799792</v>
      </c>
      <c r="G61">
        <f t="shared" ca="1" si="1"/>
        <v>91.500452373962915</v>
      </c>
      <c r="H61">
        <f t="shared" ca="1" si="2"/>
        <v>87.647476914802965</v>
      </c>
    </row>
    <row r="62" spans="1:8" x14ac:dyDescent="0.25">
      <c r="A62" vm="178">
        <f ca="1"/>
        <v>45379</v>
      </c>
      <c r="B62" vm="179">
        <f ca="1"/>
        <v>90.81</v>
      </c>
      <c r="C62" vm="180">
        <f ca="1"/>
        <v>1785835</v>
      </c>
      <c r="D62">
        <f t="shared" ca="1" si="0"/>
        <v>162171676.34999999</v>
      </c>
      <c r="E62">
        <f ca="1">SUM($D$2:D62)/SUM($C$2:C62)</f>
        <v>89.594212020898837</v>
      </c>
      <c r="F62">
        <f ca="1">_xlfn.STDEV.P($B$2:B62)</f>
        <v>1.9163517924487119</v>
      </c>
      <c r="G62">
        <f t="shared" ca="1" si="1"/>
        <v>91.510563813347545</v>
      </c>
      <c r="H62">
        <f t="shared" ca="1" si="2"/>
        <v>87.677860228450129</v>
      </c>
    </row>
    <row r="63" spans="1:8" x14ac:dyDescent="0.25">
      <c r="A63" vm="181">
        <f ca="1"/>
        <v>45383</v>
      </c>
      <c r="B63" vm="182">
        <f ca="1"/>
        <v>90.33</v>
      </c>
      <c r="C63" vm="183">
        <f ca="1"/>
        <v>1109597</v>
      </c>
      <c r="D63">
        <f t="shared" ca="1" si="0"/>
        <v>100229897.01000001</v>
      </c>
      <c r="E63">
        <f ca="1">SUM($D$2:D63)/SUM($C$2:C63)</f>
        <v>89.601625406628031</v>
      </c>
      <c r="F63">
        <f ca="1">_xlfn.STDEV.P($B$2:B63)</f>
        <v>1.9026854686773433</v>
      </c>
      <c r="G63">
        <f t="shared" ca="1" si="1"/>
        <v>91.504310875305379</v>
      </c>
      <c r="H63">
        <f t="shared" ca="1" si="2"/>
        <v>87.698939937950684</v>
      </c>
    </row>
    <row r="64" spans="1:8" x14ac:dyDescent="0.25">
      <c r="A64" vm="184">
        <f ca="1"/>
        <v>45384</v>
      </c>
      <c r="B64" vm="185">
        <f ca="1"/>
        <v>90.6</v>
      </c>
      <c r="C64" vm="186">
        <f ca="1"/>
        <v>1829435</v>
      </c>
      <c r="D64">
        <f t="shared" ca="1" si="0"/>
        <v>165746811</v>
      </c>
      <c r="E64">
        <f ca="1">SUM($D$2:D64)/SUM($C$2:C64)</f>
        <v>89.617939164448799</v>
      </c>
      <c r="F64">
        <f ca="1">_xlfn.STDEV.P($B$2:B64)</f>
        <v>1.8910640936783705</v>
      </c>
      <c r="G64">
        <f t="shared" ca="1" si="1"/>
        <v>91.509003258127166</v>
      </c>
      <c r="H64">
        <f t="shared" ca="1" si="2"/>
        <v>87.726875070770433</v>
      </c>
    </row>
    <row r="65" spans="1:8" x14ac:dyDescent="0.25">
      <c r="A65" vm="187">
        <f ca="1"/>
        <v>45385</v>
      </c>
      <c r="B65" vm="188">
        <f ca="1"/>
        <v>89.89</v>
      </c>
      <c r="C65" vm="189">
        <f ca="1"/>
        <v>1404637</v>
      </c>
      <c r="D65">
        <f t="shared" ca="1" si="0"/>
        <v>126262819.93000001</v>
      </c>
      <c r="E65">
        <f ca="1">SUM($D$2:D65)/SUM($C$2:C65)</f>
        <v>89.621310165183758</v>
      </c>
      <c r="F65">
        <f ca="1">_xlfn.STDEV.P($B$2:B65)</f>
        <v>1.8763969795861426</v>
      </c>
      <c r="G65">
        <f t="shared" ca="1" si="1"/>
        <v>91.497707144769905</v>
      </c>
      <c r="H65">
        <f t="shared" ca="1" si="2"/>
        <v>87.744913185597611</v>
      </c>
    </row>
    <row r="66" spans="1:8" x14ac:dyDescent="0.25">
      <c r="A66" vm="190">
        <f ca="1"/>
        <v>45386</v>
      </c>
      <c r="B66" vm="191">
        <f ca="1"/>
        <v>90.19</v>
      </c>
      <c r="C66" vm="192">
        <f ca="1"/>
        <v>1666995</v>
      </c>
      <c r="D66">
        <f t="shared" ca="1" si="0"/>
        <v>150346279.04999998</v>
      </c>
      <c r="E66">
        <f ca="1">SUM($D$2:D66)/SUM($C$2:C66)</f>
        <v>89.629551521797623</v>
      </c>
      <c r="F66">
        <f ca="1">_xlfn.STDEV.P($B$2:B66)</f>
        <v>1.8629137577029844</v>
      </c>
      <c r="G66">
        <f t="shared" ca="1" si="1"/>
        <v>91.492465279500607</v>
      </c>
      <c r="H66">
        <f t="shared" ca="1" si="2"/>
        <v>87.766637764094639</v>
      </c>
    </row>
    <row r="67" spans="1:8" x14ac:dyDescent="0.25">
      <c r="A67" vm="193">
        <f ca="1"/>
        <v>45387</v>
      </c>
      <c r="B67" vm="194">
        <f ca="1"/>
        <v>89.65</v>
      </c>
      <c r="C67" vm="195">
        <f ca="1"/>
        <v>1737921</v>
      </c>
      <c r="D67">
        <f t="shared" ref="D67:D130" ca="1" si="3">B67*C67</f>
        <v>155804617.65000001</v>
      </c>
      <c r="E67">
        <f ca="1">SUM($D$2:D67)/SUM($C$2:C67)</f>
        <v>89.629855867756291</v>
      </c>
      <c r="F67">
        <f ca="1">_xlfn.STDEV.P($B$2:B67)</f>
        <v>1.8487570589435416</v>
      </c>
      <c r="G67">
        <f t="shared" ref="G67:G130" ca="1" si="4">E67 + F67</f>
        <v>91.478612926699839</v>
      </c>
      <c r="H67">
        <f t="shared" ref="H67:H130" ca="1" si="5">E67 - F67</f>
        <v>87.781098808812743</v>
      </c>
    </row>
    <row r="68" spans="1:8" x14ac:dyDescent="0.25">
      <c r="A68" vm="196">
        <f ca="1"/>
        <v>45390</v>
      </c>
      <c r="B68" vm="185">
        <f ca="1"/>
        <v>90.6</v>
      </c>
      <c r="C68" vm="197">
        <f ca="1"/>
        <v>1437861</v>
      </c>
      <c r="D68">
        <f t="shared" ca="1" si="3"/>
        <v>130270206.59999999</v>
      </c>
      <c r="E68">
        <f ca="1">SUM($D$2:D68)/SUM($C$2:C68)</f>
        <v>89.641656750836177</v>
      </c>
      <c r="F68">
        <f ca="1">_xlfn.STDEV.P($B$2:B68)</f>
        <v>1.8381551474724731</v>
      </c>
      <c r="G68">
        <f t="shared" ca="1" si="4"/>
        <v>91.479811898308654</v>
      </c>
      <c r="H68">
        <f t="shared" ca="1" si="5"/>
        <v>87.803501603363699</v>
      </c>
    </row>
    <row r="69" spans="1:8" x14ac:dyDescent="0.25">
      <c r="A69" vm="198">
        <f ca="1"/>
        <v>45391</v>
      </c>
      <c r="B69" vm="199">
        <f ca="1"/>
        <v>91.13</v>
      </c>
      <c r="C69" vm="200">
        <f ca="1"/>
        <v>1184146</v>
      </c>
      <c r="D69">
        <f t="shared" ca="1" si="3"/>
        <v>107911224.97999999</v>
      </c>
      <c r="E69">
        <f ca="1">SUM($D$2:D69)/SUM($C$2:C69)</f>
        <v>89.656418598720649</v>
      </c>
      <c r="F69">
        <f ca="1">_xlfn.STDEV.P($B$2:B69)</f>
        <v>1.8325463676115719</v>
      </c>
      <c r="G69">
        <f t="shared" ca="1" si="4"/>
        <v>91.488964966332219</v>
      </c>
      <c r="H69">
        <f t="shared" ca="1" si="5"/>
        <v>87.823872231109078</v>
      </c>
    </row>
    <row r="70" spans="1:8" x14ac:dyDescent="0.25">
      <c r="A70" vm="201">
        <f ca="1"/>
        <v>45392</v>
      </c>
      <c r="B70" vm="202">
        <f ca="1"/>
        <v>88.89</v>
      </c>
      <c r="C70" vm="203">
        <f ca="1"/>
        <v>1623462</v>
      </c>
      <c r="D70">
        <f t="shared" ca="1" si="3"/>
        <v>144309537.18000001</v>
      </c>
      <c r="E70">
        <f ca="1">SUM($D$2:D70)/SUM($C$2:C70)</f>
        <v>89.646136665077535</v>
      </c>
      <c r="F70">
        <f ca="1">_xlfn.STDEV.P($B$2:B70)</f>
        <v>1.8220105755132388</v>
      </c>
      <c r="G70">
        <f t="shared" ca="1" si="4"/>
        <v>91.468147240590767</v>
      </c>
      <c r="H70">
        <f t="shared" ca="1" si="5"/>
        <v>87.824126089564302</v>
      </c>
    </row>
    <row r="71" spans="1:8" x14ac:dyDescent="0.25">
      <c r="A71" vm="204">
        <f ca="1"/>
        <v>45393</v>
      </c>
      <c r="B71" vm="205">
        <f ca="1"/>
        <v>88.55</v>
      </c>
      <c r="C71" vm="206">
        <f ca="1"/>
        <v>1325849</v>
      </c>
      <c r="D71">
        <f t="shared" ca="1" si="3"/>
        <v>117403928.95</v>
      </c>
      <c r="E71">
        <f ca="1">SUM($D$2:D71)/SUM($C$2:C71)</f>
        <v>89.63425730474242</v>
      </c>
      <c r="F71">
        <f ca="1">_xlfn.STDEV.P($B$2:B71)</f>
        <v>1.8142827952732421</v>
      </c>
      <c r="G71">
        <f t="shared" ca="1" si="4"/>
        <v>91.448540100015663</v>
      </c>
      <c r="H71">
        <f t="shared" ca="1" si="5"/>
        <v>87.819974509469176</v>
      </c>
    </row>
    <row r="72" spans="1:8" x14ac:dyDescent="0.25">
      <c r="A72" vm="207">
        <f ca="1"/>
        <v>45394</v>
      </c>
      <c r="B72" vm="208">
        <f ca="1"/>
        <v>88.63</v>
      </c>
      <c r="C72" vm="209">
        <f ca="1"/>
        <v>1395978</v>
      </c>
      <c r="D72">
        <f t="shared" ca="1" si="3"/>
        <v>123725530.14</v>
      </c>
      <c r="E72">
        <f ca="1">SUM($D$2:D72)/SUM($C$2:C72)</f>
        <v>89.622927294335028</v>
      </c>
      <c r="F72">
        <f ca="1">_xlfn.STDEV.P($B$2:B72)</f>
        <v>1.805906924917227</v>
      </c>
      <c r="G72">
        <f t="shared" ca="1" si="4"/>
        <v>91.428834219252252</v>
      </c>
      <c r="H72">
        <f t="shared" ca="1" si="5"/>
        <v>87.817020369417804</v>
      </c>
    </row>
    <row r="73" spans="1:8" x14ac:dyDescent="0.25">
      <c r="A73" vm="210">
        <f ca="1"/>
        <v>45397</v>
      </c>
      <c r="B73" vm="211">
        <f ca="1"/>
        <v>89.32</v>
      </c>
      <c r="C73" vm="212">
        <f ca="1"/>
        <v>3517995</v>
      </c>
      <c r="D73">
        <f t="shared" ca="1" si="3"/>
        <v>314227313.39999998</v>
      </c>
      <c r="E73">
        <f ca="1">SUM($D$2:D73)/SUM($C$2:C73)</f>
        <v>89.614552677832592</v>
      </c>
      <c r="F73">
        <f ca="1">_xlfn.STDEV.P($B$2:B73)</f>
        <v>1.7938435526427676</v>
      </c>
      <c r="G73">
        <f t="shared" ca="1" si="4"/>
        <v>91.408396230475361</v>
      </c>
      <c r="H73">
        <f t="shared" ca="1" si="5"/>
        <v>87.820709125189822</v>
      </c>
    </row>
    <row r="74" spans="1:8" x14ac:dyDescent="0.25">
      <c r="A74" vm="213">
        <f ca="1"/>
        <v>45398</v>
      </c>
      <c r="B74" vm="214">
        <f ca="1"/>
        <v>87.42</v>
      </c>
      <c r="C74" vm="215">
        <f ca="1"/>
        <v>2098153</v>
      </c>
      <c r="D74">
        <f t="shared" ca="1" si="3"/>
        <v>183420535.25999999</v>
      </c>
      <c r="E74">
        <f ca="1">SUM($D$2:D74)/SUM($C$2:C74)</f>
        <v>89.578955775629055</v>
      </c>
      <c r="F74">
        <f ca="1">_xlfn.STDEV.P($B$2:B74)</f>
        <v>1.800853845566218</v>
      </c>
      <c r="G74">
        <f t="shared" ca="1" si="4"/>
        <v>91.379809621195278</v>
      </c>
      <c r="H74">
        <f t="shared" ca="1" si="5"/>
        <v>87.778101930062832</v>
      </c>
    </row>
    <row r="75" spans="1:8" x14ac:dyDescent="0.25">
      <c r="A75" vm="216">
        <f ca="1"/>
        <v>45399</v>
      </c>
      <c r="B75" vm="182">
        <f ca="1"/>
        <v>90.33</v>
      </c>
      <c r="C75" vm="217">
        <f ca="1"/>
        <v>2923183</v>
      </c>
      <c r="D75">
        <f t="shared" ca="1" si="3"/>
        <v>264051120.38999999</v>
      </c>
      <c r="E75">
        <f ca="1">SUM($D$2:D75)/SUM($C$2:C75)</f>
        <v>89.595553375275273</v>
      </c>
      <c r="F75">
        <f ca="1">_xlfn.STDEV.P($B$2:B75)</f>
        <v>1.7903495512622372</v>
      </c>
      <c r="G75">
        <f t="shared" ca="1" si="4"/>
        <v>91.385902926537511</v>
      </c>
      <c r="H75">
        <f t="shared" ca="1" si="5"/>
        <v>87.805203824013034</v>
      </c>
    </row>
    <row r="76" spans="1:8" x14ac:dyDescent="0.25">
      <c r="A76" vm="218">
        <f ca="1"/>
        <v>45400</v>
      </c>
      <c r="B76" vm="62">
        <f ca="1"/>
        <v>90.9</v>
      </c>
      <c r="C76" vm="219">
        <f ca="1"/>
        <v>2528774</v>
      </c>
      <c r="D76">
        <f t="shared" ca="1" si="3"/>
        <v>229865556.60000002</v>
      </c>
      <c r="E76">
        <f ca="1">SUM($D$2:D76)/SUM($C$2:C76)</f>
        <v>89.620023477911047</v>
      </c>
      <c r="F76">
        <f ca="1">_xlfn.STDEV.P($B$2:B76)</f>
        <v>1.7840285299163674</v>
      </c>
      <c r="G76">
        <f t="shared" ca="1" si="4"/>
        <v>91.404052007827417</v>
      </c>
      <c r="H76">
        <f t="shared" ca="1" si="5"/>
        <v>87.835994947994678</v>
      </c>
    </row>
    <row r="77" spans="1:8" x14ac:dyDescent="0.25">
      <c r="A77" vm="220">
        <f ca="1"/>
        <v>45401</v>
      </c>
      <c r="B77" vm="221">
        <f ca="1"/>
        <v>91.77</v>
      </c>
      <c r="C77" vm="222">
        <f ca="1"/>
        <v>7398350</v>
      </c>
      <c r="D77">
        <f t="shared" ca="1" si="3"/>
        <v>678946579.5</v>
      </c>
      <c r="E77">
        <f ca="1">SUM($D$2:D77)/SUM($C$2:C77)</f>
        <v>89.73188067677556</v>
      </c>
      <c r="F77">
        <f ca="1">_xlfn.STDEV.P($B$2:B77)</f>
        <v>1.7881970872123356</v>
      </c>
      <c r="G77">
        <f t="shared" ca="1" si="4"/>
        <v>91.520077763987899</v>
      </c>
      <c r="H77">
        <f t="shared" ca="1" si="5"/>
        <v>87.943683589563221</v>
      </c>
    </row>
    <row r="78" spans="1:8" x14ac:dyDescent="0.25">
      <c r="A78" vm="223">
        <f ca="1"/>
        <v>45404</v>
      </c>
      <c r="B78" vm="224">
        <f ca="1"/>
        <v>92.73</v>
      </c>
      <c r="C78" vm="225">
        <f ca="1"/>
        <v>1818305</v>
      </c>
      <c r="D78">
        <f t="shared" ca="1" si="3"/>
        <v>168611422.65000001</v>
      </c>
      <c r="E78">
        <f ca="1">SUM($D$2:D78)/SUM($C$2:C78)</f>
        <v>89.769733036656888</v>
      </c>
      <c r="F78">
        <f ca="1">_xlfn.STDEV.P($B$2:B78)</f>
        <v>1.8092248111473161</v>
      </c>
      <c r="G78">
        <f t="shared" ca="1" si="4"/>
        <v>91.578957847804205</v>
      </c>
      <c r="H78">
        <f t="shared" ca="1" si="5"/>
        <v>87.960508225509571</v>
      </c>
    </row>
    <row r="79" spans="1:8" x14ac:dyDescent="0.25">
      <c r="A79" vm="226">
        <f ca="1"/>
        <v>45405</v>
      </c>
      <c r="B79" vm="227">
        <f ca="1"/>
        <v>92.84</v>
      </c>
      <c r="C79" vm="228">
        <f ca="1"/>
        <v>1843846</v>
      </c>
      <c r="D79">
        <f t="shared" ca="1" si="3"/>
        <v>171182662.64000002</v>
      </c>
      <c r="E79">
        <f ca="1">SUM($D$2:D79)/SUM($C$2:C79)</f>
        <v>89.808543894638277</v>
      </c>
      <c r="F79">
        <f ca="1">_xlfn.STDEV.P($B$2:B79)</f>
        <v>1.83098239529683</v>
      </c>
      <c r="G79">
        <f t="shared" ca="1" si="4"/>
        <v>91.639526289935105</v>
      </c>
      <c r="H79">
        <f t="shared" ca="1" si="5"/>
        <v>87.977561499341448</v>
      </c>
    </row>
    <row r="80" spans="1:8" x14ac:dyDescent="0.25">
      <c r="A80" vm="229">
        <f ca="1"/>
        <v>45406</v>
      </c>
      <c r="B80" vm="230">
        <f ca="1"/>
        <v>93.43</v>
      </c>
      <c r="C80" vm="231">
        <f ca="1"/>
        <v>2001652</v>
      </c>
      <c r="D80">
        <f t="shared" ca="1" si="3"/>
        <v>187014346.36000001</v>
      </c>
      <c r="E80">
        <f ca="1">SUM($D$2:D80)/SUM($C$2:C80)</f>
        <v>89.857567479688214</v>
      </c>
      <c r="F80">
        <f ca="1">_xlfn.STDEV.P($B$2:B80)</f>
        <v>1.8644199765778773</v>
      </c>
      <c r="G80">
        <f t="shared" ca="1" si="4"/>
        <v>91.721987456266092</v>
      </c>
      <c r="H80">
        <f t="shared" ca="1" si="5"/>
        <v>87.993147503110336</v>
      </c>
    </row>
    <row r="81" spans="1:8" x14ac:dyDescent="0.25">
      <c r="A81" vm="232">
        <f ca="1"/>
        <v>45407</v>
      </c>
      <c r="B81" vm="233">
        <f ca="1"/>
        <v>94.11</v>
      </c>
      <c r="C81" vm="234">
        <f ca="1"/>
        <v>2191488</v>
      </c>
      <c r="D81">
        <f t="shared" ca="1" si="3"/>
        <v>206240935.68000001</v>
      </c>
      <c r="E81">
        <f ca="1">SUM($D$2:D81)/SUM($C$2:C81)</f>
        <v>89.919671601406606</v>
      </c>
      <c r="F81">
        <f ca="1">_xlfn.STDEV.P($B$2:B81)</f>
        <v>1.9127349488036762</v>
      </c>
      <c r="G81">
        <f t="shared" ca="1" si="4"/>
        <v>91.83240655021028</v>
      </c>
      <c r="H81">
        <f t="shared" ca="1" si="5"/>
        <v>88.006936652602931</v>
      </c>
    </row>
    <row r="82" spans="1:8" x14ac:dyDescent="0.25">
      <c r="A82" vm="235">
        <f ca="1"/>
        <v>45408</v>
      </c>
      <c r="B82" vm="236">
        <f ca="1"/>
        <v>92.93</v>
      </c>
      <c r="C82" vm="237">
        <f ca="1"/>
        <v>1418568</v>
      </c>
      <c r="D82">
        <f t="shared" ca="1" si="3"/>
        <v>131827524.24000001</v>
      </c>
      <c r="E82">
        <f ca="1">SUM($D$2:D82)/SUM($C$2:C82)</f>
        <v>89.947863323111108</v>
      </c>
      <c r="F82">
        <f ca="1">_xlfn.STDEV.P($B$2:B82)</f>
        <v>1.9303975234092052</v>
      </c>
      <c r="G82">
        <f t="shared" ca="1" si="4"/>
        <v>91.87826084652032</v>
      </c>
      <c r="H82">
        <f t="shared" ca="1" si="5"/>
        <v>88.017465799701895</v>
      </c>
    </row>
    <row r="83" spans="1:8" x14ac:dyDescent="0.25">
      <c r="A83" vm="238">
        <f ca="1"/>
        <v>45411</v>
      </c>
      <c r="B83" vm="239">
        <f ca="1"/>
        <v>93.97</v>
      </c>
      <c r="C83" vm="240">
        <f ca="1"/>
        <v>1146354</v>
      </c>
      <c r="D83">
        <f t="shared" ca="1" si="3"/>
        <v>107722885.38</v>
      </c>
      <c r="E83">
        <f ca="1">SUM($D$2:D83)/SUM($C$2:C83)</f>
        <v>89.978073885519493</v>
      </c>
      <c r="F83">
        <f ca="1">_xlfn.STDEV.P($B$2:B83)</f>
        <v>1.9693441633372353</v>
      </c>
      <c r="G83">
        <f t="shared" ca="1" si="4"/>
        <v>91.947418048856733</v>
      </c>
      <c r="H83">
        <f t="shared" ca="1" si="5"/>
        <v>88.008729722182252</v>
      </c>
    </row>
    <row r="84" spans="1:8" x14ac:dyDescent="0.25">
      <c r="A84" vm="241">
        <f ca="1"/>
        <v>45412</v>
      </c>
      <c r="B84" vm="242">
        <f ca="1"/>
        <v>94.4</v>
      </c>
      <c r="C84" vm="243">
        <f ca="1"/>
        <v>3731976</v>
      </c>
      <c r="D84">
        <f t="shared" ca="1" si="3"/>
        <v>352298534.40000004</v>
      </c>
      <c r="E84">
        <f ca="1">SUM($D$2:D84)/SUM($C$2:C84)</f>
        <v>90.083619881133217</v>
      </c>
      <c r="F84">
        <f ca="1">_xlfn.STDEV.P($B$2:B84)</f>
        <v>2.0161763293062909</v>
      </c>
      <c r="G84">
        <f t="shared" ca="1" si="4"/>
        <v>92.099796210439507</v>
      </c>
      <c r="H84">
        <f t="shared" ca="1" si="5"/>
        <v>88.067443551826926</v>
      </c>
    </row>
    <row r="85" spans="1:8" x14ac:dyDescent="0.25">
      <c r="A85" vm="244">
        <f ca="1"/>
        <v>45413</v>
      </c>
      <c r="B85" vm="245">
        <f ca="1"/>
        <v>94.8</v>
      </c>
      <c r="C85" vm="246">
        <f ca="1"/>
        <v>2372909</v>
      </c>
      <c r="D85">
        <f t="shared" ca="1" si="3"/>
        <v>224951773.19999999</v>
      </c>
      <c r="E85">
        <f ca="1">SUM($D$2:D85)/SUM($C$2:C85)</f>
        <v>90.154128101202971</v>
      </c>
      <c r="F85">
        <f ca="1">_xlfn.STDEV.P($B$2:B85)</f>
        <v>2.0699593688159088</v>
      </c>
      <c r="G85">
        <f t="shared" ca="1" si="4"/>
        <v>92.224087470018887</v>
      </c>
      <c r="H85">
        <f t="shared" ca="1" si="5"/>
        <v>88.084168732387056</v>
      </c>
    </row>
    <row r="86" spans="1:8" x14ac:dyDescent="0.25">
      <c r="A86" vm="247">
        <f ca="1"/>
        <v>45414</v>
      </c>
      <c r="B86" vm="248">
        <f ca="1"/>
        <v>95.25</v>
      </c>
      <c r="C86" vm="249">
        <f ca="1"/>
        <v>1991646</v>
      </c>
      <c r="D86">
        <f t="shared" ca="1" si="3"/>
        <v>189704281.5</v>
      </c>
      <c r="E86">
        <f ca="1">SUM($D$2:D86)/SUM($C$2:C86)</f>
        <v>90.217276894041248</v>
      </c>
      <c r="F86">
        <f ca="1">_xlfn.STDEV.P($B$2:B86)</f>
        <v>2.1318558739108115</v>
      </c>
      <c r="G86">
        <f t="shared" ca="1" si="4"/>
        <v>92.349132767952057</v>
      </c>
      <c r="H86">
        <f t="shared" ca="1" si="5"/>
        <v>88.08542102013044</v>
      </c>
    </row>
    <row r="87" spans="1:8" x14ac:dyDescent="0.25">
      <c r="A87" vm="250">
        <f ca="1"/>
        <v>45415</v>
      </c>
      <c r="B87" vm="251">
        <f ca="1"/>
        <v>95.56</v>
      </c>
      <c r="C87" vm="252">
        <f ca="1"/>
        <v>2465195</v>
      </c>
      <c r="D87">
        <f t="shared" ca="1" si="3"/>
        <v>235574034.20000002</v>
      </c>
      <c r="E87">
        <f ca="1">SUM($D$2:D87)/SUM($C$2:C87)</f>
        <v>90.297988771775692</v>
      </c>
      <c r="F87">
        <f ca="1">_xlfn.STDEV.P($B$2:B87)</f>
        <v>2.1975431731451081</v>
      </c>
      <c r="G87">
        <f t="shared" ca="1" si="4"/>
        <v>92.495531944920799</v>
      </c>
      <c r="H87">
        <f t="shared" ca="1" si="5"/>
        <v>88.100445598630586</v>
      </c>
    </row>
    <row r="88" spans="1:8" x14ac:dyDescent="0.25">
      <c r="A88" vm="253">
        <f ca="1"/>
        <v>45418</v>
      </c>
      <c r="B88" vm="254">
        <f ca="1"/>
        <v>96.13</v>
      </c>
      <c r="C88" vm="255">
        <f ca="1"/>
        <v>2071466</v>
      </c>
      <c r="D88">
        <f t="shared" ca="1" si="3"/>
        <v>199130026.57999998</v>
      </c>
      <c r="E88">
        <f ca="1">SUM($D$2:D88)/SUM($C$2:C88)</f>
        <v>90.371092814525639</v>
      </c>
      <c r="F88">
        <f ca="1">_xlfn.STDEV.P($B$2:B88)</f>
        <v>2.2742959257727486</v>
      </c>
      <c r="G88">
        <f t="shared" ca="1" si="4"/>
        <v>92.645388740298387</v>
      </c>
      <c r="H88">
        <f t="shared" ca="1" si="5"/>
        <v>88.096796888752891</v>
      </c>
    </row>
    <row r="89" spans="1:8" x14ac:dyDescent="0.25">
      <c r="A89" vm="256">
        <f ca="1"/>
        <v>45419</v>
      </c>
      <c r="B89" vm="257">
        <f ca="1"/>
        <v>97.5</v>
      </c>
      <c r="C89" vm="258">
        <f ca="1"/>
        <v>2029790</v>
      </c>
      <c r="D89">
        <f t="shared" ca="1" si="3"/>
        <v>197904525</v>
      </c>
      <c r="E89">
        <f ca="1">SUM($D$2:D89)/SUM($C$2:C89)</f>
        <v>90.457593083474109</v>
      </c>
      <c r="F89">
        <f ca="1">_xlfn.STDEV.P($B$2:B89)</f>
        <v>2.3875159744824934</v>
      </c>
      <c r="G89">
        <f t="shared" ca="1" si="4"/>
        <v>92.845109057956606</v>
      </c>
      <c r="H89">
        <f t="shared" ca="1" si="5"/>
        <v>88.070077108991612</v>
      </c>
    </row>
    <row r="90" spans="1:8" x14ac:dyDescent="0.25">
      <c r="A90" vm="259">
        <f ca="1"/>
        <v>45420</v>
      </c>
      <c r="B90" vm="260">
        <f ca="1"/>
        <v>97.57</v>
      </c>
      <c r="C90" vm="261">
        <f ca="1"/>
        <v>2179673</v>
      </c>
      <c r="D90">
        <f t="shared" ca="1" si="3"/>
        <v>212670694.60999998</v>
      </c>
      <c r="E90">
        <f ca="1">SUM($D$2:D90)/SUM($C$2:C90)</f>
        <v>90.549073713440336</v>
      </c>
      <c r="F90">
        <f ca="1">_xlfn.STDEV.P($B$2:B90)</f>
        <v>2.4928525982306877</v>
      </c>
      <c r="G90">
        <f t="shared" ca="1" si="4"/>
        <v>93.04192631167102</v>
      </c>
      <c r="H90">
        <f t="shared" ca="1" si="5"/>
        <v>88.056221115209652</v>
      </c>
    </row>
    <row r="91" spans="1:8" x14ac:dyDescent="0.25">
      <c r="A91" vm="262">
        <f ca="1"/>
        <v>45421</v>
      </c>
      <c r="B91" vm="263">
        <f ca="1"/>
        <v>98.12</v>
      </c>
      <c r="C91" vm="264">
        <f ca="1"/>
        <v>1613152</v>
      </c>
      <c r="D91">
        <f t="shared" ca="1" si="3"/>
        <v>158282474.24000001</v>
      </c>
      <c r="E91">
        <f ca="1">SUM($D$2:D91)/SUM($C$2:C91)</f>
        <v>90.62046265931545</v>
      </c>
      <c r="F91">
        <f ca="1">_xlfn.STDEV.P($B$2:B91)</f>
        <v>2.6064918099920358</v>
      </c>
      <c r="G91">
        <f t="shared" ca="1" si="4"/>
        <v>93.226954469307486</v>
      </c>
      <c r="H91">
        <f t="shared" ca="1" si="5"/>
        <v>88.013970849323414</v>
      </c>
    </row>
    <row r="92" spans="1:8" x14ac:dyDescent="0.25">
      <c r="A92" vm="265">
        <f ca="1"/>
        <v>45422</v>
      </c>
      <c r="B92" vm="266">
        <f ca="1"/>
        <v>97.7</v>
      </c>
      <c r="C92" vm="267">
        <f ca="1"/>
        <v>1688630</v>
      </c>
      <c r="D92">
        <f t="shared" ca="1" si="3"/>
        <v>164979151</v>
      </c>
      <c r="E92">
        <f ca="1">SUM($D$2:D92)/SUM($C$2:C92)</f>
        <v>90.689658554542817</v>
      </c>
      <c r="F92">
        <f ca="1">_xlfn.STDEV.P($B$2:B92)</f>
        <v>2.6979641991600412</v>
      </c>
      <c r="G92">
        <f t="shared" ca="1" si="4"/>
        <v>93.387622753702857</v>
      </c>
      <c r="H92">
        <f t="shared" ca="1" si="5"/>
        <v>87.991694355382776</v>
      </c>
    </row>
    <row r="93" spans="1:8" x14ac:dyDescent="0.25">
      <c r="A93" vm="268">
        <f ca="1"/>
        <v>45425</v>
      </c>
      <c r="B93" vm="269">
        <f ca="1"/>
        <v>97.64</v>
      </c>
      <c r="C93" vm="270">
        <f ca="1"/>
        <v>1557959</v>
      </c>
      <c r="D93">
        <f t="shared" ca="1" si="3"/>
        <v>152119116.75999999</v>
      </c>
      <c r="E93">
        <f ca="1">SUM($D$2:D93)/SUM($C$2:C93)</f>
        <v>90.751774675153683</v>
      </c>
      <c r="F93">
        <f ca="1">_xlfn.STDEV.P($B$2:B93)</f>
        <v>2.7807401419837987</v>
      </c>
      <c r="G93">
        <f t="shared" ca="1" si="4"/>
        <v>93.532514817137482</v>
      </c>
      <c r="H93">
        <f t="shared" ca="1" si="5"/>
        <v>87.971034533169885</v>
      </c>
    </row>
    <row r="94" spans="1:8" x14ac:dyDescent="0.25">
      <c r="A94" vm="271">
        <f ca="1"/>
        <v>45426</v>
      </c>
      <c r="B94" vm="272">
        <f ca="1"/>
        <v>96.64</v>
      </c>
      <c r="C94" vm="273">
        <f ca="1"/>
        <v>1723445</v>
      </c>
      <c r="D94">
        <f t="shared" ca="1" si="3"/>
        <v>166553724.80000001</v>
      </c>
      <c r="E94">
        <f ca="1">SUM($D$2:D94)/SUM($C$2:C94)</f>
        <v>90.809418325006448</v>
      </c>
      <c r="F94">
        <f ca="1">_xlfn.STDEV.P($B$2:B94)</f>
        <v>2.8332779941954489</v>
      </c>
      <c r="G94">
        <f t="shared" ca="1" si="4"/>
        <v>93.642696319201903</v>
      </c>
      <c r="H94">
        <f t="shared" ca="1" si="5"/>
        <v>87.976140330810992</v>
      </c>
    </row>
    <row r="95" spans="1:8" x14ac:dyDescent="0.25">
      <c r="A95" vm="274">
        <f ca="1"/>
        <v>45427</v>
      </c>
      <c r="B95" vm="275">
        <f ca="1"/>
        <v>96.91</v>
      </c>
      <c r="C95" vm="276">
        <f ca="1"/>
        <v>1749069</v>
      </c>
      <c r="D95">
        <f t="shared" ca="1" si="3"/>
        <v>169502276.78999999</v>
      </c>
      <c r="E95">
        <f ca="1">SUM($D$2:D95)/SUM($C$2:C95)</f>
        <v>90.869432563789232</v>
      </c>
      <c r="F95">
        <f ca="1">_xlfn.STDEV.P($B$2:B95)</f>
        <v>2.8883327865136348</v>
      </c>
      <c r="G95">
        <f t="shared" ca="1" si="4"/>
        <v>93.757765350302861</v>
      </c>
      <c r="H95">
        <f t="shared" ca="1" si="5"/>
        <v>87.981099777275602</v>
      </c>
    </row>
    <row r="96" spans="1:8" x14ac:dyDescent="0.25">
      <c r="A96" vm="277">
        <f ca="1"/>
        <v>45428</v>
      </c>
      <c r="B96" vm="275">
        <f ca="1"/>
        <v>96.91</v>
      </c>
      <c r="C96" vm="278">
        <f ca="1"/>
        <v>2388169</v>
      </c>
      <c r="D96">
        <f t="shared" ca="1" si="3"/>
        <v>231437457.78999999</v>
      </c>
      <c r="E96">
        <f ca="1">SUM($D$2:D96)/SUM($C$2:C96)</f>
        <v>90.949494167900752</v>
      </c>
      <c r="F96">
        <f ca="1">_xlfn.STDEV.P($B$2:B96)</f>
        <v>2.9398122389023413</v>
      </c>
      <c r="G96">
        <f t="shared" ca="1" si="4"/>
        <v>93.889306406803087</v>
      </c>
      <c r="H96">
        <f t="shared" ca="1" si="5"/>
        <v>88.009681928998418</v>
      </c>
    </row>
    <row r="97" spans="1:8" x14ac:dyDescent="0.25">
      <c r="A97" vm="279">
        <f ca="1"/>
        <v>45429</v>
      </c>
      <c r="B97" vm="280">
        <f ca="1"/>
        <v>97.1</v>
      </c>
      <c r="C97" vm="281">
        <f ca="1"/>
        <v>1570651</v>
      </c>
      <c r="D97">
        <f t="shared" ca="1" si="3"/>
        <v>152510212.09999999</v>
      </c>
      <c r="E97">
        <f ca="1">SUM($D$2:D97)/SUM($C$2:C97)</f>
        <v>91.002644102439177</v>
      </c>
      <c r="F97">
        <f ca="1">_xlfn.STDEV.P($B$2:B97)</f>
        <v>2.9920398951843881</v>
      </c>
      <c r="G97">
        <f t="shared" ca="1" si="4"/>
        <v>93.994683997623568</v>
      </c>
      <c r="H97">
        <f t="shared" ca="1" si="5"/>
        <v>88.010604207254787</v>
      </c>
    </row>
    <row r="98" spans="1:8" x14ac:dyDescent="0.25">
      <c r="A98" vm="282">
        <f ca="1"/>
        <v>45432</v>
      </c>
      <c r="B98" vm="283">
        <f ca="1"/>
        <v>96.51</v>
      </c>
      <c r="C98" vm="284">
        <f ca="1"/>
        <v>1224455</v>
      </c>
      <c r="D98">
        <f t="shared" ca="1" si="3"/>
        <v>118172152.05000001</v>
      </c>
      <c r="E98">
        <f ca="1">SUM($D$2:D98)/SUM($C$2:C98)</f>
        <v>91.039497898003148</v>
      </c>
      <c r="F98">
        <f ca="1">_xlfn.STDEV.P($B$2:B98)</f>
        <v>3.0293420425491182</v>
      </c>
      <c r="G98">
        <f t="shared" ca="1" si="4"/>
        <v>94.068839940552266</v>
      </c>
      <c r="H98">
        <f t="shared" ca="1" si="5"/>
        <v>88.01015585545403</v>
      </c>
    </row>
    <row r="99" spans="1:8" x14ac:dyDescent="0.25">
      <c r="A99" vm="285">
        <f ca="1"/>
        <v>45433</v>
      </c>
      <c r="B99" vm="286">
        <f ca="1"/>
        <v>96.34</v>
      </c>
      <c r="C99" vm="287">
        <f ca="1"/>
        <v>1515950</v>
      </c>
      <c r="D99">
        <f t="shared" ca="1" si="3"/>
        <v>146046623</v>
      </c>
      <c r="E99">
        <f ca="1">SUM($D$2:D99)/SUM($C$2:C99)</f>
        <v>91.083050582239466</v>
      </c>
      <c r="F99">
        <f ca="1">_xlfn.STDEV.P($B$2:B99)</f>
        <v>3.0613542030341443</v>
      </c>
      <c r="G99">
        <f t="shared" ca="1" si="4"/>
        <v>94.144404785273608</v>
      </c>
      <c r="H99">
        <f t="shared" ca="1" si="5"/>
        <v>88.021696379205324</v>
      </c>
    </row>
    <row r="100" spans="1:8" x14ac:dyDescent="0.25">
      <c r="A100" vm="288">
        <f ca="1"/>
        <v>45434</v>
      </c>
      <c r="B100" vm="254">
        <f ca="1"/>
        <v>96.13</v>
      </c>
      <c r="C100" vm="289">
        <f ca="1"/>
        <v>3657513</v>
      </c>
      <c r="D100">
        <f t="shared" ca="1" si="3"/>
        <v>351596724.69</v>
      </c>
      <c r="E100">
        <f ca="1">SUM($D$2:D100)/SUM($C$2:C100)</f>
        <v>91.181158146202307</v>
      </c>
      <c r="F100">
        <f ca="1">_xlfn.STDEV.P($B$2:B100)</f>
        <v>3.0879403680711834</v>
      </c>
      <c r="G100">
        <f t="shared" ca="1" si="4"/>
        <v>94.269098514273495</v>
      </c>
      <c r="H100">
        <f t="shared" ca="1" si="5"/>
        <v>88.09321777813112</v>
      </c>
    </row>
    <row r="101" spans="1:8" x14ac:dyDescent="0.25">
      <c r="A101" vm="290">
        <f ca="1"/>
        <v>45435</v>
      </c>
      <c r="B101" vm="291">
        <f ca="1"/>
        <v>93.87</v>
      </c>
      <c r="C101" vm="292">
        <f ca="1"/>
        <v>2056720</v>
      </c>
      <c r="D101">
        <f t="shared" ca="1" si="3"/>
        <v>193064306.40000001</v>
      </c>
      <c r="E101">
        <f ca="1">SUM($D$2:D101)/SUM($C$2:C101)</f>
        <v>91.210232264051257</v>
      </c>
      <c r="F101">
        <f ca="1">_xlfn.STDEV.P($B$2:B101)</f>
        <v>3.0847970095291521</v>
      </c>
      <c r="G101">
        <f t="shared" ca="1" si="4"/>
        <v>94.295029273580411</v>
      </c>
      <c r="H101">
        <f t="shared" ca="1" si="5"/>
        <v>88.125435254522102</v>
      </c>
    </row>
    <row r="102" spans="1:8" x14ac:dyDescent="0.25">
      <c r="A102" vm="293">
        <f ca="1"/>
        <v>45436</v>
      </c>
      <c r="B102" vm="294">
        <f ca="1"/>
        <v>94.43</v>
      </c>
      <c r="C102" vm="295">
        <f ca="1"/>
        <v>1639105</v>
      </c>
      <c r="D102">
        <f t="shared" ca="1" si="3"/>
        <v>154780685.15000001</v>
      </c>
      <c r="E102">
        <f ca="1">SUM($D$2:D102)/SUM($C$2:C102)</f>
        <v>91.237741023619193</v>
      </c>
      <c r="F102">
        <f ca="1">_xlfn.STDEV.P($B$2:B102)</f>
        <v>3.0868503675506984</v>
      </c>
      <c r="G102">
        <f t="shared" ca="1" si="4"/>
        <v>94.324591391169889</v>
      </c>
      <c r="H102">
        <f t="shared" ca="1" si="5"/>
        <v>88.150890656068498</v>
      </c>
    </row>
    <row r="103" spans="1:8" x14ac:dyDescent="0.25">
      <c r="A103" vm="296">
        <f ca="1"/>
        <v>45440</v>
      </c>
      <c r="B103" vm="297">
        <f ca="1"/>
        <v>93.21</v>
      </c>
      <c r="C103" vm="298">
        <f ca="1"/>
        <v>2168958</v>
      </c>
      <c r="D103">
        <f t="shared" ca="1" si="3"/>
        <v>202168575.17999998</v>
      </c>
      <c r="E103">
        <f ca="1">SUM($D$2:D103)/SUM($C$2:C103)</f>
        <v>91.259789185606692</v>
      </c>
      <c r="F103">
        <f ca="1">_xlfn.STDEV.P($B$2:B103)</f>
        <v>3.078311308074519</v>
      </c>
      <c r="G103">
        <f t="shared" ca="1" si="4"/>
        <v>94.33810049368121</v>
      </c>
      <c r="H103">
        <f t="shared" ca="1" si="5"/>
        <v>88.181477877532174</v>
      </c>
    </row>
    <row r="104" spans="1:8" x14ac:dyDescent="0.25">
      <c r="A104" vm="299">
        <f ca="1"/>
        <v>45441</v>
      </c>
      <c r="B104" vm="300">
        <f ca="1"/>
        <v>91.91</v>
      </c>
      <c r="C104" vm="301">
        <f ca="1"/>
        <v>2013488</v>
      </c>
      <c r="D104">
        <f t="shared" ca="1" si="3"/>
        <v>185059682.07999998</v>
      </c>
      <c r="E104">
        <f ca="1">SUM($D$2:D104)/SUM($C$2:C104)</f>
        <v>91.266467651850817</v>
      </c>
      <c r="F104">
        <f ca="1">_xlfn.STDEV.P($B$2:B104)</f>
        <v>3.0641661885647409</v>
      </c>
      <c r="G104">
        <f t="shared" ca="1" si="4"/>
        <v>94.330633840415558</v>
      </c>
      <c r="H104">
        <f t="shared" ca="1" si="5"/>
        <v>88.202301463286076</v>
      </c>
    </row>
    <row r="105" spans="1:8" x14ac:dyDescent="0.25">
      <c r="A105" vm="302">
        <f ca="1"/>
        <v>45442</v>
      </c>
      <c r="B105" vm="303">
        <f ca="1"/>
        <v>92.45</v>
      </c>
      <c r="C105" vm="304">
        <f ca="1"/>
        <v>1929613</v>
      </c>
      <c r="D105">
        <f t="shared" ca="1" si="3"/>
        <v>178392721.84999999</v>
      </c>
      <c r="E105">
        <f ca="1">SUM($D$2:D105)/SUM($C$2:C105)</f>
        <v>91.278004039272346</v>
      </c>
      <c r="F105">
        <f ca="1">_xlfn.STDEV.P($B$2:B105)</f>
        <v>3.0518857648220825</v>
      </c>
      <c r="G105">
        <f t="shared" ca="1" si="4"/>
        <v>94.329889804094435</v>
      </c>
      <c r="H105">
        <f t="shared" ca="1" si="5"/>
        <v>88.226118274450258</v>
      </c>
    </row>
    <row r="106" spans="1:8" x14ac:dyDescent="0.25">
      <c r="A106" vm="305">
        <f ca="1"/>
        <v>45443</v>
      </c>
      <c r="B106" vm="306">
        <f ca="1"/>
        <v>94.55</v>
      </c>
      <c r="C106" vm="307">
        <f ca="1"/>
        <v>7907625</v>
      </c>
      <c r="D106">
        <f t="shared" ca="1" si="3"/>
        <v>747665943.75</v>
      </c>
      <c r="E106">
        <f ca="1">SUM($D$2:D106)/SUM($C$2:C106)</f>
        <v>91.403684515288333</v>
      </c>
      <c r="F106">
        <f ca="1">_xlfn.STDEV.P($B$2:B106)</f>
        <v>3.0546965497963736</v>
      </c>
      <c r="G106">
        <f t="shared" ca="1" si="4"/>
        <v>94.458381065084708</v>
      </c>
      <c r="H106">
        <f t="shared" ca="1" si="5"/>
        <v>88.348987965491958</v>
      </c>
    </row>
    <row r="107" spans="1:8" x14ac:dyDescent="0.25">
      <c r="A107" vm="308">
        <f ca="1"/>
        <v>45446</v>
      </c>
      <c r="B107" vm="309">
        <f ca="1"/>
        <v>93.68</v>
      </c>
      <c r="C107" vm="310">
        <f ca="1"/>
        <v>2211836</v>
      </c>
      <c r="D107">
        <f t="shared" ca="1" si="3"/>
        <v>207204796.48000002</v>
      </c>
      <c r="E107">
        <f ca="1">SUM($D$2:D107)/SUM($C$2:C107)</f>
        <v>91.42788105365446</v>
      </c>
      <c r="F107">
        <f ca="1">_xlfn.STDEV.P($B$2:B107)</f>
        <v>3.049451000785941</v>
      </c>
      <c r="G107">
        <f t="shared" ca="1" si="4"/>
        <v>94.477332054440396</v>
      </c>
      <c r="H107">
        <f t="shared" ca="1" si="5"/>
        <v>88.378430052868524</v>
      </c>
    </row>
    <row r="108" spans="1:8" x14ac:dyDescent="0.25">
      <c r="A108" vm="311">
        <f ca="1"/>
        <v>45447</v>
      </c>
      <c r="B108" vm="312">
        <f ca="1"/>
        <v>93.72</v>
      </c>
      <c r="C108" vm="313">
        <f ca="1"/>
        <v>3445948</v>
      </c>
      <c r="D108">
        <f t="shared" ca="1" si="3"/>
        <v>322954246.56</v>
      </c>
      <c r="E108">
        <f ca="1">SUM($D$2:D108)/SUM($C$2:C108)</f>
        <v>91.465221581487612</v>
      </c>
      <c r="F108">
        <f ca="1">_xlfn.STDEV.P($B$2:B108)</f>
        <v>3.0444218143633623</v>
      </c>
      <c r="G108">
        <f t="shared" ca="1" si="4"/>
        <v>94.509643395850972</v>
      </c>
      <c r="H108">
        <f t="shared" ca="1" si="5"/>
        <v>88.420799767124251</v>
      </c>
    </row>
    <row r="109" spans="1:8" x14ac:dyDescent="0.25">
      <c r="A109" vm="314">
        <f ca="1"/>
        <v>45448</v>
      </c>
      <c r="B109" vm="315">
        <f ca="1"/>
        <v>92.6</v>
      </c>
      <c r="C109" vm="316">
        <f ca="1"/>
        <v>2129688</v>
      </c>
      <c r="D109">
        <f t="shared" ca="1" si="3"/>
        <v>197209108.79999998</v>
      </c>
      <c r="E109">
        <f ca="1">SUM($D$2:D109)/SUM($C$2:C109)</f>
        <v>91.476532840515532</v>
      </c>
      <c r="F109">
        <f ca="1">_xlfn.STDEV.P($B$2:B109)</f>
        <v>3.0329389186439228</v>
      </c>
      <c r="G109">
        <f t="shared" ca="1" si="4"/>
        <v>94.509471759159453</v>
      </c>
      <c r="H109">
        <f t="shared" ca="1" si="5"/>
        <v>88.44359392187161</v>
      </c>
    </row>
    <row r="110" spans="1:8" x14ac:dyDescent="0.25">
      <c r="A110" vm="317">
        <f ca="1"/>
        <v>45449</v>
      </c>
      <c r="B110" vm="318">
        <f ca="1"/>
        <v>91.89</v>
      </c>
      <c r="C110" vm="319">
        <f ca="1"/>
        <v>1416883</v>
      </c>
      <c r="D110">
        <f t="shared" ca="1" si="3"/>
        <v>130197378.87</v>
      </c>
      <c r="E110">
        <f ca="1">SUM($D$2:D110)/SUM($C$2:C110)</f>
        <v>91.479256722891535</v>
      </c>
      <c r="F110">
        <f ca="1">_xlfn.STDEV.P($B$2:B110)</f>
        <v>3.0195358920899129</v>
      </c>
      <c r="G110">
        <f t="shared" ca="1" si="4"/>
        <v>94.498792614981454</v>
      </c>
      <c r="H110">
        <f t="shared" ca="1" si="5"/>
        <v>88.459720830801615</v>
      </c>
    </row>
    <row r="111" spans="1:8" x14ac:dyDescent="0.25">
      <c r="A111" vm="320">
        <f ca="1"/>
        <v>45450</v>
      </c>
      <c r="B111" vm="321">
        <f ca="1"/>
        <v>91.61</v>
      </c>
      <c r="C111" vm="322">
        <f ca="1"/>
        <v>1312297</v>
      </c>
      <c r="D111">
        <f t="shared" ca="1" si="3"/>
        <v>120219528.17</v>
      </c>
      <c r="E111">
        <f ca="1">SUM($D$2:D111)/SUM($C$2:C111)</f>
        <v>91.48004963124248</v>
      </c>
      <c r="F111">
        <f ca="1">_xlfn.STDEV.P($B$2:B111)</f>
        <v>3.005927428012749</v>
      </c>
      <c r="G111">
        <f t="shared" ca="1" si="4"/>
        <v>94.485977059255234</v>
      </c>
      <c r="H111">
        <f t="shared" ca="1" si="5"/>
        <v>88.474122203229726</v>
      </c>
    </row>
    <row r="112" spans="1:8" x14ac:dyDescent="0.25">
      <c r="A112" vm="323">
        <f ca="1"/>
        <v>45453</v>
      </c>
      <c r="B112" vm="324">
        <f ca="1"/>
        <v>92.32</v>
      </c>
      <c r="C112" vm="325">
        <f ca="1"/>
        <v>1803642</v>
      </c>
      <c r="D112">
        <f t="shared" ca="1" si="3"/>
        <v>166512229.44</v>
      </c>
      <c r="E112">
        <f ca="1">SUM($D$2:D112)/SUM($C$2:C112)</f>
        <v>91.486993003951781</v>
      </c>
      <c r="F112">
        <f ca="1">_xlfn.STDEV.P($B$2:B112)</f>
        <v>2.9939126482544229</v>
      </c>
      <c r="G112">
        <f t="shared" ca="1" si="4"/>
        <v>94.480905652206204</v>
      </c>
      <c r="H112">
        <f t="shared" ca="1" si="5"/>
        <v>88.493080355697359</v>
      </c>
    </row>
    <row r="113" spans="1:8" x14ac:dyDescent="0.25">
      <c r="A113" vm="326">
        <f ca="1"/>
        <v>45454</v>
      </c>
      <c r="B113" vm="327">
        <f ca="1"/>
        <v>91.75</v>
      </c>
      <c r="C113" vm="328">
        <f ca="1"/>
        <v>1315681</v>
      </c>
      <c r="D113">
        <f t="shared" ca="1" si="3"/>
        <v>120713731.75</v>
      </c>
      <c r="E113">
        <f ca="1">SUM($D$2:D113)/SUM($C$2:C113)</f>
        <v>91.48856942958021</v>
      </c>
      <c r="F113">
        <f ca="1">_xlfn.STDEV.P($B$2:B113)</f>
        <v>2.9808073236459829</v>
      </c>
      <c r="G113">
        <f t="shared" ca="1" si="4"/>
        <v>94.469376753226186</v>
      </c>
      <c r="H113">
        <f t="shared" ca="1" si="5"/>
        <v>88.507762105934233</v>
      </c>
    </row>
    <row r="114" spans="1:8" x14ac:dyDescent="0.25">
      <c r="A114" vm="329">
        <f ca="1"/>
        <v>45455</v>
      </c>
      <c r="B114" vm="330">
        <f ca="1"/>
        <v>91.14</v>
      </c>
      <c r="C114" vm="331">
        <f ca="1"/>
        <v>1333420</v>
      </c>
      <c r="D114">
        <f t="shared" ca="1" si="3"/>
        <v>121527898.8</v>
      </c>
      <c r="E114">
        <f ca="1">SUM($D$2:D114)/SUM($C$2:C114)</f>
        <v>91.486464771120907</v>
      </c>
      <c r="F114">
        <f ca="1">_xlfn.STDEV.P($B$2:B114)</f>
        <v>2.967632166667348</v>
      </c>
      <c r="G114">
        <f t="shared" ca="1" si="4"/>
        <v>94.45409693778825</v>
      </c>
      <c r="H114">
        <f t="shared" ca="1" si="5"/>
        <v>88.518832604453564</v>
      </c>
    </row>
    <row r="115" spans="1:8" x14ac:dyDescent="0.25">
      <c r="A115" vm="332">
        <f ca="1"/>
        <v>45456</v>
      </c>
      <c r="B115" vm="333">
        <f ca="1"/>
        <v>90.61</v>
      </c>
      <c r="C115" vm="334">
        <f ca="1"/>
        <v>1598015</v>
      </c>
      <c r="D115">
        <f t="shared" ca="1" si="3"/>
        <v>144796139.15000001</v>
      </c>
      <c r="E115">
        <f ca="1">SUM($D$2:D115)/SUM($C$2:C115)</f>
        <v>91.480168123491111</v>
      </c>
      <c r="F115">
        <f ca="1">_xlfn.STDEV.P($B$2:B115)</f>
        <v>2.9553088476052323</v>
      </c>
      <c r="G115">
        <f t="shared" ca="1" si="4"/>
        <v>94.43547697109635</v>
      </c>
      <c r="H115">
        <f t="shared" ca="1" si="5"/>
        <v>88.524859275885873</v>
      </c>
    </row>
    <row r="116" spans="1:8" x14ac:dyDescent="0.25">
      <c r="A116" vm="335">
        <f ca="1"/>
        <v>45457</v>
      </c>
      <c r="B116" vm="336">
        <f ca="1"/>
        <v>90.87</v>
      </c>
      <c r="C116" vm="337">
        <f ca="1"/>
        <v>1258477</v>
      </c>
      <c r="D116">
        <f t="shared" ca="1" si="3"/>
        <v>114357804.99000001</v>
      </c>
      <c r="E116">
        <f ca="1">SUM($D$2:D116)/SUM($C$2:C116)</f>
        <v>91.476735401026943</v>
      </c>
      <c r="F116">
        <f ca="1">_xlfn.STDEV.P($B$2:B116)</f>
        <v>2.9427075556422566</v>
      </c>
      <c r="G116">
        <f t="shared" ca="1" si="4"/>
        <v>94.419442956669201</v>
      </c>
      <c r="H116">
        <f t="shared" ca="1" si="5"/>
        <v>88.534027845384685</v>
      </c>
    </row>
    <row r="117" spans="1:8" x14ac:dyDescent="0.25">
      <c r="A117" vm="338">
        <f ca="1"/>
        <v>45460</v>
      </c>
      <c r="B117" vm="339">
        <f ca="1"/>
        <v>90.65</v>
      </c>
      <c r="C117" vm="340">
        <f ca="1"/>
        <v>1401222</v>
      </c>
      <c r="D117">
        <f t="shared" ca="1" si="3"/>
        <v>127020774.30000001</v>
      </c>
      <c r="E117">
        <f ca="1">SUM($D$2:D117)/SUM($C$2:C117)</f>
        <v>91.471588978422901</v>
      </c>
      <c r="F117">
        <f ca="1">_xlfn.STDEV.P($B$2:B117)</f>
        <v>2.9306126319142414</v>
      </c>
      <c r="G117">
        <f t="shared" ca="1" si="4"/>
        <v>94.402201610337144</v>
      </c>
      <c r="H117">
        <f t="shared" ca="1" si="5"/>
        <v>88.540976346508657</v>
      </c>
    </row>
    <row r="118" spans="1:8" x14ac:dyDescent="0.25">
      <c r="A118" vm="341">
        <f ca="1"/>
        <v>45461</v>
      </c>
      <c r="B118" vm="342">
        <f ca="1"/>
        <v>90.39</v>
      </c>
      <c r="C118" vm="343">
        <f ca="1"/>
        <v>1336404</v>
      </c>
      <c r="D118">
        <f t="shared" ca="1" si="3"/>
        <v>120797557.56</v>
      </c>
      <c r="E118">
        <f ca="1">SUM($D$2:D118)/SUM($C$2:C118)</f>
        <v>91.465205444281182</v>
      </c>
      <c r="F118">
        <f ca="1">_xlfn.STDEV.P($B$2:B118)</f>
        <v>2.9192498338397552</v>
      </c>
      <c r="G118">
        <f t="shared" ca="1" si="4"/>
        <v>94.384455278120939</v>
      </c>
      <c r="H118">
        <f t="shared" ca="1" si="5"/>
        <v>88.545955610441425</v>
      </c>
    </row>
    <row r="119" spans="1:8" x14ac:dyDescent="0.25">
      <c r="A119" vm="344">
        <f ca="1"/>
        <v>45463</v>
      </c>
      <c r="B119" vm="345">
        <f ca="1"/>
        <v>90.53</v>
      </c>
      <c r="C119" vm="346">
        <f ca="1"/>
        <v>1383835</v>
      </c>
      <c r="D119">
        <f t="shared" ca="1" si="3"/>
        <v>125278582.55</v>
      </c>
      <c r="E119">
        <f ca="1">SUM($D$2:D119)/SUM($C$2:C119)</f>
        <v>91.45952468477762</v>
      </c>
      <c r="F119">
        <f ca="1">_xlfn.STDEV.P($B$2:B119)</f>
        <v>2.9076817743308228</v>
      </c>
      <c r="G119">
        <f t="shared" ca="1" si="4"/>
        <v>94.367206459108445</v>
      </c>
      <c r="H119">
        <f t="shared" ca="1" si="5"/>
        <v>88.551842910446794</v>
      </c>
    </row>
    <row r="120" spans="1:8" x14ac:dyDescent="0.25">
      <c r="A120" vm="347">
        <f ca="1"/>
        <v>45464</v>
      </c>
      <c r="B120" vm="348">
        <f ca="1"/>
        <v>90.34</v>
      </c>
      <c r="C120" vm="349">
        <f ca="1"/>
        <v>3202328</v>
      </c>
      <c r="D120">
        <f t="shared" ca="1" si="3"/>
        <v>289298311.52000004</v>
      </c>
      <c r="E120">
        <f ca="1">SUM($D$2:D120)/SUM($C$2:C120)</f>
        <v>91.444006091567474</v>
      </c>
      <c r="F120">
        <f ca="1">_xlfn.STDEV.P($B$2:B120)</f>
        <v>2.8967113959169435</v>
      </c>
      <c r="G120">
        <f t="shared" ca="1" si="4"/>
        <v>94.340717487484412</v>
      </c>
      <c r="H120">
        <f t="shared" ca="1" si="5"/>
        <v>88.547294695650535</v>
      </c>
    </row>
    <row r="121" spans="1:8" x14ac:dyDescent="0.25">
      <c r="A121" vm="350">
        <f ca="1"/>
        <v>45467</v>
      </c>
      <c r="B121" vm="351">
        <f ca="1"/>
        <v>91.27</v>
      </c>
      <c r="C121" vm="352">
        <f ca="1"/>
        <v>1441194</v>
      </c>
      <c r="D121">
        <f t="shared" ca="1" si="3"/>
        <v>131537776.38</v>
      </c>
      <c r="E121">
        <f ca="1">SUM($D$2:D121)/SUM($C$2:C121)</f>
        <v>91.44292729672793</v>
      </c>
      <c r="F121">
        <f ca="1">_xlfn.STDEV.P($B$2:B121)</f>
        <v>2.8846165244370972</v>
      </c>
      <c r="G121">
        <f t="shared" ca="1" si="4"/>
        <v>94.327543821165023</v>
      </c>
      <c r="H121">
        <f t="shared" ca="1" si="5"/>
        <v>88.558310772290838</v>
      </c>
    </row>
    <row r="122" spans="1:8" x14ac:dyDescent="0.25">
      <c r="A122" vm="353">
        <f ca="1"/>
        <v>45468</v>
      </c>
      <c r="B122" vm="354">
        <f ca="1"/>
        <v>89.39</v>
      </c>
      <c r="C122" vm="355">
        <f ca="1"/>
        <v>1531285</v>
      </c>
      <c r="D122">
        <f t="shared" ca="1" si="3"/>
        <v>136881566.15000001</v>
      </c>
      <c r="E122">
        <f ca="1">SUM($D$2:D122)/SUM($C$2:C122)</f>
        <v>91.429492530615931</v>
      </c>
      <c r="F122">
        <f ca="1">_xlfn.STDEV.P($B$2:B122)</f>
        <v>2.877723401335142</v>
      </c>
      <c r="G122">
        <f t="shared" ca="1" si="4"/>
        <v>94.307215931951077</v>
      </c>
      <c r="H122">
        <f t="shared" ca="1" si="5"/>
        <v>88.551769129280785</v>
      </c>
    </row>
    <row r="123" spans="1:8" x14ac:dyDescent="0.25">
      <c r="A123" vm="356">
        <f ca="1"/>
        <v>45469</v>
      </c>
      <c r="B123" vm="50">
        <f ca="1"/>
        <v>89.67</v>
      </c>
      <c r="C123" vm="357">
        <f ca="1"/>
        <v>1838729</v>
      </c>
      <c r="D123">
        <f t="shared" ca="1" si="3"/>
        <v>164878829.43000001</v>
      </c>
      <c r="E123">
        <f ca="1">SUM($D$2:D123)/SUM($C$2:C123)</f>
        <v>91.415774041917686</v>
      </c>
      <c r="F123">
        <f ca="1">_xlfn.STDEV.P($B$2:B123)</f>
        <v>2.8694752075848942</v>
      </c>
      <c r="G123">
        <f t="shared" ca="1" si="4"/>
        <v>94.285249249502584</v>
      </c>
      <c r="H123">
        <f t="shared" ca="1" si="5"/>
        <v>88.546298834332788</v>
      </c>
    </row>
    <row r="124" spans="1:8" x14ac:dyDescent="0.25">
      <c r="A124" vm="358">
        <f ca="1"/>
        <v>45470</v>
      </c>
      <c r="B124" vm="359">
        <f ca="1"/>
        <v>89.68</v>
      </c>
      <c r="C124" vm="360">
        <f ca="1"/>
        <v>1258140</v>
      </c>
      <c r="D124">
        <f t="shared" ca="1" si="3"/>
        <v>112829995.2</v>
      </c>
      <c r="E124">
        <f ca="1">SUM($D$2:D124)/SUM($C$2:C124)</f>
        <v>91.406562920723218</v>
      </c>
      <c r="F124">
        <f ca="1">_xlfn.STDEV.P($B$2:B124)</f>
        <v>2.8612360054034736</v>
      </c>
      <c r="G124">
        <f t="shared" ca="1" si="4"/>
        <v>94.267798926126687</v>
      </c>
      <c r="H124">
        <f t="shared" ca="1" si="5"/>
        <v>88.545326915319748</v>
      </c>
    </row>
    <row r="125" spans="1:8" x14ac:dyDescent="0.25">
      <c r="A125" vm="361">
        <f ca="1"/>
        <v>45471</v>
      </c>
      <c r="B125" vm="362">
        <f ca="1"/>
        <v>89.42</v>
      </c>
      <c r="C125" vm="363">
        <f ca="1"/>
        <v>2647348</v>
      </c>
      <c r="D125">
        <f t="shared" ca="1" si="3"/>
        <v>236725858.16</v>
      </c>
      <c r="E125">
        <f ca="1">SUM($D$2:D125)/SUM($C$2:C125)</f>
        <v>91.384625720623177</v>
      </c>
      <c r="F125">
        <f ca="1">_xlfn.STDEV.P($B$2:B125)</f>
        <v>2.8542765655309266</v>
      </c>
      <c r="G125">
        <f t="shared" ca="1" si="4"/>
        <v>94.238902286154101</v>
      </c>
      <c r="H125">
        <f t="shared" ca="1" si="5"/>
        <v>88.530349155092253</v>
      </c>
    </row>
    <row r="126" spans="1:8" x14ac:dyDescent="0.25">
      <c r="A126" vm="364">
        <f ca="1"/>
        <v>45474</v>
      </c>
      <c r="B126" vm="365">
        <f ca="1"/>
        <v>88.81</v>
      </c>
      <c r="C126" vm="366">
        <f ca="1"/>
        <v>1145188</v>
      </c>
      <c r="D126">
        <f t="shared" ca="1" si="3"/>
        <v>101704146.28</v>
      </c>
      <c r="E126">
        <f ca="1">SUM($D$2:D126)/SUM($C$2:C126)</f>
        <v>91.372385504253103</v>
      </c>
      <c r="F126">
        <f ca="1">_xlfn.STDEV.P($B$2:B126)</f>
        <v>2.8509097225973328</v>
      </c>
      <c r="G126">
        <f t="shared" ca="1" si="4"/>
        <v>94.223295226850439</v>
      </c>
      <c r="H126">
        <f t="shared" ca="1" si="5"/>
        <v>88.521475781655766</v>
      </c>
    </row>
    <row r="127" spans="1:8" x14ac:dyDescent="0.25">
      <c r="A127" vm="367">
        <f ca="1"/>
        <v>45475</v>
      </c>
      <c r="B127" vm="368">
        <f ca="1"/>
        <v>88.97</v>
      </c>
      <c r="C127" vm="369">
        <f ca="1"/>
        <v>1128198</v>
      </c>
      <c r="D127">
        <f t="shared" ca="1" si="3"/>
        <v>100375776.06</v>
      </c>
      <c r="E127">
        <f ca="1">SUM($D$2:D127)/SUM($C$2:C127)</f>
        <v>91.361186049061743</v>
      </c>
      <c r="F127">
        <f ca="1">_xlfn.STDEV.P($B$2:B127)</f>
        <v>2.8464443049892783</v>
      </c>
      <c r="G127">
        <f t="shared" ca="1" si="4"/>
        <v>94.20763035405102</v>
      </c>
      <c r="H127">
        <f t="shared" ca="1" si="5"/>
        <v>88.514741744072467</v>
      </c>
    </row>
    <row r="128" spans="1:8" x14ac:dyDescent="0.25">
      <c r="A128" vm="370">
        <f ca="1"/>
        <v>45476</v>
      </c>
      <c r="B128" vm="371">
        <f ca="1"/>
        <v>88.71</v>
      </c>
      <c r="C128" vm="372">
        <f ca="1"/>
        <v>922354</v>
      </c>
      <c r="D128">
        <f t="shared" ca="1" si="3"/>
        <v>81822023.339999989</v>
      </c>
      <c r="E128">
        <f ca="1">SUM($D$2:D128)/SUM($C$2:C128)</f>
        <v>91.351120101619614</v>
      </c>
      <c r="F128">
        <f ca="1">_xlfn.STDEV.P($B$2:B128)</f>
        <v>2.8436067086357464</v>
      </c>
      <c r="G128">
        <f t="shared" ca="1" si="4"/>
        <v>94.194726810255361</v>
      </c>
      <c r="H128">
        <f t="shared" ca="1" si="5"/>
        <v>88.507513392983867</v>
      </c>
    </row>
    <row r="129" spans="1:8" x14ac:dyDescent="0.25">
      <c r="A129" vm="373">
        <f ca="1"/>
        <v>45478</v>
      </c>
      <c r="B129" vm="374">
        <f ca="1"/>
        <v>89.27</v>
      </c>
      <c r="C129" vm="375">
        <f ca="1"/>
        <v>1551140</v>
      </c>
      <c r="D129">
        <f t="shared" ca="1" si="3"/>
        <v>138470267.79999998</v>
      </c>
      <c r="E129">
        <f ca="1">SUM($D$2:D129)/SUM($C$2:C129)</f>
        <v>91.3379162462153</v>
      </c>
      <c r="F129">
        <f ca="1">_xlfn.STDEV.P($B$2:B129)</f>
        <v>2.8373622787595756</v>
      </c>
      <c r="G129">
        <f t="shared" ca="1" si="4"/>
        <v>94.175278524974871</v>
      </c>
      <c r="H129">
        <f t="shared" ca="1" si="5"/>
        <v>88.50055396745573</v>
      </c>
    </row>
    <row r="130" spans="1:8" x14ac:dyDescent="0.25">
      <c r="A130" vm="376">
        <f ca="1"/>
        <v>45481</v>
      </c>
      <c r="B130" vm="377">
        <f ca="1"/>
        <v>88.42</v>
      </c>
      <c r="C130" vm="378">
        <f ca="1"/>
        <v>1169376</v>
      </c>
      <c r="D130">
        <f t="shared" ca="1" si="3"/>
        <v>103396225.92</v>
      </c>
      <c r="E130">
        <f ca="1">SUM($D$2:D130)/SUM($C$2:C130)</f>
        <v>91.324026084326846</v>
      </c>
      <c r="F130">
        <f ca="1">_xlfn.STDEV.P($B$2:B130)</f>
        <v>2.8364337547217962</v>
      </c>
      <c r="G130">
        <f t="shared" ca="1" si="4"/>
        <v>94.160459839048642</v>
      </c>
      <c r="H130">
        <f t="shared" ca="1" si="5"/>
        <v>88.48759232960505</v>
      </c>
    </row>
    <row r="131" spans="1:8" x14ac:dyDescent="0.25">
      <c r="A131" vm="379">
        <f ca="1"/>
        <v>45482</v>
      </c>
      <c r="B131" vm="380">
        <f ca="1"/>
        <v>88.85</v>
      </c>
      <c r="C131" vm="381">
        <f ca="1"/>
        <v>1589236</v>
      </c>
      <c r="D131">
        <f t="shared" ref="D131:D194" ca="1" si="6">B131*C131</f>
        <v>141203618.59999999</v>
      </c>
      <c r="E131">
        <f ca="1">SUM($D$2:D131)/SUM($C$2:C131)</f>
        <v>91.308123329187694</v>
      </c>
      <c r="F131">
        <f ca="1">_xlfn.STDEV.P($B$2:B131)</f>
        <v>2.8324821531527777</v>
      </c>
      <c r="G131">
        <f t="shared" ref="G131:G194" ca="1" si="7">E131 + F131</f>
        <v>94.140605482340476</v>
      </c>
      <c r="H131">
        <f t="shared" ref="H131:H194" ca="1" si="8">E131 - F131</f>
        <v>88.475641176034912</v>
      </c>
    </row>
    <row r="132" spans="1:8" x14ac:dyDescent="0.25">
      <c r="A132" vm="382">
        <f ca="1"/>
        <v>45483</v>
      </c>
      <c r="B132" vm="383">
        <f ca="1"/>
        <v>89.87</v>
      </c>
      <c r="C132" vm="384">
        <f ca="1"/>
        <v>1188425</v>
      </c>
      <c r="D132">
        <f t="shared" ca="1" si="6"/>
        <v>106803754.75</v>
      </c>
      <c r="E132">
        <f ca="1">SUM($D$2:D132)/SUM($C$2:C132)</f>
        <v>91.301243699364747</v>
      </c>
      <c r="F132">
        <f ca="1">_xlfn.STDEV.P($B$2:B132)</f>
        <v>2.8237034702326205</v>
      </c>
      <c r="G132">
        <f t="shared" ca="1" si="7"/>
        <v>94.124947169597363</v>
      </c>
      <c r="H132">
        <f t="shared" ca="1" si="8"/>
        <v>88.477540229132131</v>
      </c>
    </row>
    <row r="133" spans="1:8" x14ac:dyDescent="0.25">
      <c r="A133" vm="385">
        <f ca="1"/>
        <v>45484</v>
      </c>
      <c r="B133" vm="386">
        <f ca="1"/>
        <v>91.46</v>
      </c>
      <c r="C133" vm="387">
        <f ca="1"/>
        <v>1345746</v>
      </c>
      <c r="D133">
        <f t="shared" ca="1" si="6"/>
        <v>123081929.16</v>
      </c>
      <c r="E133">
        <f ca="1">SUM($D$2:D133)/SUM($C$2:C133)</f>
        <v>91.302099051602696</v>
      </c>
      <c r="F133">
        <f ca="1">_xlfn.STDEV.P($B$2:B133)</f>
        <v>2.8131629093260337</v>
      </c>
      <c r="G133">
        <f t="shared" ca="1" si="7"/>
        <v>94.115261960928734</v>
      </c>
      <c r="H133">
        <f t="shared" ca="1" si="8"/>
        <v>88.488936142276657</v>
      </c>
    </row>
    <row r="134" spans="1:8" x14ac:dyDescent="0.25">
      <c r="A134" vm="388">
        <f ca="1"/>
        <v>45485</v>
      </c>
      <c r="B134" vm="389">
        <f ca="1"/>
        <v>92.19</v>
      </c>
      <c r="C134" vm="390">
        <f ca="1"/>
        <v>1222858</v>
      </c>
      <c r="D134">
        <f t="shared" ca="1" si="6"/>
        <v>112735279.02</v>
      </c>
      <c r="E134">
        <f ca="1">SUM($D$2:D134)/SUM($C$2:C134)</f>
        <v>91.306424891380999</v>
      </c>
      <c r="F134">
        <f ca="1">_xlfn.STDEV.P($B$2:B134)</f>
        <v>2.8041477984133194</v>
      </c>
      <c r="G134">
        <f t="shared" ca="1" si="7"/>
        <v>94.110572689794324</v>
      </c>
      <c r="H134">
        <f t="shared" ca="1" si="8"/>
        <v>88.502277092967674</v>
      </c>
    </row>
    <row r="135" spans="1:8" x14ac:dyDescent="0.25">
      <c r="A135" vm="391">
        <f ca="1"/>
        <v>45488</v>
      </c>
      <c r="B135" vm="392">
        <f ca="1"/>
        <v>90.26</v>
      </c>
      <c r="C135" vm="393">
        <f ca="1"/>
        <v>1490241</v>
      </c>
      <c r="D135">
        <f t="shared" ca="1" si="6"/>
        <v>134509152.66</v>
      </c>
      <c r="E135">
        <f ca="1">SUM($D$2:D135)/SUM($C$2:C135)</f>
        <v>91.300248660056994</v>
      </c>
      <c r="F135">
        <f ca="1">_xlfn.STDEV.P($B$2:B135)</f>
        <v>2.7946190498476606</v>
      </c>
      <c r="G135">
        <f t="shared" ca="1" si="7"/>
        <v>94.094867709904648</v>
      </c>
      <c r="H135">
        <f t="shared" ca="1" si="8"/>
        <v>88.50562961020934</v>
      </c>
    </row>
    <row r="136" spans="1:8" x14ac:dyDescent="0.25">
      <c r="A136" vm="394">
        <f ca="1"/>
        <v>45489</v>
      </c>
      <c r="B136" vm="395">
        <f ca="1"/>
        <v>91.55</v>
      </c>
      <c r="C136" vm="396">
        <f ca="1"/>
        <v>1526591</v>
      </c>
      <c r="D136">
        <f t="shared" ca="1" si="6"/>
        <v>139759406.04999998</v>
      </c>
      <c r="E136">
        <f ca="1">SUM($D$2:D136)/SUM($C$2:C136)</f>
        <v>91.301749628594422</v>
      </c>
      <c r="F136">
        <f ca="1">_xlfn.STDEV.P($B$2:B136)</f>
        <v>2.7845142572509878</v>
      </c>
      <c r="G136">
        <f t="shared" ca="1" si="7"/>
        <v>94.086263885845412</v>
      </c>
      <c r="H136">
        <f t="shared" ca="1" si="8"/>
        <v>88.517235371343432</v>
      </c>
    </row>
    <row r="137" spans="1:8" x14ac:dyDescent="0.25">
      <c r="A137" vm="397">
        <f ca="1"/>
        <v>45490</v>
      </c>
      <c r="B137" vm="398">
        <f ca="1"/>
        <v>93.76</v>
      </c>
      <c r="C137" vm="399">
        <f ca="1"/>
        <v>2039333</v>
      </c>
      <c r="D137">
        <f t="shared" ca="1" si="6"/>
        <v>191207862.08000001</v>
      </c>
      <c r="E137">
        <f ca="1">SUM($D$2:D137)/SUM($C$2:C137)</f>
        <v>91.321328270129584</v>
      </c>
      <c r="F137">
        <f ca="1">_xlfn.STDEV.P($B$2:B137)</f>
        <v>2.7835126444211191</v>
      </c>
      <c r="G137">
        <f t="shared" ca="1" si="7"/>
        <v>94.104840914550707</v>
      </c>
      <c r="H137">
        <f t="shared" ca="1" si="8"/>
        <v>88.537815625708461</v>
      </c>
    </row>
    <row r="138" spans="1:8" x14ac:dyDescent="0.25">
      <c r="A138" vm="400">
        <f ca="1"/>
        <v>45491</v>
      </c>
      <c r="B138" vm="233">
        <f ca="1"/>
        <v>94.11</v>
      </c>
      <c r="C138" vm="401">
        <f ca="1"/>
        <v>2135657</v>
      </c>
      <c r="D138">
        <f t="shared" ca="1" si="6"/>
        <v>200986680.27000001</v>
      </c>
      <c r="E138">
        <f ca="1">SUM($D$2:D138)/SUM($C$2:C138)</f>
        <v>91.344395206486539</v>
      </c>
      <c r="F138">
        <f ca="1">_xlfn.STDEV.P($B$2:B138)</f>
        <v>2.7849515084402423</v>
      </c>
      <c r="G138">
        <f t="shared" ca="1" si="7"/>
        <v>94.129346714926783</v>
      </c>
      <c r="H138">
        <f t="shared" ca="1" si="8"/>
        <v>88.559443698046294</v>
      </c>
    </row>
    <row r="139" spans="1:8" x14ac:dyDescent="0.25">
      <c r="A139" vm="402">
        <f ca="1"/>
        <v>45492</v>
      </c>
      <c r="B139" vm="403">
        <f ca="1"/>
        <v>94.04</v>
      </c>
      <c r="C139" vm="404">
        <f ca="1"/>
        <v>1809737</v>
      </c>
      <c r="D139">
        <f t="shared" ca="1" si="6"/>
        <v>170187667.48000002</v>
      </c>
      <c r="E139">
        <f ca="1">SUM($D$2:D139)/SUM($C$2:C139)</f>
        <v>91.363158073967995</v>
      </c>
      <c r="F139">
        <f ca="1">_xlfn.STDEV.P($B$2:B139)</f>
        <v>2.7856727883669201</v>
      </c>
      <c r="G139">
        <f t="shared" ca="1" si="7"/>
        <v>94.148830862334918</v>
      </c>
      <c r="H139">
        <f t="shared" ca="1" si="8"/>
        <v>88.577485285601071</v>
      </c>
    </row>
    <row r="140" spans="1:8" x14ac:dyDescent="0.25">
      <c r="A140" vm="405">
        <f ca="1"/>
        <v>45495</v>
      </c>
      <c r="B140" vm="406">
        <f ca="1"/>
        <v>94.64</v>
      </c>
      <c r="C140" vm="407">
        <f ca="1"/>
        <v>1547938</v>
      </c>
      <c r="D140">
        <f t="shared" ca="1" si="6"/>
        <v>146496852.31999999</v>
      </c>
      <c r="E140">
        <f ca="1">SUM($D$2:D140)/SUM($C$2:C140)</f>
        <v>91.382551682340306</v>
      </c>
      <c r="F140">
        <f ca="1">_xlfn.STDEV.P($B$2:B140)</f>
        <v>2.7911042077676149</v>
      </c>
      <c r="G140">
        <f t="shared" ca="1" si="7"/>
        <v>94.173655890107923</v>
      </c>
      <c r="H140">
        <f t="shared" ca="1" si="8"/>
        <v>88.591447474572689</v>
      </c>
    </row>
    <row r="141" spans="1:8" x14ac:dyDescent="0.25">
      <c r="A141" vm="408">
        <f ca="1"/>
        <v>45496</v>
      </c>
      <c r="B141" vm="8">
        <f ca="1"/>
        <v>93.25</v>
      </c>
      <c r="C141" vm="409">
        <f ca="1"/>
        <v>1245714</v>
      </c>
      <c r="D141">
        <f t="shared" ca="1" si="6"/>
        <v>116162830.5</v>
      </c>
      <c r="E141">
        <f ca="1">SUM($D$2:D141)/SUM($C$2:C141)</f>
        <v>91.391403917261499</v>
      </c>
      <c r="F141">
        <f ca="1">_xlfn.STDEV.P($B$2:B141)</f>
        <v>2.7865094936431256</v>
      </c>
      <c r="G141">
        <f t="shared" ca="1" si="7"/>
        <v>94.177913410904623</v>
      </c>
      <c r="H141">
        <f t="shared" ca="1" si="8"/>
        <v>88.604894423618376</v>
      </c>
    </row>
    <row r="142" spans="1:8" x14ac:dyDescent="0.25">
      <c r="A142" vm="410">
        <f ca="1"/>
        <v>45497</v>
      </c>
      <c r="B142" vm="411">
        <f ca="1"/>
        <v>95.88</v>
      </c>
      <c r="C142" vm="412">
        <f ca="1"/>
        <v>2179846</v>
      </c>
      <c r="D142">
        <f t="shared" ca="1" si="6"/>
        <v>209003634.47999999</v>
      </c>
      <c r="E142">
        <f ca="1">SUM($D$2:D142)/SUM($C$2:C142)</f>
        <v>91.428330129138658</v>
      </c>
      <c r="F142">
        <f ca="1">_xlfn.STDEV.P($B$2:B142)</f>
        <v>2.8041606185827019</v>
      </c>
      <c r="G142">
        <f t="shared" ca="1" si="7"/>
        <v>94.232490747721357</v>
      </c>
      <c r="H142">
        <f t="shared" ca="1" si="8"/>
        <v>88.624169510555959</v>
      </c>
    </row>
    <row r="143" spans="1:8" x14ac:dyDescent="0.25">
      <c r="A143" vm="413">
        <f ca="1"/>
        <v>45498</v>
      </c>
      <c r="B143" vm="414">
        <f ca="1"/>
        <v>95.92</v>
      </c>
      <c r="C143" vm="415">
        <f ca="1"/>
        <v>1920793</v>
      </c>
      <c r="D143">
        <f t="shared" ca="1" si="6"/>
        <v>184242464.56</v>
      </c>
      <c r="E143">
        <f ca="1">SUM($D$2:D143)/SUM($C$2:C143)</f>
        <v>91.460655979648081</v>
      </c>
      <c r="F143">
        <f ca="1">_xlfn.STDEV.P($B$2:B143)</f>
        <v>2.8215359032278382</v>
      </c>
      <c r="G143">
        <f t="shared" ca="1" si="7"/>
        <v>94.282191882875921</v>
      </c>
      <c r="H143">
        <f t="shared" ca="1" si="8"/>
        <v>88.639120076420241</v>
      </c>
    </row>
    <row r="144" spans="1:8" x14ac:dyDescent="0.25">
      <c r="A144" vm="416">
        <f ca="1"/>
        <v>45499</v>
      </c>
      <c r="B144" vm="417">
        <f ca="1"/>
        <v>96.44</v>
      </c>
      <c r="C144" vm="418">
        <f ca="1"/>
        <v>1438755</v>
      </c>
      <c r="D144">
        <f t="shared" ca="1" si="6"/>
        <v>138753532.19999999</v>
      </c>
      <c r="E144">
        <f ca="1">SUM($D$2:D144)/SUM($C$2:C144)</f>
        <v>91.487354406010667</v>
      </c>
      <c r="F144">
        <f ca="1">_xlfn.STDEV.P($B$2:B144)</f>
        <v>2.8444250157292101</v>
      </c>
      <c r="G144">
        <f t="shared" ca="1" si="7"/>
        <v>94.331779421739881</v>
      </c>
      <c r="H144">
        <f t="shared" ca="1" si="8"/>
        <v>88.642929390281452</v>
      </c>
    </row>
    <row r="145" spans="1:8" x14ac:dyDescent="0.25">
      <c r="A145" vm="419">
        <f ca="1"/>
        <v>45502</v>
      </c>
      <c r="B145" vm="420">
        <f ca="1"/>
        <v>96.87</v>
      </c>
      <c r="C145" vm="421">
        <f ca="1"/>
        <v>1320213</v>
      </c>
      <c r="D145">
        <f t="shared" ca="1" si="6"/>
        <v>127889033.31</v>
      </c>
      <c r="E145">
        <f ca="1">SUM($D$2:D145)/SUM($C$2:C145)</f>
        <v>91.51370770319204</v>
      </c>
      <c r="F145">
        <f ca="1">_xlfn.STDEV.P($B$2:B145)</f>
        <v>2.871896066668659</v>
      </c>
      <c r="G145">
        <f t="shared" ca="1" si="7"/>
        <v>94.385603769860694</v>
      </c>
      <c r="H145">
        <f t="shared" ca="1" si="8"/>
        <v>88.641811636523386</v>
      </c>
    </row>
    <row r="146" spans="1:8" x14ac:dyDescent="0.25">
      <c r="A146" vm="422">
        <f ca="1"/>
        <v>45503</v>
      </c>
      <c r="B146" vm="423">
        <f ca="1"/>
        <v>98.16</v>
      </c>
      <c r="C146" vm="424">
        <f ca="1"/>
        <v>1127031</v>
      </c>
      <c r="D146">
        <f t="shared" ca="1" si="6"/>
        <v>110629362.95999999</v>
      </c>
      <c r="E146">
        <f ca="1">SUM($D$2:D146)/SUM($C$2:C146)</f>
        <v>91.541370691223065</v>
      </c>
      <c r="F146">
        <f ca="1">_xlfn.STDEV.P($B$2:B146)</f>
        <v>2.916968219052642</v>
      </c>
      <c r="G146">
        <f t="shared" ca="1" si="7"/>
        <v>94.458338910275714</v>
      </c>
      <c r="H146">
        <f t="shared" ca="1" si="8"/>
        <v>88.624402472170416</v>
      </c>
    </row>
    <row r="147" spans="1:8" x14ac:dyDescent="0.25">
      <c r="A147" vm="425">
        <f ca="1"/>
        <v>45504</v>
      </c>
      <c r="B147" vm="426">
        <f ca="1"/>
        <v>97.52</v>
      </c>
      <c r="C147" vm="427">
        <f ca="1"/>
        <v>1623371</v>
      </c>
      <c r="D147">
        <f t="shared" ca="1" si="6"/>
        <v>158311139.91999999</v>
      </c>
      <c r="E147">
        <f ca="1">SUM($D$2:D147)/SUM($C$2:C147)</f>
        <v>91.576999992378973</v>
      </c>
      <c r="F147">
        <f ca="1">_xlfn.STDEV.P($B$2:B147)</f>
        <v>2.9505265280995743</v>
      </c>
      <c r="G147">
        <f t="shared" ca="1" si="7"/>
        <v>94.527526520478546</v>
      </c>
      <c r="H147">
        <f t="shared" ca="1" si="8"/>
        <v>88.6264734642794</v>
      </c>
    </row>
    <row r="148" spans="1:8" x14ac:dyDescent="0.25">
      <c r="A148" vm="428">
        <f ca="1"/>
        <v>45505</v>
      </c>
      <c r="B148" vm="429">
        <f ca="1"/>
        <v>100.21</v>
      </c>
      <c r="C148" vm="430">
        <f ca="1"/>
        <v>2409332</v>
      </c>
      <c r="D148">
        <f t="shared" ca="1" si="6"/>
        <v>241439159.72</v>
      </c>
      <c r="E148">
        <f ca="1">SUM($D$2:D148)/SUM($C$2:C148)</f>
        <v>91.652687107939485</v>
      </c>
      <c r="F148">
        <f ca="1">_xlfn.STDEV.P($B$2:B148)</f>
        <v>3.0276036158913837</v>
      </c>
      <c r="G148">
        <f t="shared" ca="1" si="7"/>
        <v>94.680290723830865</v>
      </c>
      <c r="H148">
        <f t="shared" ca="1" si="8"/>
        <v>88.625083492048105</v>
      </c>
    </row>
    <row r="149" spans="1:8" x14ac:dyDescent="0.25">
      <c r="A149" vm="431">
        <f ca="1"/>
        <v>45506</v>
      </c>
      <c r="B149" vm="432">
        <f ca="1"/>
        <v>101.83</v>
      </c>
      <c r="C149" vm="433">
        <f ca="1"/>
        <v>4425804</v>
      </c>
      <c r="D149">
        <f t="shared" ca="1" si="6"/>
        <v>450679621.31999999</v>
      </c>
      <c r="E149">
        <f ca="1">SUM($D$2:D149)/SUM($C$2:C149)</f>
        <v>91.813993047349982</v>
      </c>
      <c r="F149">
        <f ca="1">_xlfn.STDEV.P($B$2:B149)</f>
        <v>3.1338516915127581</v>
      </c>
      <c r="G149">
        <f t="shared" ca="1" si="7"/>
        <v>94.947844738862742</v>
      </c>
      <c r="H149">
        <f t="shared" ca="1" si="8"/>
        <v>88.680141355837222</v>
      </c>
    </row>
    <row r="150" spans="1:8" x14ac:dyDescent="0.25">
      <c r="A150" vm="434">
        <f ca="1"/>
        <v>45509</v>
      </c>
      <c r="B150" vm="435">
        <f ca="1"/>
        <v>100.7</v>
      </c>
      <c r="C150" vm="436">
        <f ca="1"/>
        <v>2846485</v>
      </c>
      <c r="D150">
        <f t="shared" ca="1" si="6"/>
        <v>286641039.5</v>
      </c>
      <c r="E150">
        <f ca="1">SUM($D$2:D150)/SUM($C$2:C150)</f>
        <v>91.903660725923899</v>
      </c>
      <c r="F150">
        <f ca="1">_xlfn.STDEV.P($B$2:B150)</f>
        <v>3.2111076671282213</v>
      </c>
      <c r="G150">
        <f t="shared" ca="1" si="7"/>
        <v>95.114768393052117</v>
      </c>
      <c r="H150">
        <f t="shared" ca="1" si="8"/>
        <v>88.692553058795681</v>
      </c>
    </row>
    <row r="151" spans="1:8" x14ac:dyDescent="0.25">
      <c r="A151" vm="437">
        <f ca="1"/>
        <v>45510</v>
      </c>
      <c r="B151" vm="438">
        <f ca="1"/>
        <v>100.89</v>
      </c>
      <c r="C151" vm="439">
        <f ca="1"/>
        <v>1956382</v>
      </c>
      <c r="D151">
        <f t="shared" ca="1" si="6"/>
        <v>197379379.97999999</v>
      </c>
      <c r="E151">
        <f ca="1">SUM($D$2:D151)/SUM($C$2:C151)</f>
        <v>91.965555676563085</v>
      </c>
      <c r="F151">
        <f ca="1">_xlfn.STDEV.P($B$2:B151)</f>
        <v>3.2879425008489567</v>
      </c>
      <c r="G151">
        <f t="shared" ca="1" si="7"/>
        <v>95.253498177412041</v>
      </c>
      <c r="H151">
        <f t="shared" ca="1" si="8"/>
        <v>88.677613175714129</v>
      </c>
    </row>
    <row r="152" spans="1:8" x14ac:dyDescent="0.25">
      <c r="A152" vm="440">
        <f ca="1"/>
        <v>45511</v>
      </c>
      <c r="B152" vm="441">
        <f ca="1"/>
        <v>101.19</v>
      </c>
      <c r="C152" vm="442">
        <f ca="1"/>
        <v>2139807</v>
      </c>
      <c r="D152">
        <f t="shared" ca="1" si="6"/>
        <v>216527070.32999998</v>
      </c>
      <c r="E152">
        <f ca="1">SUM($D$2:D152)/SUM($C$2:C152)</f>
        <v>92.034527879892309</v>
      </c>
      <c r="F152">
        <f ca="1">_xlfn.STDEV.P($B$2:B152)</f>
        <v>3.3664132786026921</v>
      </c>
      <c r="G152">
        <f t="shared" ca="1" si="7"/>
        <v>95.400941158495002</v>
      </c>
      <c r="H152">
        <f t="shared" ca="1" si="8"/>
        <v>88.668114601289616</v>
      </c>
    </row>
    <row r="153" spans="1:8" x14ac:dyDescent="0.25">
      <c r="A153" vm="443">
        <f ca="1"/>
        <v>45512</v>
      </c>
      <c r="B153" vm="444">
        <f ca="1"/>
        <v>100.5</v>
      </c>
      <c r="C153" vm="445">
        <f ca="1"/>
        <v>1784635</v>
      </c>
      <c r="D153">
        <f t="shared" ca="1" si="6"/>
        <v>179355817.5</v>
      </c>
      <c r="E153">
        <f ca="1">SUM($D$2:D153)/SUM($C$2:C153)</f>
        <v>92.086991711436596</v>
      </c>
      <c r="F153">
        <f ca="1">_xlfn.STDEV.P($B$2:B153)</f>
        <v>3.4290337343205062</v>
      </c>
      <c r="G153">
        <f t="shared" ca="1" si="7"/>
        <v>95.516025445757109</v>
      </c>
      <c r="H153">
        <f t="shared" ca="1" si="8"/>
        <v>88.657957977116084</v>
      </c>
    </row>
    <row r="154" spans="1:8" x14ac:dyDescent="0.25">
      <c r="A154" vm="446">
        <f ca="1"/>
        <v>45513</v>
      </c>
      <c r="B154" vm="447">
        <f ca="1"/>
        <v>101.02</v>
      </c>
      <c r="C154" vm="448">
        <f ca="1"/>
        <v>1512920</v>
      </c>
      <c r="D154">
        <f t="shared" ca="1" si="6"/>
        <v>152835178.40000001</v>
      </c>
      <c r="E154">
        <f ca="1">SUM($D$2:D154)/SUM($C$2:C154)</f>
        <v>92.133678863539004</v>
      </c>
      <c r="F154">
        <f ca="1">_xlfn.STDEV.P($B$2:B154)</f>
        <v>3.4974544278521784</v>
      </c>
      <c r="G154">
        <f t="shared" ca="1" si="7"/>
        <v>95.63113329139118</v>
      </c>
      <c r="H154">
        <f t="shared" ca="1" si="8"/>
        <v>88.636224435686827</v>
      </c>
    </row>
    <row r="155" spans="1:8" x14ac:dyDescent="0.25">
      <c r="A155" vm="449">
        <f ca="1"/>
        <v>45516</v>
      </c>
      <c r="B155" vm="450">
        <f ca="1"/>
        <v>101.94</v>
      </c>
      <c r="C155" vm="451">
        <f ca="1"/>
        <v>1238505</v>
      </c>
      <c r="D155">
        <f t="shared" ca="1" si="6"/>
        <v>126253199.7</v>
      </c>
      <c r="E155">
        <f ca="1">SUM($D$2:D155)/SUM($C$2:C155)</f>
        <v>92.175455496570095</v>
      </c>
      <c r="F155">
        <f ca="1">_xlfn.STDEV.P($B$2:B155)</f>
        <v>3.5786747269742509</v>
      </c>
      <c r="G155">
        <f t="shared" ca="1" si="7"/>
        <v>95.754130223544351</v>
      </c>
      <c r="H155">
        <f t="shared" ca="1" si="8"/>
        <v>88.596780769595838</v>
      </c>
    </row>
    <row r="156" spans="1:8" x14ac:dyDescent="0.25">
      <c r="A156" vm="452">
        <f ca="1"/>
        <v>45517</v>
      </c>
      <c r="B156" vm="453">
        <f ca="1"/>
        <v>101.6</v>
      </c>
      <c r="C156" vm="454">
        <f ca="1"/>
        <v>1505744</v>
      </c>
      <c r="D156">
        <f t="shared" ca="1" si="6"/>
        <v>152983590.40000001</v>
      </c>
      <c r="E156">
        <f ca="1">SUM($D$2:D156)/SUM($C$2:C156)</f>
        <v>92.224017599423647</v>
      </c>
      <c r="F156">
        <f ca="1">_xlfn.STDEV.P($B$2:B156)</f>
        <v>3.6500644442873282</v>
      </c>
      <c r="G156">
        <f t="shared" ca="1" si="7"/>
        <v>95.87408204371097</v>
      </c>
      <c r="H156">
        <f t="shared" ca="1" si="8"/>
        <v>88.573953155136323</v>
      </c>
    </row>
    <row r="157" spans="1:8" x14ac:dyDescent="0.25">
      <c r="A157" vm="455">
        <f ca="1"/>
        <v>45518</v>
      </c>
      <c r="B157" vm="456">
        <f ca="1"/>
        <v>100.86</v>
      </c>
      <c r="C157" vm="457">
        <f ca="1"/>
        <v>1639219</v>
      </c>
      <c r="D157">
        <f t="shared" ca="1" si="6"/>
        <v>165331628.34</v>
      </c>
      <c r="E157">
        <f ca="1">SUM($D$2:D157)/SUM($C$2:C157)</f>
        <v>92.272190782181923</v>
      </c>
      <c r="F157">
        <f ca="1">_xlfn.STDEV.P($B$2:B157)</f>
        <v>3.7064487266183268</v>
      </c>
      <c r="G157">
        <f t="shared" ca="1" si="7"/>
        <v>95.978639508800256</v>
      </c>
      <c r="H157">
        <f t="shared" ca="1" si="8"/>
        <v>88.565742055563589</v>
      </c>
    </row>
    <row r="158" spans="1:8" x14ac:dyDescent="0.25">
      <c r="A158" vm="458">
        <f ca="1"/>
        <v>45519</v>
      </c>
      <c r="B158" vm="459">
        <f ca="1"/>
        <v>99.23</v>
      </c>
      <c r="C158" vm="460">
        <f ca="1"/>
        <v>2757442</v>
      </c>
      <c r="D158">
        <f t="shared" ca="1" si="6"/>
        <v>273620969.66000003</v>
      </c>
      <c r="E158">
        <f ca="1">SUM($D$2:D158)/SUM($C$2:C158)</f>
        <v>92.336872170264911</v>
      </c>
      <c r="F158">
        <f ca="1">_xlfn.STDEV.P($B$2:B158)</f>
        <v>3.7384603326299204</v>
      </c>
      <c r="G158">
        <f t="shared" ca="1" si="7"/>
        <v>96.075332502894838</v>
      </c>
      <c r="H158">
        <f t="shared" ca="1" si="8"/>
        <v>88.598411837634984</v>
      </c>
    </row>
    <row r="159" spans="1:8" x14ac:dyDescent="0.25">
      <c r="A159" vm="461">
        <f ca="1"/>
        <v>45520</v>
      </c>
      <c r="B159" vm="462">
        <f ca="1"/>
        <v>100.1</v>
      </c>
      <c r="C159" vm="463">
        <f ca="1"/>
        <v>1684765</v>
      </c>
      <c r="D159">
        <f t="shared" ca="1" si="6"/>
        <v>168644976.5</v>
      </c>
      <c r="E159">
        <f ca="1">SUM($D$2:D159)/SUM($C$2:C159)</f>
        <v>92.380716832936926</v>
      </c>
      <c r="F159">
        <f ca="1">_xlfn.STDEV.P($B$2:B159)</f>
        <v>3.7802210700867445</v>
      </c>
      <c r="G159">
        <f t="shared" ca="1" si="7"/>
        <v>96.160937903023665</v>
      </c>
      <c r="H159">
        <f t="shared" ca="1" si="8"/>
        <v>88.600495762850187</v>
      </c>
    </row>
    <row r="160" spans="1:8" x14ac:dyDescent="0.25">
      <c r="A160" vm="464">
        <f ca="1"/>
        <v>45523</v>
      </c>
      <c r="B160" vm="465">
        <f ca="1"/>
        <v>100.41</v>
      </c>
      <c r="C160" vm="466">
        <f ca="1"/>
        <v>1837783</v>
      </c>
      <c r="D160">
        <f t="shared" ca="1" si="6"/>
        <v>184531791.03</v>
      </c>
      <c r="E160">
        <f ca="1">SUM($D$2:D160)/SUM($C$2:C160)</f>
        <v>92.42988050221345</v>
      </c>
      <c r="F160">
        <f ca="1">_xlfn.STDEV.P($B$2:B160)</f>
        <v>3.8244578911873419</v>
      </c>
      <c r="G160">
        <f t="shared" ca="1" si="7"/>
        <v>96.254338393400786</v>
      </c>
      <c r="H160">
        <f t="shared" ca="1" si="8"/>
        <v>88.605422611026114</v>
      </c>
    </row>
    <row r="161" spans="1:8" x14ac:dyDescent="0.25">
      <c r="A161" vm="467">
        <f ca="1"/>
        <v>45524</v>
      </c>
      <c r="B161" vm="468">
        <f ca="1"/>
        <v>100.17</v>
      </c>
      <c r="C161" vm="469">
        <f ca="1"/>
        <v>1460744</v>
      </c>
      <c r="D161">
        <f t="shared" ca="1" si="6"/>
        <v>146322726.47999999</v>
      </c>
      <c r="E161">
        <f ca="1">SUM($D$2:D161)/SUM($C$2:C161)</f>
        <v>92.46736800788976</v>
      </c>
      <c r="F161">
        <f ca="1">_xlfn.STDEV.P($B$2:B161)</f>
        <v>3.8638420964234226</v>
      </c>
      <c r="G161">
        <f t="shared" ca="1" si="7"/>
        <v>96.331210104313186</v>
      </c>
      <c r="H161">
        <f t="shared" ca="1" si="8"/>
        <v>88.603525911466335</v>
      </c>
    </row>
    <row r="162" spans="1:8" x14ac:dyDescent="0.25">
      <c r="A162" vm="470">
        <f ca="1"/>
        <v>45525</v>
      </c>
      <c r="B162" vm="471">
        <f ca="1"/>
        <v>100.42</v>
      </c>
      <c r="C162" vm="472">
        <f ca="1"/>
        <v>1922499</v>
      </c>
      <c r="D162">
        <f t="shared" ca="1" si="6"/>
        <v>193057349.58000001</v>
      </c>
      <c r="E162">
        <f ca="1">SUM($D$2:D162)/SUM($C$2:C162)</f>
        <v>92.517739202277298</v>
      </c>
      <c r="F162">
        <f ca="1">_xlfn.STDEV.P($B$2:B162)</f>
        <v>3.904902745616301</v>
      </c>
      <c r="G162">
        <f t="shared" ca="1" si="7"/>
        <v>96.422641947893595</v>
      </c>
      <c r="H162">
        <f t="shared" ca="1" si="8"/>
        <v>88.612836456661</v>
      </c>
    </row>
    <row r="163" spans="1:8" x14ac:dyDescent="0.25">
      <c r="A163" vm="473">
        <f ca="1"/>
        <v>45526</v>
      </c>
      <c r="B163" vm="474">
        <f ca="1"/>
        <v>100.67</v>
      </c>
      <c r="C163" vm="475">
        <f ca="1"/>
        <v>1844957</v>
      </c>
      <c r="D163">
        <f t="shared" ca="1" si="6"/>
        <v>185731821.19</v>
      </c>
      <c r="E163">
        <f ca="1">SUM($D$2:D163)/SUM($C$2:C163)</f>
        <v>92.56699277235542</v>
      </c>
      <c r="F163">
        <f ca="1">_xlfn.STDEV.P($B$2:B163)</f>
        <v>3.947599860399551</v>
      </c>
      <c r="G163">
        <f t="shared" ca="1" si="7"/>
        <v>96.514592632754969</v>
      </c>
      <c r="H163">
        <f t="shared" ca="1" si="8"/>
        <v>88.61939291195587</v>
      </c>
    </row>
    <row r="164" spans="1:8" x14ac:dyDescent="0.25">
      <c r="A164" vm="476">
        <f ca="1"/>
        <v>45527</v>
      </c>
      <c r="B164" vm="477">
        <f ca="1"/>
        <v>100.6</v>
      </c>
      <c r="C164" vm="478">
        <f ca="1"/>
        <v>1620024</v>
      </c>
      <c r="D164">
        <f t="shared" ca="1" si="6"/>
        <v>162974414.39999998</v>
      </c>
      <c r="E164">
        <f ca="1">SUM($D$2:D164)/SUM($C$2:C164)</f>
        <v>92.609383914277302</v>
      </c>
      <c r="F164">
        <f ca="1">_xlfn.STDEV.P($B$2:B164)</f>
        <v>3.9877820657298044</v>
      </c>
      <c r="G164">
        <f t="shared" ca="1" si="7"/>
        <v>96.597165980007105</v>
      </c>
      <c r="H164">
        <f t="shared" ca="1" si="8"/>
        <v>88.621601848547499</v>
      </c>
    </row>
    <row r="165" spans="1:8" x14ac:dyDescent="0.25">
      <c r="A165" vm="479">
        <f ca="1"/>
        <v>45530</v>
      </c>
      <c r="B165" vm="480">
        <f ca="1"/>
        <v>100.9</v>
      </c>
      <c r="C165" vm="481">
        <f ca="1"/>
        <v>1221535</v>
      </c>
      <c r="D165">
        <f t="shared" ca="1" si="6"/>
        <v>123252881.5</v>
      </c>
      <c r="E165">
        <f ca="1">SUM($D$2:D165)/SUM($C$2:C165)</f>
        <v>92.642242099294648</v>
      </c>
      <c r="F165">
        <f ca="1">_xlfn.STDEV.P($B$2:B165)</f>
        <v>4.0302228040995596</v>
      </c>
      <c r="G165">
        <f t="shared" ca="1" si="7"/>
        <v>96.672464903394214</v>
      </c>
      <c r="H165">
        <f t="shared" ca="1" si="8"/>
        <v>88.612019295195083</v>
      </c>
    </row>
    <row r="166" spans="1:8" x14ac:dyDescent="0.25">
      <c r="A166" vm="482">
        <f ca="1"/>
        <v>45531</v>
      </c>
      <c r="B166" vm="483">
        <f ca="1"/>
        <v>99.59</v>
      </c>
      <c r="C166" vm="484">
        <f ca="1"/>
        <v>927271</v>
      </c>
      <c r="D166">
        <f t="shared" ca="1" si="6"/>
        <v>92346918.890000001</v>
      </c>
      <c r="E166">
        <f ca="1">SUM($D$2:D166)/SUM($C$2:C166)</f>
        <v>92.663082092320124</v>
      </c>
      <c r="F166">
        <f ca="1">_xlfn.STDEV.P($B$2:B166)</f>
        <v>4.0559449548266828</v>
      </c>
      <c r="G166">
        <f t="shared" ca="1" si="7"/>
        <v>96.71902704714681</v>
      </c>
      <c r="H166">
        <f t="shared" ca="1" si="8"/>
        <v>88.607137137493439</v>
      </c>
    </row>
    <row r="167" spans="1:8" x14ac:dyDescent="0.25">
      <c r="A167" vm="485">
        <f ca="1"/>
        <v>45532</v>
      </c>
      <c r="B167" vm="486">
        <f ca="1"/>
        <v>100.39</v>
      </c>
      <c r="C167" vm="487">
        <f ca="1"/>
        <v>1019536</v>
      </c>
      <c r="D167">
        <f t="shared" ca="1" si="6"/>
        <v>102351219.04000001</v>
      </c>
      <c r="E167">
        <f ca="1">SUM($D$2:D167)/SUM($C$2:C167)</f>
        <v>92.688481590609356</v>
      </c>
      <c r="F167">
        <f ca="1">_xlfn.STDEV.P($B$2:B167)</f>
        <v>4.0895301176245598</v>
      </c>
      <c r="G167">
        <f t="shared" ca="1" si="7"/>
        <v>96.778011708233919</v>
      </c>
      <c r="H167">
        <f t="shared" ca="1" si="8"/>
        <v>88.598951472984794</v>
      </c>
    </row>
    <row r="168" spans="1:8" x14ac:dyDescent="0.25">
      <c r="A168" vm="488">
        <f ca="1"/>
        <v>45533</v>
      </c>
      <c r="B168" vm="489">
        <f ca="1"/>
        <v>100.81</v>
      </c>
      <c r="C168" vm="490">
        <f ca="1"/>
        <v>1150898</v>
      </c>
      <c r="D168">
        <f t="shared" ca="1" si="6"/>
        <v>116022027.38</v>
      </c>
      <c r="E168">
        <f ca="1">SUM($D$2:D168)/SUM($C$2:C168)</f>
        <v>92.718506506476686</v>
      </c>
      <c r="F168">
        <f ca="1">_xlfn.STDEV.P($B$2:B168)</f>
        <v>4.1267865784257181</v>
      </c>
      <c r="G168">
        <f t="shared" ca="1" si="7"/>
        <v>96.845293084902409</v>
      </c>
      <c r="H168">
        <f t="shared" ca="1" si="8"/>
        <v>88.591719928050964</v>
      </c>
    </row>
    <row r="169" spans="1:8" x14ac:dyDescent="0.25">
      <c r="A169" vm="491">
        <f ca="1"/>
        <v>45534</v>
      </c>
      <c r="B169" vm="492">
        <f ca="1"/>
        <v>101.56</v>
      </c>
      <c r="C169" vm="493">
        <f ca="1"/>
        <v>2366505</v>
      </c>
      <c r="D169">
        <f t="shared" ca="1" si="6"/>
        <v>240342247.80000001</v>
      </c>
      <c r="E169">
        <f ca="1">SUM($D$2:D169)/SUM($C$2:C169)</f>
        <v>92.78521050432532</v>
      </c>
      <c r="F169">
        <f ca="1">_xlfn.STDEV.P($B$2:B169)</f>
        <v>4.171839006889499</v>
      </c>
      <c r="G169">
        <f t="shared" ca="1" si="7"/>
        <v>96.957049511214819</v>
      </c>
      <c r="H169">
        <f t="shared" ca="1" si="8"/>
        <v>88.613371497435821</v>
      </c>
    </row>
    <row r="170" spans="1:8" x14ac:dyDescent="0.25">
      <c r="A170" vm="494">
        <f ca="1"/>
        <v>45538</v>
      </c>
      <c r="B170" vm="495">
        <f ca="1"/>
        <v>103.28</v>
      </c>
      <c r="C170" vm="496">
        <f ca="1"/>
        <v>2122586</v>
      </c>
      <c r="D170">
        <f t="shared" ca="1" si="6"/>
        <v>219220682.08000001</v>
      </c>
      <c r="E170">
        <f ca="1">SUM($D$2:D170)/SUM($C$2:C170)</f>
        <v>92.855749446492069</v>
      </c>
      <c r="F170">
        <f ca="1">_xlfn.STDEV.P($B$2:B170)</f>
        <v>4.238604144321414</v>
      </c>
      <c r="G170">
        <f t="shared" ca="1" si="7"/>
        <v>97.094353590813483</v>
      </c>
      <c r="H170">
        <f t="shared" ca="1" si="8"/>
        <v>88.617145302170655</v>
      </c>
    </row>
    <row r="171" spans="1:8" x14ac:dyDescent="0.25">
      <c r="A171" vm="497">
        <f ca="1"/>
        <v>45539</v>
      </c>
      <c r="B171" vm="498">
        <f ca="1"/>
        <v>104.4</v>
      </c>
      <c r="C171" vm="499">
        <f ca="1"/>
        <v>1501047</v>
      </c>
      <c r="D171">
        <f t="shared" ca="1" si="6"/>
        <v>156709306.80000001</v>
      </c>
      <c r="E171">
        <f ca="1">SUM($D$2:D171)/SUM($C$2:C171)</f>
        <v>92.910361758266944</v>
      </c>
      <c r="F171">
        <f ca="1">_xlfn.STDEV.P($B$2:B171)</f>
        <v>4.3195658058264428</v>
      </c>
      <c r="G171">
        <f t="shared" ca="1" si="7"/>
        <v>97.229927564093387</v>
      </c>
      <c r="H171">
        <f t="shared" ca="1" si="8"/>
        <v>88.590795952440502</v>
      </c>
    </row>
    <row r="172" spans="1:8" x14ac:dyDescent="0.25">
      <c r="A172" vm="500">
        <f ca="1"/>
        <v>45540</v>
      </c>
      <c r="B172" vm="501">
        <f ca="1"/>
        <v>103.79</v>
      </c>
      <c r="C172" vm="502">
        <f ca="1"/>
        <v>1538696</v>
      </c>
      <c r="D172">
        <f t="shared" ca="1" si="6"/>
        <v>159701257.84</v>
      </c>
      <c r="E172">
        <f ca="1">SUM($D$2:D172)/SUM($C$2:C172)</f>
        <v>92.962866297391287</v>
      </c>
      <c r="F172">
        <f ca="1">_xlfn.STDEV.P($B$2:B172)</f>
        <v>4.387927622444086</v>
      </c>
      <c r="G172">
        <f t="shared" ca="1" si="7"/>
        <v>97.350793919835368</v>
      </c>
      <c r="H172">
        <f t="shared" ca="1" si="8"/>
        <v>88.574938674947205</v>
      </c>
    </row>
    <row r="173" spans="1:8" x14ac:dyDescent="0.25">
      <c r="A173" vm="503">
        <f ca="1"/>
        <v>45541</v>
      </c>
      <c r="B173" vm="495">
        <f ca="1"/>
        <v>103.28</v>
      </c>
      <c r="C173" vm="504">
        <f ca="1"/>
        <v>1760628</v>
      </c>
      <c r="D173">
        <f t="shared" ca="1" si="6"/>
        <v>181837659.84</v>
      </c>
      <c r="E173">
        <f ca="1">SUM($D$2:D173)/SUM($C$2:C173)</f>
        <v>93.019524742610898</v>
      </c>
      <c r="F173">
        <f ca="1">_xlfn.STDEV.P($B$2:B173)</f>
        <v>4.4464696255435694</v>
      </c>
      <c r="G173">
        <f t="shared" ca="1" si="7"/>
        <v>97.465994368154469</v>
      </c>
      <c r="H173">
        <f t="shared" ca="1" si="8"/>
        <v>88.573055117067327</v>
      </c>
    </row>
    <row r="174" spans="1:8" x14ac:dyDescent="0.25">
      <c r="A174" vm="505">
        <f ca="1"/>
        <v>45544</v>
      </c>
      <c r="B174" vm="506">
        <f ca="1"/>
        <v>104.75</v>
      </c>
      <c r="C174" vm="507">
        <f ca="1"/>
        <v>1672940</v>
      </c>
      <c r="D174">
        <f t="shared" ca="1" si="6"/>
        <v>175240465</v>
      </c>
      <c r="E174">
        <f ca="1">SUM($D$2:D174)/SUM($C$2:C174)</f>
        <v>93.080418620489638</v>
      </c>
      <c r="F174">
        <f ca="1">_xlfn.STDEV.P($B$2:B174)</f>
        <v>4.5235749876895559</v>
      </c>
      <c r="G174">
        <f t="shared" ca="1" si="7"/>
        <v>97.603993608179195</v>
      </c>
      <c r="H174">
        <f t="shared" ca="1" si="8"/>
        <v>88.556843632800081</v>
      </c>
    </row>
    <row r="175" spans="1:8" x14ac:dyDescent="0.25">
      <c r="A175" vm="508">
        <f ca="1"/>
        <v>45545</v>
      </c>
      <c r="B175" vm="509">
        <f ca="1"/>
        <v>104.97</v>
      </c>
      <c r="C175" vm="510">
        <f ca="1"/>
        <v>1271138</v>
      </c>
      <c r="D175">
        <f t="shared" ca="1" si="6"/>
        <v>133431355.86</v>
      </c>
      <c r="E175">
        <f ca="1">SUM($D$2:D175)/SUM($C$2:C175)</f>
        <v>93.127130495976061</v>
      </c>
      <c r="F175">
        <f ca="1">_xlfn.STDEV.P($B$2:B175)</f>
        <v>4.6007702601186091</v>
      </c>
      <c r="G175">
        <f t="shared" ca="1" si="7"/>
        <v>97.72790075609467</v>
      </c>
      <c r="H175">
        <f t="shared" ca="1" si="8"/>
        <v>88.526360235857453</v>
      </c>
    </row>
    <row r="176" spans="1:8" x14ac:dyDescent="0.25">
      <c r="A176" vm="511">
        <f ca="1"/>
        <v>45546</v>
      </c>
      <c r="B176" vm="512">
        <f ca="1"/>
        <v>103.82</v>
      </c>
      <c r="C176" vm="513">
        <f ca="1"/>
        <v>2685901</v>
      </c>
      <c r="D176">
        <f t="shared" ca="1" si="6"/>
        <v>278850241.81999999</v>
      </c>
      <c r="E176">
        <f ca="1">SUM($D$2:D176)/SUM($C$2:C176)</f>
        <v>93.215166816139487</v>
      </c>
      <c r="F176">
        <f ca="1">_xlfn.STDEV.P($B$2:B176)</f>
        <v>4.6589417384690464</v>
      </c>
      <c r="G176">
        <f t="shared" ca="1" si="7"/>
        <v>97.87410855460854</v>
      </c>
      <c r="H176">
        <f t="shared" ca="1" si="8"/>
        <v>88.556225077670433</v>
      </c>
    </row>
    <row r="177" spans="1:8" x14ac:dyDescent="0.25">
      <c r="A177" vm="514">
        <f ca="1"/>
        <v>45547</v>
      </c>
      <c r="B177" vm="515">
        <f ca="1"/>
        <v>103.39</v>
      </c>
      <c r="C177" vm="516">
        <f ca="1"/>
        <v>1528602</v>
      </c>
      <c r="D177">
        <f t="shared" ca="1" si="6"/>
        <v>158042160.78</v>
      </c>
      <c r="E177">
        <f ca="1">SUM($D$2:D177)/SUM($C$2:C177)</f>
        <v>93.26262041177965</v>
      </c>
      <c r="F177">
        <f ca="1">_xlfn.STDEV.P($B$2:B177)</f>
        <v>4.7095444588836237</v>
      </c>
      <c r="G177">
        <f t="shared" ca="1" si="7"/>
        <v>97.972164870663278</v>
      </c>
      <c r="H177">
        <f t="shared" ca="1" si="8"/>
        <v>88.553075952896023</v>
      </c>
    </row>
    <row r="178" spans="1:8" x14ac:dyDescent="0.25">
      <c r="A178" vm="517">
        <f ca="1"/>
        <v>45548</v>
      </c>
      <c r="B178" vm="518">
        <f ca="1"/>
        <v>104.56</v>
      </c>
      <c r="C178" vm="519">
        <f ca="1"/>
        <v>1274726</v>
      </c>
      <c r="D178">
        <f t="shared" ca="1" si="6"/>
        <v>133285350.56</v>
      </c>
      <c r="E178">
        <f ca="1">SUM($D$2:D178)/SUM($C$2:C178)</f>
        <v>93.306388358368409</v>
      </c>
      <c r="F178">
        <f ca="1">_xlfn.STDEV.P($B$2:B178)</f>
        <v>4.7732496005863005</v>
      </c>
      <c r="G178">
        <f t="shared" ca="1" si="7"/>
        <v>98.079637958954706</v>
      </c>
      <c r="H178">
        <f t="shared" ca="1" si="8"/>
        <v>88.533138757782112</v>
      </c>
    </row>
    <row r="179" spans="1:8" x14ac:dyDescent="0.25">
      <c r="A179" vm="520">
        <f ca="1"/>
        <v>45551</v>
      </c>
      <c r="B179" vm="521">
        <f ca="1"/>
        <v>104.85</v>
      </c>
      <c r="C179" vm="522">
        <f ca="1"/>
        <v>1467923</v>
      </c>
      <c r="D179">
        <f t="shared" ca="1" si="6"/>
        <v>153911726.54999998</v>
      </c>
      <c r="E179">
        <f ca="1">SUM($D$2:D179)/SUM($C$2:C179)</f>
        <v>93.357659544550216</v>
      </c>
      <c r="F179">
        <f ca="1">_xlfn.STDEV.P($B$2:B179)</f>
        <v>4.8384148958836715</v>
      </c>
      <c r="G179">
        <f t="shared" ca="1" si="7"/>
        <v>98.19607444043389</v>
      </c>
      <c r="H179">
        <f t="shared" ca="1" si="8"/>
        <v>88.519244648666543</v>
      </c>
    </row>
    <row r="180" spans="1:8" x14ac:dyDescent="0.25">
      <c r="A180" vm="523">
        <f ca="1"/>
        <v>45552</v>
      </c>
      <c r="B180" vm="524">
        <f ca="1"/>
        <v>104.54</v>
      </c>
      <c r="C180" vm="525">
        <f ca="1"/>
        <v>1391024</v>
      </c>
      <c r="D180">
        <f t="shared" ca="1" si="6"/>
        <v>145417648.96000001</v>
      </c>
      <c r="E180">
        <f ca="1">SUM($D$2:D180)/SUM($C$2:C180)</f>
        <v>93.404527032193414</v>
      </c>
      <c r="F180">
        <f ca="1">_xlfn.STDEV.P($B$2:B180)</f>
        <v>4.8971379773829673</v>
      </c>
      <c r="G180">
        <f t="shared" ca="1" si="7"/>
        <v>98.301665009576382</v>
      </c>
      <c r="H180">
        <f t="shared" ca="1" si="8"/>
        <v>88.507389054810446</v>
      </c>
    </row>
    <row r="181" spans="1:8" x14ac:dyDescent="0.25">
      <c r="A181" vm="526">
        <f ca="1"/>
        <v>45553</v>
      </c>
      <c r="B181" vm="527">
        <f ca="1"/>
        <v>103.41</v>
      </c>
      <c r="C181" vm="528">
        <f ca="1"/>
        <v>1347037</v>
      </c>
      <c r="D181">
        <f t="shared" ca="1" si="6"/>
        <v>139297096.16999999</v>
      </c>
      <c r="E181">
        <f ca="1">SUM($D$2:D181)/SUM($C$2:C181)</f>
        <v>93.444971804671226</v>
      </c>
      <c r="F181">
        <f ca="1">_xlfn.STDEV.P($B$2:B181)</f>
        <v>4.9403424042254045</v>
      </c>
      <c r="G181">
        <f t="shared" ca="1" si="7"/>
        <v>98.385314208896631</v>
      </c>
      <c r="H181">
        <f t="shared" ca="1" si="8"/>
        <v>88.504629400445822</v>
      </c>
    </row>
    <row r="182" spans="1:8" x14ac:dyDescent="0.25">
      <c r="A182" vm="529">
        <f ca="1"/>
        <v>45554</v>
      </c>
      <c r="B182" vm="530">
        <f ca="1"/>
        <v>102.12</v>
      </c>
      <c r="C182" vm="531">
        <f ca="1"/>
        <v>1761679</v>
      </c>
      <c r="D182">
        <f t="shared" ca="1" si="6"/>
        <v>179902659.48000002</v>
      </c>
      <c r="E182">
        <f ca="1">SUM($D$2:D182)/SUM($C$2:C182)</f>
        <v>93.490591570401804</v>
      </c>
      <c r="F182">
        <f ca="1">_xlfn.STDEV.P($B$2:B182)</f>
        <v>4.9687639608536767</v>
      </c>
      <c r="G182">
        <f t="shared" ca="1" si="7"/>
        <v>98.459355531255483</v>
      </c>
      <c r="H182">
        <f t="shared" ca="1" si="8"/>
        <v>88.521827609548126</v>
      </c>
    </row>
    <row r="183" spans="1:8" x14ac:dyDescent="0.25">
      <c r="A183" vm="532">
        <f ca="1"/>
        <v>45555</v>
      </c>
      <c r="B183" vm="533">
        <f ca="1"/>
        <v>103.35</v>
      </c>
      <c r="C183" vm="534">
        <f ca="1"/>
        <v>3492651</v>
      </c>
      <c r="D183">
        <f t="shared" ca="1" si="6"/>
        <v>360965480.84999996</v>
      </c>
      <c r="E183">
        <f ca="1">SUM($D$2:D183)/SUM($C$2:C183)</f>
        <v>93.592323431217594</v>
      </c>
      <c r="F183">
        <f ca="1">_xlfn.STDEV.P($B$2:B183)</f>
        <v>5.0087178678167277</v>
      </c>
      <c r="G183">
        <f t="shared" ca="1" si="7"/>
        <v>98.601041299034321</v>
      </c>
      <c r="H183">
        <f t="shared" ca="1" si="8"/>
        <v>88.583605563400866</v>
      </c>
    </row>
    <row r="184" spans="1:8" x14ac:dyDescent="0.25">
      <c r="A184" vm="535">
        <f ca="1"/>
        <v>45558</v>
      </c>
      <c r="B184" vm="536">
        <f ca="1"/>
        <v>104.02</v>
      </c>
      <c r="C184" vm="537">
        <f ca="1"/>
        <v>1053579</v>
      </c>
      <c r="D184">
        <f t="shared" ca="1" si="6"/>
        <v>109593287.58</v>
      </c>
      <c r="E184">
        <f ca="1">SUM($D$2:D184)/SUM($C$2:C184)</f>
        <v>93.624679513270351</v>
      </c>
      <c r="F184">
        <f ca="1">_xlfn.STDEV.P($B$2:B184)</f>
        <v>5.0546794481164294</v>
      </c>
      <c r="G184">
        <f t="shared" ca="1" si="7"/>
        <v>98.679358961386782</v>
      </c>
      <c r="H184">
        <f t="shared" ca="1" si="8"/>
        <v>88.57000006515392</v>
      </c>
    </row>
    <row r="185" spans="1:8" x14ac:dyDescent="0.25">
      <c r="A185" vm="538">
        <f ca="1"/>
        <v>45559</v>
      </c>
      <c r="B185" vm="539">
        <f ca="1"/>
        <v>102.82</v>
      </c>
      <c r="C185" vm="540">
        <f ca="1"/>
        <v>1063139</v>
      </c>
      <c r="D185">
        <f t="shared" ca="1" si="6"/>
        <v>109311951.97999999</v>
      </c>
      <c r="E185">
        <f ca="1">SUM($D$2:D185)/SUM($C$2:C185)</f>
        <v>93.653380743538676</v>
      </c>
      <c r="F185">
        <f ca="1">_xlfn.STDEV.P($B$2:B185)</f>
        <v>5.0865576720264034</v>
      </c>
      <c r="G185">
        <f t="shared" ca="1" si="7"/>
        <v>98.739938415565078</v>
      </c>
      <c r="H185">
        <f t="shared" ca="1" si="8"/>
        <v>88.566823071512275</v>
      </c>
    </row>
    <row r="186" spans="1:8" x14ac:dyDescent="0.25">
      <c r="A186" vm="541">
        <f ca="1"/>
        <v>45560</v>
      </c>
      <c r="B186" vm="542">
        <f ca="1"/>
        <v>103.16</v>
      </c>
      <c r="C186" vm="543">
        <f ca="1"/>
        <v>1151089</v>
      </c>
      <c r="D186">
        <f t="shared" ca="1" si="6"/>
        <v>118746341.23999999</v>
      </c>
      <c r="E186">
        <f ca="1">SUM($D$2:D186)/SUM($C$2:C186)</f>
        <v>93.685400157066255</v>
      </c>
      <c r="F186">
        <f ca="1">_xlfn.STDEV.P($B$2:B186)</f>
        <v>5.1207549137581907</v>
      </c>
      <c r="G186">
        <f t="shared" ca="1" si="7"/>
        <v>98.806155070824445</v>
      </c>
      <c r="H186">
        <f t="shared" ca="1" si="8"/>
        <v>88.564645243308064</v>
      </c>
    </row>
    <row r="187" spans="1:8" x14ac:dyDescent="0.25">
      <c r="A187" vm="544">
        <f ca="1"/>
        <v>45561</v>
      </c>
      <c r="B187" vm="545">
        <f ca="1"/>
        <v>103.12</v>
      </c>
      <c r="C187" vm="546">
        <f ca="1"/>
        <v>1391590</v>
      </c>
      <c r="D187">
        <f t="shared" ca="1" si="6"/>
        <v>143500760.80000001</v>
      </c>
      <c r="E187">
        <f ca="1">SUM($D$2:D187)/SUM($C$2:C187)</f>
        <v>93.723660456962961</v>
      </c>
      <c r="F187">
        <f ca="1">_xlfn.STDEV.P($B$2:B187)</f>
        <v>5.153461127333296</v>
      </c>
      <c r="G187">
        <f t="shared" ca="1" si="7"/>
        <v>98.877121584296262</v>
      </c>
      <c r="H187">
        <f t="shared" ca="1" si="8"/>
        <v>88.570199329629659</v>
      </c>
    </row>
    <row r="188" spans="1:8" x14ac:dyDescent="0.25">
      <c r="A188" vm="547">
        <f ca="1"/>
        <v>45562</v>
      </c>
      <c r="B188" vm="548">
        <f ca="1"/>
        <v>104.05</v>
      </c>
      <c r="C188" vm="549">
        <f ca="1"/>
        <v>1366877</v>
      </c>
      <c r="D188">
        <f t="shared" ca="1" si="6"/>
        <v>142223551.84999999</v>
      </c>
      <c r="E188">
        <f ca="1">SUM($D$2:D188)/SUM($C$2:C188)</f>
        <v>93.764630171106347</v>
      </c>
      <c r="F188">
        <f ca="1">_xlfn.STDEV.P($B$2:B188)</f>
        <v>5.1945223190968379</v>
      </c>
      <c r="G188">
        <f t="shared" ca="1" si="7"/>
        <v>98.959152490203181</v>
      </c>
      <c r="H188">
        <f t="shared" ca="1" si="8"/>
        <v>88.570107852009514</v>
      </c>
    </row>
    <row r="189" spans="1:8" x14ac:dyDescent="0.25">
      <c r="A189" vm="550">
        <f ca="1"/>
        <v>45565</v>
      </c>
      <c r="B189" vm="551">
        <f ca="1"/>
        <v>104.13</v>
      </c>
      <c r="C189" vm="552">
        <f ca="1"/>
        <v>1449539</v>
      </c>
      <c r="D189">
        <f t="shared" ca="1" si="6"/>
        <v>150940496.06999999</v>
      </c>
      <c r="E189">
        <f ca="1">SUM($D$2:D189)/SUM($C$2:C189)</f>
        <v>93.808059025438951</v>
      </c>
      <c r="F189">
        <f ca="1">_xlfn.STDEV.P($B$2:B189)</f>
        <v>5.2350902741799921</v>
      </c>
      <c r="G189">
        <f t="shared" ca="1" si="7"/>
        <v>99.043149299618946</v>
      </c>
      <c r="H189">
        <f t="shared" ca="1" si="8"/>
        <v>88.572968751258955</v>
      </c>
    </row>
    <row r="190" spans="1:8" x14ac:dyDescent="0.25">
      <c r="A190" vm="553">
        <f ca="1"/>
        <v>45566</v>
      </c>
      <c r="B190" vm="554">
        <f ca="1"/>
        <v>105.15</v>
      </c>
      <c r="C190" vm="555">
        <f ca="1"/>
        <v>1834563</v>
      </c>
      <c r="D190">
        <f t="shared" ca="1" si="6"/>
        <v>192904299.45000002</v>
      </c>
      <c r="E190">
        <f ca="1">SUM($D$2:D190)/SUM($C$2:C190)</f>
        <v>93.867884593935713</v>
      </c>
      <c r="F190">
        <f ca="1">_xlfn.STDEV.P($B$2:B190)</f>
        <v>5.2853411539228663</v>
      </c>
      <c r="G190">
        <f t="shared" ca="1" si="7"/>
        <v>99.153225747858585</v>
      </c>
      <c r="H190">
        <f t="shared" ca="1" si="8"/>
        <v>88.582543440012842</v>
      </c>
    </row>
    <row r="191" spans="1:8" x14ac:dyDescent="0.25">
      <c r="A191" vm="556">
        <f ca="1"/>
        <v>45567</v>
      </c>
      <c r="B191" vm="557">
        <f ca="1"/>
        <v>104.45</v>
      </c>
      <c r="C191" vm="558">
        <f ca="1"/>
        <v>996739</v>
      </c>
      <c r="D191">
        <f t="shared" ca="1" si="6"/>
        <v>104109388.55</v>
      </c>
      <c r="E191">
        <f ca="1">SUM($D$2:D191)/SUM($C$2:C191)</f>
        <v>93.898124325954356</v>
      </c>
      <c r="F191">
        <f ca="1">_xlfn.STDEV.P($B$2:B191)</f>
        <v>5.3264389511452217</v>
      </c>
      <c r="G191">
        <f t="shared" ca="1" si="7"/>
        <v>99.224563277099577</v>
      </c>
      <c r="H191">
        <f t="shared" ca="1" si="8"/>
        <v>88.571685374809135</v>
      </c>
    </row>
    <row r="192" spans="1:8" x14ac:dyDescent="0.25">
      <c r="A192" vm="559">
        <f ca="1"/>
        <v>45568</v>
      </c>
      <c r="B192" vm="536">
        <f ca="1"/>
        <v>104.02</v>
      </c>
      <c r="C192" vm="560">
        <f ca="1"/>
        <v>952060</v>
      </c>
      <c r="D192">
        <f t="shared" ca="1" si="6"/>
        <v>99033281.200000003</v>
      </c>
      <c r="E192">
        <f ca="1">SUM($D$2:D192)/SUM($C$2:C192)</f>
        <v>93.9256771110377</v>
      </c>
      <c r="F192">
        <f ca="1">_xlfn.STDEV.P($B$2:B192)</f>
        <v>5.361937362694718</v>
      </c>
      <c r="G192">
        <f t="shared" ca="1" si="7"/>
        <v>99.287614473732418</v>
      </c>
      <c r="H192">
        <f t="shared" ca="1" si="8"/>
        <v>88.563739748342982</v>
      </c>
    </row>
    <row r="193" spans="1:8" x14ac:dyDescent="0.25">
      <c r="A193" vm="561">
        <f ca="1"/>
        <v>45569</v>
      </c>
      <c r="B193" vm="562">
        <f ca="1"/>
        <v>103.15</v>
      </c>
      <c r="C193" vm="563">
        <f ca="1"/>
        <v>952852</v>
      </c>
      <c r="D193">
        <f t="shared" ca="1" si="6"/>
        <v>98286683.800000012</v>
      </c>
      <c r="E193">
        <f ca="1">SUM($D$2:D193)/SUM($C$2:C193)</f>
        <v>93.950739274871395</v>
      </c>
      <c r="F193">
        <f ca="1">_xlfn.STDEV.P($B$2:B193)</f>
        <v>5.3883204652770447</v>
      </c>
      <c r="G193">
        <f t="shared" ca="1" si="7"/>
        <v>99.339059740148443</v>
      </c>
      <c r="H193">
        <f t="shared" ca="1" si="8"/>
        <v>88.562418809594348</v>
      </c>
    </row>
    <row r="194" spans="1:8" x14ac:dyDescent="0.25">
      <c r="A194" vm="564">
        <f ca="1"/>
        <v>45572</v>
      </c>
      <c r="B194" vm="565">
        <f ca="1"/>
        <v>101.14</v>
      </c>
      <c r="C194" vm="566">
        <f ca="1"/>
        <v>1967334</v>
      </c>
      <c r="D194">
        <f t="shared" ca="1" si="6"/>
        <v>198976160.75999999</v>
      </c>
      <c r="E194">
        <f ca="1">SUM($D$2:D194)/SUM($C$2:C194)</f>
        <v>93.990843627678188</v>
      </c>
      <c r="F194">
        <f ca="1">_xlfn.STDEV.P($B$2:B194)</f>
        <v>5.3983813067847022</v>
      </c>
      <c r="G194">
        <f t="shared" ca="1" si="7"/>
        <v>99.389224934462888</v>
      </c>
      <c r="H194">
        <f t="shared" ca="1" si="8"/>
        <v>88.592462320893489</v>
      </c>
    </row>
    <row r="195" spans="1:8" x14ac:dyDescent="0.25">
      <c r="A195" vm="567">
        <f ca="1"/>
        <v>45573</v>
      </c>
      <c r="B195" vm="568">
        <f ca="1"/>
        <v>102.11</v>
      </c>
      <c r="C195" vm="569">
        <f ca="1"/>
        <v>1328778</v>
      </c>
      <c r="D195">
        <f t="shared" ref="D195:D258" ca="1" si="9">B195*C195</f>
        <v>135681521.58000001</v>
      </c>
      <c r="E195">
        <f ca="1">SUM($D$2:D195)/SUM($C$2:C195)</f>
        <v>94.021319719904383</v>
      </c>
      <c r="F195">
        <f ca="1">_xlfn.STDEV.P($B$2:B195)</f>
        <v>5.415001688673879</v>
      </c>
      <c r="G195">
        <f t="shared" ref="G195:G258" ca="1" si="10">E195 + F195</f>
        <v>99.436321408578266</v>
      </c>
      <c r="H195">
        <f t="shared" ref="H195:H258" ca="1" si="11">E195 - F195</f>
        <v>88.606318031230501</v>
      </c>
    </row>
    <row r="196" spans="1:8" x14ac:dyDescent="0.25">
      <c r="A196" vm="570">
        <f ca="1"/>
        <v>45574</v>
      </c>
      <c r="B196" vm="571">
        <f ca="1"/>
        <v>102.37</v>
      </c>
      <c r="C196" vm="572">
        <f ca="1"/>
        <v>1114658</v>
      </c>
      <c r="D196">
        <f t="shared" ca="1" si="9"/>
        <v>114107539.46000001</v>
      </c>
      <c r="E196">
        <f ca="1">SUM($D$2:D196)/SUM($C$2:C196)</f>
        <v>94.047525076678994</v>
      </c>
      <c r="F196">
        <f ca="1">_xlfn.STDEV.P($B$2:B196)</f>
        <v>5.4330720001042589</v>
      </c>
      <c r="G196">
        <f t="shared" ca="1" si="10"/>
        <v>99.480597076783255</v>
      </c>
      <c r="H196">
        <f t="shared" ca="1" si="11"/>
        <v>88.614453076574733</v>
      </c>
    </row>
    <row r="197" spans="1:8" x14ac:dyDescent="0.25">
      <c r="A197" vm="573">
        <f ca="1"/>
        <v>45575</v>
      </c>
      <c r="B197" vm="574">
        <f ca="1"/>
        <v>101.58</v>
      </c>
      <c r="C197" vm="575">
        <f ca="1"/>
        <v>1179589</v>
      </c>
      <c r="D197">
        <f t="shared" ca="1" si="9"/>
        <v>119822650.62</v>
      </c>
      <c r="E197">
        <f ca="1">SUM($D$2:D197)/SUM($C$2:C197)</f>
        <v>94.072462915283907</v>
      </c>
      <c r="F197">
        <f ca="1">_xlfn.STDEV.P($B$2:B197)</f>
        <v>5.444832831998518</v>
      </c>
      <c r="G197">
        <f t="shared" ca="1" si="10"/>
        <v>99.517295747282418</v>
      </c>
      <c r="H197">
        <f t="shared" ca="1" si="11"/>
        <v>88.627630083285396</v>
      </c>
    </row>
    <row r="198" spans="1:8" x14ac:dyDescent="0.25">
      <c r="A198" vm="576">
        <f ca="1"/>
        <v>45576</v>
      </c>
      <c r="B198" vm="577">
        <f ca="1"/>
        <v>102.32</v>
      </c>
      <c r="C198" vm="578">
        <f ca="1"/>
        <v>1317182</v>
      </c>
      <c r="D198">
        <f t="shared" ca="1" si="9"/>
        <v>134774062.23999998</v>
      </c>
      <c r="E198">
        <f ca="1">SUM($D$2:D198)/SUM($C$2:C198)</f>
        <v>94.102840825095655</v>
      </c>
      <c r="F198">
        <f ca="1">_xlfn.STDEV.P($B$2:B198)</f>
        <v>5.4614904051873303</v>
      </c>
      <c r="G198">
        <f t="shared" ca="1" si="10"/>
        <v>99.564331230282988</v>
      </c>
      <c r="H198">
        <f t="shared" ca="1" si="11"/>
        <v>88.641350419908321</v>
      </c>
    </row>
    <row r="199" spans="1:8" x14ac:dyDescent="0.25">
      <c r="A199" vm="579">
        <f ca="1"/>
        <v>45579</v>
      </c>
      <c r="B199" vm="580">
        <f ca="1"/>
        <v>103.04</v>
      </c>
      <c r="C199" vm="581">
        <f ca="1"/>
        <v>1976020</v>
      </c>
      <c r="D199">
        <f t="shared" ca="1" si="9"/>
        <v>203609100.80000001</v>
      </c>
      <c r="E199">
        <f ca="1">SUM($D$2:D199)/SUM($C$2:C199)</f>
        <v>94.151952587885475</v>
      </c>
      <c r="F199">
        <f ca="1">_xlfn.STDEV.P($B$2:B199)</f>
        <v>5.4831894846242033</v>
      </c>
      <c r="G199">
        <f t="shared" ca="1" si="10"/>
        <v>99.63514207250968</v>
      </c>
      <c r="H199">
        <f t="shared" ca="1" si="11"/>
        <v>88.66876310326127</v>
      </c>
    </row>
    <row r="200" spans="1:8" x14ac:dyDescent="0.25">
      <c r="A200" vm="582">
        <f ca="1"/>
        <v>45580</v>
      </c>
      <c r="B200" vm="583">
        <f ca="1"/>
        <v>105.45</v>
      </c>
      <c r="C200" vm="584">
        <f ca="1"/>
        <v>2748901</v>
      </c>
      <c r="D200">
        <f t="shared" ca="1" si="9"/>
        <v>289871610.44999999</v>
      </c>
      <c r="E200">
        <f ca="1">SUM($D$2:D200)/SUM($C$2:C200)</f>
        <v>94.237666202797428</v>
      </c>
      <c r="F200">
        <f ca="1">_xlfn.STDEV.P($B$2:B200)</f>
        <v>5.5259714280139649</v>
      </c>
      <c r="G200">
        <f t="shared" ca="1" si="10"/>
        <v>99.763637630811388</v>
      </c>
      <c r="H200">
        <f t="shared" ca="1" si="11"/>
        <v>88.711694774783467</v>
      </c>
    </row>
    <row r="201" spans="1:8" x14ac:dyDescent="0.25">
      <c r="A201" vm="585">
        <f ca="1"/>
        <v>45581</v>
      </c>
      <c r="B201" vm="586">
        <f ca="1"/>
        <v>106.14</v>
      </c>
      <c r="C201" vm="587">
        <f ca="1"/>
        <v>1869233</v>
      </c>
      <c r="D201">
        <f t="shared" ca="1" si="9"/>
        <v>198400390.62</v>
      </c>
      <c r="E201">
        <f ca="1">SUM($D$2:D201)/SUM($C$2:C201)</f>
        <v>94.29875311806174</v>
      </c>
      <c r="F201">
        <f ca="1">_xlfn.STDEV.P($B$2:B201)</f>
        <v>5.5744970634129869</v>
      </c>
      <c r="G201">
        <f t="shared" ca="1" si="10"/>
        <v>99.873250181474731</v>
      </c>
      <c r="H201">
        <f t="shared" ca="1" si="11"/>
        <v>88.724256054648748</v>
      </c>
    </row>
    <row r="202" spans="1:8" x14ac:dyDescent="0.25">
      <c r="A202" vm="588">
        <f ca="1"/>
        <v>45582</v>
      </c>
      <c r="B202" vm="589">
        <f ca="1"/>
        <v>105.66</v>
      </c>
      <c r="C202" vm="590">
        <f ca="1"/>
        <v>1727853</v>
      </c>
      <c r="D202">
        <f t="shared" ca="1" si="9"/>
        <v>182564947.97999999</v>
      </c>
      <c r="E202">
        <f ca="1">SUM($D$2:D202)/SUM($C$2:C202)</f>
        <v>94.352398201754852</v>
      </c>
      <c r="F202">
        <f ca="1">_xlfn.STDEV.P($B$2:B202)</f>
        <v>5.6166599495065919</v>
      </c>
      <c r="G202">
        <f t="shared" ca="1" si="10"/>
        <v>99.96905815126145</v>
      </c>
      <c r="H202">
        <f t="shared" ca="1" si="11"/>
        <v>88.735738252248254</v>
      </c>
    </row>
    <row r="203" spans="1:8" x14ac:dyDescent="0.25">
      <c r="A203" vm="591">
        <f ca="1"/>
        <v>45583</v>
      </c>
      <c r="B203" vm="592">
        <f ca="1"/>
        <v>106.76</v>
      </c>
      <c r="C203" vm="593">
        <f ca="1"/>
        <v>6365337</v>
      </c>
      <c r="D203">
        <f t="shared" ca="1" si="9"/>
        <v>679563378.12</v>
      </c>
      <c r="E203">
        <f ca="1">SUM($D$2:D203)/SUM($C$2:C203)</f>
        <v>94.564535429386424</v>
      </c>
      <c r="F203">
        <f ca="1">_xlfn.STDEV.P($B$2:B203)</f>
        <v>5.6687865895535499</v>
      </c>
      <c r="G203">
        <f t="shared" ca="1" si="10"/>
        <v>100.23332201893997</v>
      </c>
      <c r="H203">
        <f t="shared" ca="1" si="11"/>
        <v>88.895748839832876</v>
      </c>
    </row>
    <row r="204" spans="1:8" x14ac:dyDescent="0.25">
      <c r="A204" vm="594">
        <f ca="1"/>
        <v>45586</v>
      </c>
      <c r="B204" vm="595">
        <f ca="1"/>
        <v>106.26</v>
      </c>
      <c r="C204" vm="596">
        <f ca="1"/>
        <v>1405779</v>
      </c>
      <c r="D204">
        <f t="shared" ca="1" si="9"/>
        <v>149378076.54000002</v>
      </c>
      <c r="E204">
        <f ca="1">SUM($D$2:D204)/SUM($C$2:C204)</f>
        <v>94.60853063879911</v>
      </c>
      <c r="F204">
        <f ca="1">_xlfn.STDEV.P($B$2:B204)</f>
        <v>5.7141564135192802</v>
      </c>
      <c r="G204">
        <f t="shared" ca="1" si="10"/>
        <v>100.32268705231839</v>
      </c>
      <c r="H204">
        <f t="shared" ca="1" si="11"/>
        <v>88.894374225279833</v>
      </c>
    </row>
    <row r="205" spans="1:8" x14ac:dyDescent="0.25">
      <c r="A205" vm="597">
        <f ca="1"/>
        <v>45587</v>
      </c>
      <c r="B205" vm="598">
        <f ca="1"/>
        <v>105.7</v>
      </c>
      <c r="C205" vm="599">
        <f ca="1"/>
        <v>1207216</v>
      </c>
      <c r="D205">
        <f t="shared" ca="1" si="9"/>
        <v>127602731.2</v>
      </c>
      <c r="E205">
        <f ca="1">SUM($D$2:D205)/SUM($C$2:C205)</f>
        <v>94.644245111674991</v>
      </c>
      <c r="F205">
        <f ca="1">_xlfn.STDEV.P($B$2:B205)</f>
        <v>5.7527495523908945</v>
      </c>
      <c r="G205">
        <f t="shared" ca="1" si="10"/>
        <v>100.39699466406589</v>
      </c>
      <c r="H205">
        <f t="shared" ca="1" si="11"/>
        <v>88.891495559284095</v>
      </c>
    </row>
    <row r="206" spans="1:8" x14ac:dyDescent="0.25">
      <c r="A206" vm="600">
        <f ca="1"/>
        <v>45588</v>
      </c>
      <c r="B206" vm="601">
        <f ca="1"/>
        <v>107.4</v>
      </c>
      <c r="C206" vm="602">
        <f ca="1"/>
        <v>1663173</v>
      </c>
      <c r="D206">
        <f t="shared" ca="1" si="9"/>
        <v>178624780.20000002</v>
      </c>
      <c r="E206">
        <f ca="1">SUM($D$2:D206)/SUM($C$2:C206)</f>
        <v>94.700581814852029</v>
      </c>
      <c r="F206">
        <f ca="1">_xlfn.STDEV.P($B$2:B206)</f>
        <v>5.8071572070066049</v>
      </c>
      <c r="G206">
        <f t="shared" ca="1" si="10"/>
        <v>100.50773902185864</v>
      </c>
      <c r="H206">
        <f t="shared" ca="1" si="11"/>
        <v>88.893424607845418</v>
      </c>
    </row>
    <row r="207" spans="1:8" x14ac:dyDescent="0.25">
      <c r="A207" vm="603">
        <f ca="1"/>
        <v>45589</v>
      </c>
      <c r="B207" vm="604">
        <f ca="1"/>
        <v>107</v>
      </c>
      <c r="C207" vm="605">
        <f ca="1"/>
        <v>1127349</v>
      </c>
      <c r="D207">
        <f t="shared" ca="1" si="9"/>
        <v>120626343</v>
      </c>
      <c r="E207">
        <f ca="1">SUM($D$2:D207)/SUM($C$2:C207)</f>
        <v>94.737292508450921</v>
      </c>
      <c r="F207">
        <f ca="1">_xlfn.STDEV.P($B$2:B207)</f>
        <v>5.8557646358320374</v>
      </c>
      <c r="G207">
        <f t="shared" ca="1" si="10"/>
        <v>100.59305714428295</v>
      </c>
      <c r="H207">
        <f t="shared" ca="1" si="11"/>
        <v>88.881527872618889</v>
      </c>
    </row>
    <row r="208" spans="1:8" x14ac:dyDescent="0.25">
      <c r="A208" vm="606">
        <f ca="1"/>
        <v>45590</v>
      </c>
      <c r="B208" vm="607">
        <f ca="1"/>
        <v>104.6</v>
      </c>
      <c r="C208" vm="608">
        <f ca="1"/>
        <v>1734348</v>
      </c>
      <c r="D208">
        <f t="shared" ca="1" si="9"/>
        <v>181412800.79999998</v>
      </c>
      <c r="E208">
        <f ca="1">SUM($D$2:D208)/SUM($C$2:C208)</f>
        <v>94.782373389241428</v>
      </c>
      <c r="F208">
        <f ca="1">_xlfn.STDEV.P($B$2:B208)</f>
        <v>5.8812973819719465</v>
      </c>
      <c r="G208">
        <f t="shared" ca="1" si="10"/>
        <v>100.66367077121338</v>
      </c>
      <c r="H208">
        <f t="shared" ca="1" si="11"/>
        <v>88.901076007269481</v>
      </c>
    </row>
    <row r="209" spans="1:8" x14ac:dyDescent="0.25">
      <c r="A209" vm="609">
        <f ca="1"/>
        <v>45593</v>
      </c>
      <c r="B209" vm="610">
        <f ca="1"/>
        <v>104.81</v>
      </c>
      <c r="C209" vm="611">
        <f ca="1"/>
        <v>1204579</v>
      </c>
      <c r="D209">
        <f t="shared" ca="1" si="9"/>
        <v>126251924.99000001</v>
      </c>
      <c r="E209">
        <f ca="1">SUM($D$2:D209)/SUM($C$2:C209)</f>
        <v>94.814106810017122</v>
      </c>
      <c r="F209">
        <f ca="1">_xlfn.STDEV.P($B$2:B209)</f>
        <v>5.9077821255238456</v>
      </c>
      <c r="G209">
        <f t="shared" ca="1" si="10"/>
        <v>100.72188893554097</v>
      </c>
      <c r="H209">
        <f t="shared" ca="1" si="11"/>
        <v>88.906324684493271</v>
      </c>
    </row>
    <row r="210" spans="1:8" x14ac:dyDescent="0.25">
      <c r="A210" vm="612">
        <f ca="1"/>
        <v>45594</v>
      </c>
      <c r="B210" vm="613">
        <f ca="1"/>
        <v>102.91</v>
      </c>
      <c r="C210" vm="614">
        <f ca="1"/>
        <v>1452899</v>
      </c>
      <c r="D210">
        <f t="shared" ca="1" si="9"/>
        <v>149517836.09</v>
      </c>
      <c r="E210">
        <f ca="1">SUM($D$2:D210)/SUM($C$2:C210)</f>
        <v>94.844891097735371</v>
      </c>
      <c r="F210">
        <f ca="1">_xlfn.STDEV.P($B$2:B210)</f>
        <v>5.919769757114218</v>
      </c>
      <c r="G210">
        <f t="shared" ca="1" si="10"/>
        <v>100.76466085484959</v>
      </c>
      <c r="H210">
        <f t="shared" ca="1" si="11"/>
        <v>88.925121340621146</v>
      </c>
    </row>
    <row r="211" spans="1:8" x14ac:dyDescent="0.25">
      <c r="A211" vm="615">
        <f ca="1"/>
        <v>45595</v>
      </c>
      <c r="B211" vm="616">
        <f ca="1"/>
        <v>102.72</v>
      </c>
      <c r="C211" vm="617">
        <f ca="1"/>
        <v>1641332</v>
      </c>
      <c r="D211">
        <f t="shared" ca="1" si="9"/>
        <v>168597623.03999999</v>
      </c>
      <c r="E211">
        <f ca="1">SUM($D$2:D211)/SUM($C$2:C211)</f>
        <v>94.878574841363331</v>
      </c>
      <c r="F211">
        <f ca="1">_xlfn.STDEV.P($B$2:B211)</f>
        <v>5.9301702881332599</v>
      </c>
      <c r="G211">
        <f t="shared" ca="1" si="10"/>
        <v>100.80874512949659</v>
      </c>
      <c r="H211">
        <f t="shared" ca="1" si="11"/>
        <v>88.948404553230077</v>
      </c>
    </row>
    <row r="212" spans="1:8" x14ac:dyDescent="0.25">
      <c r="A212" vm="618">
        <f ca="1"/>
        <v>45596</v>
      </c>
      <c r="B212" vm="619">
        <f ca="1"/>
        <v>101.68</v>
      </c>
      <c r="C212" vm="620">
        <f ca="1"/>
        <v>3732407</v>
      </c>
      <c r="D212">
        <f t="shared" ca="1" si="9"/>
        <v>379511143.76000005</v>
      </c>
      <c r="E212">
        <f ca="1">SUM($D$2:D212)/SUM($C$2:C212)</f>
        <v>94.944091616897438</v>
      </c>
      <c r="F212">
        <f ca="1">_xlfn.STDEV.P($B$2:B212)</f>
        <v>5.9342197736901001</v>
      </c>
      <c r="G212">
        <f t="shared" ca="1" si="10"/>
        <v>100.87831139058754</v>
      </c>
      <c r="H212">
        <f t="shared" ca="1" si="11"/>
        <v>89.009871843207335</v>
      </c>
    </row>
    <row r="213" spans="1:8" x14ac:dyDescent="0.25">
      <c r="A213" vm="621">
        <f ca="1"/>
        <v>45597</v>
      </c>
      <c r="B213" vm="622">
        <f ca="1"/>
        <v>100</v>
      </c>
      <c r="C213" vm="623">
        <f ca="1"/>
        <v>2832691</v>
      </c>
      <c r="D213">
        <f t="shared" ca="1" si="9"/>
        <v>283269100</v>
      </c>
      <c r="E213">
        <f ca="1">SUM($D$2:D213)/SUM($C$2:C213)</f>
        <v>94.980785909486087</v>
      </c>
      <c r="F213">
        <f ca="1">_xlfn.STDEV.P($B$2:B213)</f>
        <v>5.9302502127928491</v>
      </c>
      <c r="G213">
        <f t="shared" ca="1" si="10"/>
        <v>100.91103612227894</v>
      </c>
      <c r="H213">
        <f t="shared" ca="1" si="11"/>
        <v>89.050535696693231</v>
      </c>
    </row>
    <row r="214" spans="1:8" x14ac:dyDescent="0.25">
      <c r="A214" vm="624">
        <f ca="1"/>
        <v>45600</v>
      </c>
      <c r="B214" vm="625">
        <f ca="1"/>
        <v>99.15</v>
      </c>
      <c r="C214" vm="626">
        <f ca="1"/>
        <v>2088316</v>
      </c>
      <c r="D214">
        <f t="shared" ca="1" si="9"/>
        <v>207056531.40000001</v>
      </c>
      <c r="E214">
        <f ca="1">SUM($D$2:D214)/SUM($C$2:C214)</f>
        <v>95.00297466910618</v>
      </c>
      <c r="F214">
        <f ca="1">_xlfn.STDEV.P($B$2:B214)</f>
        <v>5.9231469467230138</v>
      </c>
      <c r="G214">
        <f t="shared" ca="1" si="10"/>
        <v>100.92612161582919</v>
      </c>
      <c r="H214">
        <f t="shared" ca="1" si="11"/>
        <v>89.079827722383172</v>
      </c>
    </row>
    <row r="215" spans="1:8" x14ac:dyDescent="0.25">
      <c r="A215" vm="627">
        <f ca="1"/>
        <v>45601</v>
      </c>
      <c r="B215" vm="628">
        <f ca="1"/>
        <v>99.82</v>
      </c>
      <c r="C215" vm="629">
        <f ca="1"/>
        <v>2062310</v>
      </c>
      <c r="D215">
        <f t="shared" ca="1" si="9"/>
        <v>205859784.19999999</v>
      </c>
      <c r="E215">
        <f ca="1">SUM($D$2:D215)/SUM($C$2:C215)</f>
        <v>95.028159492782081</v>
      </c>
      <c r="F215">
        <f ca="1">_xlfn.STDEV.P($B$2:B215)</f>
        <v>5.9183955782853301</v>
      </c>
      <c r="G215">
        <f t="shared" ca="1" si="10"/>
        <v>100.94655507106741</v>
      </c>
      <c r="H215">
        <f t="shared" ca="1" si="11"/>
        <v>89.109763914496753</v>
      </c>
    </row>
    <row r="216" spans="1:8" x14ac:dyDescent="0.25">
      <c r="A216" vm="630">
        <f ca="1"/>
        <v>45602</v>
      </c>
      <c r="B216" vm="631">
        <f ca="1"/>
        <v>98.96</v>
      </c>
      <c r="C216" vm="632">
        <f ca="1"/>
        <v>3701796</v>
      </c>
      <c r="D216">
        <f t="shared" ca="1" si="9"/>
        <v>366329732.15999997</v>
      </c>
      <c r="E216">
        <f ca="1">SUM($D$2:D216)/SUM($C$2:C216)</f>
        <v>95.064715412190878</v>
      </c>
      <c r="F216">
        <f ca="1">_xlfn.STDEV.P($B$2:B216)</f>
        <v>5.9106647992292745</v>
      </c>
      <c r="G216">
        <f t="shared" ca="1" si="10"/>
        <v>100.97538021142016</v>
      </c>
      <c r="H216">
        <f t="shared" ca="1" si="11"/>
        <v>89.154050612961598</v>
      </c>
    </row>
    <row r="217" spans="1:8" x14ac:dyDescent="0.25">
      <c r="A217" vm="633">
        <f ca="1"/>
        <v>45603</v>
      </c>
      <c r="B217" vm="634">
        <f ca="1"/>
        <v>97.58</v>
      </c>
      <c r="C217" vm="635">
        <f ca="1"/>
        <v>3061381</v>
      </c>
      <c r="D217">
        <f t="shared" ca="1" si="9"/>
        <v>298729557.98000002</v>
      </c>
      <c r="E217">
        <f ca="1">SUM($D$2:D217)/SUM($C$2:C217)</f>
        <v>95.083907726843833</v>
      </c>
      <c r="F217">
        <f ca="1">_xlfn.STDEV.P($B$2:B217)</f>
        <v>5.8994689547851609</v>
      </c>
      <c r="G217">
        <f t="shared" ca="1" si="10"/>
        <v>100.983376681629</v>
      </c>
      <c r="H217">
        <f t="shared" ca="1" si="11"/>
        <v>89.18443877205867</v>
      </c>
    </row>
    <row r="218" spans="1:8" x14ac:dyDescent="0.25">
      <c r="A218" vm="636">
        <f ca="1"/>
        <v>45604</v>
      </c>
      <c r="B218" vm="637">
        <f ca="1"/>
        <v>98.13</v>
      </c>
      <c r="C218" vm="638">
        <f ca="1"/>
        <v>2915588</v>
      </c>
      <c r="D218">
        <f t="shared" ca="1" si="9"/>
        <v>286106650.44</v>
      </c>
      <c r="E218">
        <f ca="1">SUM($D$2:D218)/SUM($C$2:C218)</f>
        <v>95.105883668359084</v>
      </c>
      <c r="F218">
        <f ca="1">_xlfn.STDEV.P($B$2:B218)</f>
        <v>5.8895293424046313</v>
      </c>
      <c r="G218">
        <f t="shared" ca="1" si="10"/>
        <v>100.99541301076371</v>
      </c>
      <c r="H218">
        <f t="shared" ca="1" si="11"/>
        <v>89.216354325954455</v>
      </c>
    </row>
    <row r="219" spans="1:8" x14ac:dyDescent="0.25">
      <c r="A219" vm="639">
        <f ca="1"/>
        <v>45607</v>
      </c>
      <c r="B219" vm="640">
        <f ca="1"/>
        <v>98.48</v>
      </c>
      <c r="C219" vm="641">
        <f ca="1"/>
        <v>1968440</v>
      </c>
      <c r="D219">
        <f t="shared" ca="1" si="9"/>
        <v>193851971.20000002</v>
      </c>
      <c r="E219">
        <f ca="1">SUM($D$2:D219)/SUM($C$2:C219)</f>
        <v>95.122238658544561</v>
      </c>
      <c r="F219">
        <f ca="1">_xlfn.STDEV.P($B$2:B219)</f>
        <v>5.8805086647656744</v>
      </c>
      <c r="G219">
        <f t="shared" ca="1" si="10"/>
        <v>101.00274732331023</v>
      </c>
      <c r="H219">
        <f t="shared" ca="1" si="11"/>
        <v>89.24172999377889</v>
      </c>
    </row>
    <row r="220" spans="1:8" x14ac:dyDescent="0.25">
      <c r="A220" vm="642">
        <f ca="1"/>
        <v>45608</v>
      </c>
      <c r="B220" vm="643">
        <f ca="1"/>
        <v>97.04</v>
      </c>
      <c r="C220" vm="644">
        <f ca="1"/>
        <v>2682776</v>
      </c>
      <c r="D220">
        <f t="shared" ca="1" si="9"/>
        <v>260336583.04000002</v>
      </c>
      <c r="E220">
        <f ca="1">SUM($D$2:D220)/SUM($C$2:C220)</f>
        <v>95.134824649654206</v>
      </c>
      <c r="F220">
        <f ca="1">_xlfn.STDEV.P($B$2:B220)</f>
        <v>5.8685392744834548</v>
      </c>
      <c r="G220">
        <f t="shared" ca="1" si="10"/>
        <v>101.00336392413766</v>
      </c>
      <c r="H220">
        <f t="shared" ca="1" si="11"/>
        <v>89.266285375170753</v>
      </c>
    </row>
    <row r="221" spans="1:8" x14ac:dyDescent="0.25">
      <c r="A221" vm="645">
        <f ca="1"/>
        <v>45609</v>
      </c>
      <c r="B221" vm="646">
        <f ca="1"/>
        <v>95.41</v>
      </c>
      <c r="C221" vm="647">
        <f ca="1"/>
        <v>2129523</v>
      </c>
      <c r="D221">
        <f t="shared" ca="1" si="9"/>
        <v>203177789.43000001</v>
      </c>
      <c r="E221">
        <f ca="1">SUM($D$2:D221)/SUM($C$2:C221)</f>
        <v>95.136250729211511</v>
      </c>
      <c r="F221">
        <f ca="1">_xlfn.STDEV.P($B$2:B221)</f>
        <v>5.8552237359415988</v>
      </c>
      <c r="G221">
        <f t="shared" ca="1" si="10"/>
        <v>100.9914744651531</v>
      </c>
      <c r="H221">
        <f t="shared" ca="1" si="11"/>
        <v>89.281026993269919</v>
      </c>
    </row>
    <row r="222" spans="1:8" x14ac:dyDescent="0.25">
      <c r="A222" vm="648">
        <f ca="1"/>
        <v>45610</v>
      </c>
      <c r="B222" vm="649">
        <f ca="1"/>
        <v>95.24</v>
      </c>
      <c r="C222" vm="650">
        <f ca="1"/>
        <v>2112696</v>
      </c>
      <c r="D222">
        <f t="shared" ca="1" si="9"/>
        <v>201213167.03999999</v>
      </c>
      <c r="E222">
        <f ca="1">SUM($D$2:D222)/SUM($C$2:C222)</f>
        <v>95.136781426360628</v>
      </c>
      <c r="F222">
        <f ca="1">_xlfn.STDEV.P($B$2:B222)</f>
        <v>5.8419690575384706</v>
      </c>
      <c r="G222">
        <f t="shared" ca="1" si="10"/>
        <v>100.97875048389909</v>
      </c>
      <c r="H222">
        <f t="shared" ca="1" si="11"/>
        <v>89.294812368822164</v>
      </c>
    </row>
    <row r="223" spans="1:8" x14ac:dyDescent="0.25">
      <c r="A223" vm="651">
        <f ca="1"/>
        <v>45611</v>
      </c>
      <c r="B223" vm="417">
        <f ca="1"/>
        <v>96.44</v>
      </c>
      <c r="C223" vm="652">
        <f ca="1"/>
        <v>2239156</v>
      </c>
      <c r="D223">
        <f t="shared" ca="1" si="9"/>
        <v>215944204.63999999</v>
      </c>
      <c r="E223">
        <f ca="1">SUM($D$2:D223)/SUM($C$2:C223)</f>
        <v>95.143808559668258</v>
      </c>
      <c r="F223">
        <f ca="1">_xlfn.STDEV.P($B$2:B223)</f>
        <v>5.8294856427424202</v>
      </c>
      <c r="G223">
        <f t="shared" ca="1" si="10"/>
        <v>100.97329420241068</v>
      </c>
      <c r="H223">
        <f t="shared" ca="1" si="11"/>
        <v>89.314322916925832</v>
      </c>
    </row>
    <row r="224" spans="1:8" x14ac:dyDescent="0.25">
      <c r="A224" vm="653">
        <f ca="1"/>
        <v>45614</v>
      </c>
      <c r="B224" vm="654">
        <f ca="1"/>
        <v>96.45</v>
      </c>
      <c r="C224" vm="655">
        <f ca="1"/>
        <v>1838749</v>
      </c>
      <c r="D224">
        <f t="shared" ca="1" si="9"/>
        <v>177347341.05000001</v>
      </c>
      <c r="E224">
        <f ca="1">SUM($D$2:D224)/SUM($C$2:C224)</f>
        <v>95.149566764237747</v>
      </c>
      <c r="F224">
        <f ca="1">_xlfn.STDEV.P($B$2:B224)</f>
        <v>5.8170918557737341</v>
      </c>
      <c r="G224">
        <f t="shared" ca="1" si="10"/>
        <v>100.96665862001149</v>
      </c>
      <c r="H224">
        <f t="shared" ca="1" si="11"/>
        <v>89.332474908464008</v>
      </c>
    </row>
    <row r="225" spans="1:8" x14ac:dyDescent="0.25">
      <c r="A225" vm="656">
        <f ca="1"/>
        <v>45615</v>
      </c>
      <c r="B225" vm="657">
        <f ca="1"/>
        <v>96.97</v>
      </c>
      <c r="C225" vm="658">
        <f ca="1"/>
        <v>1861442</v>
      </c>
      <c r="D225">
        <f t="shared" ca="1" si="9"/>
        <v>180504030.74000001</v>
      </c>
      <c r="E225">
        <f ca="1">SUM($D$2:D225)/SUM($C$2:C225)</f>
        <v>95.157654895941477</v>
      </c>
      <c r="F225">
        <f ca="1">_xlfn.STDEV.P($B$2:B225)</f>
        <v>5.805411989561355</v>
      </c>
      <c r="G225">
        <f t="shared" ca="1" si="10"/>
        <v>100.96306688550283</v>
      </c>
      <c r="H225">
        <f t="shared" ca="1" si="11"/>
        <v>89.352242906380127</v>
      </c>
    </row>
    <row r="226" spans="1:8" x14ac:dyDescent="0.25">
      <c r="A226" vm="659">
        <f ca="1"/>
        <v>45616</v>
      </c>
      <c r="B226" vm="660">
        <f ca="1"/>
        <v>97.88</v>
      </c>
      <c r="C226" vm="661">
        <f ca="1"/>
        <v>2119615</v>
      </c>
      <c r="D226">
        <f t="shared" ca="1" si="9"/>
        <v>207467916.19999999</v>
      </c>
      <c r="E226">
        <f ca="1">SUM($D$2:D226)/SUM($C$2:C226)</f>
        <v>95.171358426547314</v>
      </c>
      <c r="F226">
        <f ca="1">_xlfn.STDEV.P($B$2:B226)</f>
        <v>5.7954013466191485</v>
      </c>
      <c r="G226">
        <f t="shared" ca="1" si="10"/>
        <v>100.96675977316646</v>
      </c>
      <c r="H226">
        <f t="shared" ca="1" si="11"/>
        <v>89.37595707992817</v>
      </c>
    </row>
    <row r="227" spans="1:8" x14ac:dyDescent="0.25">
      <c r="A227" vm="662">
        <f ca="1"/>
        <v>45617</v>
      </c>
      <c r="B227" vm="663">
        <f ca="1"/>
        <v>98.7</v>
      </c>
      <c r="C227" vm="664">
        <f ca="1"/>
        <v>1470557</v>
      </c>
      <c r="D227">
        <f t="shared" ca="1" si="9"/>
        <v>145143975.90000001</v>
      </c>
      <c r="E227">
        <f ca="1">SUM($D$2:D227)/SUM($C$2:C227)</f>
        <v>95.183638689519185</v>
      </c>
      <c r="F227">
        <f ca="1">_xlfn.STDEV.P($B$2:B227)</f>
        <v>5.7874066438914564</v>
      </c>
      <c r="G227">
        <f t="shared" ca="1" si="10"/>
        <v>100.97104533341064</v>
      </c>
      <c r="H227">
        <f t="shared" ca="1" si="11"/>
        <v>89.396232045627727</v>
      </c>
    </row>
    <row r="228" spans="1:8" x14ac:dyDescent="0.25">
      <c r="A228" vm="665">
        <f ca="1"/>
        <v>45618</v>
      </c>
      <c r="B228" vm="666">
        <f ca="1"/>
        <v>98.36</v>
      </c>
      <c r="C228" vm="667">
        <f ca="1"/>
        <v>1185988</v>
      </c>
      <c r="D228">
        <f t="shared" ca="1" si="9"/>
        <v>116653779.67999999</v>
      </c>
      <c r="E228">
        <f ca="1">SUM($D$2:D228)/SUM($C$2:C228)</f>
        <v>95.192528883062039</v>
      </c>
      <c r="F228">
        <f ca="1">_xlfn.STDEV.P($B$2:B228)</f>
        <v>5.7785567798168751</v>
      </c>
      <c r="G228">
        <f t="shared" ca="1" si="10"/>
        <v>100.97108566287892</v>
      </c>
      <c r="H228">
        <f t="shared" ca="1" si="11"/>
        <v>89.413972103245158</v>
      </c>
    </row>
    <row r="229" spans="1:8" x14ac:dyDescent="0.25">
      <c r="A229" vm="668">
        <f ca="1"/>
        <v>45621</v>
      </c>
      <c r="B229" vm="669">
        <f ca="1"/>
        <v>99.47</v>
      </c>
      <c r="C229" vm="670">
        <f ca="1"/>
        <v>3996180</v>
      </c>
      <c r="D229">
        <f t="shared" ca="1" si="9"/>
        <v>397500024.60000002</v>
      </c>
      <c r="E229">
        <f ca="1">SUM($D$2:D229)/SUM($C$2:C229)</f>
        <v>95.232491748654752</v>
      </c>
      <c r="F229">
        <f ca="1">_xlfn.STDEV.P($B$2:B229)</f>
        <v>5.7728871626487441</v>
      </c>
      <c r="G229">
        <f t="shared" ca="1" si="10"/>
        <v>101.0053789113035</v>
      </c>
      <c r="H229">
        <f t="shared" ca="1" si="11"/>
        <v>89.459604586006009</v>
      </c>
    </row>
    <row r="230" spans="1:8" x14ac:dyDescent="0.25">
      <c r="A230" vm="671">
        <f ca="1"/>
        <v>45622</v>
      </c>
      <c r="B230" vm="672">
        <f ca="1"/>
        <v>101.7</v>
      </c>
      <c r="C230" vm="673">
        <f ca="1"/>
        <v>2435337</v>
      </c>
      <c r="D230">
        <f t="shared" ca="1" si="9"/>
        <v>247673772.90000001</v>
      </c>
      <c r="E230">
        <f ca="1">SUM($D$2:D230)/SUM($C$2:C230)</f>
        <v>95.269106398568113</v>
      </c>
      <c r="F230">
        <f ca="1">_xlfn.STDEV.P($B$2:B230)</f>
        <v>5.7762749304246395</v>
      </c>
      <c r="G230">
        <f t="shared" ca="1" si="10"/>
        <v>101.04538132899275</v>
      </c>
      <c r="H230">
        <f t="shared" ca="1" si="11"/>
        <v>89.492831468143478</v>
      </c>
    </row>
    <row r="231" spans="1:8" x14ac:dyDescent="0.25">
      <c r="A231" vm="674">
        <f ca="1"/>
        <v>45623</v>
      </c>
      <c r="B231" vm="574">
        <f ca="1"/>
        <v>101.58</v>
      </c>
      <c r="C231" vm="675">
        <f ca="1"/>
        <v>1330448</v>
      </c>
      <c r="D231">
        <f t="shared" ca="1" si="9"/>
        <v>135146907.84</v>
      </c>
      <c r="E231">
        <f ca="1">SUM($D$2:D231)/SUM($C$2:C231)</f>
        <v>95.288564768806353</v>
      </c>
      <c r="F231">
        <f ca="1">_xlfn.STDEV.P($B$2:B231)</f>
        <v>5.778915132913923</v>
      </c>
      <c r="G231">
        <f t="shared" ca="1" si="10"/>
        <v>101.06747990172028</v>
      </c>
      <c r="H231">
        <f t="shared" ca="1" si="11"/>
        <v>89.50964963589243</v>
      </c>
    </row>
    <row r="232" spans="1:8" x14ac:dyDescent="0.25">
      <c r="A232" vm="676">
        <f ca="1"/>
        <v>45625</v>
      </c>
      <c r="B232" vm="677">
        <f ca="1"/>
        <v>100.59</v>
      </c>
      <c r="C232" vm="678">
        <f ca="1"/>
        <v>952343</v>
      </c>
      <c r="D232">
        <f t="shared" ca="1" si="9"/>
        <v>95796182.370000005</v>
      </c>
      <c r="E232">
        <f ca="1">SUM($D$2:D232)/SUM($C$2:C232)</f>
        <v>95.300239505704127</v>
      </c>
      <c r="F232">
        <f ca="1">_xlfn.STDEV.P($B$2:B232)</f>
        <v>5.7770840335467666</v>
      </c>
      <c r="G232">
        <f t="shared" ca="1" si="10"/>
        <v>101.0773235392509</v>
      </c>
      <c r="H232">
        <f t="shared" ca="1" si="11"/>
        <v>89.523155472157356</v>
      </c>
    </row>
    <row r="233" spans="1:8" x14ac:dyDescent="0.25">
      <c r="A233" vm="679">
        <f ca="1"/>
        <v>45628</v>
      </c>
      <c r="B233" vm="680">
        <f ca="1"/>
        <v>98.5</v>
      </c>
      <c r="C233" vm="681">
        <f ca="1"/>
        <v>1911596</v>
      </c>
      <c r="D233">
        <f t="shared" ca="1" si="9"/>
        <v>188292206</v>
      </c>
      <c r="E233">
        <f ca="1">SUM($D$2:D233)/SUM($C$2:C233)</f>
        <v>95.314321310883358</v>
      </c>
      <c r="F233">
        <f ca="1">_xlfn.STDEV.P($B$2:B233)</f>
        <v>5.7685208606937213</v>
      </c>
      <c r="G233">
        <f t="shared" ca="1" si="10"/>
        <v>101.08284217157708</v>
      </c>
      <c r="H233">
        <f t="shared" ca="1" si="11"/>
        <v>89.545800450189631</v>
      </c>
    </row>
    <row r="234" spans="1:8" x14ac:dyDescent="0.25">
      <c r="A234" vm="682">
        <f ca="1"/>
        <v>45629</v>
      </c>
      <c r="B234" vm="683">
        <f ca="1"/>
        <v>97.53</v>
      </c>
      <c r="C234" vm="684">
        <f ca="1"/>
        <v>1535995</v>
      </c>
      <c r="D234">
        <f t="shared" ca="1" si="9"/>
        <v>149805592.34999999</v>
      </c>
      <c r="E234">
        <f ca="1">SUM($D$2:D234)/SUM($C$2:C234)</f>
        <v>95.322128744383008</v>
      </c>
      <c r="F234">
        <f ca="1">_xlfn.STDEV.P($B$2:B234)</f>
        <v>5.7580139438631912</v>
      </c>
      <c r="G234">
        <f t="shared" ca="1" si="10"/>
        <v>101.0801426882462</v>
      </c>
      <c r="H234">
        <f t="shared" ca="1" si="11"/>
        <v>89.564114800519818</v>
      </c>
    </row>
    <row r="235" spans="1:8" x14ac:dyDescent="0.25">
      <c r="A235" vm="685">
        <f ca="1"/>
        <v>45630</v>
      </c>
      <c r="B235" vm="686">
        <f ca="1"/>
        <v>96.62</v>
      </c>
      <c r="C235" vm="687">
        <f ca="1"/>
        <v>5090667</v>
      </c>
      <c r="D235">
        <f t="shared" ca="1" si="9"/>
        <v>491860245.54000002</v>
      </c>
      <c r="E235">
        <f ca="1">SUM($D$2:D235)/SUM($C$2:C235)</f>
        <v>95.337110941322763</v>
      </c>
      <c r="F235">
        <f ca="1">_xlfn.STDEV.P($B$2:B235)</f>
        <v>5.7463563271050084</v>
      </c>
      <c r="G235">
        <f t="shared" ca="1" si="10"/>
        <v>101.08346726842777</v>
      </c>
      <c r="H235">
        <f t="shared" ca="1" si="11"/>
        <v>89.590754614217758</v>
      </c>
    </row>
    <row r="236" spans="1:8" x14ac:dyDescent="0.25">
      <c r="A236" vm="688">
        <f ca="1"/>
        <v>45631</v>
      </c>
      <c r="B236" vm="689">
        <f ca="1"/>
        <v>96.5</v>
      </c>
      <c r="C236" vm="690">
        <f ca="1"/>
        <v>2615839</v>
      </c>
      <c r="D236">
        <f t="shared" ca="1" si="9"/>
        <v>252428463.5</v>
      </c>
      <c r="E236">
        <f ca="1">SUM($D$2:D236)/SUM($C$2:C236)</f>
        <v>95.343968191474957</v>
      </c>
      <c r="F236">
        <f ca="1">_xlfn.STDEV.P($B$2:B236)</f>
        <v>5.734656472720725</v>
      </c>
      <c r="G236">
        <f t="shared" ca="1" si="10"/>
        <v>101.07862466419569</v>
      </c>
      <c r="H236">
        <f t="shared" ca="1" si="11"/>
        <v>89.609311718754228</v>
      </c>
    </row>
    <row r="237" spans="1:8" x14ac:dyDescent="0.25">
      <c r="A237" vm="691">
        <f ca="1"/>
        <v>45632</v>
      </c>
      <c r="B237" vm="692">
        <f ca="1"/>
        <v>94.82</v>
      </c>
      <c r="C237" vm="693">
        <f ca="1"/>
        <v>2813525</v>
      </c>
      <c r="D237">
        <f t="shared" ca="1" si="9"/>
        <v>266778440.49999997</v>
      </c>
      <c r="E237">
        <f ca="1">SUM($D$2:D237)/SUM($C$2:C237)</f>
        <v>95.340665936204502</v>
      </c>
      <c r="F237">
        <f ca="1">_xlfn.STDEV.P($B$2:B237)</f>
        <v>5.7225776774410351</v>
      </c>
      <c r="G237">
        <f t="shared" ca="1" si="10"/>
        <v>101.06324361364554</v>
      </c>
      <c r="H237">
        <f t="shared" ca="1" si="11"/>
        <v>89.618088258763464</v>
      </c>
    </row>
    <row r="238" spans="1:8" x14ac:dyDescent="0.25">
      <c r="A238" vm="694">
        <f ca="1"/>
        <v>45635</v>
      </c>
      <c r="B238" vm="695">
        <f ca="1"/>
        <v>94.78</v>
      </c>
      <c r="C238" vm="696">
        <f ca="1"/>
        <v>2529568</v>
      </c>
      <c r="D238">
        <f t="shared" ca="1" si="9"/>
        <v>239752455.03999999</v>
      </c>
      <c r="E238">
        <f ca="1">SUM($D$2:D238)/SUM($C$2:C238)</f>
        <v>95.337506922113661</v>
      </c>
      <c r="F238">
        <f ca="1">_xlfn.STDEV.P($B$2:B238)</f>
        <v>5.7105894417278744</v>
      </c>
      <c r="G238">
        <f t="shared" ca="1" si="10"/>
        <v>101.04809636384154</v>
      </c>
      <c r="H238">
        <f t="shared" ca="1" si="11"/>
        <v>89.626917480385785</v>
      </c>
    </row>
    <row r="239" spans="1:8" x14ac:dyDescent="0.25">
      <c r="A239" vm="697">
        <f ca="1"/>
        <v>45636</v>
      </c>
      <c r="B239" vm="698">
        <f ca="1"/>
        <v>94.69</v>
      </c>
      <c r="C239" vm="699">
        <f ca="1"/>
        <v>1695783</v>
      </c>
      <c r="D239">
        <f t="shared" ca="1" si="9"/>
        <v>160573692.27000001</v>
      </c>
      <c r="E239">
        <f ca="1">SUM($D$2:D239)/SUM($C$2:C239)</f>
        <v>95.335070354908808</v>
      </c>
      <c r="F239">
        <f ca="1">_xlfn.STDEV.P($B$2:B239)</f>
        <v>5.6987130714314347</v>
      </c>
      <c r="G239">
        <f t="shared" ca="1" si="10"/>
        <v>101.03378342634025</v>
      </c>
      <c r="H239">
        <f t="shared" ca="1" si="11"/>
        <v>89.636357283477366</v>
      </c>
    </row>
    <row r="240" spans="1:8" x14ac:dyDescent="0.25">
      <c r="A240" vm="700">
        <f ca="1"/>
        <v>45637</v>
      </c>
      <c r="B240" vm="701">
        <f ca="1"/>
        <v>92.75</v>
      </c>
      <c r="C240" vm="702">
        <f ca="1"/>
        <v>2352368</v>
      </c>
      <c r="D240">
        <f t="shared" ca="1" si="9"/>
        <v>218182132</v>
      </c>
      <c r="E240">
        <f ca="1">SUM($D$2:D240)/SUM($C$2:C240)</f>
        <v>95.321646408208167</v>
      </c>
      <c r="F240">
        <f ca="1">_xlfn.STDEV.P($B$2:B240)</f>
        <v>5.6891416497800487</v>
      </c>
      <c r="G240">
        <f t="shared" ca="1" si="10"/>
        <v>101.01078805798822</v>
      </c>
      <c r="H240">
        <f t="shared" ca="1" si="11"/>
        <v>89.632504758428112</v>
      </c>
    </row>
    <row r="241" spans="1:8" x14ac:dyDescent="0.25">
      <c r="A241" vm="703">
        <f ca="1"/>
        <v>45638</v>
      </c>
      <c r="B241" vm="704">
        <f ca="1"/>
        <v>92.61</v>
      </c>
      <c r="C241" vm="705">
        <f ca="1"/>
        <v>2300218</v>
      </c>
      <c r="D241">
        <f t="shared" ca="1" si="9"/>
        <v>213023188.97999999</v>
      </c>
      <c r="E241">
        <f ca="1">SUM($D$2:D241)/SUM($C$2:C241)</f>
        <v>95.307946899766719</v>
      </c>
      <c r="F241">
        <f ca="1">_xlfn.STDEV.P($B$2:B241)</f>
        <v>5.6798802802756221</v>
      </c>
      <c r="G241">
        <f t="shared" ca="1" si="10"/>
        <v>100.98782718004234</v>
      </c>
      <c r="H241">
        <f t="shared" ca="1" si="11"/>
        <v>89.628066619491094</v>
      </c>
    </row>
    <row r="242" spans="1:8" x14ac:dyDescent="0.25">
      <c r="A242" vm="706">
        <f ca="1"/>
        <v>45639</v>
      </c>
      <c r="B242" vm="707">
        <f ca="1"/>
        <v>92.69</v>
      </c>
      <c r="C242" vm="708">
        <f ca="1"/>
        <v>1868498</v>
      </c>
      <c r="D242">
        <f t="shared" ca="1" si="9"/>
        <v>173191079.62</v>
      </c>
      <c r="E242">
        <f ca="1">SUM($D$2:D242)/SUM($C$2:C242)</f>
        <v>95.297247048262236</v>
      </c>
      <c r="F242">
        <f ca="1">_xlfn.STDEV.P($B$2:B242)</f>
        <v>5.670506649354258</v>
      </c>
      <c r="G242">
        <f t="shared" ca="1" si="10"/>
        <v>100.96775369761649</v>
      </c>
      <c r="H242">
        <f t="shared" ca="1" si="11"/>
        <v>89.626740398907984</v>
      </c>
    </row>
    <row r="243" spans="1:8" x14ac:dyDescent="0.25">
      <c r="A243" vm="709">
        <f ca="1"/>
        <v>45642</v>
      </c>
      <c r="B243" vm="710">
        <f ca="1"/>
        <v>91.26</v>
      </c>
      <c r="C243" vm="711">
        <f ca="1"/>
        <v>3004564</v>
      </c>
      <c r="D243">
        <f t="shared" ca="1" si="9"/>
        <v>274196510.63999999</v>
      </c>
      <c r="E243">
        <f ca="1">SUM($D$2:D243)/SUM($C$2:C243)</f>
        <v>95.270887002134927</v>
      </c>
      <c r="F243">
        <f ca="1">_xlfn.STDEV.P($B$2:B243)</f>
        <v>5.6645863498695785</v>
      </c>
      <c r="G243">
        <f t="shared" ca="1" si="10"/>
        <v>100.93547335200451</v>
      </c>
      <c r="H243">
        <f t="shared" ca="1" si="11"/>
        <v>89.606300652265347</v>
      </c>
    </row>
    <row r="244" spans="1:8" x14ac:dyDescent="0.25">
      <c r="A244" vm="712">
        <f ca="1"/>
        <v>45643</v>
      </c>
      <c r="B244" vm="713">
        <f ca="1"/>
        <v>90.84</v>
      </c>
      <c r="C244" vm="714">
        <f ca="1"/>
        <v>2172159</v>
      </c>
      <c r="D244">
        <f t="shared" ca="1" si="9"/>
        <v>197318923.56</v>
      </c>
      <c r="E244">
        <f ca="1">SUM($D$2:D244)/SUM($C$2:C244)</f>
        <v>95.250070081621018</v>
      </c>
      <c r="F244">
        <f ca="1">_xlfn.STDEV.P($B$2:B244)</f>
        <v>5.6599357507247339</v>
      </c>
      <c r="G244">
        <f t="shared" ca="1" si="10"/>
        <v>100.91000583234575</v>
      </c>
      <c r="H244">
        <f t="shared" ca="1" si="11"/>
        <v>89.590134330896291</v>
      </c>
    </row>
    <row r="245" spans="1:8" x14ac:dyDescent="0.25">
      <c r="A245" vm="715">
        <f ca="1"/>
        <v>45644</v>
      </c>
      <c r="B245" vm="716">
        <f ca="1"/>
        <v>88.87</v>
      </c>
      <c r="C245" vm="717">
        <f ca="1"/>
        <v>2677519</v>
      </c>
      <c r="D245">
        <f t="shared" ca="1" si="9"/>
        <v>237951113.53</v>
      </c>
      <c r="E245">
        <f ca="1">SUM($D$2:D245)/SUM($C$2:C245)</f>
        <v>95.213334714307067</v>
      </c>
      <c r="F245">
        <f ca="1">_xlfn.STDEV.P($B$2:B245)</f>
        <v>5.6628892565776718</v>
      </c>
      <c r="G245">
        <f t="shared" ca="1" si="10"/>
        <v>100.87622397088474</v>
      </c>
      <c r="H245">
        <f t="shared" ca="1" si="11"/>
        <v>89.550445457729396</v>
      </c>
    </row>
    <row r="246" spans="1:8" x14ac:dyDescent="0.25">
      <c r="A246" vm="718">
        <f ca="1"/>
        <v>45645</v>
      </c>
      <c r="B246" vm="719">
        <f ca="1"/>
        <v>89.07</v>
      </c>
      <c r="C246" vm="720">
        <f ca="1"/>
        <v>2555753</v>
      </c>
      <c r="D246">
        <f t="shared" ca="1" si="9"/>
        <v>227640919.70999998</v>
      </c>
      <c r="E246">
        <f ca="1">SUM($D$2:D246)/SUM($C$2:C246)</f>
        <v>95.179755611025655</v>
      </c>
      <c r="F246">
        <f ca="1">_xlfn.STDEV.P($B$2:B246)</f>
        <v>5.6648053439789825</v>
      </c>
      <c r="G246">
        <f t="shared" ca="1" si="10"/>
        <v>100.84456095500464</v>
      </c>
      <c r="H246">
        <f t="shared" ca="1" si="11"/>
        <v>89.514950267046672</v>
      </c>
    </row>
    <row r="247" spans="1:8" x14ac:dyDescent="0.25">
      <c r="A247" vm="721">
        <f ca="1"/>
        <v>45646</v>
      </c>
      <c r="B247" vm="722">
        <f ca="1"/>
        <v>90.03</v>
      </c>
      <c r="C247" vm="723">
        <f ca="1"/>
        <v>4876371</v>
      </c>
      <c r="D247">
        <f t="shared" ca="1" si="9"/>
        <v>439019681.13</v>
      </c>
      <c r="E247">
        <f ca="1">SUM($D$2:D247)/SUM($C$2:C247)</f>
        <v>95.126603123675551</v>
      </c>
      <c r="F247">
        <f ca="1">_xlfn.STDEV.P($B$2:B247)</f>
        <v>5.6627389469981244</v>
      </c>
      <c r="G247">
        <f t="shared" ca="1" si="10"/>
        <v>100.78934207067367</v>
      </c>
      <c r="H247">
        <f t="shared" ca="1" si="11"/>
        <v>89.463864176677433</v>
      </c>
    </row>
    <row r="248" spans="1:8" x14ac:dyDescent="0.25">
      <c r="A248" vm="724">
        <f ca="1"/>
        <v>45649</v>
      </c>
      <c r="B248" vm="50">
        <f ca="1"/>
        <v>89.67</v>
      </c>
      <c r="C248" vm="725">
        <f ca="1"/>
        <v>1979057</v>
      </c>
      <c r="D248">
        <f t="shared" ca="1" si="9"/>
        <v>177462041.19</v>
      </c>
      <c r="E248">
        <f ca="1">SUM($D$2:D248)/SUM($C$2:C248)</f>
        <v>95.103841381847005</v>
      </c>
      <c r="F248">
        <f ca="1">_xlfn.STDEV.P($B$2:B248)</f>
        <v>5.6619715023637891</v>
      </c>
      <c r="G248">
        <f t="shared" ca="1" si="10"/>
        <v>100.76581288421079</v>
      </c>
      <c r="H248">
        <f t="shared" ca="1" si="11"/>
        <v>89.441869879483221</v>
      </c>
    </row>
    <row r="249" spans="1:8" x14ac:dyDescent="0.25">
      <c r="A249" vm="726">
        <f ca="1"/>
        <v>45650</v>
      </c>
      <c r="B249" vm="727">
        <f ca="1"/>
        <v>89.58</v>
      </c>
      <c r="C249" vm="728">
        <f ca="1"/>
        <v>653911</v>
      </c>
      <c r="D249">
        <f t="shared" ca="1" si="9"/>
        <v>58577347.379999995</v>
      </c>
      <c r="E249">
        <f ca="1">SUM($D$2:D249)/SUM($C$2:C249)</f>
        <v>95.096238355598828</v>
      </c>
      <c r="F249">
        <f ca="1">_xlfn.STDEV.P($B$2:B249)</f>
        <v>5.6614755989349739</v>
      </c>
      <c r="G249">
        <f t="shared" ca="1" si="10"/>
        <v>100.7577139545338</v>
      </c>
      <c r="H249">
        <f t="shared" ca="1" si="11"/>
        <v>89.434762756663858</v>
      </c>
    </row>
    <row r="250" spans="1:8" x14ac:dyDescent="0.25">
      <c r="A250" vm="729">
        <f ca="1"/>
        <v>45652</v>
      </c>
      <c r="B250" vm="730">
        <f ca="1"/>
        <v>89.59</v>
      </c>
      <c r="C250" vm="731">
        <f ca="1"/>
        <v>1879775</v>
      </c>
      <c r="D250">
        <f t="shared" ca="1" si="9"/>
        <v>168409042.25</v>
      </c>
      <c r="E250">
        <f ca="1">SUM($D$2:D250)/SUM($C$2:C250)</f>
        <v>95.074537715502359</v>
      </c>
      <c r="F250">
        <f ca="1">_xlfn.STDEV.P($B$2:B250)</f>
        <v>5.6608572519841456</v>
      </c>
      <c r="G250">
        <f t="shared" ca="1" si="10"/>
        <v>100.7353949674865</v>
      </c>
      <c r="H250">
        <f t="shared" ca="1" si="11"/>
        <v>89.413680463518219</v>
      </c>
    </row>
    <row r="251" spans="1:8" x14ac:dyDescent="0.25">
      <c r="A251" vm="732">
        <f ca="1"/>
        <v>45653</v>
      </c>
      <c r="B251" vm="733">
        <f ca="1"/>
        <v>89.56</v>
      </c>
      <c r="C251" vm="734">
        <f ca="1"/>
        <v>1319594</v>
      </c>
      <c r="D251">
        <f t="shared" ca="1" si="9"/>
        <v>118182838.64</v>
      </c>
      <c r="E251">
        <f ca="1">SUM($D$2:D251)/SUM($C$2:C251)</f>
        <v>95.059323091104687</v>
      </c>
      <c r="F251">
        <f ca="1">_xlfn.STDEV.P($B$2:B251)</f>
        <v>5.6602744421096762</v>
      </c>
      <c r="G251">
        <f t="shared" ca="1" si="10"/>
        <v>100.71959753321437</v>
      </c>
      <c r="H251">
        <f t="shared" ca="1" si="11"/>
        <v>89.399048648995006</v>
      </c>
    </row>
    <row r="252" spans="1:8" x14ac:dyDescent="0.25">
      <c r="A252" vm="735">
        <f ca="1"/>
        <v>45656</v>
      </c>
      <c r="B252" vm="736">
        <f ca="1"/>
        <v>89.16</v>
      </c>
      <c r="C252" vm="737">
        <f ca="1"/>
        <v>1377975</v>
      </c>
      <c r="D252">
        <f t="shared" ca="1" si="9"/>
        <v>122860251</v>
      </c>
      <c r="E252">
        <f ca="1">SUM($D$2:D252)/SUM($C$2:C252)</f>
        <v>95.042375581820409</v>
      </c>
      <c r="F252">
        <f ca="1">_xlfn.STDEV.P($B$2:B252)</f>
        <v>5.6612099653215502</v>
      </c>
      <c r="G252">
        <f t="shared" ca="1" si="10"/>
        <v>100.70358554714196</v>
      </c>
      <c r="H252">
        <f t="shared" ca="1" si="11"/>
        <v>89.381165616498862</v>
      </c>
    </row>
    <row r="253" spans="1:8" x14ac:dyDescent="0.25">
      <c r="A253" vm="738">
        <f ca="1"/>
        <v>45657</v>
      </c>
      <c r="B253" vm="739">
        <f ca="1"/>
        <v>89.23</v>
      </c>
      <c r="C253" vm="740">
        <f ca="1"/>
        <v>1640959</v>
      </c>
      <c r="D253">
        <f t="shared" ca="1" si="9"/>
        <v>146422771.56999999</v>
      </c>
      <c r="E253">
        <f ca="1">SUM($D$2:D253)/SUM($C$2:C253)</f>
        <v>95.022558917627904</v>
      </c>
      <c r="F253">
        <f ca="1">_xlfn.STDEV.P($B$2:B253)</f>
        <v>5.6617558547486446</v>
      </c>
      <c r="G253">
        <f t="shared" ca="1" si="10"/>
        <v>100.68431477237655</v>
      </c>
      <c r="H253">
        <f t="shared" ca="1" si="11"/>
        <v>89.360803062879256</v>
      </c>
    </row>
    <row r="254" spans="1:8" x14ac:dyDescent="0.25">
      <c r="A254" vm="741">
        <f ca="1"/>
        <v>45659</v>
      </c>
      <c r="B254" vm="742">
        <f ca="1"/>
        <v>89.03</v>
      </c>
      <c r="C254" vm="743">
        <f ca="1"/>
        <v>1557946</v>
      </c>
      <c r="D254">
        <f t="shared" ca="1" si="9"/>
        <v>138703932.38</v>
      </c>
      <c r="E254">
        <f ca="1">SUM($D$2:D254)/SUM($C$2:C254)</f>
        <v>95.00322408760205</v>
      </c>
      <c r="F254">
        <f ca="1">_xlfn.STDEV.P($B$2:B254)</f>
        <v>5.6630230519038252</v>
      </c>
      <c r="G254">
        <f t="shared" ca="1" si="10"/>
        <v>100.66624713950587</v>
      </c>
      <c r="H254">
        <f t="shared" ca="1" si="11"/>
        <v>89.340201035698229</v>
      </c>
    </row>
    <row r="255" spans="1:8" x14ac:dyDescent="0.25">
      <c r="A255" vm="744">
        <f ca="1"/>
        <v>45660</v>
      </c>
      <c r="B255" vm="745">
        <f ca="1"/>
        <v>89.24</v>
      </c>
      <c r="C255" vm="746">
        <f ca="1"/>
        <v>1954733</v>
      </c>
      <c r="D255">
        <f t="shared" ca="1" si="9"/>
        <v>174440372.91999999</v>
      </c>
      <c r="E255">
        <f ca="1">SUM($D$2:D255)/SUM($C$2:C255)</f>
        <v>94.979987410126299</v>
      </c>
      <c r="F255">
        <f ca="1">_xlfn.STDEV.P($B$2:B255)</f>
        <v>5.663330725498894</v>
      </c>
      <c r="G255">
        <f t="shared" ca="1" si="10"/>
        <v>100.64331813562519</v>
      </c>
      <c r="H255">
        <f t="shared" ca="1" si="11"/>
        <v>89.316656684627404</v>
      </c>
    </row>
    <row r="256" spans="1:8" x14ac:dyDescent="0.25">
      <c r="A256" vm="747">
        <f ca="1"/>
        <v>45663</v>
      </c>
      <c r="B256" vm="748">
        <f ca="1"/>
        <v>88.37</v>
      </c>
      <c r="C256" vm="749">
        <f ca="1"/>
        <v>1981278</v>
      </c>
      <c r="D256">
        <f t="shared" ca="1" si="9"/>
        <v>175085536.86000001</v>
      </c>
      <c r="E256">
        <f ca="1">SUM($D$2:D256)/SUM($C$2:C256)</f>
        <v>94.953084705749035</v>
      </c>
      <c r="F256">
        <f ca="1">_xlfn.STDEV.P($B$2:B256)</f>
        <v>5.6672441562040055</v>
      </c>
      <c r="G256">
        <f t="shared" ca="1" si="10"/>
        <v>100.62032886195304</v>
      </c>
      <c r="H256">
        <f t="shared" ca="1" si="11"/>
        <v>89.285840549545028</v>
      </c>
    </row>
    <row r="257" spans="1:8" x14ac:dyDescent="0.25">
      <c r="A257" vm="750">
        <f ca="1"/>
        <v>45664</v>
      </c>
      <c r="B257" vm="751">
        <f ca="1"/>
        <v>88</v>
      </c>
      <c r="C257" vm="752">
        <f ca="1"/>
        <v>2861220</v>
      </c>
      <c r="D257">
        <f t="shared" ca="1" si="9"/>
        <v>251787360</v>
      </c>
      <c r="E257">
        <f ca="1">SUM($D$2:D257)/SUM($C$2:C257)</f>
        <v>94.912455950329942</v>
      </c>
      <c r="F257">
        <f ca="1">_xlfn.STDEV.P($B$2:B257)</f>
        <v>5.6727230937693394</v>
      </c>
      <c r="G257">
        <f t="shared" ca="1" si="10"/>
        <v>100.58517904409928</v>
      </c>
      <c r="H257">
        <f t="shared" ca="1" si="11"/>
        <v>89.239732856560607</v>
      </c>
    </row>
    <row r="258" spans="1:8" x14ac:dyDescent="0.25">
      <c r="A258" vm="753">
        <f ca="1"/>
        <v>45665</v>
      </c>
      <c r="B258" vm="754">
        <f ca="1"/>
        <v>89.01</v>
      </c>
      <c r="C258" vm="755">
        <f ca="1"/>
        <v>1793238</v>
      </c>
      <c r="D258">
        <f t="shared" ca="1" si="9"/>
        <v>159616114.38</v>
      </c>
      <c r="E258">
        <f ca="1">SUM($D$2:D258)/SUM($C$2:C258)</f>
        <v>94.890918818612477</v>
      </c>
      <c r="F258">
        <f ca="1">_xlfn.STDEV.P($B$2:B258)</f>
        <v>5.6736041572348164</v>
      </c>
      <c r="G258">
        <f t="shared" ca="1" si="10"/>
        <v>100.5645229758473</v>
      </c>
      <c r="H258">
        <f t="shared" ca="1" si="11"/>
        <v>89.217314661377657</v>
      </c>
    </row>
    <row r="259" spans="1:8" x14ac:dyDescent="0.25">
      <c r="A259" vm="756">
        <f ca="1"/>
        <v>45667</v>
      </c>
      <c r="B259" vm="757">
        <f ca="1"/>
        <v>88.15</v>
      </c>
      <c r="C259" vm="758">
        <f ca="1"/>
        <v>2243180</v>
      </c>
      <c r="D259">
        <f t="shared" ref="D259:D322" ca="1" si="12">B259*C259</f>
        <v>197736317</v>
      </c>
      <c r="E259">
        <f ca="1">SUM($D$2:D259)/SUM($C$2:C259)</f>
        <v>94.860290537484062</v>
      </c>
      <c r="F259">
        <f ca="1">_xlfn.STDEV.P($B$2:B259)</f>
        <v>5.6780793614797505</v>
      </c>
      <c r="G259">
        <f t="shared" ref="G259:G322" ca="1" si="13">E259 + F259</f>
        <v>100.53836989896381</v>
      </c>
      <c r="H259">
        <f t="shared" ref="H259:H322" ca="1" si="14">E259 - F259</f>
        <v>89.182211176004316</v>
      </c>
    </row>
    <row r="260" spans="1:8" x14ac:dyDescent="0.25">
      <c r="A260" vm="759">
        <f ca="1"/>
        <v>45670</v>
      </c>
      <c r="B260" vm="760">
        <f ca="1"/>
        <v>88.47</v>
      </c>
      <c r="C260" vm="761">
        <f ca="1"/>
        <v>1883715</v>
      </c>
      <c r="D260">
        <f t="shared" ca="1" si="12"/>
        <v>166652266.05000001</v>
      </c>
      <c r="E260">
        <f ca="1">SUM($D$2:D260)/SUM($C$2:C260)</f>
        <v>94.836000885389367</v>
      </c>
      <c r="F260">
        <f ca="1">_xlfn.STDEV.P($B$2:B260)</f>
        <v>5.6809772898730664</v>
      </c>
      <c r="G260">
        <f t="shared" ca="1" si="13"/>
        <v>100.51697817526244</v>
      </c>
      <c r="H260">
        <f t="shared" ca="1" si="14"/>
        <v>89.155023595516298</v>
      </c>
    </row>
    <row r="261" spans="1:8" x14ac:dyDescent="0.25">
      <c r="A261" vm="762">
        <f ca="1"/>
        <v>45671</v>
      </c>
      <c r="B261" vm="763">
        <f ca="1"/>
        <v>89.37</v>
      </c>
      <c r="C261" vm="764">
        <f ca="1"/>
        <v>2103980</v>
      </c>
      <c r="D261">
        <f t="shared" ca="1" si="12"/>
        <v>188032692.60000002</v>
      </c>
      <c r="E261">
        <f ca="1">SUM($D$2:D261)/SUM($C$2:C261)</f>
        <v>94.812893175194276</v>
      </c>
      <c r="F261">
        <f ca="1">_xlfn.STDEV.P($B$2:B261)</f>
        <v>5.6801511506890874</v>
      </c>
      <c r="G261">
        <f t="shared" ca="1" si="13"/>
        <v>100.49304432588336</v>
      </c>
      <c r="H261">
        <f t="shared" ca="1" si="14"/>
        <v>89.132742024505191</v>
      </c>
    </row>
    <row r="262" spans="1:8" x14ac:dyDescent="0.25">
      <c r="A262" vm="765">
        <f ca="1"/>
        <v>45672</v>
      </c>
      <c r="B262" vm="766">
        <f ca="1"/>
        <v>90.23</v>
      </c>
      <c r="C262" vm="767">
        <f ca="1"/>
        <v>1972026</v>
      </c>
      <c r="D262">
        <f t="shared" ca="1" si="12"/>
        <v>177935905.98000002</v>
      </c>
      <c r="E262">
        <f ca="1">SUM($D$2:D262)/SUM($C$2:C262)</f>
        <v>94.794805592475797</v>
      </c>
      <c r="F262">
        <f ca="1">_xlfn.STDEV.P($B$2:B262)</f>
        <v>5.6763511536736155</v>
      </c>
      <c r="G262">
        <f t="shared" ca="1" si="13"/>
        <v>100.47115674614942</v>
      </c>
      <c r="H262">
        <f t="shared" ca="1" si="14"/>
        <v>89.118454438802175</v>
      </c>
    </row>
    <row r="263" spans="1:8" x14ac:dyDescent="0.25">
      <c r="A263" vm="768">
        <f ca="1"/>
        <v>45673</v>
      </c>
      <c r="B263" vm="769">
        <f ca="1"/>
        <v>92.22</v>
      </c>
      <c r="C263" vm="770">
        <f ca="1"/>
        <v>2097561</v>
      </c>
      <c r="D263">
        <f t="shared" ca="1" si="12"/>
        <v>193437075.41999999</v>
      </c>
      <c r="E263">
        <f ca="1">SUM($D$2:D263)/SUM($C$2:C263)</f>
        <v>94.784041737212064</v>
      </c>
      <c r="F263">
        <f ca="1">_xlfn.STDEV.P($B$2:B263)</f>
        <v>5.6677479445808556</v>
      </c>
      <c r="G263">
        <f t="shared" ca="1" si="13"/>
        <v>100.45178968179292</v>
      </c>
      <c r="H263">
        <f t="shared" ca="1" si="14"/>
        <v>89.116293792631211</v>
      </c>
    </row>
    <row r="264" spans="1:8" x14ac:dyDescent="0.25">
      <c r="A264" vm="771">
        <f ca="1"/>
        <v>45674</v>
      </c>
      <c r="B264" vm="772">
        <f ca="1"/>
        <v>93.65</v>
      </c>
      <c r="C264" vm="773">
        <f ca="1"/>
        <v>3516804</v>
      </c>
      <c r="D264">
        <f t="shared" ca="1" si="12"/>
        <v>329348694.60000002</v>
      </c>
      <c r="E264">
        <f ca="1">SUM($D$2:D264)/SUM($C$2:C264)</f>
        <v>94.776148545503219</v>
      </c>
      <c r="F264">
        <f ca="1">_xlfn.STDEV.P($B$2:B264)</f>
        <v>5.6574006409457223</v>
      </c>
      <c r="G264">
        <f t="shared" ca="1" si="13"/>
        <v>100.43354918644894</v>
      </c>
      <c r="H264">
        <f t="shared" ca="1" si="14"/>
        <v>89.118747904557495</v>
      </c>
    </row>
    <row r="265" spans="1:8" x14ac:dyDescent="0.25">
      <c r="A265" vm="774">
        <f ca="1"/>
        <v>45678</v>
      </c>
      <c r="B265" vm="297">
        <f ca="1"/>
        <v>93.21</v>
      </c>
      <c r="C265" vm="775">
        <f ca="1"/>
        <v>2761523</v>
      </c>
      <c r="D265">
        <f t="shared" ca="1" si="12"/>
        <v>257401558.82999998</v>
      </c>
      <c r="E265">
        <f ca="1">SUM($D$2:D265)/SUM($C$2:C265)</f>
        <v>94.767635402633871</v>
      </c>
      <c r="F265">
        <f ca="1">_xlfn.STDEV.P($B$2:B265)</f>
        <v>5.6475094188771573</v>
      </c>
      <c r="G265">
        <f t="shared" ca="1" si="13"/>
        <v>100.41514482151103</v>
      </c>
      <c r="H265">
        <f t="shared" ca="1" si="14"/>
        <v>89.120125983756708</v>
      </c>
    </row>
    <row r="266" spans="1:8" x14ac:dyDescent="0.25">
      <c r="A266" vm="776">
        <f ca="1"/>
        <v>45679</v>
      </c>
      <c r="B266" vm="777">
        <f ca="1"/>
        <v>90.77</v>
      </c>
      <c r="C266" vm="778">
        <f ca="1"/>
        <v>1805432</v>
      </c>
      <c r="D266">
        <f t="shared" ca="1" si="12"/>
        <v>163879062.63999999</v>
      </c>
      <c r="E266">
        <f ca="1">SUM($D$2:D266)/SUM($C$2:C266)</f>
        <v>94.753479030298735</v>
      </c>
      <c r="F266">
        <f ca="1">_xlfn.STDEV.P($B$2:B266)</f>
        <v>5.6422130430163584</v>
      </c>
      <c r="G266">
        <f t="shared" ca="1" si="13"/>
        <v>100.39569207331509</v>
      </c>
      <c r="H266">
        <f t="shared" ca="1" si="14"/>
        <v>89.11126598728238</v>
      </c>
    </row>
    <row r="267" spans="1:8" x14ac:dyDescent="0.25">
      <c r="A267" vm="779">
        <f ca="1"/>
        <v>45680</v>
      </c>
      <c r="B267" vm="780">
        <f ca="1"/>
        <v>90.76</v>
      </c>
      <c r="C267" vm="781">
        <f ca="1"/>
        <v>1649741</v>
      </c>
      <c r="D267">
        <f t="shared" ca="1" si="12"/>
        <v>149730493.16</v>
      </c>
      <c r="E267">
        <f ca="1">SUM($D$2:D267)/SUM($C$2:C267)</f>
        <v>94.740598557418494</v>
      </c>
      <c r="F267">
        <f ca="1">_xlfn.STDEV.P($B$2:B267)</f>
        <v>5.6369379312505359</v>
      </c>
      <c r="G267">
        <f t="shared" ca="1" si="13"/>
        <v>100.37753648866902</v>
      </c>
      <c r="H267">
        <f t="shared" ca="1" si="14"/>
        <v>89.103660626167965</v>
      </c>
    </row>
    <row r="268" spans="1:8" x14ac:dyDescent="0.25">
      <c r="A268" vm="782">
        <f ca="1"/>
        <v>45681</v>
      </c>
      <c r="B268" vm="185">
        <f ca="1"/>
        <v>90.6</v>
      </c>
      <c r="C268" vm="783">
        <f ca="1"/>
        <v>2596989</v>
      </c>
      <c r="D268">
        <f t="shared" ca="1" si="12"/>
        <v>235287203.39999998</v>
      </c>
      <c r="E268">
        <f ca="1">SUM($D$2:D268)/SUM($C$2:C268)</f>
        <v>94.719681605699961</v>
      </c>
      <c r="F268">
        <f ca="1">_xlfn.STDEV.P($B$2:B268)</f>
        <v>5.63208938201418</v>
      </c>
      <c r="G268">
        <f t="shared" ca="1" si="13"/>
        <v>100.35177098771415</v>
      </c>
      <c r="H268">
        <f t="shared" ca="1" si="14"/>
        <v>89.087592223685775</v>
      </c>
    </row>
    <row r="269" spans="1:8" x14ac:dyDescent="0.25">
      <c r="A269" vm="784">
        <f ca="1"/>
        <v>45684</v>
      </c>
      <c r="B269" vm="785">
        <f ca="1"/>
        <v>94.89</v>
      </c>
      <c r="C269" vm="786">
        <f ca="1"/>
        <v>4043815</v>
      </c>
      <c r="D269">
        <f t="shared" ca="1" si="12"/>
        <v>383717605.35000002</v>
      </c>
      <c r="E269">
        <f ca="1">SUM($D$2:D269)/SUM($C$2:C269)</f>
        <v>94.72101088173828</v>
      </c>
      <c r="F269">
        <f ca="1">_xlfn.STDEV.P($B$2:B269)</f>
        <v>5.6215795812133535</v>
      </c>
      <c r="G269">
        <f t="shared" ca="1" si="13"/>
        <v>100.34259046295163</v>
      </c>
      <c r="H269">
        <f t="shared" ca="1" si="14"/>
        <v>89.099431300524927</v>
      </c>
    </row>
    <row r="270" spans="1:8" x14ac:dyDescent="0.25">
      <c r="A270" vm="787">
        <f ca="1"/>
        <v>45685</v>
      </c>
      <c r="B270" vm="788">
        <f ca="1"/>
        <v>93.39</v>
      </c>
      <c r="C270" vm="789">
        <f ca="1"/>
        <v>2470603</v>
      </c>
      <c r="D270">
        <f t="shared" ca="1" si="12"/>
        <v>230729614.16999999</v>
      </c>
      <c r="E270">
        <f ca="1">SUM($D$2:D270)/SUM($C$2:C270)</f>
        <v>94.714694316576441</v>
      </c>
      <c r="F270">
        <f ca="1">_xlfn.STDEV.P($B$2:B270)</f>
        <v>5.6117209007133626</v>
      </c>
      <c r="G270">
        <f t="shared" ca="1" si="13"/>
        <v>100.32641521728981</v>
      </c>
      <c r="H270">
        <f t="shared" ca="1" si="14"/>
        <v>89.102973415863076</v>
      </c>
    </row>
    <row r="271" spans="1:8" x14ac:dyDescent="0.25">
      <c r="A271" vm="790">
        <f ca="1"/>
        <v>45686</v>
      </c>
      <c r="B271" vm="791">
        <f ca="1"/>
        <v>92.57</v>
      </c>
      <c r="C271" vm="792">
        <f ca="1"/>
        <v>1935876</v>
      </c>
      <c r="D271">
        <f t="shared" ca="1" si="12"/>
        <v>179204041.31999999</v>
      </c>
      <c r="E271">
        <f ca="1">SUM($D$2:D271)/SUM($C$2:C271)</f>
        <v>94.706748703821276</v>
      </c>
      <c r="F271">
        <f ca="1">_xlfn.STDEV.P($B$2:B271)</f>
        <v>5.6028606769606641</v>
      </c>
      <c r="G271">
        <f t="shared" ca="1" si="13"/>
        <v>100.30960938078194</v>
      </c>
      <c r="H271">
        <f t="shared" ca="1" si="14"/>
        <v>89.103888026860616</v>
      </c>
    </row>
    <row r="272" spans="1:8" x14ac:dyDescent="0.25">
      <c r="A272" vm="793">
        <f ca="1"/>
        <v>45687</v>
      </c>
      <c r="B272" vm="794">
        <f ca="1"/>
        <v>93.86</v>
      </c>
      <c r="C272" vm="795">
        <f ca="1"/>
        <v>2274316</v>
      </c>
      <c r="D272">
        <f t="shared" ca="1" si="12"/>
        <v>213467299.75999999</v>
      </c>
      <c r="E272">
        <f ca="1">SUM($D$2:D272)/SUM($C$2:C272)</f>
        <v>94.703079231164253</v>
      </c>
      <c r="F272">
        <f ca="1">_xlfn.STDEV.P($B$2:B272)</f>
        <v>5.5927599240477157</v>
      </c>
      <c r="G272">
        <f t="shared" ca="1" si="13"/>
        <v>100.29583915521197</v>
      </c>
      <c r="H272">
        <f t="shared" ca="1" si="14"/>
        <v>89.110319307116541</v>
      </c>
    </row>
    <row r="273" spans="1:8" x14ac:dyDescent="0.25">
      <c r="A273" vm="796">
        <f ca="1"/>
        <v>45688</v>
      </c>
      <c r="B273" vm="797">
        <f ca="1"/>
        <v>93.74</v>
      </c>
      <c r="C273" vm="798">
        <f ca="1"/>
        <v>6072722</v>
      </c>
      <c r="D273">
        <f t="shared" ca="1" si="12"/>
        <v>569256960.27999997</v>
      </c>
      <c r="E273">
        <f ca="1">SUM($D$2:D273)/SUM($C$2:C273)</f>
        <v>94.692062640010121</v>
      </c>
      <c r="F273">
        <f ca="1">_xlfn.STDEV.P($B$2:B273)</f>
        <v>5.5827861734463227</v>
      </c>
      <c r="G273">
        <f t="shared" ca="1" si="13"/>
        <v>100.27484881345644</v>
      </c>
      <c r="H273">
        <f t="shared" ca="1" si="14"/>
        <v>89.109276466563799</v>
      </c>
    </row>
    <row r="274" spans="1:8" x14ac:dyDescent="0.25">
      <c r="A274" vm="799">
        <f ca="1"/>
        <v>45691</v>
      </c>
      <c r="B274" vm="800">
        <f ca="1"/>
        <v>95.62</v>
      </c>
      <c r="C274" vm="801">
        <f ca="1"/>
        <v>3234925</v>
      </c>
      <c r="D274">
        <f t="shared" ca="1" si="12"/>
        <v>309323528.5</v>
      </c>
      <c r="E274">
        <f ca="1">SUM($D$2:D274)/SUM($C$2:C274)</f>
        <v>94.697682769898563</v>
      </c>
      <c r="F274">
        <f ca="1">_xlfn.STDEV.P($B$2:B274)</f>
        <v>5.5728179491170353</v>
      </c>
      <c r="G274">
        <f t="shared" ca="1" si="13"/>
        <v>100.2705007190156</v>
      </c>
      <c r="H274">
        <f t="shared" ca="1" si="14"/>
        <v>89.124864820781525</v>
      </c>
    </row>
    <row r="275" spans="1:8" x14ac:dyDescent="0.25">
      <c r="A275" vm="802">
        <f ca="1"/>
        <v>45692</v>
      </c>
      <c r="B275" vm="803">
        <f ca="1"/>
        <v>94.91</v>
      </c>
      <c r="C275" vm="804">
        <f ca="1"/>
        <v>2186451</v>
      </c>
      <c r="D275">
        <f t="shared" ca="1" si="12"/>
        <v>207516064.41</v>
      </c>
      <c r="E275">
        <f ca="1">SUM($D$2:D275)/SUM($C$2:C275)</f>
        <v>94.69854836397316</v>
      </c>
      <c r="F275">
        <f ca="1">_xlfn.STDEV.P($B$2:B275)</f>
        <v>5.5626508371344832</v>
      </c>
      <c r="G275">
        <f t="shared" ca="1" si="13"/>
        <v>100.26119920110764</v>
      </c>
      <c r="H275">
        <f t="shared" ca="1" si="14"/>
        <v>89.135897526838676</v>
      </c>
    </row>
    <row r="276" spans="1:8" x14ac:dyDescent="0.25">
      <c r="A276" vm="805">
        <f ca="1"/>
        <v>45693</v>
      </c>
      <c r="B276" vm="806">
        <f ca="1"/>
        <v>96.19</v>
      </c>
      <c r="C276" vm="807">
        <f ca="1"/>
        <v>1874087</v>
      </c>
      <c r="D276">
        <f t="shared" ca="1" si="12"/>
        <v>180268428.53</v>
      </c>
      <c r="E276">
        <f ca="1">SUM($D$2:D276)/SUM($C$2:C276)</f>
        <v>94.703742020602434</v>
      </c>
      <c r="F276">
        <f ca="1">_xlfn.STDEV.P($B$2:B276)</f>
        <v>5.5532301688088355</v>
      </c>
      <c r="G276">
        <f t="shared" ca="1" si="13"/>
        <v>100.25697218941127</v>
      </c>
      <c r="H276">
        <f t="shared" ca="1" si="14"/>
        <v>89.150511851793595</v>
      </c>
    </row>
    <row r="277" spans="1:8" x14ac:dyDescent="0.25">
      <c r="A277" vm="808">
        <f ca="1"/>
        <v>45694</v>
      </c>
      <c r="B277" vm="809">
        <f ca="1"/>
        <v>95.42</v>
      </c>
      <c r="C277" vm="810">
        <f ca="1"/>
        <v>1587040</v>
      </c>
      <c r="D277">
        <f t="shared" ca="1" si="12"/>
        <v>151435356.80000001</v>
      </c>
      <c r="E277">
        <f ca="1">SUM($D$2:D277)/SUM($C$2:C277)</f>
        <v>94.705847993821052</v>
      </c>
      <c r="F277">
        <f ca="1">_xlfn.STDEV.P($B$2:B277)</f>
        <v>5.5433167878111931</v>
      </c>
      <c r="G277">
        <f t="shared" ca="1" si="13"/>
        <v>100.24916478163225</v>
      </c>
      <c r="H277">
        <f t="shared" ca="1" si="14"/>
        <v>89.162531206009859</v>
      </c>
    </row>
    <row r="278" spans="1:8" x14ac:dyDescent="0.25">
      <c r="A278" vm="811">
        <f ca="1"/>
        <v>45695</v>
      </c>
      <c r="B278" vm="812">
        <f ca="1"/>
        <v>96.08</v>
      </c>
      <c r="C278" vm="813">
        <f ca="1"/>
        <v>1520031</v>
      </c>
      <c r="D278">
        <f t="shared" ca="1" si="12"/>
        <v>146044578.47999999</v>
      </c>
      <c r="E278">
        <f ca="1">SUM($D$2:D278)/SUM($C$2:C278)</f>
        <v>94.709706875139105</v>
      </c>
      <c r="F278">
        <f ca="1">_xlfn.STDEV.P($B$2:B278)</f>
        <v>5.5338936920592916</v>
      </c>
      <c r="G278">
        <f t="shared" ca="1" si="13"/>
        <v>100.2436005671984</v>
      </c>
      <c r="H278">
        <f t="shared" ca="1" si="14"/>
        <v>89.175813183079811</v>
      </c>
    </row>
    <row r="279" spans="1:8" x14ac:dyDescent="0.25">
      <c r="A279" vm="814">
        <f ca="1"/>
        <v>45698</v>
      </c>
      <c r="B279" vm="815">
        <f ca="1"/>
        <v>96.7</v>
      </c>
      <c r="C279" vm="816">
        <f ca="1"/>
        <v>1570620</v>
      </c>
      <c r="D279">
        <f t="shared" ca="1" si="12"/>
        <v>151878954</v>
      </c>
      <c r="E279">
        <f ca="1">SUM($D$2:D279)/SUM($C$2:C279)</f>
        <v>94.715465304184733</v>
      </c>
      <c r="F279">
        <f ca="1">_xlfn.STDEV.P($B$2:B279)</f>
        <v>5.5251837709115703</v>
      </c>
      <c r="G279">
        <f t="shared" ca="1" si="13"/>
        <v>100.2406490750963</v>
      </c>
      <c r="H279">
        <f t="shared" ca="1" si="14"/>
        <v>89.190281533273165</v>
      </c>
    </row>
    <row r="280" spans="1:8" x14ac:dyDescent="0.25">
      <c r="A280" vm="817">
        <f ca="1"/>
        <v>45699</v>
      </c>
      <c r="B280" vm="818">
        <f ca="1"/>
        <v>96.31</v>
      </c>
      <c r="C280" vm="819">
        <f ca="1"/>
        <v>3162385</v>
      </c>
      <c r="D280">
        <f t="shared" ca="1" si="12"/>
        <v>304569299.35000002</v>
      </c>
      <c r="E280">
        <f ca="1">SUM($D$2:D280)/SUM($C$2:C280)</f>
        <v>94.724700411405138</v>
      </c>
      <c r="F280">
        <f ca="1">_xlfn.STDEV.P($B$2:B280)</f>
        <v>5.5160686794670308</v>
      </c>
      <c r="G280">
        <f t="shared" ca="1" si="13"/>
        <v>100.24076909087216</v>
      </c>
      <c r="H280">
        <f t="shared" ca="1" si="14"/>
        <v>89.208631731938112</v>
      </c>
    </row>
    <row r="281" spans="1:8" x14ac:dyDescent="0.25">
      <c r="A281" vm="820">
        <f ca="1"/>
        <v>45700</v>
      </c>
      <c r="B281" vm="821">
        <f ca="1"/>
        <v>94.57</v>
      </c>
      <c r="C281" vm="822">
        <f ca="1"/>
        <v>3704165</v>
      </c>
      <c r="D281">
        <f t="shared" ca="1" si="12"/>
        <v>350302884.04999995</v>
      </c>
      <c r="E281">
        <f ca="1">SUM($D$2:D281)/SUM($C$2:C281)</f>
        <v>94.723658001018833</v>
      </c>
      <c r="F281">
        <f ca="1">_xlfn.STDEV.P($B$2:B281)</f>
        <v>5.5062199883358245</v>
      </c>
      <c r="G281">
        <f t="shared" ca="1" si="13"/>
        <v>100.22987798935466</v>
      </c>
      <c r="H281">
        <f t="shared" ca="1" si="14"/>
        <v>89.217438012683004</v>
      </c>
    </row>
    <row r="282" spans="1:8" x14ac:dyDescent="0.25">
      <c r="A282" vm="823">
        <f ca="1"/>
        <v>45701</v>
      </c>
      <c r="B282" vm="824">
        <f ca="1"/>
        <v>95.66</v>
      </c>
      <c r="C282" vm="825">
        <f ca="1"/>
        <v>1860296</v>
      </c>
      <c r="D282">
        <f t="shared" ca="1" si="12"/>
        <v>177955915.35999998</v>
      </c>
      <c r="E282">
        <f ca="1">SUM($D$2:D282)/SUM($C$2:C282)</f>
        <v>94.726815958605627</v>
      </c>
      <c r="F282">
        <f ca="1">_xlfn.STDEV.P($B$2:B282)</f>
        <v>5.4966823655177004</v>
      </c>
      <c r="G282">
        <f t="shared" ca="1" si="13"/>
        <v>100.22349832412333</v>
      </c>
      <c r="H282">
        <f t="shared" ca="1" si="14"/>
        <v>89.230133593087928</v>
      </c>
    </row>
    <row r="283" spans="1:8" x14ac:dyDescent="0.25">
      <c r="A283" vm="826">
        <f ca="1"/>
        <v>45702</v>
      </c>
      <c r="B283" vm="827">
        <f ca="1"/>
        <v>94.92</v>
      </c>
      <c r="C283" vm="828">
        <f ca="1"/>
        <v>1948212</v>
      </c>
      <c r="D283">
        <f t="shared" ca="1" si="12"/>
        <v>184924283.03999999</v>
      </c>
      <c r="E283">
        <f ca="1">SUM($D$2:D283)/SUM($C$2:C283)</f>
        <v>94.727495891346123</v>
      </c>
      <c r="F283">
        <f ca="1">_xlfn.STDEV.P($B$2:B283)</f>
        <v>5.4869370551172336</v>
      </c>
      <c r="G283">
        <f t="shared" ca="1" si="13"/>
        <v>100.21443294646336</v>
      </c>
      <c r="H283">
        <f t="shared" ca="1" si="14"/>
        <v>89.240558836228885</v>
      </c>
    </row>
    <row r="284" spans="1:8" x14ac:dyDescent="0.25">
      <c r="A284" vm="829">
        <f ca="1"/>
        <v>45706</v>
      </c>
      <c r="B284" vm="830">
        <f ca="1"/>
        <v>95.76</v>
      </c>
      <c r="C284" vm="831">
        <f ca="1"/>
        <v>2568491</v>
      </c>
      <c r="D284">
        <f t="shared" ca="1" si="12"/>
        <v>245958698.16000003</v>
      </c>
      <c r="E284">
        <f ca="1">SUM($D$2:D284)/SUM($C$2:C284)</f>
        <v>94.732264786541293</v>
      </c>
      <c r="F284">
        <f ca="1">_xlfn.STDEV.P($B$2:B284)</f>
        <v>5.4775613155639871</v>
      </c>
      <c r="G284">
        <f t="shared" ca="1" si="13"/>
        <v>100.20982610210528</v>
      </c>
      <c r="H284">
        <f t="shared" ca="1" si="14"/>
        <v>89.254703470977304</v>
      </c>
    </row>
    <row r="285" spans="1:8" x14ac:dyDescent="0.25">
      <c r="A285" vm="832">
        <f ca="1"/>
        <v>45707</v>
      </c>
      <c r="B285" vm="833">
        <f ca="1"/>
        <v>95.26</v>
      </c>
      <c r="C285" vm="834">
        <f ca="1"/>
        <v>1857550</v>
      </c>
      <c r="D285">
        <f t="shared" ca="1" si="12"/>
        <v>176950213</v>
      </c>
      <c r="E285">
        <f ca="1">SUM($D$2:D285)/SUM($C$2:C285)</f>
        <v>94.734021723834175</v>
      </c>
      <c r="F285">
        <f ca="1">_xlfn.STDEV.P($B$2:B285)</f>
        <v>5.4679911041158009</v>
      </c>
      <c r="G285">
        <f t="shared" ca="1" si="13"/>
        <v>100.20201282794997</v>
      </c>
      <c r="H285">
        <f t="shared" ca="1" si="14"/>
        <v>89.266030619718379</v>
      </c>
    </row>
    <row r="286" spans="1:8" x14ac:dyDescent="0.25">
      <c r="A286" vm="835">
        <f ca="1"/>
        <v>45708</v>
      </c>
      <c r="B286" vm="830">
        <f ca="1"/>
        <v>95.76</v>
      </c>
      <c r="C286" vm="836">
        <f ca="1"/>
        <v>2580181</v>
      </c>
      <c r="D286">
        <f t="shared" ca="1" si="12"/>
        <v>247078132.56</v>
      </c>
      <c r="E286">
        <f ca="1">SUM($D$2:D286)/SUM($C$2:C286)</f>
        <v>94.738744358129978</v>
      </c>
      <c r="F286">
        <f ca="1">_xlfn.STDEV.P($B$2:B286)</f>
        <v>5.4587121727941339</v>
      </c>
      <c r="G286">
        <f t="shared" ca="1" si="13"/>
        <v>100.19745653092411</v>
      </c>
      <c r="H286">
        <f t="shared" ca="1" si="14"/>
        <v>89.280032185335841</v>
      </c>
    </row>
    <row r="287" spans="1:8" x14ac:dyDescent="0.25">
      <c r="A287" vm="837">
        <f ca="1"/>
        <v>45709</v>
      </c>
      <c r="B287" vm="838">
        <f ca="1"/>
        <v>98.26</v>
      </c>
      <c r="C287" vm="839">
        <f ca="1"/>
        <v>4414893</v>
      </c>
      <c r="D287">
        <f t="shared" ca="1" si="12"/>
        <v>433807386.18000001</v>
      </c>
      <c r="E287">
        <f ca="1">SUM($D$2:D287)/SUM($C$2:C287)</f>
        <v>94.766261703293381</v>
      </c>
      <c r="F287">
        <f ca="1">_xlfn.STDEV.P($B$2:B287)</f>
        <v>5.453075391487201</v>
      </c>
      <c r="G287">
        <f t="shared" ca="1" si="13"/>
        <v>100.21933709478058</v>
      </c>
      <c r="H287">
        <f t="shared" ca="1" si="14"/>
        <v>89.313186311806177</v>
      </c>
    </row>
    <row r="288" spans="1:8" x14ac:dyDescent="0.25">
      <c r="A288" vm="840">
        <f ca="1"/>
        <v>45712</v>
      </c>
      <c r="B288" vm="841">
        <f ca="1"/>
        <v>99.68</v>
      </c>
      <c r="C288" vm="842">
        <f ca="1"/>
        <v>2943078</v>
      </c>
      <c r="D288">
        <f t="shared" ca="1" si="12"/>
        <v>293366015.04000002</v>
      </c>
      <c r="E288">
        <f ca="1">SUM($D$2:D288)/SUM($C$2:C288)</f>
        <v>94.791726841171737</v>
      </c>
      <c r="F288">
        <f ca="1">_xlfn.STDEV.P($B$2:B288)</f>
        <v>5.4512429010781922</v>
      </c>
      <c r="G288">
        <f t="shared" ca="1" si="13"/>
        <v>100.24296974224993</v>
      </c>
      <c r="H288">
        <f t="shared" ca="1" si="14"/>
        <v>89.340483940093549</v>
      </c>
    </row>
    <row r="289" spans="1:8" x14ac:dyDescent="0.25">
      <c r="A289" vm="843">
        <f ca="1"/>
        <v>45713</v>
      </c>
      <c r="B289" vm="844">
        <f ca="1"/>
        <v>100.97</v>
      </c>
      <c r="C289" vm="845">
        <f ca="1"/>
        <v>3481345</v>
      </c>
      <c r="D289">
        <f t="shared" ca="1" si="12"/>
        <v>351511404.64999998</v>
      </c>
      <c r="E289">
        <f ca="1">SUM($D$2:D289)/SUM($C$2:C289)</f>
        <v>94.829370531620015</v>
      </c>
      <c r="F289">
        <f ca="1">_xlfn.STDEV.P($B$2:B289)</f>
        <v>5.4539017523128495</v>
      </c>
      <c r="G289">
        <f t="shared" ca="1" si="13"/>
        <v>100.28327228393286</v>
      </c>
      <c r="H289">
        <f t="shared" ca="1" si="14"/>
        <v>89.37546877930717</v>
      </c>
    </row>
    <row r="290" spans="1:8" x14ac:dyDescent="0.25">
      <c r="A290" vm="846">
        <f ca="1"/>
        <v>45714</v>
      </c>
      <c r="B290" vm="847">
        <f ca="1"/>
        <v>99.96</v>
      </c>
      <c r="C290" vm="848">
        <f ca="1"/>
        <v>2072708</v>
      </c>
      <c r="D290">
        <f t="shared" ca="1" si="12"/>
        <v>207187891.67999998</v>
      </c>
      <c r="E290">
        <f ca="1">SUM($D$2:D290)/SUM($C$2:C290)</f>
        <v>94.847914992599456</v>
      </c>
      <c r="F290">
        <f ca="1">_xlfn.STDEV.P($B$2:B290)</f>
        <v>5.4528473328740628</v>
      </c>
      <c r="G290">
        <f t="shared" ca="1" si="13"/>
        <v>100.30076232547351</v>
      </c>
      <c r="H290">
        <f t="shared" ca="1" si="14"/>
        <v>89.395067659725399</v>
      </c>
    </row>
    <row r="291" spans="1:8" x14ac:dyDescent="0.25">
      <c r="A291" vm="849">
        <f ca="1"/>
        <v>45715</v>
      </c>
      <c r="B291" vm="850">
        <f ca="1"/>
        <v>99.92</v>
      </c>
      <c r="C291" vm="851">
        <f ca="1"/>
        <v>3314096</v>
      </c>
      <c r="D291">
        <f t="shared" ca="1" si="12"/>
        <v>331144472.31999999</v>
      </c>
      <c r="E291">
        <f ca="1">SUM($D$2:D291)/SUM($C$2:C291)</f>
        <v>94.877059343132416</v>
      </c>
      <c r="F291">
        <f ca="1">_xlfn.STDEV.P($B$2:B291)</f>
        <v>5.4516134840130164</v>
      </c>
      <c r="G291">
        <f t="shared" ca="1" si="13"/>
        <v>100.32867282714543</v>
      </c>
      <c r="H291">
        <f t="shared" ca="1" si="14"/>
        <v>89.425445859119407</v>
      </c>
    </row>
    <row r="292" spans="1:8" x14ac:dyDescent="0.25">
      <c r="A292" vm="852">
        <f ca="1"/>
        <v>45716</v>
      </c>
      <c r="B292" vm="853">
        <f ca="1"/>
        <v>101.52</v>
      </c>
      <c r="C292" vm="854">
        <f ca="1"/>
        <v>5254613</v>
      </c>
      <c r="D292">
        <f t="shared" ca="1" si="12"/>
        <v>533448311.75999999</v>
      </c>
      <c r="E292">
        <f ca="1">SUM($D$2:D292)/SUM($C$2:C292)</f>
        <v>94.937033637292046</v>
      </c>
      <c r="F292">
        <f ca="1">_xlfn.STDEV.P($B$2:B292)</f>
        <v>5.4562337117175783</v>
      </c>
      <c r="G292">
        <f t="shared" ca="1" si="13"/>
        <v>100.39326734900962</v>
      </c>
      <c r="H292">
        <f t="shared" ca="1" si="14"/>
        <v>89.480799925574473</v>
      </c>
    </row>
    <row r="293" spans="1:8" x14ac:dyDescent="0.25">
      <c r="A293" vm="855">
        <f ca="1"/>
        <v>45719</v>
      </c>
      <c r="B293" vm="536">
        <f ca="1"/>
        <v>104.02</v>
      </c>
      <c r="C293" vm="856">
        <f ca="1"/>
        <v>3555914</v>
      </c>
      <c r="D293">
        <f t="shared" ca="1" si="12"/>
        <v>369886174.27999997</v>
      </c>
      <c r="E293">
        <f ca="1">SUM($D$2:D293)/SUM($C$2:C293)</f>
        <v>94.992190262200637</v>
      </c>
      <c r="F293">
        <f ca="1">_xlfn.STDEV.P($B$2:B293)</f>
        <v>5.4730540772618692</v>
      </c>
      <c r="G293">
        <f t="shared" ca="1" si="13"/>
        <v>100.4652443394625</v>
      </c>
      <c r="H293">
        <f t="shared" ca="1" si="14"/>
        <v>89.519136184938773</v>
      </c>
    </row>
    <row r="294" spans="1:8" x14ac:dyDescent="0.25">
      <c r="A294" vm="857">
        <f ca="1"/>
        <v>45720</v>
      </c>
      <c r="B294" vm="858">
        <f ca="1"/>
        <v>102.15</v>
      </c>
      <c r="C294" vm="859">
        <f ca="1"/>
        <v>3592034</v>
      </c>
      <c r="D294">
        <f t="shared" ca="1" si="12"/>
        <v>366926273.10000002</v>
      </c>
      <c r="E294">
        <f ca="1">SUM($D$2:D294)/SUM($C$2:C294)</f>
        <v>95.035830127200271</v>
      </c>
      <c r="F294">
        <f ca="1">_xlfn.STDEV.P($B$2:B294)</f>
        <v>5.4800403888366427</v>
      </c>
      <c r="G294">
        <f t="shared" ca="1" si="13"/>
        <v>100.51587051603691</v>
      </c>
      <c r="H294">
        <f t="shared" ca="1" si="14"/>
        <v>89.555789738363629</v>
      </c>
    </row>
    <row r="295" spans="1:8" x14ac:dyDescent="0.25">
      <c r="A295" vm="860">
        <f ca="1"/>
        <v>45721</v>
      </c>
      <c r="B295" vm="861">
        <f ca="1"/>
        <v>100.2</v>
      </c>
      <c r="C295" vm="862">
        <f ca="1"/>
        <v>5509676</v>
      </c>
      <c r="D295">
        <f t="shared" ca="1" si="12"/>
        <v>552069535.20000005</v>
      </c>
      <c r="E295">
        <f ca="1">SUM($D$2:D295)/SUM($C$2:C295)</f>
        <v>95.083676264997735</v>
      </c>
      <c r="F295">
        <f ca="1">_xlfn.STDEV.P($B$2:B295)</f>
        <v>5.4793256543826532</v>
      </c>
      <c r="G295">
        <f t="shared" ca="1" si="13"/>
        <v>100.56300191938038</v>
      </c>
      <c r="H295">
        <f t="shared" ca="1" si="14"/>
        <v>89.604350610615086</v>
      </c>
    </row>
    <row r="296" spans="1:8" x14ac:dyDescent="0.25">
      <c r="A296" vm="863">
        <f ca="1"/>
        <v>45722</v>
      </c>
      <c r="B296" vm="864">
        <f ca="1"/>
        <v>100.91</v>
      </c>
      <c r="C296" vm="865">
        <f ca="1"/>
        <v>4345916</v>
      </c>
      <c r="D296">
        <f t="shared" ca="1" si="12"/>
        <v>438546383.56</v>
      </c>
      <c r="E296">
        <f ca="1">SUM($D$2:D296)/SUM($C$2:C296)</f>
        <v>95.125946429771957</v>
      </c>
      <c r="F296">
        <f ca="1">_xlfn.STDEV.P($B$2:B296)</f>
        <v>5.4810139088077072</v>
      </c>
      <c r="G296">
        <f t="shared" ca="1" si="13"/>
        <v>100.60696033857967</v>
      </c>
      <c r="H296">
        <f t="shared" ca="1" si="14"/>
        <v>89.644932520964247</v>
      </c>
    </row>
    <row r="297" spans="1:8" x14ac:dyDescent="0.25">
      <c r="A297" vm="866">
        <f ca="1"/>
        <v>45723</v>
      </c>
      <c r="B297" vm="867">
        <f ca="1"/>
        <v>103.64</v>
      </c>
      <c r="C297" vm="868">
        <f ca="1"/>
        <v>2865771</v>
      </c>
      <c r="D297">
        <f t="shared" ca="1" si="12"/>
        <v>297008506.44</v>
      </c>
      <c r="E297">
        <f ca="1">SUM($D$2:D297)/SUM($C$2:C297)</f>
        <v>95.166484503884334</v>
      </c>
      <c r="F297">
        <f ca="1">_xlfn.STDEV.P($B$2:B297)</f>
        <v>5.494860783341589</v>
      </c>
      <c r="G297">
        <f t="shared" ca="1" si="13"/>
        <v>100.66134528722593</v>
      </c>
      <c r="H297">
        <f t="shared" ca="1" si="14"/>
        <v>89.67162372054274</v>
      </c>
    </row>
    <row r="298" spans="1:8" x14ac:dyDescent="0.25">
      <c r="A298" vm="869">
        <f ca="1"/>
        <v>45726</v>
      </c>
      <c r="B298" vm="870">
        <f ca="1"/>
        <v>106.66</v>
      </c>
      <c r="C298" vm="871">
        <f ca="1"/>
        <v>3471894</v>
      </c>
      <c r="D298">
        <f t="shared" ca="1" si="12"/>
        <v>370312214.03999996</v>
      </c>
      <c r="E298">
        <f ca="1">SUM($D$2:D298)/SUM($C$2:C298)</f>
        <v>95.23240289939686</v>
      </c>
      <c r="F298">
        <f ca="1">_xlfn.STDEV.P($B$2:B298)</f>
        <v>5.5270806972700166</v>
      </c>
      <c r="G298">
        <f t="shared" ca="1" si="13"/>
        <v>100.75948359666688</v>
      </c>
      <c r="H298">
        <f t="shared" ca="1" si="14"/>
        <v>89.705322202126837</v>
      </c>
    </row>
    <row r="299" spans="1:8" x14ac:dyDescent="0.25">
      <c r="A299" vm="872">
        <f ca="1"/>
        <v>45727</v>
      </c>
      <c r="B299" vm="873">
        <f ca="1"/>
        <v>103.77</v>
      </c>
      <c r="C299" vm="874">
        <f ca="1"/>
        <v>2731268</v>
      </c>
      <c r="D299">
        <f t="shared" ca="1" si="12"/>
        <v>283423680.36000001</v>
      </c>
      <c r="E299">
        <f ca="1">SUM($D$2:D299)/SUM($C$2:C299)</f>
        <v>95.270749971205774</v>
      </c>
      <c r="F299">
        <f ca="1">_xlfn.STDEV.P($B$2:B299)</f>
        <v>5.540890079415755</v>
      </c>
      <c r="G299">
        <f t="shared" ca="1" si="13"/>
        <v>100.81164005062153</v>
      </c>
      <c r="H299">
        <f t="shared" ca="1" si="14"/>
        <v>89.729859891790014</v>
      </c>
    </row>
    <row r="300" spans="1:8" x14ac:dyDescent="0.25">
      <c r="A300" vm="875">
        <f ca="1"/>
        <v>45728</v>
      </c>
      <c r="B300" vm="876">
        <f ca="1"/>
        <v>102.64</v>
      </c>
      <c r="C300" vm="877">
        <f ca="1"/>
        <v>3739207</v>
      </c>
      <c r="D300">
        <f t="shared" ca="1" si="12"/>
        <v>383792206.48000002</v>
      </c>
      <c r="E300">
        <f ca="1">SUM($D$2:D300)/SUM($C$2:C300)</f>
        <v>95.315787306808843</v>
      </c>
      <c r="F300">
        <f ca="1">_xlfn.STDEV.P($B$2:B300)</f>
        <v>5.548894670720955</v>
      </c>
      <c r="G300">
        <f t="shared" ca="1" si="13"/>
        <v>100.8646819775298</v>
      </c>
      <c r="H300">
        <f t="shared" ca="1" si="14"/>
        <v>89.766892636087888</v>
      </c>
    </row>
    <row r="301" spans="1:8" x14ac:dyDescent="0.25">
      <c r="A301" vm="878">
        <f ca="1"/>
        <v>45729</v>
      </c>
      <c r="B301" vm="879">
        <f ca="1"/>
        <v>104.57</v>
      </c>
      <c r="C301" vm="880">
        <f ca="1"/>
        <v>2392163</v>
      </c>
      <c r="D301">
        <f t="shared" ca="1" si="12"/>
        <v>250148484.91</v>
      </c>
      <c r="E301">
        <f ca="1">SUM($D$2:D301)/SUM($C$2:C301)</f>
        <v>95.351829019307999</v>
      </c>
      <c r="F301">
        <f ca="1">_xlfn.STDEV.P($B$2:B301)</f>
        <v>5.5665405674340409</v>
      </c>
      <c r="G301">
        <f t="shared" ca="1" si="13"/>
        <v>100.91836958674205</v>
      </c>
      <c r="H301">
        <f t="shared" ca="1" si="14"/>
        <v>89.785288451873953</v>
      </c>
    </row>
    <row r="302" spans="1:8" x14ac:dyDescent="0.25">
      <c r="A302" vm="881">
        <f ca="1"/>
        <v>45730</v>
      </c>
      <c r="B302" vm="882">
        <f ca="1"/>
        <v>106.41</v>
      </c>
      <c r="C302" vm="883">
        <f ca="1"/>
        <v>3779158</v>
      </c>
      <c r="D302">
        <f t="shared" ca="1" si="12"/>
        <v>402140202.77999997</v>
      </c>
      <c r="E302">
        <f ca="1">SUM($D$2:D302)/SUM($C$2:C302)</f>
        <v>95.419451266369308</v>
      </c>
      <c r="F302">
        <f ca="1">_xlfn.STDEV.P($B$2:B302)</f>
        <v>5.5951421469359417</v>
      </c>
      <c r="G302">
        <f t="shared" ca="1" si="13"/>
        <v>101.01459341330525</v>
      </c>
      <c r="H302">
        <f t="shared" ca="1" si="14"/>
        <v>89.824309119433366</v>
      </c>
    </row>
    <row r="303" spans="1:8" x14ac:dyDescent="0.25">
      <c r="A303" vm="884">
        <f ca="1"/>
        <v>45733</v>
      </c>
      <c r="B303" vm="885">
        <f ca="1"/>
        <v>107.62</v>
      </c>
      <c r="C303" vm="886">
        <f ca="1"/>
        <v>3930736</v>
      </c>
      <c r="D303">
        <f t="shared" ca="1" si="12"/>
        <v>423025808.31999999</v>
      </c>
      <c r="E303">
        <f ca="1">SUM($D$2:D303)/SUM($C$2:C303)</f>
        <v>95.496561309288424</v>
      </c>
      <c r="F303">
        <f ca="1">_xlfn.STDEV.P($B$2:B303)</f>
        <v>5.6315781238120142</v>
      </c>
      <c r="G303">
        <f t="shared" ca="1" si="13"/>
        <v>101.12813943310044</v>
      </c>
      <c r="H303">
        <f t="shared" ca="1" si="14"/>
        <v>89.864983185476405</v>
      </c>
    </row>
    <row r="304" spans="1:8" x14ac:dyDescent="0.25">
      <c r="A304" vm="887">
        <f ca="1"/>
        <v>45734</v>
      </c>
      <c r="B304" vm="888">
        <f ca="1"/>
        <v>107.81</v>
      </c>
      <c r="C304" vm="889">
        <f ca="1"/>
        <v>3275711</v>
      </c>
      <c r="D304">
        <f t="shared" ca="1" si="12"/>
        <v>353154402.91000003</v>
      </c>
      <c r="E304">
        <f ca="1">SUM($D$2:D304)/SUM($C$2:C304)</f>
        <v>95.561076384815237</v>
      </c>
      <c r="F304">
        <f ca="1">_xlfn.STDEV.P($B$2:B304)</f>
        <v>5.668624411406924</v>
      </c>
      <c r="G304">
        <f t="shared" ca="1" si="13"/>
        <v>101.22970079622216</v>
      </c>
      <c r="H304">
        <f t="shared" ca="1" si="14"/>
        <v>89.892451973408313</v>
      </c>
    </row>
    <row r="305" spans="1:8" x14ac:dyDescent="0.25">
      <c r="A305" vm="890">
        <f ca="1"/>
        <v>45735</v>
      </c>
      <c r="B305" vm="891">
        <f ca="1"/>
        <v>107.49</v>
      </c>
      <c r="C305" vm="892">
        <f ca="1"/>
        <v>2293611</v>
      </c>
      <c r="D305">
        <f t="shared" ca="1" si="12"/>
        <v>246540246.38999999</v>
      </c>
      <c r="E305">
        <f ca="1">SUM($D$2:D305)/SUM($C$2:C305)</f>
        <v>95.604678441729675</v>
      </c>
      <c r="F305">
        <f ca="1">_xlfn.STDEV.P($B$2:B305)</f>
        <v>5.7026050785662576</v>
      </c>
      <c r="G305">
        <f t="shared" ca="1" si="13"/>
        <v>101.30728352029593</v>
      </c>
      <c r="H305">
        <f t="shared" ca="1" si="14"/>
        <v>89.902073363163424</v>
      </c>
    </row>
    <row r="306" spans="1:8" x14ac:dyDescent="0.25">
      <c r="A306" vm="893">
        <f ca="1"/>
        <v>45736</v>
      </c>
      <c r="B306" vm="894">
        <f ca="1"/>
        <v>108.48</v>
      </c>
      <c r="C306" vm="895">
        <f ca="1"/>
        <v>1896164</v>
      </c>
      <c r="D306">
        <f t="shared" ca="1" si="12"/>
        <v>205695870.72</v>
      </c>
      <c r="E306">
        <f ca="1">SUM($D$2:D306)/SUM($C$2:C306)</f>
        <v>95.64346753052773</v>
      </c>
      <c r="F306">
        <f ca="1">_xlfn.STDEV.P($B$2:B306)</f>
        <v>5.74304541568325</v>
      </c>
      <c r="G306">
        <f t="shared" ca="1" si="13"/>
        <v>101.38651294621098</v>
      </c>
      <c r="H306">
        <f t="shared" ca="1" si="14"/>
        <v>89.900422114844474</v>
      </c>
    </row>
    <row r="307" spans="1:8" x14ac:dyDescent="0.25">
      <c r="A307" vm="896">
        <f ca="1"/>
        <v>45737</v>
      </c>
      <c r="B307" vm="897">
        <f ca="1"/>
        <v>107.8</v>
      </c>
      <c r="C307" vm="898">
        <f ca="1"/>
        <v>4415458</v>
      </c>
      <c r="D307">
        <f t="shared" ca="1" si="12"/>
        <v>475986372.39999998</v>
      </c>
      <c r="E307">
        <f ca="1">SUM($D$2:D307)/SUM($C$2:C307)</f>
        <v>95.728156132633146</v>
      </c>
      <c r="F307">
        <f ca="1">_xlfn.STDEV.P($B$2:B307)</f>
        <v>5.7777088971473081</v>
      </c>
      <c r="G307">
        <f t="shared" ca="1" si="13"/>
        <v>101.50586502978045</v>
      </c>
      <c r="H307">
        <f t="shared" ca="1" si="14"/>
        <v>89.950447235485839</v>
      </c>
    </row>
    <row r="308" spans="1:8" x14ac:dyDescent="0.25">
      <c r="A308" vm="899">
        <f ca="1"/>
        <v>45740</v>
      </c>
      <c r="B308" vm="900">
        <f ca="1"/>
        <v>106.83</v>
      </c>
      <c r="C308" vm="901">
        <f ca="1"/>
        <v>1897938</v>
      </c>
      <c r="D308">
        <f t="shared" ca="1" si="12"/>
        <v>202756716.53999999</v>
      </c>
      <c r="E308">
        <f ca="1">SUM($D$2:D308)/SUM($C$2:C308)</f>
        <v>95.761301137349449</v>
      </c>
      <c r="F308">
        <f ca="1">_xlfn.STDEV.P($B$2:B308)</f>
        <v>5.8051782276327195</v>
      </c>
      <c r="G308">
        <f t="shared" ca="1" si="13"/>
        <v>101.56647936498217</v>
      </c>
      <c r="H308">
        <f t="shared" ca="1" si="14"/>
        <v>89.956122909716726</v>
      </c>
    </row>
    <row r="309" spans="1:8" x14ac:dyDescent="0.25">
      <c r="A309" vm="902">
        <f ca="1"/>
        <v>45741</v>
      </c>
      <c r="B309" vm="903">
        <f ca="1"/>
        <v>105.55</v>
      </c>
      <c r="C309" vm="904">
        <f ca="1"/>
        <v>2543771</v>
      </c>
      <c r="D309">
        <f t="shared" ca="1" si="12"/>
        <v>268495029.05000001</v>
      </c>
      <c r="E309">
        <f ca="1">SUM($D$2:D309)/SUM($C$2:C309)</f>
        <v>95.800314158435683</v>
      </c>
      <c r="F309">
        <f ca="1">_xlfn.STDEV.P($B$2:B309)</f>
        <v>5.8244356842905258</v>
      </c>
      <c r="G309">
        <f t="shared" ca="1" si="13"/>
        <v>101.6247498427262</v>
      </c>
      <c r="H309">
        <f t="shared" ca="1" si="14"/>
        <v>89.975878474145162</v>
      </c>
    </row>
    <row r="310" spans="1:8" x14ac:dyDescent="0.25">
      <c r="A310" vm="905">
        <f ca="1"/>
        <v>45742</v>
      </c>
      <c r="B310" vm="906">
        <f ca="1"/>
        <v>107.46</v>
      </c>
      <c r="C310" vm="907">
        <f ca="1"/>
        <v>1925093</v>
      </c>
      <c r="D310">
        <f t="shared" ca="1" si="12"/>
        <v>206870493.78</v>
      </c>
      <c r="E310">
        <f ca="1">SUM($D$2:D310)/SUM($C$2:C310)</f>
        <v>95.835376201932092</v>
      </c>
      <c r="F310">
        <f ca="1">_xlfn.STDEV.P($B$2:B310)</f>
        <v>5.8549839147383622</v>
      </c>
      <c r="G310">
        <f t="shared" ca="1" si="13"/>
        <v>101.69036011667046</v>
      </c>
      <c r="H310">
        <f t="shared" ca="1" si="14"/>
        <v>89.980392287193723</v>
      </c>
    </row>
    <row r="311" spans="1:8" x14ac:dyDescent="0.25">
      <c r="A311" vm="908">
        <f ca="1"/>
        <v>45743</v>
      </c>
      <c r="B311" vm="909">
        <f ca="1"/>
        <v>107.89</v>
      </c>
      <c r="C311" vm="910">
        <f ca="1"/>
        <v>1859144</v>
      </c>
      <c r="D311">
        <f t="shared" ca="1" si="12"/>
        <v>200583046.16</v>
      </c>
      <c r="E311">
        <f ca="1">SUM($D$2:D311)/SUM($C$2:C311)</f>
        <v>95.870282672901581</v>
      </c>
      <c r="F311">
        <f ca="1">_xlfn.STDEV.P($B$2:B311)</f>
        <v>5.8877893418520895</v>
      </c>
      <c r="G311">
        <f t="shared" ca="1" si="13"/>
        <v>101.75807201475367</v>
      </c>
      <c r="H311">
        <f t="shared" ca="1" si="14"/>
        <v>89.982493331049497</v>
      </c>
    </row>
    <row r="312" spans="1:8" x14ac:dyDescent="0.25">
      <c r="A312" vm="911">
        <f ca="1"/>
        <v>45744</v>
      </c>
      <c r="B312" vm="912">
        <f ca="1"/>
        <v>108.77</v>
      </c>
      <c r="C312" vm="913">
        <f ca="1"/>
        <v>2392331</v>
      </c>
      <c r="D312">
        <f t="shared" ca="1" si="12"/>
        <v>260213842.87</v>
      </c>
      <c r="E312">
        <f ca="1">SUM($D$2:D312)/SUM($C$2:C312)</f>
        <v>95.918170537905098</v>
      </c>
      <c r="F312">
        <f ca="1">_xlfn.STDEV.P($B$2:B312)</f>
        <v>5.9260389960766577</v>
      </c>
      <c r="G312">
        <f t="shared" ca="1" si="13"/>
        <v>101.84420953398175</v>
      </c>
      <c r="H312">
        <f t="shared" ca="1" si="14"/>
        <v>89.992131541828442</v>
      </c>
    </row>
    <row r="313" spans="1:8" x14ac:dyDescent="0.25">
      <c r="A313" vm="914">
        <f ca="1"/>
        <v>45747</v>
      </c>
      <c r="B313" vm="915">
        <f ca="1"/>
        <v>110.59</v>
      </c>
      <c r="C313" vm="916">
        <f ca="1"/>
        <v>2920439</v>
      </c>
      <c r="D313">
        <f t="shared" ca="1" si="12"/>
        <v>322971349.00999999</v>
      </c>
      <c r="E313">
        <f ca="1">SUM($D$2:D313)/SUM($C$2:C313)</f>
        <v>95.9843605906931</v>
      </c>
      <c r="F313">
        <f ca="1">_xlfn.STDEV.P($B$2:B313)</f>
        <v>5.9772552322758132</v>
      </c>
      <c r="G313">
        <f t="shared" ca="1" si="13"/>
        <v>101.96161582296891</v>
      </c>
      <c r="H313">
        <f t="shared" ca="1" si="14"/>
        <v>90.007105358417292</v>
      </c>
    </row>
    <row r="314" spans="1:8" x14ac:dyDescent="0.25">
      <c r="A314" vm="917">
        <f ca="1"/>
        <v>45748</v>
      </c>
      <c r="B314" vm="918">
        <f ca="1"/>
        <v>110.06</v>
      </c>
      <c r="C314" vm="919">
        <f ca="1"/>
        <v>2507642</v>
      </c>
      <c r="D314">
        <f t="shared" ca="1" si="12"/>
        <v>275991078.51999998</v>
      </c>
      <c r="E314">
        <f ca="1">SUM($D$2:D314)/SUM($C$2:C314)</f>
        <v>96.038674981061163</v>
      </c>
      <c r="F314">
        <f ca="1">_xlfn.STDEV.P($B$2:B314)</f>
        <v>6.0232075627506099</v>
      </c>
      <c r="G314">
        <f t="shared" ca="1" si="13"/>
        <v>102.06188254381178</v>
      </c>
      <c r="H314">
        <f t="shared" ca="1" si="14"/>
        <v>90.01546741831055</v>
      </c>
    </row>
    <row r="315" spans="1:8" x14ac:dyDescent="0.25">
      <c r="A315" vm="920">
        <f ca="1"/>
        <v>45749</v>
      </c>
      <c r="B315" vm="921">
        <f ca="1"/>
        <v>109.58</v>
      </c>
      <c r="C315" vm="922">
        <f ca="1"/>
        <v>2015191</v>
      </c>
      <c r="D315">
        <f t="shared" ca="1" si="12"/>
        <v>220824629.78</v>
      </c>
      <c r="E315">
        <f ca="1">SUM($D$2:D315)/SUM($C$2:C315)</f>
        <v>96.080536402268322</v>
      </c>
      <c r="F315">
        <f ca="1">_xlfn.STDEV.P($B$2:B315)</f>
        <v>6.0646149119782917</v>
      </c>
      <c r="G315">
        <f t="shared" ca="1" si="13"/>
        <v>102.14515131424662</v>
      </c>
      <c r="H315">
        <f t="shared" ca="1" si="14"/>
        <v>90.015921490290026</v>
      </c>
    </row>
    <row r="316" spans="1:8" x14ac:dyDescent="0.25">
      <c r="A316" vm="923">
        <f ca="1"/>
        <v>45750</v>
      </c>
      <c r="B316" vm="924">
        <f ca="1"/>
        <v>112.72</v>
      </c>
      <c r="C316" vm="925">
        <f ca="1"/>
        <v>4175537</v>
      </c>
      <c r="D316">
        <f t="shared" ca="1" si="12"/>
        <v>470666530.63999999</v>
      </c>
      <c r="E316">
        <f ca="1">SUM($D$2:D316)/SUM($C$2:C316)</f>
        <v>96.186441112080743</v>
      </c>
      <c r="F316">
        <f ca="1">_xlfn.STDEV.P($B$2:B316)</f>
        <v>6.130266466300287</v>
      </c>
      <c r="G316">
        <f t="shared" ca="1" si="13"/>
        <v>102.31670757838103</v>
      </c>
      <c r="H316">
        <f t="shared" ca="1" si="14"/>
        <v>90.056174645780459</v>
      </c>
    </row>
    <row r="317" spans="1:8" x14ac:dyDescent="0.25">
      <c r="A317" vm="926">
        <f ca="1"/>
        <v>45751</v>
      </c>
      <c r="B317" vm="927">
        <f ca="1"/>
        <v>109.32</v>
      </c>
      <c r="C317" vm="928">
        <f ca="1"/>
        <v>6395885</v>
      </c>
      <c r="D317">
        <f t="shared" ca="1" si="12"/>
        <v>699198148.19999993</v>
      </c>
      <c r="E317">
        <f ca="1">SUM($D$2:D317)/SUM($C$2:C317)</f>
        <v>96.313245188768889</v>
      </c>
      <c r="F317">
        <f ca="1">_xlfn.STDEV.P($B$2:B317)</f>
        <v>6.1678458833608074</v>
      </c>
      <c r="G317">
        <f t="shared" ca="1" si="13"/>
        <v>102.4810910721297</v>
      </c>
      <c r="H317">
        <f t="shared" ca="1" si="14"/>
        <v>90.145399305408077</v>
      </c>
    </row>
    <row r="318" spans="1:8" x14ac:dyDescent="0.25">
      <c r="A318" vm="929">
        <f ca="1"/>
        <v>45754</v>
      </c>
      <c r="B318" vm="930">
        <f ca="1"/>
        <v>105.4</v>
      </c>
      <c r="C318" vm="931">
        <f ca="1"/>
        <v>4405486</v>
      </c>
      <c r="D318">
        <f t="shared" ca="1" si="12"/>
        <v>464338224.40000004</v>
      </c>
      <c r="E318">
        <f ca="1">SUM($D$2:D318)/SUM($C$2:C318)</f>
        <v>96.373275989143721</v>
      </c>
      <c r="F318">
        <f ca="1">_xlfn.STDEV.P($B$2:B318)</f>
        <v>6.1816407312607886</v>
      </c>
      <c r="G318">
        <f t="shared" ca="1" si="13"/>
        <v>102.55491672040451</v>
      </c>
      <c r="H318">
        <f t="shared" ca="1" si="14"/>
        <v>90.191635257882936</v>
      </c>
    </row>
    <row r="319" spans="1:8" x14ac:dyDescent="0.25">
      <c r="A319" vm="932">
        <f ca="1"/>
        <v>45755</v>
      </c>
      <c r="B319" vm="933">
        <f ca="1"/>
        <v>106.05</v>
      </c>
      <c r="C319" vm="934">
        <f ca="1"/>
        <v>2683063</v>
      </c>
      <c r="D319">
        <f t="shared" ca="1" si="12"/>
        <v>284538831.14999998</v>
      </c>
      <c r="E319">
        <f ca="1">SUM($D$2:D319)/SUM($C$2:C319)</f>
        <v>96.412054118258382</v>
      </c>
      <c r="F319">
        <f ca="1">_xlfn.STDEV.P($B$2:B319)</f>
        <v>6.198428022424018</v>
      </c>
      <c r="G319">
        <f t="shared" ca="1" si="13"/>
        <v>102.61048214068239</v>
      </c>
      <c r="H319">
        <f t="shared" ca="1" si="14"/>
        <v>90.213626095834371</v>
      </c>
    </row>
    <row r="320" spans="1:8" x14ac:dyDescent="0.25">
      <c r="A320" vm="935">
        <f ca="1"/>
        <v>45756</v>
      </c>
      <c r="B320" vm="936">
        <f ca="1"/>
        <v>105.77</v>
      </c>
      <c r="C320" vm="937">
        <f ca="1"/>
        <v>4912769</v>
      </c>
      <c r="D320">
        <f t="shared" ca="1" si="12"/>
        <v>519623577.13</v>
      </c>
      <c r="E320">
        <f ca="1">SUM($D$2:D320)/SUM($C$2:C320)</f>
        <v>96.480218807036607</v>
      </c>
      <c r="F320">
        <f ca="1">_xlfn.STDEV.P($B$2:B320)</f>
        <v>6.2134841815422694</v>
      </c>
      <c r="G320">
        <f t="shared" ca="1" si="13"/>
        <v>102.69370298857888</v>
      </c>
      <c r="H320">
        <f t="shared" ca="1" si="14"/>
        <v>90.266734625494337</v>
      </c>
    </row>
    <row r="321" spans="1:8" x14ac:dyDescent="0.25">
      <c r="A321" vm="938">
        <f ca="1"/>
        <v>45757</v>
      </c>
      <c r="B321" vm="939">
        <f ca="1"/>
        <v>108.3</v>
      </c>
      <c r="C321" vm="940">
        <f ca="1"/>
        <v>3382289</v>
      </c>
      <c r="D321">
        <f t="shared" ca="1" si="12"/>
        <v>366301898.69999999</v>
      </c>
      <c r="E321">
        <f ca="1">SUM($D$2:D321)/SUM($C$2:C321)</f>
        <v>96.539198190385775</v>
      </c>
      <c r="F321">
        <f ca="1">_xlfn.STDEV.P($B$2:B321)</f>
        <v>6.2423511383432295</v>
      </c>
      <c r="G321">
        <f t="shared" ca="1" si="13"/>
        <v>102.781549328729</v>
      </c>
      <c r="H321">
        <f t="shared" ca="1" si="14"/>
        <v>90.296847052042551</v>
      </c>
    </row>
    <row r="322" spans="1:8" x14ac:dyDescent="0.25">
      <c r="A322" vm="941">
        <f ca="1"/>
        <v>45758</v>
      </c>
      <c r="B322" vm="942">
        <f ca="1"/>
        <v>109.84</v>
      </c>
      <c r="C322" vm="943">
        <f ca="1"/>
        <v>2617288</v>
      </c>
      <c r="D322">
        <f t="shared" ca="1" si="12"/>
        <v>287482913.92000002</v>
      </c>
      <c r="E322">
        <f ca="1">SUM($D$2:D322)/SUM($C$2:C322)</f>
        <v>96.590358799804193</v>
      </c>
      <c r="F322">
        <f ca="1">_xlfn.STDEV.P($B$2:B322)</f>
        <v>6.2806877319813985</v>
      </c>
      <c r="G322">
        <f t="shared" ca="1" si="13"/>
        <v>102.87104653178559</v>
      </c>
      <c r="H322">
        <f t="shared" ca="1" si="14"/>
        <v>90.309671067822791</v>
      </c>
    </row>
    <row r="323" spans="1:8" x14ac:dyDescent="0.25">
      <c r="A323" vm="944">
        <f ca="1"/>
        <v>45761</v>
      </c>
      <c r="B323" vm="945">
        <f ca="1"/>
        <v>112.25</v>
      </c>
      <c r="C323" vm="946">
        <f ca="1"/>
        <v>2133340</v>
      </c>
      <c r="D323">
        <f t="shared" ref="D323:D386" ca="1" si="15">B323*C323</f>
        <v>239467415</v>
      </c>
      <c r="E323">
        <f ca="1">SUM($D$2:D323)/SUM($C$2:C323)</f>
        <v>96.63930159654133</v>
      </c>
      <c r="F323">
        <f ca="1">_xlfn.STDEV.P($B$2:B323)</f>
        <v>6.3360422471586606</v>
      </c>
      <c r="G323">
        <f t="shared" ref="G323:G386" ca="1" si="16">E323 + F323</f>
        <v>102.97534384369999</v>
      </c>
      <c r="H323">
        <f t="shared" ref="H323:H386" ca="1" si="17">E323 - F323</f>
        <v>90.303259349382671</v>
      </c>
    </row>
    <row r="324" spans="1:8" x14ac:dyDescent="0.25">
      <c r="A324" vm="947">
        <f ca="1"/>
        <v>45762</v>
      </c>
      <c r="B324" vm="948">
        <f ca="1"/>
        <v>111.81</v>
      </c>
      <c r="C324" vm="949">
        <f ca="1"/>
        <v>2314523</v>
      </c>
      <c r="D324">
        <f t="shared" ca="1" si="15"/>
        <v>258786816.63</v>
      </c>
      <c r="E324">
        <f ca="1">SUM($D$2:D324)/SUM($C$2:C324)</f>
        <v>96.690569297062297</v>
      </c>
      <c r="F324">
        <f ca="1">_xlfn.STDEV.P($B$2:B324)</f>
        <v>6.38677861963395</v>
      </c>
      <c r="G324">
        <f t="shared" ca="1" si="16"/>
        <v>103.07734791669624</v>
      </c>
      <c r="H324">
        <f t="shared" ca="1" si="17"/>
        <v>90.303790677428353</v>
      </c>
    </row>
    <row r="325" spans="1:8" x14ac:dyDescent="0.25">
      <c r="A325" vm="950">
        <f ca="1"/>
        <v>45763</v>
      </c>
      <c r="B325" vm="951">
        <f ca="1"/>
        <v>111.44</v>
      </c>
      <c r="C325" vm="952">
        <f ca="1"/>
        <v>2133038</v>
      </c>
      <c r="D325">
        <f t="shared" ca="1" si="15"/>
        <v>237705754.72</v>
      </c>
      <c r="E325">
        <f ca="1">SUM($D$2:D325)/SUM($C$2:C325)</f>
        <v>96.736362407738923</v>
      </c>
      <c r="F325">
        <f ca="1">_xlfn.STDEV.P($B$2:B325)</f>
        <v>6.4336849993675269</v>
      </c>
      <c r="G325">
        <f t="shared" ca="1" si="16"/>
        <v>103.17004740710645</v>
      </c>
      <c r="H325">
        <f t="shared" ca="1" si="17"/>
        <v>90.302677408371395</v>
      </c>
    </row>
    <row r="326" spans="1:8" x14ac:dyDescent="0.25">
      <c r="A326" vm="953">
        <f ca="1"/>
        <v>45764</v>
      </c>
      <c r="B326" vm="954">
        <f ca="1"/>
        <v>112.1</v>
      </c>
      <c r="C326" vm="955">
        <f ca="1"/>
        <v>2055242</v>
      </c>
      <c r="D326">
        <f t="shared" ca="1" si="15"/>
        <v>230392628.19999999</v>
      </c>
      <c r="E326">
        <f ca="1">SUM($D$2:D326)/SUM($C$2:C326)</f>
        <v>96.782185676158448</v>
      </c>
      <c r="F326">
        <f ca="1">_xlfn.STDEV.P($B$2:B326)</f>
        <v>6.4845120162579777</v>
      </c>
      <c r="G326">
        <f t="shared" ca="1" si="16"/>
        <v>103.26669769241643</v>
      </c>
      <c r="H326">
        <f t="shared" ca="1" si="17"/>
        <v>90.297673659900468</v>
      </c>
    </row>
    <row r="327" spans="1:8" x14ac:dyDescent="0.25">
      <c r="A327" vm="956">
        <f ca="1"/>
        <v>45768</v>
      </c>
      <c r="B327" vm="957">
        <f ca="1"/>
        <v>110.96</v>
      </c>
      <c r="C327" vm="958">
        <f ca="1"/>
        <v>2333943</v>
      </c>
      <c r="D327">
        <f t="shared" ca="1" si="15"/>
        <v>258974315.27999997</v>
      </c>
      <c r="E327">
        <f ca="1">SUM($D$2:D327)/SUM($C$2:C327)</f>
        <v>96.830044286968885</v>
      </c>
      <c r="F327">
        <f ca="1">_xlfn.STDEV.P($B$2:B327)</f>
        <v>6.5260645568845517</v>
      </c>
      <c r="G327">
        <f t="shared" ca="1" si="16"/>
        <v>103.35610884385343</v>
      </c>
      <c r="H327">
        <f t="shared" ca="1" si="17"/>
        <v>90.303979730084336</v>
      </c>
    </row>
    <row r="328" spans="1:8" x14ac:dyDescent="0.25">
      <c r="A328" vm="959">
        <f ca="1"/>
        <v>45769</v>
      </c>
      <c r="B328" vm="960">
        <f ca="1"/>
        <v>113.3</v>
      </c>
      <c r="C328" vm="961">
        <f ca="1"/>
        <v>1833656</v>
      </c>
      <c r="D328">
        <f t="shared" ca="1" si="15"/>
        <v>207753224.79999998</v>
      </c>
      <c r="E328">
        <f ca="1">SUM($D$2:D328)/SUM($C$2:C328)</f>
        <v>96.873607571449313</v>
      </c>
      <c r="F328">
        <f ca="1">_xlfn.STDEV.P($B$2:B328)</f>
        <v>6.5840663425998178</v>
      </c>
      <c r="G328">
        <f t="shared" ca="1" si="16"/>
        <v>103.45767391404912</v>
      </c>
      <c r="H328">
        <f t="shared" ca="1" si="17"/>
        <v>90.289541228849501</v>
      </c>
    </row>
    <row r="329" spans="1:8" x14ac:dyDescent="0.25">
      <c r="A329" vm="962">
        <f ca="1"/>
        <v>45770</v>
      </c>
      <c r="B329" vm="963">
        <f ca="1"/>
        <v>112.52</v>
      </c>
      <c r="C329" vm="964">
        <f ca="1"/>
        <v>2098373</v>
      </c>
      <c r="D329">
        <f t="shared" ca="1" si="15"/>
        <v>236108929.95999998</v>
      </c>
      <c r="E329">
        <f ca="1">SUM($D$2:D329)/SUM($C$2:C329)</f>
        <v>96.920824166337866</v>
      </c>
      <c r="F329">
        <f ca="1">_xlfn.STDEV.P($B$2:B329)</f>
        <v>6.6348581943565828</v>
      </c>
      <c r="G329">
        <f t="shared" ca="1" si="16"/>
        <v>103.55568236069445</v>
      </c>
      <c r="H329">
        <f t="shared" ca="1" si="17"/>
        <v>90.285965971981284</v>
      </c>
    </row>
    <row r="330" spans="1:8" x14ac:dyDescent="0.25">
      <c r="A330" vm="965">
        <f ca="1"/>
        <v>45771</v>
      </c>
      <c r="B330" vm="966">
        <f ca="1"/>
        <v>111.29</v>
      </c>
      <c r="C330" vm="967">
        <f ca="1"/>
        <v>2389269</v>
      </c>
      <c r="D330">
        <f t="shared" ca="1" si="15"/>
        <v>265901747.01000002</v>
      </c>
      <c r="E330">
        <f ca="1">SUM($D$2:D330)/SUM($C$2:C330)</f>
        <v>96.970028680979709</v>
      </c>
      <c r="F330">
        <f ca="1">_xlfn.STDEV.P($B$2:B330)</f>
        <v>6.6758932976484813</v>
      </c>
      <c r="G330">
        <f t="shared" ca="1" si="16"/>
        <v>103.64592197862819</v>
      </c>
      <c r="H330">
        <f t="shared" ca="1" si="17"/>
        <v>90.294135383331223</v>
      </c>
    </row>
    <row r="331" spans="1:8" x14ac:dyDescent="0.25">
      <c r="A331" vm="968">
        <f ca="1"/>
        <v>45772</v>
      </c>
      <c r="B331" vm="969">
        <f ca="1"/>
        <v>110.45</v>
      </c>
      <c r="C331" vm="970">
        <f ca="1"/>
        <v>2820849</v>
      </c>
      <c r="D331">
        <f t="shared" ca="1" si="15"/>
        <v>311562772.05000001</v>
      </c>
      <c r="E331">
        <f ca="1">SUM($D$2:D331)/SUM($C$2:C331)</f>
        <v>97.024306776762188</v>
      </c>
      <c r="F331">
        <f ca="1">_xlfn.STDEV.P($B$2:B331)</f>
        <v>6.7106386723073008</v>
      </c>
      <c r="G331">
        <f t="shared" ca="1" si="16"/>
        <v>103.73494544906949</v>
      </c>
      <c r="H331">
        <f t="shared" ca="1" si="17"/>
        <v>90.313668104454891</v>
      </c>
    </row>
    <row r="332" spans="1:8" x14ac:dyDescent="0.25">
      <c r="A332" vm="971">
        <f ca="1"/>
        <v>45775</v>
      </c>
      <c r="B332" vm="972">
        <f ca="1"/>
        <v>111.13</v>
      </c>
      <c r="C332" vm="973">
        <f ca="1"/>
        <v>2938240</v>
      </c>
      <c r="D332">
        <f t="shared" ca="1" si="15"/>
        <v>326526611.19999999</v>
      </c>
      <c r="E332">
        <f ca="1">SUM($D$2:D332)/SUM($C$2:C332)</f>
        <v>97.083220953565871</v>
      </c>
      <c r="F332">
        <f ca="1">_xlfn.STDEV.P($B$2:B332)</f>
        <v>6.7490977168509589</v>
      </c>
      <c r="G332">
        <f t="shared" ca="1" si="16"/>
        <v>103.83231867041683</v>
      </c>
      <c r="H332">
        <f t="shared" ca="1" si="17"/>
        <v>90.334123236714916</v>
      </c>
    </row>
    <row r="333" spans="1:8" x14ac:dyDescent="0.25">
      <c r="A333" vm="974">
        <f ca="1"/>
        <v>45776</v>
      </c>
      <c r="B333" vm="975">
        <f ca="1"/>
        <v>112.13</v>
      </c>
      <c r="C333" vm="976">
        <f ca="1"/>
        <v>2000418</v>
      </c>
      <c r="D333">
        <f t="shared" ca="1" si="15"/>
        <v>224306870.34</v>
      </c>
      <c r="E333">
        <f ca="1">SUM($D$2:D333)/SUM($C$2:C333)</f>
        <v>97.125885706012511</v>
      </c>
      <c r="F333">
        <f ca="1">_xlfn.STDEV.P($B$2:B333)</f>
        <v>6.7935365697084267</v>
      </c>
      <c r="G333">
        <f t="shared" ca="1" si="16"/>
        <v>103.91942227572093</v>
      </c>
      <c r="H333">
        <f t="shared" ca="1" si="17"/>
        <v>90.332349136304089</v>
      </c>
    </row>
    <row r="334" spans="1:8" x14ac:dyDescent="0.25">
      <c r="A334" vm="977">
        <f ca="1"/>
        <v>45777</v>
      </c>
      <c r="B334" vm="978">
        <f ca="1"/>
        <v>112.75</v>
      </c>
      <c r="C334" vm="979">
        <f ca="1"/>
        <v>4940839</v>
      </c>
      <c r="D334">
        <f t="shared" ca="1" si="15"/>
        <v>557079597.25</v>
      </c>
      <c r="E334">
        <f ca="1">SUM($D$2:D334)/SUM($C$2:C334)</f>
        <v>97.234545813019793</v>
      </c>
      <c r="F334">
        <f ca="1">_xlfn.STDEV.P($B$2:B334)</f>
        <v>6.841427790299738</v>
      </c>
      <c r="G334">
        <f t="shared" ca="1" si="16"/>
        <v>104.07597360331953</v>
      </c>
      <c r="H334">
        <f t="shared" ca="1" si="17"/>
        <v>90.39311802272006</v>
      </c>
    </row>
    <row r="335" spans="1:8" x14ac:dyDescent="0.25">
      <c r="A335" vm="980">
        <f ca="1"/>
        <v>45778</v>
      </c>
      <c r="B335" vm="981">
        <f ca="1"/>
        <v>112.56</v>
      </c>
      <c r="C335" vm="982">
        <f ca="1"/>
        <v>3265519</v>
      </c>
      <c r="D335">
        <f t="shared" ca="1" si="15"/>
        <v>367566818.63999999</v>
      </c>
      <c r="E335">
        <f ca="1">SUM($D$2:D335)/SUM($C$2:C335)</f>
        <v>97.304666785719007</v>
      </c>
      <c r="F335">
        <f ca="1">_xlfn.STDEV.P($B$2:B335)</f>
        <v>6.8870321769558691</v>
      </c>
      <c r="G335">
        <f t="shared" ca="1" si="16"/>
        <v>104.19169896267488</v>
      </c>
      <c r="H335">
        <f t="shared" ca="1" si="17"/>
        <v>90.417634608763137</v>
      </c>
    </row>
    <row r="336" spans="1:8" x14ac:dyDescent="0.25">
      <c r="A336" vm="983">
        <f ca="1"/>
        <v>45779</v>
      </c>
      <c r="B336" vm="984">
        <f ca="1"/>
        <v>110.03</v>
      </c>
      <c r="C336" vm="985">
        <f ca="1"/>
        <v>3421767</v>
      </c>
      <c r="D336">
        <f t="shared" ca="1" si="15"/>
        <v>376497023.00999999</v>
      </c>
      <c r="E336">
        <f ca="1">SUM($D$2:D336)/SUM($C$2:C336)</f>
        <v>97.365385806710137</v>
      </c>
      <c r="F336">
        <f ca="1">_xlfn.STDEV.P($B$2:B336)</f>
        <v>6.9157423606079309</v>
      </c>
      <c r="G336">
        <f t="shared" ca="1" si="16"/>
        <v>104.28112816731807</v>
      </c>
      <c r="H336">
        <f t="shared" ca="1" si="17"/>
        <v>90.449643446102201</v>
      </c>
    </row>
    <row r="337" spans="1:8" x14ac:dyDescent="0.25">
      <c r="A337" vm="986">
        <f ca="1"/>
        <v>45782</v>
      </c>
      <c r="B337" vm="987">
        <f ca="1"/>
        <v>109.52</v>
      </c>
      <c r="C337" vm="988">
        <f ca="1"/>
        <v>3225219</v>
      </c>
      <c r="D337">
        <f t="shared" ca="1" si="15"/>
        <v>353225984.88</v>
      </c>
      <c r="E337">
        <f ca="1">SUM($D$2:D337)/SUM($C$2:C337)</f>
        <v>97.419805579196307</v>
      </c>
      <c r="F337">
        <f ca="1">_xlfn.STDEV.P($B$2:B337)</f>
        <v>6.9410680861308265</v>
      </c>
      <c r="G337">
        <f t="shared" ca="1" si="16"/>
        <v>104.36087366532713</v>
      </c>
      <c r="H337">
        <f t="shared" ca="1" si="17"/>
        <v>90.478737493065481</v>
      </c>
    </row>
    <row r="338" spans="1:8" x14ac:dyDescent="0.25">
      <c r="A338" vm="989">
        <f ca="1"/>
        <v>45783</v>
      </c>
      <c r="B338" vm="990">
        <f ca="1"/>
        <v>110.47</v>
      </c>
      <c r="C338" vm="991">
        <f ca="1"/>
        <v>2186858</v>
      </c>
      <c r="D338">
        <f t="shared" ca="1" si="15"/>
        <v>241582203.25999999</v>
      </c>
      <c r="E338">
        <f ca="1">SUM($D$2:D338)/SUM($C$2:C338)</f>
        <v>97.459303792806466</v>
      </c>
      <c r="F338">
        <f ca="1">_xlfn.STDEV.P($B$2:B338)</f>
        <v>6.9713190365112183</v>
      </c>
      <c r="G338">
        <f t="shared" ca="1" si="16"/>
        <v>104.43062282931768</v>
      </c>
      <c r="H338">
        <f t="shared" ca="1" si="17"/>
        <v>90.487984756295248</v>
      </c>
    </row>
    <row r="339" spans="1:8" x14ac:dyDescent="0.25">
      <c r="A339" vm="992">
        <f ca="1"/>
        <v>45784</v>
      </c>
      <c r="B339" vm="993">
        <f ca="1"/>
        <v>111.04</v>
      </c>
      <c r="C339" vm="994">
        <f ca="1"/>
        <v>3555181</v>
      </c>
      <c r="D339">
        <f t="shared" ca="1" si="15"/>
        <v>394767298.24000001</v>
      </c>
      <c r="E339">
        <f ca="1">SUM($D$2:D339)/SUM($C$2:C339)</f>
        <v>97.525799249157117</v>
      </c>
      <c r="F339">
        <f ca="1">_xlfn.STDEV.P($B$2:B339)</f>
        <v>7.0043971249666255</v>
      </c>
      <c r="G339">
        <f t="shared" ca="1" si="16"/>
        <v>104.53019637412375</v>
      </c>
      <c r="H339">
        <f t="shared" ca="1" si="17"/>
        <v>90.521402124190487</v>
      </c>
    </row>
    <row r="340" spans="1:8" x14ac:dyDescent="0.25">
      <c r="A340" vm="995">
        <f ca="1"/>
        <v>45785</v>
      </c>
      <c r="B340" vm="996">
        <f ca="1"/>
        <v>107.75</v>
      </c>
      <c r="C340" vm="997">
        <f ca="1"/>
        <v>3652455</v>
      </c>
      <c r="D340">
        <f t="shared" ca="1" si="15"/>
        <v>393552026.25</v>
      </c>
      <c r="E340">
        <f ca="1">SUM($D$2:D340)/SUM($C$2:C340)</f>
        <v>97.57697253584189</v>
      </c>
      <c r="F340">
        <f ca="1">_xlfn.STDEV.P($B$2:B340)</f>
        <v>7.0194609164330171</v>
      </c>
      <c r="G340">
        <f t="shared" ca="1" si="16"/>
        <v>104.59643345227491</v>
      </c>
      <c r="H340">
        <f t="shared" ca="1" si="17"/>
        <v>90.557511619408871</v>
      </c>
    </row>
    <row r="341" spans="1:8" x14ac:dyDescent="0.25">
      <c r="A341" vm="998">
        <f ca="1"/>
        <v>45786</v>
      </c>
      <c r="B341" vm="999">
        <f ca="1"/>
        <v>107.68</v>
      </c>
      <c r="C341" vm="1000">
        <f ca="1"/>
        <v>2248912</v>
      </c>
      <c r="D341">
        <f t="shared" ca="1" si="15"/>
        <v>242162844.16000003</v>
      </c>
      <c r="E341">
        <f ca="1">SUM($D$2:D341)/SUM($C$2:C341)</f>
        <v>97.608012179207947</v>
      </c>
      <c r="F341">
        <f ca="1">_xlfn.STDEV.P($B$2:B341)</f>
        <v>7.033936631034698</v>
      </c>
      <c r="G341">
        <f t="shared" ca="1" si="16"/>
        <v>104.64194881024264</v>
      </c>
      <c r="H341">
        <f t="shared" ca="1" si="17"/>
        <v>90.574075548173255</v>
      </c>
    </row>
    <row r="342" spans="1:8" x14ac:dyDescent="0.25">
      <c r="A342" vm="1001">
        <f ca="1"/>
        <v>45789</v>
      </c>
      <c r="B342" vm="1002">
        <f ca="1"/>
        <v>103.54</v>
      </c>
      <c r="C342" vm="1003">
        <f ca="1"/>
        <v>3918415</v>
      </c>
      <c r="D342">
        <f t="shared" ca="1" si="15"/>
        <v>405712689.10000002</v>
      </c>
      <c r="E342">
        <f ca="1">SUM($D$2:D342)/SUM($C$2:C342)</f>
        <v>97.639597464110423</v>
      </c>
      <c r="F342">
        <f ca="1">_xlfn.STDEV.P($B$2:B342)</f>
        <v>7.0330284403606571</v>
      </c>
      <c r="G342">
        <f t="shared" ca="1" si="16"/>
        <v>104.67262590447108</v>
      </c>
      <c r="H342">
        <f t="shared" ca="1" si="17"/>
        <v>90.606569023749771</v>
      </c>
    </row>
    <row r="343" spans="1:8" x14ac:dyDescent="0.25">
      <c r="A343" vm="1004">
        <f ca="1"/>
        <v>45790</v>
      </c>
      <c r="B343" vm="1005">
        <f ca="1"/>
        <v>100.58</v>
      </c>
      <c r="C343" vm="1006">
        <f ca="1"/>
        <v>4495917</v>
      </c>
      <c r="D343">
        <f t="shared" ca="1" si="15"/>
        <v>452199331.86000001</v>
      </c>
      <c r="E343">
        <f ca="1">SUM($D$2:D343)/SUM($C$2:C343)</f>
        <v>97.657452224325496</v>
      </c>
      <c r="F343">
        <f ca="1">_xlfn.STDEV.P($B$2:B343)</f>
        <v>7.025652819326039</v>
      </c>
      <c r="G343">
        <f t="shared" ca="1" si="16"/>
        <v>104.68310504365154</v>
      </c>
      <c r="H343">
        <f t="shared" ca="1" si="17"/>
        <v>90.631799404999455</v>
      </c>
    </row>
    <row r="344" spans="1:8" x14ac:dyDescent="0.25">
      <c r="A344" vm="1007">
        <f ca="1"/>
        <v>45791</v>
      </c>
      <c r="B344" vm="1008">
        <f ca="1"/>
        <v>99.27</v>
      </c>
      <c r="C344" vm="1009">
        <f ca="1"/>
        <v>3383905</v>
      </c>
      <c r="D344">
        <f t="shared" ca="1" si="15"/>
        <v>335920249.34999996</v>
      </c>
      <c r="E344">
        <f ca="1">SUM($D$2:D344)/SUM($C$2:C344)</f>
        <v>97.664788562732014</v>
      </c>
      <c r="F344">
        <f ca="1">_xlfn.STDEV.P($B$2:B344)</f>
        <v>7.0166234524322943</v>
      </c>
      <c r="G344">
        <f t="shared" ca="1" si="16"/>
        <v>104.68141201516431</v>
      </c>
      <c r="H344">
        <f t="shared" ca="1" si="17"/>
        <v>90.648165110299715</v>
      </c>
    </row>
    <row r="345" spans="1:8" x14ac:dyDescent="0.25">
      <c r="A345" vm="1010">
        <f ca="1"/>
        <v>45792</v>
      </c>
      <c r="B345" vm="1011">
        <f ca="1"/>
        <v>102.01</v>
      </c>
      <c r="C345" vm="1012">
        <f ca="1"/>
        <v>3497345</v>
      </c>
      <c r="D345">
        <f t="shared" ca="1" si="15"/>
        <v>356764163.45000005</v>
      </c>
      <c r="E345">
        <f ca="1">SUM($D$2:D345)/SUM($C$2:C345)</f>
        <v>97.685124336682037</v>
      </c>
      <c r="F345">
        <f ca="1">_xlfn.STDEV.P($B$2:B345)</f>
        <v>7.0119211205516514</v>
      </c>
      <c r="G345">
        <f t="shared" ca="1" si="16"/>
        <v>104.69704545723368</v>
      </c>
      <c r="H345">
        <f t="shared" ca="1" si="17"/>
        <v>90.673203216130389</v>
      </c>
    </row>
    <row r="346" spans="1:8" x14ac:dyDescent="0.25">
      <c r="A346" vm="1013">
        <f ca="1"/>
        <v>45793</v>
      </c>
      <c r="B346" vm="1014">
        <f ca="1"/>
        <v>104.29</v>
      </c>
      <c r="C346" vm="1015">
        <f ca="1"/>
        <v>2758882</v>
      </c>
      <c r="D346">
        <f t="shared" ca="1" si="15"/>
        <v>287723803.78000003</v>
      </c>
      <c r="E346">
        <f ca="1">SUM($D$2:D346)/SUM($C$2:C346)</f>
        <v>97.709418877146788</v>
      </c>
      <c r="F346">
        <f ca="1">_xlfn.STDEV.P($B$2:B346)</f>
        <v>7.0131182749664482</v>
      </c>
      <c r="G346">
        <f t="shared" ca="1" si="16"/>
        <v>104.72253715211323</v>
      </c>
      <c r="H346">
        <f t="shared" ca="1" si="17"/>
        <v>90.696300602180344</v>
      </c>
    </row>
    <row r="347" spans="1:8" x14ac:dyDescent="0.25">
      <c r="A347" vm="1016">
        <f ca="1"/>
        <v>45796</v>
      </c>
      <c r="B347" vm="1017">
        <f ca="1"/>
        <v>105.38</v>
      </c>
      <c r="C347" vm="1018">
        <f ca="1"/>
        <v>2047865</v>
      </c>
      <c r="D347">
        <f t="shared" ca="1" si="15"/>
        <v>215804013.69999999</v>
      </c>
      <c r="E347">
        <f ca="1">SUM($D$2:D347)/SUM($C$2:C347)</f>
        <v>97.730304929580115</v>
      </c>
      <c r="F347">
        <f ca="1">_xlfn.STDEV.P($B$2:B347)</f>
        <v>7.0178011791341008</v>
      </c>
      <c r="G347">
        <f t="shared" ca="1" si="16"/>
        <v>104.74810610871421</v>
      </c>
      <c r="H347">
        <f t="shared" ca="1" si="17"/>
        <v>90.712503750446018</v>
      </c>
    </row>
    <row r="348" spans="1:8" x14ac:dyDescent="0.25">
      <c r="A348" vm="1019">
        <f ca="1"/>
        <v>45797</v>
      </c>
      <c r="B348" vm="1020">
        <f ca="1"/>
        <v>105.71</v>
      </c>
      <c r="C348" vm="1021">
        <f ca="1"/>
        <v>2177662</v>
      </c>
      <c r="D348">
        <f t="shared" ca="1" si="15"/>
        <v>230200650.01999998</v>
      </c>
      <c r="E348">
        <f ca="1">SUM($D$2:D348)/SUM($C$2:C348)</f>
        <v>97.753343094208333</v>
      </c>
      <c r="F348">
        <f ca="1">_xlfn.STDEV.P($B$2:B348)</f>
        <v>7.0235346307775135</v>
      </c>
      <c r="G348">
        <f t="shared" ca="1" si="16"/>
        <v>104.77687772498585</v>
      </c>
      <c r="H348">
        <f t="shared" ca="1" si="17"/>
        <v>90.729808463430814</v>
      </c>
    </row>
    <row r="349" spans="1:8" x14ac:dyDescent="0.25">
      <c r="A349" vm="1022">
        <f ca="1"/>
        <v>45798</v>
      </c>
      <c r="B349" vm="1023">
        <f ca="1"/>
        <v>105.22</v>
      </c>
      <c r="C349" vm="1024">
        <f ca="1"/>
        <v>2741568</v>
      </c>
      <c r="D349">
        <f t="shared" ca="1" si="15"/>
        <v>288467784.95999998</v>
      </c>
      <c r="E349">
        <f ca="1">SUM($D$2:D349)/SUM($C$2:C349)</f>
        <v>97.780383963747482</v>
      </c>
      <c r="F349">
        <f ca="1">_xlfn.STDEV.P($B$2:B349)</f>
        <v>7.0274362707676987</v>
      </c>
      <c r="G349">
        <f t="shared" ca="1" si="16"/>
        <v>104.80782023451518</v>
      </c>
      <c r="H349">
        <f t="shared" ca="1" si="17"/>
        <v>90.752947692979788</v>
      </c>
    </row>
    <row r="350" spans="1:8" x14ac:dyDescent="0.25">
      <c r="A350" vm="1025">
        <f ca="1"/>
        <v>45799</v>
      </c>
      <c r="B350" vm="1026">
        <f ca="1"/>
        <v>103.42</v>
      </c>
      <c r="C350" vm="1027">
        <f ca="1"/>
        <v>2266069</v>
      </c>
      <c r="D350">
        <f t="shared" ca="1" si="15"/>
        <v>234356855.97999999</v>
      </c>
      <c r="E350">
        <f ca="1">SUM($D$2:D350)/SUM($C$2:C350)</f>
        <v>97.797215354963498</v>
      </c>
      <c r="F350">
        <f ca="1">_xlfn.STDEV.P($B$2:B350)</f>
        <v>7.0258488983601355</v>
      </c>
      <c r="G350">
        <f t="shared" ca="1" si="16"/>
        <v>104.82306425332364</v>
      </c>
      <c r="H350">
        <f t="shared" ca="1" si="17"/>
        <v>90.77136645660336</v>
      </c>
    </row>
    <row r="351" spans="1:8" x14ac:dyDescent="0.25">
      <c r="A351" vm="1028">
        <f ca="1"/>
        <v>45800</v>
      </c>
      <c r="B351" vm="1029">
        <f ca="1"/>
        <v>104.1</v>
      </c>
      <c r="C351" vm="1030">
        <f ca="1"/>
        <v>2116235</v>
      </c>
      <c r="D351">
        <f t="shared" ca="1" si="15"/>
        <v>220300063.5</v>
      </c>
      <c r="E351">
        <f ca="1">SUM($D$2:D351)/SUM($C$2:C351)</f>
        <v>97.81473337208898</v>
      </c>
      <c r="F351">
        <f ca="1">_xlfn.STDEV.P($B$2:B351)</f>
        <v>7.0260917381905443</v>
      </c>
      <c r="G351">
        <f t="shared" ca="1" si="16"/>
        <v>104.84082511027952</v>
      </c>
      <c r="H351">
        <f t="shared" ca="1" si="17"/>
        <v>90.788641633898436</v>
      </c>
    </row>
    <row r="352" spans="1:8" x14ac:dyDescent="0.25">
      <c r="A352" vm="1031">
        <f ca="1"/>
        <v>45804</v>
      </c>
      <c r="B352" vm="1032">
        <f ca="1"/>
        <v>103.97</v>
      </c>
      <c r="C352" vm="1033">
        <f ca="1"/>
        <v>2638922</v>
      </c>
      <c r="D352">
        <f t="shared" ca="1" si="15"/>
        <v>274368720.33999997</v>
      </c>
      <c r="E352">
        <f ca="1">SUM($D$2:D352)/SUM($C$2:C352)</f>
        <v>97.835993182803605</v>
      </c>
      <c r="F352">
        <f ca="1">_xlfn.STDEV.P($B$2:B352)</f>
        <v>7.0259049899231885</v>
      </c>
      <c r="G352">
        <f t="shared" ca="1" si="16"/>
        <v>104.8618981727268</v>
      </c>
      <c r="H352">
        <f t="shared" ca="1" si="17"/>
        <v>90.810088192880414</v>
      </c>
    </row>
    <row r="353" spans="1:8" x14ac:dyDescent="0.25">
      <c r="A353" vm="1034">
        <f ca="1"/>
        <v>45805</v>
      </c>
      <c r="B353" vm="568">
        <f ca="1"/>
        <v>102.11</v>
      </c>
      <c r="C353" vm="1035">
        <f ca="1"/>
        <v>1945687</v>
      </c>
      <c r="D353">
        <f t="shared" ca="1" si="15"/>
        <v>198674099.56999999</v>
      </c>
      <c r="E353">
        <f ca="1">SUM($D$2:D353)/SUM($C$2:C353)</f>
        <v>97.846849676724801</v>
      </c>
      <c r="F353">
        <f ca="1">_xlfn.STDEV.P($B$2:B353)</f>
        <v>7.0211471042839477</v>
      </c>
      <c r="G353">
        <f t="shared" ca="1" si="16"/>
        <v>104.86799678100874</v>
      </c>
      <c r="H353">
        <f t="shared" ca="1" si="17"/>
        <v>90.825702572440861</v>
      </c>
    </row>
    <row r="354" spans="1:8" x14ac:dyDescent="0.25">
      <c r="A354" vm="1036">
        <f ca="1"/>
        <v>45806</v>
      </c>
      <c r="B354" vm="1037">
        <f ca="1"/>
        <v>103.38</v>
      </c>
      <c r="C354" vm="1038">
        <f ca="1"/>
        <v>2762859</v>
      </c>
      <c r="D354">
        <f t="shared" ca="1" si="15"/>
        <v>285624363.42000002</v>
      </c>
      <c r="E354">
        <f ca="1">SUM($D$2:D354)/SUM($C$2:C354)</f>
        <v>97.8667357454719</v>
      </c>
      <c r="F354">
        <f ca="1">_xlfn.STDEV.P($B$2:B354)</f>
        <v>7.0193028286120294</v>
      </c>
      <c r="G354">
        <f t="shared" ca="1" si="16"/>
        <v>104.88603857408393</v>
      </c>
      <c r="H354">
        <f t="shared" ca="1" si="17"/>
        <v>90.847432916859873</v>
      </c>
    </row>
    <row r="355" spans="1:8" x14ac:dyDescent="0.25">
      <c r="A355" vm="1039">
        <f ca="1"/>
        <v>45807</v>
      </c>
      <c r="B355" vm="1040">
        <f ca="1"/>
        <v>104.49</v>
      </c>
      <c r="C355" vm="1041">
        <f ca="1"/>
        <v>6398572</v>
      </c>
      <c r="D355">
        <f t="shared" ca="1" si="15"/>
        <v>668586788.27999997</v>
      </c>
      <c r="E355">
        <f ca="1">SUM($D$2:D355)/SUM($C$2:C355)</f>
        <v>97.921408762896917</v>
      </c>
      <c r="F355">
        <f ca="1">_xlfn.STDEV.P($B$2:B355)</f>
        <v>7.0204889449960843</v>
      </c>
      <c r="G355">
        <f t="shared" ca="1" si="16"/>
        <v>104.94189770789301</v>
      </c>
      <c r="H355">
        <f t="shared" ca="1" si="17"/>
        <v>90.900919817900828</v>
      </c>
    </row>
    <row r="356" spans="1:8" x14ac:dyDescent="0.25">
      <c r="A356" vm="1042">
        <f ca="1"/>
        <v>45810</v>
      </c>
      <c r="B356" vm="1043">
        <f ca="1"/>
        <v>103.86</v>
      </c>
      <c r="C356" vm="1044">
        <f ca="1"/>
        <v>2292241</v>
      </c>
      <c r="D356">
        <f t="shared" ca="1" si="15"/>
        <v>238072150.25999999</v>
      </c>
      <c r="E356">
        <f ca="1">SUM($D$2:D356)/SUM($C$2:C356)</f>
        <v>97.938918483479839</v>
      </c>
      <c r="F356">
        <f ca="1">_xlfn.STDEV.P($B$2:B356)</f>
        <v>7.019815734747711</v>
      </c>
      <c r="G356">
        <f t="shared" ca="1" si="16"/>
        <v>104.95873421822755</v>
      </c>
      <c r="H356">
        <f t="shared" ca="1" si="17"/>
        <v>90.919102748732129</v>
      </c>
    </row>
    <row r="357" spans="1:8" x14ac:dyDescent="0.25">
      <c r="A357" vm="1045">
        <f ca="1"/>
        <v>45811</v>
      </c>
      <c r="B357" vm="1046">
        <f ca="1"/>
        <v>103.24</v>
      </c>
      <c r="C357" vm="1047">
        <f ca="1"/>
        <v>2316659</v>
      </c>
      <c r="D357">
        <f t="shared" ca="1" si="15"/>
        <v>239171875.16</v>
      </c>
      <c r="E357">
        <f ca="1">SUM($D$2:D357)/SUM($C$2:C357)</f>
        <v>97.954668096378725</v>
      </c>
      <c r="F357">
        <f ca="1">_xlfn.STDEV.P($B$2:B357)</f>
        <v>7.0174966363817957</v>
      </c>
      <c r="G357">
        <f t="shared" ca="1" si="16"/>
        <v>104.97216473276052</v>
      </c>
      <c r="H357">
        <f t="shared" ca="1" si="17"/>
        <v>90.937171459996932</v>
      </c>
    </row>
    <row r="358" spans="1:8" x14ac:dyDescent="0.25">
      <c r="A358" vm="1048">
        <f ca="1"/>
        <v>45812</v>
      </c>
      <c r="B358" vm="1049">
        <f ca="1"/>
        <v>102.21</v>
      </c>
      <c r="C358" vm="1050">
        <f ca="1"/>
        <v>1845717</v>
      </c>
      <c r="D358">
        <f t="shared" ca="1" si="15"/>
        <v>188650734.56999999</v>
      </c>
      <c r="E358">
        <f ca="1">SUM($D$2:D358)/SUM($C$2:C358)</f>
        <v>97.964716916130342</v>
      </c>
      <c r="F358">
        <f ca="1">_xlfn.STDEV.P($B$2:B358)</f>
        <v>7.0128442023800934</v>
      </c>
      <c r="G358">
        <f t="shared" ca="1" si="16"/>
        <v>104.97756111851044</v>
      </c>
      <c r="H358">
        <f t="shared" ca="1" si="17"/>
        <v>90.951872713750248</v>
      </c>
    </row>
    <row r="359" spans="1:8" x14ac:dyDescent="0.25">
      <c r="A359" vm="1051">
        <f ca="1"/>
        <v>45813</v>
      </c>
      <c r="B359" vm="1052">
        <f ca="1"/>
        <v>102.27</v>
      </c>
      <c r="C359" vm="1053">
        <f ca="1"/>
        <v>2734457</v>
      </c>
      <c r="D359">
        <f t="shared" ca="1" si="15"/>
        <v>279652917.38999999</v>
      </c>
      <c r="E359">
        <f ca="1">SUM($D$2:D359)/SUM($C$2:C359)</f>
        <v>97.979726635343951</v>
      </c>
      <c r="F359">
        <f ca="1">_xlfn.STDEV.P($B$2:B359)</f>
        <v>7.0083078233634852</v>
      </c>
      <c r="G359">
        <f t="shared" ca="1" si="16"/>
        <v>104.98803445870743</v>
      </c>
      <c r="H359">
        <f t="shared" ca="1" si="17"/>
        <v>90.97141881198047</v>
      </c>
    </row>
    <row r="360" spans="1:8" x14ac:dyDescent="0.25">
      <c r="A360" vm="1054">
        <f ca="1"/>
        <v>45814</v>
      </c>
      <c r="B360" vm="1055">
        <f ca="1"/>
        <v>101.61</v>
      </c>
      <c r="C360" vm="1056">
        <f ca="1"/>
        <v>1694578</v>
      </c>
      <c r="D360">
        <f t="shared" ca="1" si="15"/>
        <v>172186070.58000001</v>
      </c>
      <c r="E360">
        <f ca="1">SUM($D$2:D360)/SUM($C$2:C360)</f>
        <v>97.987553059007951</v>
      </c>
      <c r="F360">
        <f ca="1">_xlfn.STDEV.P($B$2:B360)</f>
        <v>7.0025075000822516</v>
      </c>
      <c r="G360">
        <f t="shared" ca="1" si="16"/>
        <v>104.9900605590902</v>
      </c>
      <c r="H360">
        <f t="shared" ca="1" si="17"/>
        <v>90.985045558925705</v>
      </c>
    </row>
    <row r="361" spans="1:8" x14ac:dyDescent="0.25">
      <c r="A361" vm="1057">
        <f ca="1"/>
        <v>45817</v>
      </c>
      <c r="B361" vm="1058">
        <f ca="1"/>
        <v>101.11</v>
      </c>
      <c r="C361" vm="1059">
        <f ca="1"/>
        <v>1781808</v>
      </c>
      <c r="D361">
        <f t="shared" ca="1" si="15"/>
        <v>180158606.88</v>
      </c>
      <c r="E361">
        <f ca="1">SUM($D$2:D361)/SUM($C$2:C361)</f>
        <v>97.994615178550276</v>
      </c>
      <c r="F361">
        <f ca="1">_xlfn.STDEV.P($B$2:B361)</f>
        <v>6.9958793294210668</v>
      </c>
      <c r="G361">
        <f t="shared" ca="1" si="16"/>
        <v>104.99049450797135</v>
      </c>
      <c r="H361">
        <f t="shared" ca="1" si="17"/>
        <v>90.998735849129204</v>
      </c>
    </row>
    <row r="362" spans="1:8" x14ac:dyDescent="0.25">
      <c r="A362" vm="1060">
        <f ca="1"/>
        <v>45818</v>
      </c>
      <c r="B362" vm="1061">
        <f ca="1"/>
        <v>102.4</v>
      </c>
      <c r="C362" vm="1062">
        <f ca="1"/>
        <v>2311885</v>
      </c>
      <c r="D362">
        <f t="shared" ca="1" si="15"/>
        <v>236737024</v>
      </c>
      <c r="E362">
        <f ca="1">SUM($D$2:D362)/SUM($C$2:C362)</f>
        <v>98.007505286890819</v>
      </c>
      <c r="F362">
        <f ca="1">_xlfn.STDEV.P($B$2:B362)</f>
        <v>6.9916060372703059</v>
      </c>
      <c r="G362">
        <f t="shared" ca="1" si="16"/>
        <v>104.99911132416112</v>
      </c>
      <c r="H362">
        <f t="shared" ca="1" si="17"/>
        <v>91.015899249620517</v>
      </c>
    </row>
    <row r="363" spans="1:8" x14ac:dyDescent="0.25">
      <c r="A363" vm="1063">
        <f ca="1"/>
        <v>45819</v>
      </c>
      <c r="B363" vm="1064">
        <f ca="1"/>
        <v>102.55</v>
      </c>
      <c r="C363" vm="1065">
        <f ca="1"/>
        <v>2439137</v>
      </c>
      <c r="D363">
        <f t="shared" ca="1" si="15"/>
        <v>250133499.34999999</v>
      </c>
      <c r="E363">
        <f ca="1">SUM($D$2:D363)/SUM($C$2:C363)</f>
        <v>98.021485007545877</v>
      </c>
      <c r="F363">
        <f ca="1">_xlfn.STDEV.P($B$2:B363)</f>
        <v>6.9876372365157016</v>
      </c>
      <c r="G363">
        <f t="shared" ca="1" si="16"/>
        <v>105.00912224406157</v>
      </c>
      <c r="H363">
        <f t="shared" ca="1" si="17"/>
        <v>91.033847771030182</v>
      </c>
    </row>
    <row r="364" spans="1:8" x14ac:dyDescent="0.25">
      <c r="A364" vm="1066">
        <f ca="1"/>
        <v>45820</v>
      </c>
      <c r="B364" vm="1067">
        <f ca="1"/>
        <v>103.76</v>
      </c>
      <c r="C364" vm="1068">
        <f ca="1"/>
        <v>1902564</v>
      </c>
      <c r="D364">
        <f t="shared" ca="1" si="15"/>
        <v>197410040.64000002</v>
      </c>
      <c r="E364">
        <f ca="1">SUM($D$2:D364)/SUM($C$2:C364)</f>
        <v>98.03522749586449</v>
      </c>
      <c r="F364">
        <f ca="1">_xlfn.STDEV.P($B$2:B364)</f>
        <v>6.986495000835129</v>
      </c>
      <c r="G364">
        <f t="shared" ca="1" si="16"/>
        <v>105.02172249669962</v>
      </c>
      <c r="H364">
        <f t="shared" ca="1" si="17"/>
        <v>91.048732495029356</v>
      </c>
    </row>
    <row r="365" spans="1:8" x14ac:dyDescent="0.25">
      <c r="A365" vm="1069">
        <f ca="1"/>
        <v>45821</v>
      </c>
      <c r="B365" vm="1070">
        <f ca="1"/>
        <v>103.96</v>
      </c>
      <c r="C365" vm="1071">
        <f ca="1"/>
        <v>3337359</v>
      </c>
      <c r="D365">
        <f t="shared" ca="1" si="15"/>
        <v>346951841.63999999</v>
      </c>
      <c r="E365">
        <f ca="1">SUM($D$2:D365)/SUM($C$2:C365)</f>
        <v>98.060012022801956</v>
      </c>
      <c r="F365">
        <f ca="1">_xlfn.STDEV.P($B$2:B365)</f>
        <v>6.9858340507757299</v>
      </c>
      <c r="G365">
        <f t="shared" ca="1" si="16"/>
        <v>105.04584607357769</v>
      </c>
      <c r="H365">
        <f t="shared" ca="1" si="17"/>
        <v>91.07417797202622</v>
      </c>
    </row>
    <row r="366" spans="1:8" x14ac:dyDescent="0.25">
      <c r="A366" vm="1072">
        <f ca="1"/>
        <v>45824</v>
      </c>
      <c r="B366" vm="1073">
        <f ca="1"/>
        <v>101.63</v>
      </c>
      <c r="C366" vm="1074">
        <f ca="1"/>
        <v>2737989</v>
      </c>
      <c r="D366">
        <f t="shared" ca="1" si="15"/>
        <v>278261822.06999999</v>
      </c>
      <c r="E366">
        <f ca="1">SUM($D$2:D366)/SUM($C$2:C366)</f>
        <v>98.072222048186546</v>
      </c>
      <c r="F366">
        <f ca="1">_xlfn.STDEV.P($B$2:B366)</f>
        <v>6.9800520206189072</v>
      </c>
      <c r="G366">
        <f t="shared" ca="1" si="16"/>
        <v>105.05227406880546</v>
      </c>
      <c r="H366">
        <f t="shared" ca="1" si="17"/>
        <v>91.092170027567633</v>
      </c>
    </row>
    <row r="367" spans="1:8" x14ac:dyDescent="0.25">
      <c r="A367" vm="1075">
        <f ca="1"/>
        <v>45825</v>
      </c>
      <c r="B367" vm="1076">
        <f ca="1"/>
        <v>101.35</v>
      </c>
      <c r="C367" vm="1077">
        <f ca="1"/>
        <v>2844894</v>
      </c>
      <c r="D367">
        <f t="shared" ca="1" si="15"/>
        <v>288330006.89999998</v>
      </c>
      <c r="E367">
        <f ca="1">SUM($D$2:D367)/SUM($C$2:C367)</f>
        <v>98.083829131576238</v>
      </c>
      <c r="F367">
        <f ca="1">_xlfn.STDEV.P($B$2:B367)</f>
        <v>6.9738111751343688</v>
      </c>
      <c r="G367">
        <f t="shared" ca="1" si="16"/>
        <v>105.05764030671061</v>
      </c>
      <c r="H367">
        <f t="shared" ca="1" si="17"/>
        <v>91.110017956441865</v>
      </c>
    </row>
    <row r="368" spans="1:8" x14ac:dyDescent="0.25">
      <c r="A368" vm="1078">
        <f ca="1"/>
        <v>45826</v>
      </c>
      <c r="B368" vm="1079">
        <f ca="1"/>
        <v>100.73</v>
      </c>
      <c r="C368" vm="1080">
        <f ca="1"/>
        <v>2620595</v>
      </c>
      <c r="D368">
        <f t="shared" ca="1" si="15"/>
        <v>263972534.35000002</v>
      </c>
      <c r="E368">
        <f ca="1">SUM($D$2:D368)/SUM($C$2:C368)</f>
        <v>98.092432745941707</v>
      </c>
      <c r="F368">
        <f ca="1">_xlfn.STDEV.P($B$2:B368)</f>
        <v>6.9666645795734725</v>
      </c>
      <c r="G368">
        <f t="shared" ca="1" si="16"/>
        <v>105.05909732551518</v>
      </c>
      <c r="H368">
        <f t="shared" ca="1" si="17"/>
        <v>91.125768166368232</v>
      </c>
    </row>
    <row r="369" spans="1:8" x14ac:dyDescent="0.25">
      <c r="A369" vm="1081">
        <f ca="1"/>
        <v>45828</v>
      </c>
      <c r="B369" vm="844">
        <f ca="1"/>
        <v>100.97</v>
      </c>
      <c r="C369" vm="1082">
        <f ca="1"/>
        <v>7504224</v>
      </c>
      <c r="D369">
        <f t="shared" ca="1" si="15"/>
        <v>757701497.27999997</v>
      </c>
      <c r="E369">
        <f ca="1">SUM($D$2:D369)/SUM($C$2:C369)</f>
        <v>98.118976947235481</v>
      </c>
      <c r="F369">
        <f ca="1">_xlfn.STDEV.P($B$2:B369)</f>
        <v>6.9598721939704893</v>
      </c>
      <c r="G369">
        <f t="shared" ca="1" si="16"/>
        <v>105.07884914120596</v>
      </c>
      <c r="H369">
        <f t="shared" ca="1" si="17"/>
        <v>91.159104753264998</v>
      </c>
    </row>
    <row r="370" spans="1:8" x14ac:dyDescent="0.25">
      <c r="A370" vm="1083">
        <f ca="1"/>
        <v>45831</v>
      </c>
      <c r="B370" vm="1084">
        <f ca="1"/>
        <v>101.15</v>
      </c>
      <c r="C370" vm="1085">
        <f ca="1"/>
        <v>3957784</v>
      </c>
      <c r="D370">
        <f t="shared" ca="1" si="15"/>
        <v>400329851.60000002</v>
      </c>
      <c r="E370">
        <f ca="1">SUM($D$2:D370)/SUM($C$2:C370)</f>
        <v>98.133651739475908</v>
      </c>
      <c r="F370">
        <f ca="1">_xlfn.STDEV.P($B$2:B370)</f>
        <v>6.9533606795441036</v>
      </c>
      <c r="G370">
        <f t="shared" ca="1" si="16"/>
        <v>105.08701241902001</v>
      </c>
      <c r="H370">
        <f t="shared" ca="1" si="17"/>
        <v>91.180291059931804</v>
      </c>
    </row>
    <row r="371" spans="1:8" x14ac:dyDescent="0.25">
      <c r="A371" vm="1086">
        <f ca="1"/>
        <v>45832</v>
      </c>
      <c r="B371" vm="1087">
        <f ca="1"/>
        <v>100.19</v>
      </c>
      <c r="C371" vm="1088">
        <f ca="1"/>
        <v>2952898</v>
      </c>
      <c r="D371">
        <f t="shared" ca="1" si="15"/>
        <v>295850850.62</v>
      </c>
      <c r="E371">
        <f ca="1">SUM($D$2:D371)/SUM($C$2:C371)</f>
        <v>98.14105306982853</v>
      </c>
      <c r="F371">
        <f ca="1">_xlfn.STDEV.P($B$2:B371)</f>
        <v>6.9456000700508111</v>
      </c>
      <c r="G371">
        <f t="shared" ca="1" si="16"/>
        <v>105.08665313987935</v>
      </c>
      <c r="H371">
        <f t="shared" ca="1" si="17"/>
        <v>91.195452999777714</v>
      </c>
    </row>
    <row r="372" spans="1:8" x14ac:dyDescent="0.25">
      <c r="A372" vm="1089">
        <f ca="1"/>
        <v>45833</v>
      </c>
      <c r="B372" vm="1090">
        <f ca="1"/>
        <v>98.05</v>
      </c>
      <c r="C372" vm="1091">
        <f ca="1"/>
        <v>4397192</v>
      </c>
      <c r="D372">
        <f t="shared" ca="1" si="15"/>
        <v>431144675.59999996</v>
      </c>
      <c r="E372">
        <f ca="1">SUM($D$2:D372)/SUM($C$2:C372)</f>
        <v>98.140567654790615</v>
      </c>
      <c r="F372">
        <f ca="1">_xlfn.STDEV.P($B$2:B372)</f>
        <v>6.9363453655908707</v>
      </c>
      <c r="G372">
        <f t="shared" ca="1" si="16"/>
        <v>105.07691302038148</v>
      </c>
      <c r="H372">
        <f t="shared" ca="1" si="17"/>
        <v>91.204222289199748</v>
      </c>
    </row>
    <row r="373" spans="1:8" x14ac:dyDescent="0.25">
      <c r="A373" vm="1092">
        <f ca="1"/>
        <v>45834</v>
      </c>
      <c r="B373" vm="1093">
        <f ca="1"/>
        <v>98.41</v>
      </c>
      <c r="C373" vm="1094">
        <f ca="1"/>
        <v>2655622</v>
      </c>
      <c r="D373">
        <f t="shared" ca="1" si="15"/>
        <v>261339761.01999998</v>
      </c>
      <c r="E373">
        <f ca="1">SUM($D$2:D373)/SUM($C$2:C373)</f>
        <v>98.141432350215865</v>
      </c>
      <c r="F373">
        <f ca="1">_xlfn.STDEV.P($B$2:B373)</f>
        <v>6.9272583891488813</v>
      </c>
      <c r="G373">
        <f t="shared" ca="1" si="16"/>
        <v>105.06869073936474</v>
      </c>
      <c r="H373">
        <f t="shared" ca="1" si="17"/>
        <v>91.21417396106699</v>
      </c>
    </row>
    <row r="374" spans="1:8" x14ac:dyDescent="0.25">
      <c r="A374" vm="1095">
        <f ca="1"/>
        <v>45835</v>
      </c>
      <c r="B374" vm="1096">
        <f ca="1"/>
        <v>98.15</v>
      </c>
      <c r="C374" vm="1097">
        <f ca="1"/>
        <v>2880053</v>
      </c>
      <c r="D374">
        <f t="shared" ca="1" si="15"/>
        <v>282677201.94999999</v>
      </c>
      <c r="E374">
        <f ca="1">SUM($D$2:D374)/SUM($C$2:C374)</f>
        <v>98.1414620669035</v>
      </c>
      <c r="F374">
        <f ca="1">_xlfn.STDEV.P($B$2:B374)</f>
        <v>6.91810791168193</v>
      </c>
      <c r="G374">
        <f t="shared" ca="1" si="16"/>
        <v>105.05956997858543</v>
      </c>
      <c r="H374">
        <f t="shared" ca="1" si="17"/>
        <v>91.223354155221571</v>
      </c>
    </row>
    <row r="375" spans="1:8" x14ac:dyDescent="0.25">
      <c r="A375" vm="1098">
        <f ca="1"/>
        <v>45838</v>
      </c>
      <c r="B375" vm="1099">
        <f ca="1"/>
        <v>100.35</v>
      </c>
      <c r="C375" vm="1100">
        <f ca="1"/>
        <v>2930483</v>
      </c>
      <c r="D375">
        <f t="shared" ca="1" si="15"/>
        <v>294073969.05000001</v>
      </c>
      <c r="E375">
        <f ca="1">SUM($D$2:D375)/SUM($C$2:C375)</f>
        <v>98.149229048304704</v>
      </c>
      <c r="F375">
        <f ca="1">_xlfn.STDEV.P($B$2:B375)</f>
        <v>6.9106524004913963</v>
      </c>
      <c r="G375">
        <f t="shared" ca="1" si="16"/>
        <v>105.05988144879611</v>
      </c>
      <c r="H375">
        <f t="shared" ca="1" si="17"/>
        <v>91.238576647813304</v>
      </c>
    </row>
    <row r="376" spans="1:8" x14ac:dyDescent="0.25">
      <c r="A376" vm="1101">
        <f ca="1"/>
        <v>45839</v>
      </c>
      <c r="B376" vm="1102">
        <f ca="1"/>
        <v>100.78</v>
      </c>
      <c r="C376" vm="1103">
        <f ca="1"/>
        <v>2749128</v>
      </c>
      <c r="D376">
        <f t="shared" ca="1" si="15"/>
        <v>277057119.83999997</v>
      </c>
      <c r="E376">
        <f ca="1">SUM($D$2:D376)/SUM($C$2:C376)</f>
        <v>98.157879837855489</v>
      </c>
      <c r="F376">
        <f ca="1">_xlfn.STDEV.P($B$2:B376)</f>
        <v>6.9037592261865255</v>
      </c>
      <c r="G376">
        <f t="shared" ca="1" si="16"/>
        <v>105.06163906404201</v>
      </c>
      <c r="H376">
        <f t="shared" ca="1" si="17"/>
        <v>91.254120611668966</v>
      </c>
    </row>
    <row r="377" spans="1:8" x14ac:dyDescent="0.25">
      <c r="A377" vm="1104">
        <f ca="1"/>
        <v>45840</v>
      </c>
      <c r="B377" vm="850">
        <f ca="1"/>
        <v>99.92</v>
      </c>
      <c r="C377" vm="1105">
        <f ca="1"/>
        <v>2485839</v>
      </c>
      <c r="D377">
        <f t="shared" ca="1" si="15"/>
        <v>248385032.88</v>
      </c>
      <c r="E377">
        <f ca="1">SUM($D$2:D377)/SUM($C$2:C377)</f>
        <v>98.163103761954289</v>
      </c>
      <c r="F377">
        <f ca="1">_xlfn.STDEV.P($B$2:B377)</f>
        <v>6.8958791794556946</v>
      </c>
      <c r="G377">
        <f t="shared" ca="1" si="16"/>
        <v>105.05898294140998</v>
      </c>
      <c r="H377">
        <f t="shared" ca="1" si="17"/>
        <v>91.267224582498599</v>
      </c>
    </row>
    <row r="378" spans="1:8" x14ac:dyDescent="0.25">
      <c r="A378" vm="1106">
        <f ca="1"/>
        <v>45841</v>
      </c>
      <c r="B378" vm="1107">
        <f ca="1"/>
        <v>100.31</v>
      </c>
      <c r="C378" vm="1108">
        <f ca="1"/>
        <v>1316576</v>
      </c>
      <c r="D378">
        <f t="shared" ca="1" si="15"/>
        <v>132065738.56</v>
      </c>
      <c r="E378">
        <f ca="1">SUM($D$2:D378)/SUM($C$2:C378)</f>
        <v>98.166469373335133</v>
      </c>
      <c r="F378">
        <f ca="1">_xlfn.STDEV.P($B$2:B378)</f>
        <v>6.8884436281708421</v>
      </c>
      <c r="G378">
        <f t="shared" ca="1" si="16"/>
        <v>105.05491300150598</v>
      </c>
      <c r="H378">
        <f t="shared" ca="1" si="17"/>
        <v>91.278025745164285</v>
      </c>
    </row>
    <row r="379" spans="1:8" x14ac:dyDescent="0.25">
      <c r="A379" vm="1109">
        <f ca="1"/>
        <v>45845</v>
      </c>
      <c r="B379" vm="1110">
        <f ca="1"/>
        <v>99.71</v>
      </c>
      <c r="C379" vm="1111">
        <f ca="1"/>
        <v>1800719</v>
      </c>
      <c r="D379">
        <f t="shared" ca="1" si="15"/>
        <v>179549691.48999998</v>
      </c>
      <c r="E379">
        <f ca="1">SUM($D$2:D379)/SUM($C$2:C379)</f>
        <v>98.169771836527332</v>
      </c>
      <c r="F379">
        <f ca="1">_xlfn.STDEV.P($B$2:B379)</f>
        <v>6.8804134313913492</v>
      </c>
      <c r="G379">
        <f t="shared" ca="1" si="16"/>
        <v>105.05018526791868</v>
      </c>
      <c r="H379">
        <f t="shared" ca="1" si="17"/>
        <v>91.289358405135985</v>
      </c>
    </row>
    <row r="380" spans="1:8" x14ac:dyDescent="0.25">
      <c r="A380" vm="1112">
        <f ca="1"/>
        <v>45846</v>
      </c>
      <c r="B380" vm="1113">
        <f ca="1"/>
        <v>99.31</v>
      </c>
      <c r="C380" vm="1114">
        <f ca="1"/>
        <v>3451218</v>
      </c>
      <c r="D380">
        <f t="shared" ca="1" si="15"/>
        <v>342740459.57999998</v>
      </c>
      <c r="E380">
        <f ca="1">SUM($D$2:D380)/SUM($C$2:C380)</f>
        <v>98.174428380522627</v>
      </c>
      <c r="F380">
        <f ca="1">_xlfn.STDEV.P($B$2:B380)</f>
        <v>6.8720773974512062</v>
      </c>
      <c r="G380">
        <f t="shared" ca="1" si="16"/>
        <v>105.04650577797383</v>
      </c>
      <c r="H380">
        <f t="shared" ca="1" si="17"/>
        <v>91.30235098307142</v>
      </c>
    </row>
    <row r="381" spans="1:8" x14ac:dyDescent="0.25">
      <c r="A381" vm="1115">
        <f ca="1"/>
        <v>45847</v>
      </c>
      <c r="B381" vm="1116">
        <f ca="1"/>
        <v>99.97</v>
      </c>
      <c r="C381" vm="1117">
        <f ca="1"/>
        <v>2782533</v>
      </c>
      <c r="D381">
        <f t="shared" ca="1" si="15"/>
        <v>278169824.00999999</v>
      </c>
      <c r="E381">
        <f ca="1">SUM($D$2:D381)/SUM($C$2:C381)</f>
        <v>98.1803210895646</v>
      </c>
      <c r="F381">
        <f ca="1">_xlfn.STDEV.P($B$2:B381)</f>
        <v>6.8643517076014504</v>
      </c>
      <c r="G381">
        <f t="shared" ca="1" si="16"/>
        <v>105.04467279716604</v>
      </c>
      <c r="H381">
        <f t="shared" ca="1" si="17"/>
        <v>91.315969381963157</v>
      </c>
    </row>
    <row r="382" spans="1:8" x14ac:dyDescent="0.25">
      <c r="A382" vm="1118">
        <f ca="1"/>
        <v>45848</v>
      </c>
      <c r="B382" vm="1119">
        <f ca="1"/>
        <v>101.07</v>
      </c>
      <c r="C382" vm="1120">
        <f ca="1"/>
        <v>1851807</v>
      </c>
      <c r="D382">
        <f t="shared" ca="1" si="15"/>
        <v>187162133.48999998</v>
      </c>
      <c r="E382">
        <f ca="1">SUM($D$2:D382)/SUM($C$2:C382)</f>
        <v>98.186618612444875</v>
      </c>
      <c r="F382">
        <f ca="1">_xlfn.STDEV.P($B$2:B382)</f>
        <v>6.8579834503386223</v>
      </c>
      <c r="G382">
        <f t="shared" ca="1" si="16"/>
        <v>105.0446020627835</v>
      </c>
      <c r="H382">
        <f t="shared" ca="1" si="17"/>
        <v>91.328635162106252</v>
      </c>
    </row>
    <row r="383" spans="1:8" x14ac:dyDescent="0.25">
      <c r="A383" vm="1121">
        <f ca="1"/>
        <v>45849</v>
      </c>
      <c r="B383" vm="677">
        <f ca="1"/>
        <v>100.59</v>
      </c>
      <c r="C383" vm="1122">
        <f ca="1"/>
        <v>1853687</v>
      </c>
      <c r="D383">
        <f t="shared" ca="1" si="15"/>
        <v>186462375.33000001</v>
      </c>
      <c r="E383">
        <f ca="1">SUM($D$2:D383)/SUM($C$2:C383)</f>
        <v>98.191850243971516</v>
      </c>
      <c r="F383">
        <f ca="1">_xlfn.STDEV.P($B$2:B383)</f>
        <v>6.850993495648324</v>
      </c>
      <c r="G383">
        <f t="shared" ca="1" si="16"/>
        <v>105.04284373961984</v>
      </c>
      <c r="H383">
        <f t="shared" ca="1" si="17"/>
        <v>91.340856748323191</v>
      </c>
    </row>
    <row r="384" spans="1:8" x14ac:dyDescent="0.25">
      <c r="A384" vm="1123">
        <f ca="1"/>
        <v>45852</v>
      </c>
      <c r="B384" vm="1124">
        <f ca="1"/>
        <v>101.01</v>
      </c>
      <c r="C384" vm="1125">
        <f ca="1"/>
        <v>1409864</v>
      </c>
      <c r="D384">
        <f t="shared" ca="1" si="15"/>
        <v>142410362.64000002</v>
      </c>
      <c r="E384">
        <f ca="1">SUM($D$2:D384)/SUM($C$2:C384)</f>
        <v>98.196508259331239</v>
      </c>
      <c r="F384">
        <f ca="1">_xlfn.STDEV.P($B$2:B384)</f>
        <v>6.8445714687849835</v>
      </c>
      <c r="G384">
        <f t="shared" ca="1" si="16"/>
        <v>105.04107972811622</v>
      </c>
      <c r="H384">
        <f t="shared" ca="1" si="17"/>
        <v>91.351936790546262</v>
      </c>
    </row>
    <row r="385" spans="1:8" x14ac:dyDescent="0.25">
      <c r="A385" vm="1126">
        <f ca="1"/>
        <v>45853</v>
      </c>
      <c r="B385" vm="1127">
        <f ca="1"/>
        <v>99.95</v>
      </c>
      <c r="C385" vm="1128">
        <f ca="1"/>
        <v>1731322</v>
      </c>
      <c r="D385">
        <f t="shared" ca="1" si="15"/>
        <v>173045633.90000001</v>
      </c>
      <c r="E385">
        <f ca="1">SUM($D$2:D385)/SUM($C$2:C385)</f>
        <v>98.200060158217923</v>
      </c>
      <c r="F385">
        <f ca="1">_xlfn.STDEV.P($B$2:B385)</f>
        <v>6.8369133737962668</v>
      </c>
      <c r="G385">
        <f t="shared" ca="1" si="16"/>
        <v>105.03697353201419</v>
      </c>
      <c r="H385">
        <f t="shared" ca="1" si="17"/>
        <v>91.363146784421659</v>
      </c>
    </row>
    <row r="386" spans="1:8" x14ac:dyDescent="0.25">
      <c r="A386" vm="1129">
        <f ca="1"/>
        <v>45854</v>
      </c>
      <c r="B386" vm="1130">
        <f ca="1"/>
        <v>100.46</v>
      </c>
      <c r="C386" vm="1131">
        <f ca="1"/>
        <v>1865373</v>
      </c>
      <c r="D386">
        <f t="shared" ca="1" si="15"/>
        <v>187395371.57999998</v>
      </c>
      <c r="E386">
        <f ca="1">SUM($D$2:D386)/SUM($C$2:C386)</f>
        <v>98.2049816276581</v>
      </c>
      <c r="F386">
        <f ca="1">_xlfn.STDEV.P($B$2:B386)</f>
        <v>6.8298262537268952</v>
      </c>
      <c r="G386">
        <f t="shared" ca="1" si="16"/>
        <v>105.03480788138499</v>
      </c>
      <c r="H386">
        <f t="shared" ca="1" si="17"/>
        <v>91.375155373931207</v>
      </c>
    </row>
    <row r="387" spans="1:8" x14ac:dyDescent="0.25">
      <c r="A387" vm="1132">
        <f ca="1"/>
        <v>45855</v>
      </c>
      <c r="B387" vm="477">
        <f ca="1"/>
        <v>100.6</v>
      </c>
      <c r="C387" vm="1133">
        <f ca="1"/>
        <v>2131709</v>
      </c>
      <c r="D387">
        <f t="shared" ref="D387:D450" ca="1" si="18">B387*C387</f>
        <v>214449925.39999998</v>
      </c>
      <c r="E387">
        <f ca="1">SUM($D$2:D387)/SUM($C$2:C387)</f>
        <v>98.210927143498893</v>
      </c>
      <c r="F387">
        <f ca="1">_xlfn.STDEV.P($B$2:B387)</f>
        <v>6.8229257687643292</v>
      </c>
      <c r="G387">
        <f t="shared" ref="G387:G450" ca="1" si="19">E387 + F387</f>
        <v>105.03385291226323</v>
      </c>
      <c r="H387">
        <f t="shared" ref="H387:H450" ca="1" si="20">E387 - F387</f>
        <v>91.388001374734557</v>
      </c>
    </row>
    <row r="388" spans="1:8" x14ac:dyDescent="0.25">
      <c r="A388" vm="1134">
        <f ca="1"/>
        <v>45856</v>
      </c>
      <c r="B388" vm="1135">
        <f ca="1"/>
        <v>101.08</v>
      </c>
      <c r="C388" vm="1136">
        <f ca="1"/>
        <v>1813453</v>
      </c>
      <c r="D388">
        <f t="shared" ca="1" si="18"/>
        <v>183303829.24000001</v>
      </c>
      <c r="E388">
        <f ca="1">SUM($D$2:D388)/SUM($C$2:C388)</f>
        <v>98.216973370720339</v>
      </c>
      <c r="F388">
        <f ca="1">_xlfn.STDEV.P($B$2:B388)</f>
        <v>6.8166686836110912</v>
      </c>
      <c r="G388">
        <f t="shared" ca="1" si="19"/>
        <v>105.03364205433144</v>
      </c>
      <c r="H388">
        <f t="shared" ca="1" si="20"/>
        <v>91.400304687109241</v>
      </c>
    </row>
    <row r="389" spans="1:8" x14ac:dyDescent="0.25">
      <c r="A389" vm="1137">
        <f ca="1"/>
        <v>45859</v>
      </c>
      <c r="B389" vm="1138">
        <f ca="1"/>
        <v>102.07</v>
      </c>
      <c r="C389" vm="1139">
        <f ca="1"/>
        <v>1667769</v>
      </c>
      <c r="D389">
        <f t="shared" ca="1" si="18"/>
        <v>170229181.82999998</v>
      </c>
      <c r="E389">
        <f ca="1">SUM($D$2:D389)/SUM($C$2:C389)</f>
        <v>98.224426413369315</v>
      </c>
      <c r="F389">
        <f ca="1">_xlfn.STDEV.P($B$2:B389)</f>
        <v>6.8119822196587529</v>
      </c>
      <c r="G389">
        <f t="shared" ca="1" si="19"/>
        <v>105.03640863302807</v>
      </c>
      <c r="H389">
        <f t="shared" ca="1" si="20"/>
        <v>91.412444193710556</v>
      </c>
    </row>
    <row r="390" spans="1:8" x14ac:dyDescent="0.25">
      <c r="A390" vm="1140">
        <f ca="1"/>
        <v>45860</v>
      </c>
      <c r="B390" vm="1141">
        <f ca="1"/>
        <v>103.59</v>
      </c>
      <c r="C390" vm="1142">
        <f ca="1"/>
        <v>1663862</v>
      </c>
      <c r="D390">
        <f t="shared" ca="1" si="18"/>
        <v>172359464.58000001</v>
      </c>
      <c r="E390">
        <f ca="1">SUM($D$2:D390)/SUM($C$2:C390)</f>
        <v>98.234760970306738</v>
      </c>
      <c r="F390">
        <f ca="1">_xlfn.STDEV.P($B$2:B390)</f>
        <v>6.8103927310502614</v>
      </c>
      <c r="G390">
        <f t="shared" ca="1" si="19"/>
        <v>105.04515370135699</v>
      </c>
      <c r="H390">
        <f t="shared" ca="1" si="20"/>
        <v>91.424368239256481</v>
      </c>
    </row>
    <row r="391" spans="1:8" x14ac:dyDescent="0.25">
      <c r="A391" vm="1143">
        <f ca="1"/>
        <v>45861</v>
      </c>
      <c r="B391" vm="1064">
        <f ca="1"/>
        <v>102.55</v>
      </c>
      <c r="C391" vm="1144">
        <f ca="1"/>
        <v>2563086</v>
      </c>
      <c r="D391">
        <f t="shared" ca="1" si="18"/>
        <v>262844469.29999998</v>
      </c>
      <c r="E391">
        <f ca="1">SUM($D$2:D391)/SUM($C$2:C391)</f>
        <v>98.247526527725071</v>
      </c>
      <c r="F391">
        <f ca="1">_xlfn.STDEV.P($B$2:B391)</f>
        <v>6.8065727433744607</v>
      </c>
      <c r="G391">
        <f t="shared" ca="1" si="19"/>
        <v>105.05409927109953</v>
      </c>
      <c r="H391">
        <f t="shared" ca="1" si="20"/>
        <v>91.440953784350611</v>
      </c>
    </row>
    <row r="392" spans="1:8" x14ac:dyDescent="0.25">
      <c r="A392" vm="1145">
        <f ca="1"/>
        <v>45862</v>
      </c>
      <c r="B392" vm="1146">
        <f ca="1"/>
        <v>102.05</v>
      </c>
      <c r="C392" vm="1147">
        <f ca="1"/>
        <v>2467810</v>
      </c>
      <c r="D392">
        <f t="shared" ca="1" si="18"/>
        <v>251840010.5</v>
      </c>
      <c r="E392">
        <f ca="1">SUM($D$2:D392)/SUM($C$2:C392)</f>
        <v>98.258326295677975</v>
      </c>
      <c r="F392">
        <f ca="1">_xlfn.STDEV.P($B$2:B392)</f>
        <v>6.8018353172408137</v>
      </c>
      <c r="G392">
        <f t="shared" ca="1" si="19"/>
        <v>105.06016161291879</v>
      </c>
      <c r="H392">
        <f t="shared" ca="1" si="20"/>
        <v>91.456490978437159</v>
      </c>
    </row>
    <row r="393" spans="1:8" x14ac:dyDescent="0.25">
      <c r="A393" vm="1148">
        <f ca="1"/>
        <v>45863</v>
      </c>
      <c r="B393" vm="1149">
        <f ca="1"/>
        <v>102.26</v>
      </c>
      <c r="C393" vm="1150">
        <f ca="1"/>
        <v>1375737</v>
      </c>
      <c r="D393">
        <f t="shared" ca="1" si="18"/>
        <v>140682865.62</v>
      </c>
      <c r="E393">
        <f ca="1">SUM($D$2:D393)/SUM($C$2:C393)</f>
        <v>98.264652256737421</v>
      </c>
      <c r="F393">
        <f ca="1">_xlfn.STDEV.P($B$2:B393)</f>
        <v>6.7974676453076688</v>
      </c>
      <c r="G393">
        <f t="shared" ca="1" si="19"/>
        <v>105.06211990204508</v>
      </c>
      <c r="H393">
        <f t="shared" ca="1" si="20"/>
        <v>91.467184611429758</v>
      </c>
    </row>
    <row r="394" spans="1:8" x14ac:dyDescent="0.25">
      <c r="A394" vm="1151">
        <f ca="1"/>
        <v>45866</v>
      </c>
      <c r="B394" vm="1152">
        <f ca="1"/>
        <v>100.98</v>
      </c>
      <c r="C394" vm="1153">
        <f ca="1"/>
        <v>1995248</v>
      </c>
      <c r="D394">
        <f t="shared" ca="1" si="18"/>
        <v>201480143.04000002</v>
      </c>
      <c r="E394">
        <f ca="1">SUM($D$2:D394)/SUM($C$2:C394)</f>
        <v>98.270863480824062</v>
      </c>
      <c r="F394">
        <f ca="1">_xlfn.STDEV.P($B$2:B394)</f>
        <v>6.7911136108344614</v>
      </c>
      <c r="G394">
        <f t="shared" ca="1" si="19"/>
        <v>105.06197709165852</v>
      </c>
      <c r="H394">
        <f t="shared" ca="1" si="20"/>
        <v>91.479749869989604</v>
      </c>
    </row>
    <row r="395" spans="1:8" x14ac:dyDescent="0.25">
      <c r="A395" vm="1154">
        <f ca="1"/>
        <v>45867</v>
      </c>
      <c r="B395" vm="1155">
        <f ca="1"/>
        <v>102.24</v>
      </c>
      <c r="C395" vm="1156">
        <f ca="1"/>
        <v>1265041</v>
      </c>
      <c r="D395">
        <f t="shared" ca="1" si="18"/>
        <v>129337791.83999999</v>
      </c>
      <c r="E395">
        <f ca="1">SUM($D$2:D395)/SUM($C$2:C395)</f>
        <v>98.276611604352709</v>
      </c>
      <c r="F395">
        <f ca="1">_xlfn.STDEV.P($B$2:B395)</f>
        <v>6.7867151585812611</v>
      </c>
      <c r="G395">
        <f t="shared" ca="1" si="19"/>
        <v>105.06332676293397</v>
      </c>
      <c r="H395">
        <f t="shared" ca="1" si="20"/>
        <v>91.48989644577145</v>
      </c>
    </row>
    <row r="396" spans="1:8" x14ac:dyDescent="0.25">
      <c r="A396" vm="1157">
        <f ca="1"/>
        <v>45868</v>
      </c>
      <c r="B396" vm="1158">
        <f ca="1"/>
        <v>102.59</v>
      </c>
      <c r="C396" vm="1159">
        <f ca="1"/>
        <v>1565213</v>
      </c>
      <c r="D396">
        <f t="shared" ca="1" si="18"/>
        <v>160575201.67000002</v>
      </c>
      <c r="E396">
        <f ca="1">SUM($D$2:D396)/SUM($C$2:C396)</f>
        <v>98.284326676243438</v>
      </c>
      <c r="F396">
        <f ca="1">_xlfn.STDEV.P($B$2:B396)</f>
        <v>6.7829561441067998</v>
      </c>
      <c r="G396">
        <f t="shared" ca="1" si="19"/>
        <v>105.06728282035024</v>
      </c>
      <c r="H396">
        <f t="shared" ca="1" si="20"/>
        <v>91.501370532136633</v>
      </c>
    </row>
    <row r="397" spans="1:8" x14ac:dyDescent="0.25">
      <c r="A397" vm="1160">
        <f ca="1"/>
        <v>45869</v>
      </c>
      <c r="B397" vm="1161">
        <f ca="1"/>
        <v>103.5</v>
      </c>
      <c r="C397" vm="1162">
        <f ca="1"/>
        <v>3483197</v>
      </c>
      <c r="D397">
        <f t="shared" ca="1" si="18"/>
        <v>360510889.5</v>
      </c>
      <c r="E397">
        <f ca="1">SUM($D$2:D397)/SUM($C$2:C397)</f>
        <v>98.305004801110172</v>
      </c>
      <c r="F397">
        <f ca="1">_xlfn.STDEV.P($B$2:B397)</f>
        <v>6.7810622069480768</v>
      </c>
      <c r="G397">
        <f t="shared" ca="1" si="19"/>
        <v>105.08606700805825</v>
      </c>
      <c r="H397">
        <f t="shared" ca="1" si="20"/>
        <v>91.523942594162094</v>
      </c>
    </row>
    <row r="398" spans="1:8" x14ac:dyDescent="0.25">
      <c r="A398" vm="1163">
        <f ca="1"/>
        <v>45870</v>
      </c>
      <c r="B398" vm="1164">
        <f ca="1"/>
        <v>104.44</v>
      </c>
      <c r="C398" vm="1165">
        <f ca="1"/>
        <v>2272580</v>
      </c>
      <c r="D398">
        <f t="shared" ca="1" si="18"/>
        <v>237348255.19999999</v>
      </c>
      <c r="E398">
        <f ca="1">SUM($D$2:D398)/SUM($C$2:C398)</f>
        <v>98.320833098916296</v>
      </c>
      <c r="F398">
        <f ca="1">_xlfn.STDEV.P($B$2:B398)</f>
        <v>6.7813900488432166</v>
      </c>
      <c r="G398">
        <f t="shared" ca="1" si="19"/>
        <v>105.10222314775952</v>
      </c>
      <c r="H398">
        <f t="shared" ca="1" si="20"/>
        <v>91.539443050073075</v>
      </c>
    </row>
    <row r="399" spans="1:8" x14ac:dyDescent="0.25">
      <c r="A399" vm="1166">
        <f ca="1"/>
        <v>45873</v>
      </c>
      <c r="B399" vm="1167">
        <f ca="1"/>
        <v>105.36</v>
      </c>
      <c r="C399" vm="1168">
        <f ca="1"/>
        <v>2345153</v>
      </c>
      <c r="D399">
        <f t="shared" ca="1" si="18"/>
        <v>247085320.08000001</v>
      </c>
      <c r="E399">
        <f ca="1">SUM($D$2:D399)/SUM($C$2:C399)</f>
        <v>98.339524356564965</v>
      </c>
      <c r="F399">
        <f ca="1">_xlfn.STDEV.P($B$2:B399)</f>
        <v>6.7841741346720541</v>
      </c>
      <c r="G399">
        <f t="shared" ca="1" si="19"/>
        <v>105.12369849123702</v>
      </c>
      <c r="H399">
        <f t="shared" ca="1" si="20"/>
        <v>91.555350221892908</v>
      </c>
    </row>
    <row r="400" spans="1:8" x14ac:dyDescent="0.25">
      <c r="A400" vm="1169">
        <f ca="1"/>
        <v>45874</v>
      </c>
      <c r="B400" vm="1170">
        <f ca="1"/>
        <v>104.18</v>
      </c>
      <c r="C400" vm="1171">
        <f ca="1"/>
        <v>2515949</v>
      </c>
      <c r="D400">
        <f t="shared" ca="1" si="18"/>
        <v>262111566.82000002</v>
      </c>
      <c r="E400">
        <f ca="1">SUM($D$2:D400)/SUM($C$2:C400)</f>
        <v>98.356114903785226</v>
      </c>
      <c r="F400">
        <f ca="1">_xlfn.STDEV.P($B$2:B400)</f>
        <v>6.7837513325183014</v>
      </c>
      <c r="G400">
        <f t="shared" ca="1" si="19"/>
        <v>105.13986623630353</v>
      </c>
      <c r="H400">
        <f t="shared" ca="1" si="20"/>
        <v>91.572363571266919</v>
      </c>
    </row>
    <row r="401" spans="1:8" x14ac:dyDescent="0.25">
      <c r="A401" vm="1172">
        <f ca="1"/>
        <v>45875</v>
      </c>
      <c r="B401" vm="1173">
        <f ca="1"/>
        <v>104.15</v>
      </c>
      <c r="C401" vm="1174">
        <f ca="1"/>
        <v>1993167</v>
      </c>
      <c r="D401">
        <f t="shared" ca="1" si="18"/>
        <v>207588343.05000001</v>
      </c>
      <c r="E401">
        <f ca="1">SUM($D$2:D401)/SUM($C$2:C401)</f>
        <v>98.36912402620132</v>
      </c>
      <c r="F401">
        <f ca="1">_xlfn.STDEV.P($B$2:B401)</f>
        <v>6.7832176391444197</v>
      </c>
      <c r="G401">
        <f t="shared" ca="1" si="19"/>
        <v>105.15234166534574</v>
      </c>
      <c r="H401">
        <f t="shared" ca="1" si="20"/>
        <v>91.585906387056895</v>
      </c>
    </row>
    <row r="402" spans="1:8" x14ac:dyDescent="0.25">
      <c r="A402" vm="1175">
        <f ca="1"/>
        <v>45876</v>
      </c>
      <c r="B402" vm="1176">
        <f ca="1"/>
        <v>105</v>
      </c>
      <c r="C402" vm="1177">
        <f ca="1"/>
        <v>2577713</v>
      </c>
      <c r="D402">
        <f t="shared" ca="1" si="18"/>
        <v>270659865</v>
      </c>
      <c r="E402">
        <f ca="1">SUM($D$2:D402)/SUM($C$2:C402)</f>
        <v>98.388323115000958</v>
      </c>
      <c r="F402">
        <f ca="1">_xlfn.STDEV.P($B$2:B402)</f>
        <v>6.7848237376909895</v>
      </c>
      <c r="G402">
        <f t="shared" ca="1" si="19"/>
        <v>105.17314685269194</v>
      </c>
      <c r="H402">
        <f t="shared" ca="1" si="20"/>
        <v>91.603499377309973</v>
      </c>
    </row>
    <row r="403" spans="1:8" x14ac:dyDescent="0.25">
      <c r="A403" vm="1178">
        <f ca="1"/>
        <v>45877</v>
      </c>
      <c r="B403" vm="1179">
        <f ca="1"/>
        <v>104.48</v>
      </c>
      <c r="C403" vm="1180">
        <f ca="1"/>
        <v>2796477</v>
      </c>
      <c r="D403">
        <f t="shared" ca="1" si="18"/>
        <v>292175916.96000004</v>
      </c>
      <c r="E403">
        <f ca="1">SUM($D$2:D403)/SUM($C$2:C403)</f>
        <v>98.407397969021119</v>
      </c>
      <c r="F403">
        <f ca="1">_xlfn.STDEV.P($B$2:B403)</f>
        <v>6.7850157369770283</v>
      </c>
      <c r="G403">
        <f t="shared" ca="1" si="19"/>
        <v>105.19241370599815</v>
      </c>
      <c r="H403">
        <f t="shared" ca="1" si="20"/>
        <v>91.622382232044089</v>
      </c>
    </row>
    <row r="404" spans="1:8" x14ac:dyDescent="0.25">
      <c r="A404" vm="1181">
        <f ca="1"/>
        <v>45880</v>
      </c>
      <c r="B404" vm="1182">
        <f ca="1"/>
        <v>104.12</v>
      </c>
      <c r="C404" vm="1183">
        <f ca="1"/>
        <v>2357182</v>
      </c>
      <c r="D404">
        <f t="shared" ca="1" si="18"/>
        <v>245429789.84</v>
      </c>
      <c r="E404">
        <f ca="1">SUM($D$2:D404)/SUM($C$2:C404)</f>
        <v>98.42243615419946</v>
      </c>
      <c r="F404">
        <f ca="1">_xlfn.STDEV.P($B$2:B404)</f>
        <v>6.7842876391525273</v>
      </c>
      <c r="G404">
        <f t="shared" ca="1" si="19"/>
        <v>105.20672379335198</v>
      </c>
      <c r="H404">
        <f t="shared" ca="1" si="20"/>
        <v>91.638148515046936</v>
      </c>
    </row>
    <row r="405" spans="1:8" x14ac:dyDescent="0.25">
      <c r="A405" vm="1184">
        <f ca="1"/>
        <v>45881</v>
      </c>
      <c r="B405" vm="1185">
        <f ca="1"/>
        <v>103.69</v>
      </c>
      <c r="C405" vm="1186">
        <f ca="1"/>
        <v>2578774</v>
      </c>
      <c r="D405">
        <f t="shared" ca="1" si="18"/>
        <v>267393076.06</v>
      </c>
      <c r="E405">
        <f ca="1">SUM($D$2:D405)/SUM($C$2:C405)</f>
        <v>98.437562794999366</v>
      </c>
      <c r="F405">
        <f ca="1">_xlfn.STDEV.P($B$2:B405)</f>
        <v>6.7825449302373304</v>
      </c>
      <c r="G405">
        <f t="shared" ca="1" si="19"/>
        <v>105.2201077252367</v>
      </c>
      <c r="H405">
        <f t="shared" ca="1" si="20"/>
        <v>91.65501786476203</v>
      </c>
    </row>
    <row r="406" spans="1:8" x14ac:dyDescent="0.25">
      <c r="A406" vm="1187">
        <f ca="1"/>
        <v>45882</v>
      </c>
      <c r="B406" vm="1188">
        <f ca="1"/>
        <v>103.66</v>
      </c>
      <c r="C406" vm="1189">
        <f ca="1"/>
        <v>2728415</v>
      </c>
      <c r="D406">
        <f t="shared" ca="1" si="18"/>
        <v>282827498.89999998</v>
      </c>
      <c r="E406">
        <f ca="1">SUM($D$2:D406)/SUM($C$2:C406)</f>
        <v>98.453382032427342</v>
      </c>
      <c r="F406">
        <f ca="1">_xlfn.STDEV.P($B$2:B406)</f>
        <v>6.7807120201403794</v>
      </c>
      <c r="G406">
        <f t="shared" ca="1" si="19"/>
        <v>105.23409405256773</v>
      </c>
      <c r="H406">
        <f t="shared" ca="1" si="20"/>
        <v>91.672670012286957</v>
      </c>
    </row>
    <row r="407" spans="1:8" x14ac:dyDescent="0.25">
      <c r="A407" vm="1190">
        <f ca="1"/>
        <v>45883</v>
      </c>
      <c r="B407" vm="1191">
        <f ca="1"/>
        <v>102.86</v>
      </c>
      <c r="C407" vm="1192">
        <f ca="1"/>
        <v>2171761</v>
      </c>
      <c r="D407">
        <f t="shared" ca="1" si="18"/>
        <v>223387336.46000001</v>
      </c>
      <c r="E407">
        <f ca="1">SUM($D$2:D407)/SUM($C$2:C407)</f>
        <v>98.46398124143164</v>
      </c>
      <c r="F407">
        <f ca="1">_xlfn.STDEV.P($B$2:B407)</f>
        <v>6.7772352543897778</v>
      </c>
      <c r="G407">
        <f t="shared" ca="1" si="19"/>
        <v>105.24121649582142</v>
      </c>
      <c r="H407">
        <f t="shared" ca="1" si="20"/>
        <v>91.68674598704186</v>
      </c>
    </row>
    <row r="408" spans="1:8" x14ac:dyDescent="0.25">
      <c r="A408" vm="1193">
        <f ca="1"/>
        <v>45884</v>
      </c>
      <c r="B408" vm="1194">
        <f ca="1"/>
        <v>100.77</v>
      </c>
      <c r="C408" vm="1195">
        <f ca="1"/>
        <v>3098753</v>
      </c>
      <c r="D408">
        <f t="shared" ca="1" si="18"/>
        <v>312261339.81</v>
      </c>
      <c r="E408">
        <f ca="1">SUM($D$2:D408)/SUM($C$2:C408)</f>
        <v>98.471868351272391</v>
      </c>
      <c r="F408">
        <f ca="1">_xlfn.STDEV.P($B$2:B408)</f>
        <v>6.7706264129277667</v>
      </c>
      <c r="G408">
        <f t="shared" ca="1" si="19"/>
        <v>105.24249476420016</v>
      </c>
      <c r="H408">
        <f t="shared" ca="1" si="20"/>
        <v>91.701241938344623</v>
      </c>
    </row>
    <row r="409" spans="1:8" x14ac:dyDescent="0.25">
      <c r="A409" vm="1196">
        <f ca="1"/>
        <v>45887</v>
      </c>
      <c r="B409" vm="1197">
        <f ca="1"/>
        <v>99.74</v>
      </c>
      <c r="C409" vm="1198">
        <f ca="1"/>
        <v>2789322</v>
      </c>
      <c r="D409">
        <f t="shared" ca="1" si="18"/>
        <v>278206976.27999997</v>
      </c>
      <c r="E409">
        <f ca="1">SUM($D$2:D409)/SUM($C$2:C409)</f>
        <v>98.475760559623822</v>
      </c>
      <c r="F409">
        <f ca="1">_xlfn.STDEV.P($B$2:B409)</f>
        <v>6.7630812840332357</v>
      </c>
      <c r="G409">
        <f t="shared" ca="1" si="19"/>
        <v>105.23884184365706</v>
      </c>
      <c r="H409">
        <f t="shared" ca="1" si="20"/>
        <v>91.712679275590588</v>
      </c>
    </row>
    <row r="410" spans="1:8" x14ac:dyDescent="0.25">
      <c r="A410" vm="1199">
        <f ca="1"/>
        <v>45888</v>
      </c>
      <c r="B410" vm="1200">
        <f ca="1"/>
        <v>101.1</v>
      </c>
      <c r="C410" vm="1201">
        <f ca="1"/>
        <v>3948355</v>
      </c>
      <c r="D410">
        <f t="shared" ca="1" si="18"/>
        <v>399178690.5</v>
      </c>
      <c r="E410">
        <f ca="1">SUM($D$2:D410)/SUM($C$2:C410)</f>
        <v>98.487112497135996</v>
      </c>
      <c r="F410">
        <f ca="1">_xlfn.STDEV.P($B$2:B410)</f>
        <v>6.7568972710367792</v>
      </c>
      <c r="G410">
        <f t="shared" ca="1" si="19"/>
        <v>105.24400976817277</v>
      </c>
      <c r="H410">
        <f t="shared" ca="1" si="20"/>
        <v>91.730215226099219</v>
      </c>
    </row>
    <row r="411" spans="1:8" x14ac:dyDescent="0.25">
      <c r="A411" vm="1202">
        <f ca="1"/>
        <v>45889</v>
      </c>
      <c r="B411" vm="1203">
        <f ca="1"/>
        <v>101.76</v>
      </c>
      <c r="C411" vm="1204">
        <f ca="1"/>
        <v>3216440</v>
      </c>
      <c r="D411">
        <f t="shared" ca="1" si="18"/>
        <v>327304934.40000004</v>
      </c>
      <c r="E411">
        <f ca="1">SUM($D$2:D411)/SUM($C$2:C411)</f>
        <v>98.498605384336756</v>
      </c>
      <c r="F411">
        <f ca="1">_xlfn.STDEV.P($B$2:B411)</f>
        <v>6.7516132852525761</v>
      </c>
      <c r="G411">
        <f t="shared" ca="1" si="19"/>
        <v>105.25021866958933</v>
      </c>
      <c r="H411">
        <f t="shared" ca="1" si="20"/>
        <v>91.746992099084181</v>
      </c>
    </row>
    <row r="412" spans="1:8" x14ac:dyDescent="0.25">
      <c r="A412" vm="1205">
        <f ca="1"/>
        <v>45890</v>
      </c>
      <c r="B412" vm="1206">
        <f ca="1"/>
        <v>101.5</v>
      </c>
      <c r="C412" vm="1207">
        <f ca="1"/>
        <v>2282712</v>
      </c>
      <c r="D412">
        <f t="shared" ca="1" si="18"/>
        <v>231695268</v>
      </c>
      <c r="E412">
        <f ca="1">SUM($D$2:D412)/SUM($C$2:C412)</f>
        <v>98.506066707552947</v>
      </c>
      <c r="F412">
        <f ca="1">_xlfn.STDEV.P($B$2:B412)</f>
        <v>6.7459704299451282</v>
      </c>
      <c r="G412">
        <f t="shared" ca="1" si="19"/>
        <v>105.25203713749808</v>
      </c>
      <c r="H412">
        <f t="shared" ca="1" si="20"/>
        <v>91.760096277607815</v>
      </c>
    </row>
    <row r="413" spans="1:8" x14ac:dyDescent="0.25">
      <c r="A413" vm="1208">
        <f ca="1"/>
        <v>45891</v>
      </c>
      <c r="B413" vm="1209">
        <f ca="1"/>
        <v>101.65</v>
      </c>
      <c r="C413" vm="1210">
        <f ca="1"/>
        <v>2753050</v>
      </c>
      <c r="D413">
        <f t="shared" ca="1" si="18"/>
        <v>279847532.5</v>
      </c>
      <c r="E413">
        <f ca="1">SUM($D$2:D413)/SUM($C$2:C413)</f>
        <v>98.515464566343255</v>
      </c>
      <c r="F413">
        <f ca="1">_xlfn.STDEV.P($B$2:B413)</f>
        <v>6.7405452100267471</v>
      </c>
      <c r="G413">
        <f t="shared" ca="1" si="19"/>
        <v>105.25600977637001</v>
      </c>
      <c r="H413">
        <f t="shared" ca="1" si="20"/>
        <v>91.774919356316502</v>
      </c>
    </row>
    <row r="414" spans="1:8" x14ac:dyDescent="0.25">
      <c r="A414" vm="1211">
        <f ca="1"/>
        <v>45894</v>
      </c>
      <c r="B414" vm="1127">
        <f ca="1"/>
        <v>99.95</v>
      </c>
      <c r="C414" vm="1212">
        <f ca="1"/>
        <v>2498894</v>
      </c>
      <c r="D414">
        <f t="shared" ca="1" si="18"/>
        <v>249764455.30000001</v>
      </c>
      <c r="E414">
        <f ca="1">SUM($D$2:D414)/SUM($C$2:C414)</f>
        <v>98.519346283215228</v>
      </c>
      <c r="F414">
        <f ca="1">_xlfn.STDEV.P($B$2:B414)</f>
        <v>6.7332597336790245</v>
      </c>
      <c r="G414">
        <f t="shared" ca="1" si="19"/>
        <v>105.25260601689425</v>
      </c>
      <c r="H414">
        <f t="shared" ca="1" si="20"/>
        <v>91.786086549536208</v>
      </c>
    </row>
    <row r="415" spans="1:8" x14ac:dyDescent="0.25">
      <c r="A415" vm="1213">
        <f ca="1"/>
        <v>45895</v>
      </c>
      <c r="B415" vm="1214">
        <f ca="1"/>
        <v>99.72</v>
      </c>
      <c r="C415" vm="1215">
        <f ca="1"/>
        <v>3309463</v>
      </c>
      <c r="D415">
        <f t="shared" ca="1" si="18"/>
        <v>330019650.36000001</v>
      </c>
      <c r="E415">
        <f ca="1">SUM($D$2:D415)/SUM($C$2:C415)</f>
        <v>98.523633608893931</v>
      </c>
      <c r="F415">
        <f ca="1">_xlfn.STDEV.P($B$2:B415)</f>
        <v>6.7258247898898222</v>
      </c>
      <c r="G415">
        <f t="shared" ca="1" si="19"/>
        <v>105.24945839878376</v>
      </c>
      <c r="H415">
        <f t="shared" ca="1" si="20"/>
        <v>91.797808819004103</v>
      </c>
    </row>
    <row r="416" spans="1:8" x14ac:dyDescent="0.25">
      <c r="A416" vm="1216">
        <f ca="1"/>
        <v>45896</v>
      </c>
      <c r="B416" vm="1217">
        <f ca="1"/>
        <v>100.07</v>
      </c>
      <c r="C416" vm="1218">
        <f ca="1"/>
        <v>4313818</v>
      </c>
      <c r="D416">
        <f t="shared" ca="1" si="18"/>
        <v>431683767.25999999</v>
      </c>
      <c r="E416">
        <f ca="1">SUM($D$2:D416)/SUM($C$2:C416)</f>
        <v>98.530797824744411</v>
      </c>
      <c r="F416">
        <f ca="1">_xlfn.STDEV.P($B$2:B416)</f>
        <v>6.7186833284197887</v>
      </c>
      <c r="G416">
        <f t="shared" ca="1" si="19"/>
        <v>105.2494811531642</v>
      </c>
      <c r="H416">
        <f t="shared" ca="1" si="20"/>
        <v>91.812114496324625</v>
      </c>
    </row>
    <row r="417" spans="1:8" x14ac:dyDescent="0.25">
      <c r="A417" vm="1219">
        <f ca="1"/>
        <v>45897</v>
      </c>
      <c r="B417" vm="1220">
        <f ca="1"/>
        <v>98.17</v>
      </c>
      <c r="C417" vm="1221">
        <f ca="1"/>
        <v>2400163</v>
      </c>
      <c r="D417">
        <f t="shared" ca="1" si="18"/>
        <v>235624001.71000001</v>
      </c>
      <c r="E417">
        <f ca="1">SUM($D$2:D417)/SUM($C$2:C417)</f>
        <v>98.529870181382549</v>
      </c>
      <c r="F417">
        <f ca="1">_xlfn.STDEV.P($B$2:B417)</f>
        <v>6.7106345104277878</v>
      </c>
      <c r="G417">
        <f t="shared" ca="1" si="19"/>
        <v>105.24050469181034</v>
      </c>
      <c r="H417">
        <f t="shared" ca="1" si="20"/>
        <v>91.819235670954754</v>
      </c>
    </row>
    <row r="418" spans="1:8" x14ac:dyDescent="0.25">
      <c r="A418" vm="1222">
        <f ca="1"/>
        <v>45898</v>
      </c>
      <c r="B418" vm="1223">
        <f ca="1"/>
        <v>98.23</v>
      </c>
      <c r="C418" vm="1224">
        <f ca="1"/>
        <v>4220120</v>
      </c>
      <c r="D418">
        <f t="shared" ca="1" si="18"/>
        <v>414542387.60000002</v>
      </c>
      <c r="E418">
        <f ca="1">SUM($D$2:D418)/SUM($C$2:C418)</f>
        <v>98.528520672938171</v>
      </c>
      <c r="F418">
        <f ca="1">_xlfn.STDEV.P($B$2:B418)</f>
        <v>6.7026241453637034</v>
      </c>
      <c r="G418">
        <f t="shared" ca="1" si="19"/>
        <v>105.23114481830187</v>
      </c>
      <c r="H418">
        <f t="shared" ca="1" si="20"/>
        <v>91.825896527574471</v>
      </c>
    </row>
    <row r="419" spans="1:8" x14ac:dyDescent="0.25">
      <c r="A419" vm="1225">
        <f ca="1"/>
        <v>45902</v>
      </c>
      <c r="B419" vm="1226">
        <f ca="1"/>
        <v>97.2</v>
      </c>
      <c r="C419" vm="1227">
        <f ca="1"/>
        <v>3019315</v>
      </c>
      <c r="D419">
        <f t="shared" ca="1" si="18"/>
        <v>293477418</v>
      </c>
      <c r="E419">
        <f ca="1">SUM($D$2:D419)/SUM($C$2:C419)</f>
        <v>98.524256859641966</v>
      </c>
      <c r="F419">
        <f ca="1">_xlfn.STDEV.P($B$2:B419)</f>
        <v>6.6946563753145512</v>
      </c>
      <c r="G419">
        <f t="shared" ca="1" si="19"/>
        <v>105.21891323495652</v>
      </c>
      <c r="H419">
        <f t="shared" ca="1" si="20"/>
        <v>91.829600484327415</v>
      </c>
    </row>
    <row r="420" spans="1:8" x14ac:dyDescent="0.25">
      <c r="A420" vm="1228">
        <f ca="1"/>
        <v>45903</v>
      </c>
      <c r="B420" vm="1229">
        <f ca="1"/>
        <v>97.85</v>
      </c>
      <c r="C420" vm="1230">
        <f ca="1"/>
        <v>4306674</v>
      </c>
      <c r="D420">
        <f t="shared" ca="1" si="18"/>
        <v>421408050.89999998</v>
      </c>
      <c r="E420">
        <f ca="1">SUM($D$2:D420)/SUM($C$2:C420)</f>
        <v>98.521184265463248</v>
      </c>
      <c r="F420">
        <f ca="1">_xlfn.STDEV.P($B$2:B420)</f>
        <v>6.6866644716329757</v>
      </c>
      <c r="G420">
        <f t="shared" ca="1" si="19"/>
        <v>105.20784873709623</v>
      </c>
      <c r="H420">
        <f t="shared" ca="1" si="20"/>
        <v>91.834519793830268</v>
      </c>
    </row>
    <row r="421" spans="1:8" x14ac:dyDescent="0.25">
      <c r="A421" vm="1231">
        <f ca="1"/>
        <v>45904</v>
      </c>
      <c r="B421" vm="1232">
        <f ca="1"/>
        <v>97.8</v>
      </c>
      <c r="C421" vm="1233">
        <f ca="1"/>
        <v>2033303</v>
      </c>
      <c r="D421">
        <f t="shared" ca="1" si="18"/>
        <v>198857033.40000001</v>
      </c>
      <c r="E421">
        <f ca="1">SUM($D$2:D421)/SUM($C$2:C421)</f>
        <v>98.519635973719403</v>
      </c>
      <c r="F421">
        <f ca="1">_xlfn.STDEV.P($B$2:B421)</f>
        <v>6.6786998228894143</v>
      </c>
      <c r="G421">
        <f t="shared" ca="1" si="19"/>
        <v>105.19833579660882</v>
      </c>
      <c r="H421">
        <f t="shared" ca="1" si="20"/>
        <v>91.84093615082999</v>
      </c>
    </row>
    <row r="422" spans="1:8" x14ac:dyDescent="0.25">
      <c r="A422" vm="1234">
        <f ca="1"/>
        <v>45905</v>
      </c>
      <c r="B422" vm="1090">
        <f ca="1"/>
        <v>98.05</v>
      </c>
      <c r="C422" vm="1235">
        <f ca="1"/>
        <v>1724666</v>
      </c>
      <c r="D422">
        <f t="shared" ca="1" si="18"/>
        <v>169103501.29999998</v>
      </c>
      <c r="E422">
        <f ca="1">SUM($D$2:D422)/SUM($C$2:C422)</f>
        <v>98.518782322074756</v>
      </c>
      <c r="F422">
        <f ca="1">_xlfn.STDEV.P($B$2:B422)</f>
        <v>6.6707789223928549</v>
      </c>
      <c r="G422">
        <f t="shared" ca="1" si="19"/>
        <v>105.18956124446761</v>
      </c>
      <c r="H422">
        <f t="shared" ca="1" si="20"/>
        <v>91.8480033996819</v>
      </c>
    </row>
    <row r="423" spans="1:8" x14ac:dyDescent="0.25">
      <c r="A423" vm="1236">
        <f ca="1"/>
        <v>45908</v>
      </c>
      <c r="B423" vm="1237">
        <f ca="1"/>
        <v>96.65</v>
      </c>
      <c r="C423" vm="1238">
        <f ca="1"/>
        <v>2189394</v>
      </c>
      <c r="D423">
        <f t="shared" ca="1" si="18"/>
        <v>211604930.10000002</v>
      </c>
      <c r="E423">
        <f ca="1">SUM($D$2:D423)/SUM($C$2:C423)</f>
        <v>98.514480068618511</v>
      </c>
      <c r="F423">
        <f ca="1">_xlfn.STDEV.P($B$2:B423)</f>
        <v>6.6630862198789336</v>
      </c>
      <c r="G423">
        <f t="shared" ca="1" si="19"/>
        <v>105.17756628849745</v>
      </c>
      <c r="H423">
        <f t="shared" ca="1" si="20"/>
        <v>91.851393848739576</v>
      </c>
    </row>
    <row r="424" spans="1:8" x14ac:dyDescent="0.25">
      <c r="A424" vm="1239">
        <f ca="1"/>
        <v>45909</v>
      </c>
      <c r="B424" vm="1240">
        <f ca="1"/>
        <v>96.98</v>
      </c>
      <c r="C424" vm="1241">
        <f ca="1"/>
        <v>1282697</v>
      </c>
      <c r="D424">
        <f t="shared" ca="1" si="18"/>
        <v>124395955.06</v>
      </c>
      <c r="E424">
        <f ca="1">SUM($D$2:D424)/SUM($C$2:C424)</f>
        <v>98.512413197893139</v>
      </c>
      <c r="F424">
        <f ca="1">_xlfn.STDEV.P($B$2:B424)</f>
        <v>6.6553106781974352</v>
      </c>
      <c r="G424">
        <f t="shared" ca="1" si="19"/>
        <v>105.16772387609058</v>
      </c>
      <c r="H424">
        <f t="shared" ca="1" si="20"/>
        <v>91.857102519695701</v>
      </c>
    </row>
    <row r="425" spans="1:8" x14ac:dyDescent="0.25">
      <c r="A425" vm="1242">
        <f ca="1"/>
        <v>45910</v>
      </c>
      <c r="B425" vm="1243">
        <f ca="1"/>
        <v>97.08</v>
      </c>
      <c r="C425" vm="1244">
        <f ca="1"/>
        <v>1603960</v>
      </c>
      <c r="D425">
        <f t="shared" ca="1" si="18"/>
        <v>155712436.80000001</v>
      </c>
      <c r="E425">
        <f ca="1">SUM($D$2:D425)/SUM($C$2:C425)</f>
        <v>98.510004629625428</v>
      </c>
      <c r="F425">
        <f ca="1">_xlfn.STDEV.P($B$2:B425)</f>
        <v>6.6475368607789358</v>
      </c>
      <c r="G425">
        <f t="shared" ca="1" si="19"/>
        <v>105.15754149040437</v>
      </c>
      <c r="H425">
        <f t="shared" ca="1" si="20"/>
        <v>91.862467768846486</v>
      </c>
    </row>
    <row r="426" spans="1:8" x14ac:dyDescent="0.25">
      <c r="A426" vm="1245">
        <f ca="1"/>
        <v>45911</v>
      </c>
      <c r="B426" vm="266">
        <f ca="1"/>
        <v>97.7</v>
      </c>
      <c r="C426" vm="1246">
        <f ca="1"/>
        <v>1689992</v>
      </c>
      <c r="D426">
        <f t="shared" ca="1" si="18"/>
        <v>165112218.40000001</v>
      </c>
      <c r="E426">
        <f ca="1">SUM($D$2:D426)/SUM($C$2:C426)</f>
        <v>98.508572110202707</v>
      </c>
      <c r="F426">
        <f ca="1">_xlfn.STDEV.P($B$2:B426)</f>
        <v>6.6397120104303715</v>
      </c>
      <c r="G426">
        <f t="shared" ca="1" si="19"/>
        <v>105.14828412063308</v>
      </c>
      <c r="H426">
        <f t="shared" ca="1" si="20"/>
        <v>91.868860099772334</v>
      </c>
    </row>
    <row r="427" spans="1:8" x14ac:dyDescent="0.25">
      <c r="A427" vm="1247">
        <f ca="1"/>
        <v>45912</v>
      </c>
      <c r="B427" vm="1248">
        <f ca="1"/>
        <v>97.55</v>
      </c>
      <c r="C427" vm="1249">
        <f ca="1"/>
        <v>1249463</v>
      </c>
      <c r="D427">
        <f t="shared" ca="1" si="18"/>
        <v>121885115.64999999</v>
      </c>
      <c r="E427">
        <f ca="1">SUM($D$2:D427)/SUM($C$2:C427)</f>
        <v>98.507320384771504</v>
      </c>
      <c r="F427">
        <f ca="1">_xlfn.STDEV.P($B$2:B427)</f>
        <v>6.6319211725994833</v>
      </c>
      <c r="G427">
        <f t="shared" ca="1" si="19"/>
        <v>105.13924155737098</v>
      </c>
      <c r="H427">
        <f t="shared" ca="1" si="20"/>
        <v>91.875399212172027</v>
      </c>
    </row>
    <row r="428" spans="1:8" x14ac:dyDescent="0.25">
      <c r="A428" vm="1250">
        <f ca="1"/>
        <v>45915</v>
      </c>
      <c r="B428" vm="1251">
        <f ca="1"/>
        <v>97</v>
      </c>
      <c r="C428" vm="1252">
        <f ca="1"/>
        <v>1351898</v>
      </c>
      <c r="D428">
        <f t="shared" ca="1" si="18"/>
        <v>131134106</v>
      </c>
      <c r="E428">
        <f ca="1">SUM($D$2:D428)/SUM($C$2:C428)</f>
        <v>98.505193728933392</v>
      </c>
      <c r="F428">
        <f ca="1">_xlfn.STDEV.P($B$2:B428)</f>
        <v>6.6242491079812815</v>
      </c>
      <c r="G428">
        <f t="shared" ca="1" si="19"/>
        <v>105.12944283691468</v>
      </c>
      <c r="H428">
        <f t="shared" ca="1" si="20"/>
        <v>91.880944620952107</v>
      </c>
    </row>
    <row r="429" spans="1:8" x14ac:dyDescent="0.25">
      <c r="A429" vm="1253">
        <f ca="1"/>
        <v>45916</v>
      </c>
      <c r="B429" vm="1254">
        <f ca="1"/>
        <v>95.57</v>
      </c>
      <c r="C429" vm="1255">
        <f ca="1"/>
        <v>2116706</v>
      </c>
      <c r="D429">
        <f t="shared" ca="1" si="18"/>
        <v>202293592.41999999</v>
      </c>
      <c r="E429">
        <f ca="1">SUM($D$2:D429)/SUM($C$2:C429)</f>
        <v>98.498723990836837</v>
      </c>
      <c r="F429">
        <f ca="1">_xlfn.STDEV.P($B$2:B429)</f>
        <v>6.617338815223091</v>
      </c>
      <c r="G429">
        <f t="shared" ca="1" si="19"/>
        <v>105.11606280605993</v>
      </c>
      <c r="H429">
        <f t="shared" ca="1" si="20"/>
        <v>91.881385175613744</v>
      </c>
    </row>
    <row r="430" spans="1:8" x14ac:dyDescent="0.25">
      <c r="A430" vm="1256">
        <f ca="1"/>
        <v>45917</v>
      </c>
      <c r="B430" vm="1257">
        <f ca="1"/>
        <v>96.4</v>
      </c>
      <c r="C430" vm="1258">
        <f ca="1"/>
        <v>1879757</v>
      </c>
      <c r="D430">
        <f t="shared" ca="1" si="18"/>
        <v>181208574.80000001</v>
      </c>
      <c r="E430">
        <f ca="1">SUM($D$2:D430)/SUM($C$2:C430)</f>
        <v>98.494623865369817</v>
      </c>
      <c r="F430">
        <f ca="1">_xlfn.STDEV.P($B$2:B430)</f>
        <v>6.6099373928307612</v>
      </c>
      <c r="G430">
        <f t="shared" ca="1" si="19"/>
        <v>105.10456125820058</v>
      </c>
      <c r="H430">
        <f t="shared" ca="1" si="20"/>
        <v>91.884686472539059</v>
      </c>
    </row>
    <row r="431" spans="1:8" x14ac:dyDescent="0.25">
      <c r="A431" vm="1259">
        <f ca="1"/>
        <v>45918</v>
      </c>
      <c r="B431" vm="1260">
        <f ca="1"/>
        <v>96.35</v>
      </c>
      <c r="C431" vm="1261">
        <f ca="1"/>
        <v>1815705</v>
      </c>
      <c r="D431">
        <f t="shared" ca="1" si="18"/>
        <v>174943176.75</v>
      </c>
      <c r="E431">
        <f ca="1">SUM($D$2:D431)/SUM($C$2:C431)</f>
        <v>98.490584456953428</v>
      </c>
      <c r="F431">
        <f ca="1">_xlfn.STDEV.P($B$2:B431)</f>
        <v>6.6025846082776196</v>
      </c>
      <c r="G431">
        <f t="shared" ca="1" si="19"/>
        <v>105.09316906523105</v>
      </c>
      <c r="H431">
        <f t="shared" ca="1" si="20"/>
        <v>91.887999848675804</v>
      </c>
    </row>
    <row r="432" spans="1:8" x14ac:dyDescent="0.25">
      <c r="A432" vm="1262">
        <f ca="1"/>
        <v>45919</v>
      </c>
      <c r="B432" vm="1263">
        <f ca="1"/>
        <v>96.33</v>
      </c>
      <c r="C432" vm="1264">
        <f ca="1"/>
        <v>4091681</v>
      </c>
      <c r="D432">
        <f t="shared" ca="1" si="18"/>
        <v>394151630.73000002</v>
      </c>
      <c r="E432">
        <f ca="1">SUM($D$2:D432)/SUM($C$2:C432)</f>
        <v>98.481452688108703</v>
      </c>
      <c r="F432">
        <f ca="1">_xlfn.STDEV.P($B$2:B432)</f>
        <v>6.5952660167051302</v>
      </c>
      <c r="G432">
        <f t="shared" ca="1" si="19"/>
        <v>105.07671870481383</v>
      </c>
      <c r="H432">
        <f t="shared" ca="1" si="20"/>
        <v>91.886186671403578</v>
      </c>
    </row>
    <row r="433" spans="1:8" x14ac:dyDescent="0.25">
      <c r="A433" vm="1265">
        <f ca="1"/>
        <v>45922</v>
      </c>
      <c r="B433" vm="686">
        <f ca="1"/>
        <v>96.62</v>
      </c>
      <c r="C433" vm="1266">
        <f ca="1"/>
        <v>1938992</v>
      </c>
      <c r="D433">
        <f t="shared" ca="1" si="18"/>
        <v>187345407.04000002</v>
      </c>
      <c r="E433">
        <f ca="1">SUM($D$2:D433)/SUM($C$2:C433)</f>
        <v>98.477731848595624</v>
      </c>
      <c r="F433">
        <f ca="1">_xlfn.STDEV.P($B$2:B433)</f>
        <v>6.5878440711793411</v>
      </c>
      <c r="G433">
        <f t="shared" ca="1" si="19"/>
        <v>105.06557591977497</v>
      </c>
      <c r="H433">
        <f t="shared" ca="1" si="20"/>
        <v>91.889887777416277</v>
      </c>
    </row>
    <row r="434" spans="1:8" x14ac:dyDescent="0.25">
      <c r="A434" vm="1267">
        <f ca="1"/>
        <v>45923</v>
      </c>
      <c r="B434" vm="1268">
        <f ca="1"/>
        <v>98.55</v>
      </c>
      <c r="C434" vm="1269">
        <f ca="1"/>
        <v>2204294</v>
      </c>
      <c r="D434">
        <f t="shared" ca="1" si="18"/>
        <v>217233173.69999999</v>
      </c>
      <c r="E434">
        <f ca="1">SUM($D$2:D434)/SUM($C$2:C434)</f>
        <v>98.47789569752851</v>
      </c>
      <c r="F434">
        <f ca="1">_xlfn.STDEV.P($B$2:B434)</f>
        <v>6.5803509854150857</v>
      </c>
      <c r="G434">
        <f t="shared" ca="1" si="19"/>
        <v>105.05824668294359</v>
      </c>
      <c r="H434">
        <f t="shared" ca="1" si="20"/>
        <v>91.897544712113429</v>
      </c>
    </row>
    <row r="435" spans="1:8" x14ac:dyDescent="0.25">
      <c r="A435" vm="1270">
        <f ca="1"/>
        <v>45924</v>
      </c>
      <c r="B435" vm="1271">
        <f ca="1"/>
        <v>98.81</v>
      </c>
      <c r="C435" vm="1272">
        <f ca="1"/>
        <v>1611788</v>
      </c>
      <c r="D435">
        <f t="shared" ca="1" si="18"/>
        <v>159260772.28</v>
      </c>
      <c r="E435">
        <f ca="1">SUM($D$2:D435)/SUM($C$2:C435)</f>
        <v>98.478445352538614</v>
      </c>
      <c r="F435">
        <f ca="1">_xlfn.STDEV.P($B$2:B435)</f>
        <v>6.5729698677549209</v>
      </c>
      <c r="G435">
        <f t="shared" ca="1" si="19"/>
        <v>105.05141522029353</v>
      </c>
      <c r="H435">
        <f t="shared" ca="1" si="20"/>
        <v>91.905475484783693</v>
      </c>
    </row>
    <row r="436" spans="1:8" x14ac:dyDescent="0.25">
      <c r="A436" vm="1273">
        <f ca="1"/>
        <v>45925</v>
      </c>
      <c r="B436" vm="1274">
        <f ca="1"/>
        <v>98.35</v>
      </c>
      <c r="C436" vm="1275">
        <f ca="1"/>
        <v>1848471</v>
      </c>
      <c r="D436">
        <f t="shared" ca="1" si="18"/>
        <v>181797122.84999999</v>
      </c>
      <c r="E436">
        <f ca="1">SUM($D$2:D436)/SUM($C$2:C436)</f>
        <v>98.478202011559105</v>
      </c>
      <c r="F436">
        <f ca="1">_xlfn.STDEV.P($B$2:B436)</f>
        <v>6.5654771770244817</v>
      </c>
      <c r="G436">
        <f t="shared" ca="1" si="19"/>
        <v>105.04367918858358</v>
      </c>
      <c r="H436">
        <f t="shared" ca="1" si="20"/>
        <v>91.912724834534629</v>
      </c>
    </row>
    <row r="437" spans="1:8" x14ac:dyDescent="0.25">
      <c r="A437" vm="1276">
        <f ca="1"/>
        <v>45926</v>
      </c>
      <c r="B437" vm="1277">
        <f ca="1"/>
        <v>99.62</v>
      </c>
      <c r="C437" vm="1278">
        <f ca="1"/>
        <v>1947302</v>
      </c>
      <c r="D437">
        <f t="shared" ca="1" si="18"/>
        <v>193990225.24000001</v>
      </c>
      <c r="E437">
        <f ca="1">SUM($D$2:D437)/SUM($C$2:C437)</f>
        <v>98.480476275662895</v>
      </c>
      <c r="F437">
        <f ca="1">_xlfn.STDEV.P($B$2:B437)</f>
        <v>6.5585648300634158</v>
      </c>
      <c r="G437">
        <f t="shared" ca="1" si="19"/>
        <v>105.03904110572631</v>
      </c>
      <c r="H437">
        <f t="shared" ca="1" si="20"/>
        <v>91.921911445599477</v>
      </c>
    </row>
    <row r="438" spans="1:8" x14ac:dyDescent="0.25">
      <c r="A438" vm="1279">
        <f ca="1"/>
        <v>45929</v>
      </c>
      <c r="B438" vm="1280">
        <f ca="1"/>
        <v>99.57</v>
      </c>
      <c r="C438" vm="1281">
        <f ca="1"/>
        <v>1875302</v>
      </c>
      <c r="D438">
        <f t="shared" ca="1" si="18"/>
        <v>186723820.13999999</v>
      </c>
      <c r="E438">
        <f ca="1">SUM($D$2:D438)/SUM($C$2:C438)</f>
        <v>98.482562177968134</v>
      </c>
      <c r="F438">
        <f ca="1">_xlfn.STDEV.P($B$2:B438)</f>
        <v>6.5516416692800217</v>
      </c>
      <c r="G438">
        <f t="shared" ca="1" si="19"/>
        <v>105.03420384724815</v>
      </c>
      <c r="H438">
        <f t="shared" ca="1" si="20"/>
        <v>91.930920508688118</v>
      </c>
    </row>
    <row r="439" spans="1:8" x14ac:dyDescent="0.25">
      <c r="A439" vm="1282">
        <f ca="1"/>
        <v>45930</v>
      </c>
      <c r="B439" vm="1283">
        <f ca="1"/>
        <v>100.52</v>
      </c>
      <c r="C439" vm="1284">
        <f ca="1"/>
        <v>2199219</v>
      </c>
      <c r="D439">
        <f t="shared" ca="1" si="18"/>
        <v>221065493.88</v>
      </c>
      <c r="E439">
        <f ca="1">SUM($D$2:D439)/SUM($C$2:C439)</f>
        <v>98.487126380576356</v>
      </c>
      <c r="F439">
        <f ca="1">_xlfn.STDEV.P($B$2:B439)</f>
        <v>6.5455017611316046</v>
      </c>
      <c r="G439">
        <f t="shared" ca="1" si="19"/>
        <v>105.03262814170796</v>
      </c>
      <c r="H439">
        <f t="shared" ca="1" si="20"/>
        <v>91.941624619444752</v>
      </c>
    </row>
    <row r="440" spans="1:8" x14ac:dyDescent="0.25">
      <c r="A440" vm="1285">
        <f ca="1"/>
        <v>45931</v>
      </c>
      <c r="B440" vm="1220">
        <f ca="1"/>
        <v>98.17</v>
      </c>
      <c r="C440" vm="1286">
        <f ca="1"/>
        <v>2301874</v>
      </c>
      <c r="D440">
        <f t="shared" ca="1" si="18"/>
        <v>225974970.58000001</v>
      </c>
      <c r="E440">
        <f ca="1">SUM($D$2:D440)/SUM($C$2:C440)</f>
        <v>98.486384542915744</v>
      </c>
      <c r="F440">
        <f ca="1">_xlfn.STDEV.P($B$2:B440)</f>
        <v>6.5380734643577743</v>
      </c>
      <c r="G440">
        <f t="shared" ca="1" si="19"/>
        <v>105.02445800727352</v>
      </c>
      <c r="H440">
        <f t="shared" ca="1" si="20"/>
        <v>91.948311078557964</v>
      </c>
    </row>
    <row r="441" spans="1:8" x14ac:dyDescent="0.25">
      <c r="A441" vm="1287">
        <f ca="1"/>
        <v>45932</v>
      </c>
      <c r="B441" vm="269">
        <f ca="1"/>
        <v>97.64</v>
      </c>
      <c r="C441" vm="1288">
        <f ca="1"/>
        <v>1449485</v>
      </c>
      <c r="D441">
        <f t="shared" ca="1" si="18"/>
        <v>141527715.40000001</v>
      </c>
      <c r="E441">
        <f ca="1">SUM($D$2:D441)/SUM($C$2:C441)</f>
        <v>98.485139635213642</v>
      </c>
      <c r="F441">
        <f ca="1">_xlfn.STDEV.P($B$2:B441)</f>
        <v>6.5306416666355096</v>
      </c>
      <c r="G441">
        <f t="shared" ca="1" si="19"/>
        <v>105.01578130184915</v>
      </c>
      <c r="H441">
        <f t="shared" ca="1" si="20"/>
        <v>91.954497968578139</v>
      </c>
    </row>
    <row r="442" spans="1:8" x14ac:dyDescent="0.25">
      <c r="A442" vm="1289">
        <f ca="1"/>
        <v>45933</v>
      </c>
      <c r="B442" vm="1271">
        <f ca="1"/>
        <v>98.81</v>
      </c>
      <c r="C442" vm="1290">
        <f ca="1"/>
        <v>1676205</v>
      </c>
      <c r="D442">
        <f t="shared" ca="1" si="18"/>
        <v>165625816.05000001</v>
      </c>
      <c r="E442">
        <f ca="1">SUM($D$2:D442)/SUM($C$2:C442)</f>
        <v>98.485691257105699</v>
      </c>
      <c r="F442">
        <f ca="1">_xlfn.STDEV.P($B$2:B442)</f>
        <v>6.5234284631178205</v>
      </c>
      <c r="G442">
        <f t="shared" ca="1" si="19"/>
        <v>105.00911972022352</v>
      </c>
      <c r="H442">
        <f t="shared" ca="1" si="20"/>
        <v>91.962262793987875</v>
      </c>
    </row>
    <row r="443" spans="1:8" x14ac:dyDescent="0.25">
      <c r="A443" vm="1291">
        <f ca="1"/>
        <v>45936</v>
      </c>
      <c r="B443" vm="1292">
        <f ca="1"/>
        <v>99.33</v>
      </c>
      <c r="C443" vm="1293">
        <f ca="1"/>
        <v>1769805</v>
      </c>
      <c r="D443">
        <f t="shared" ca="1" si="18"/>
        <v>175794730.65000001</v>
      </c>
      <c r="E443">
        <f ca="1">SUM($D$2:D443)/SUM($C$2:C443)</f>
        <v>98.487202263882764</v>
      </c>
      <c r="F443">
        <f ca="1">_xlfn.STDEV.P($B$2:B443)</f>
        <v>6.5164766763236175</v>
      </c>
      <c r="G443">
        <f t="shared" ca="1" si="19"/>
        <v>105.00367894020638</v>
      </c>
      <c r="H443">
        <f t="shared" ca="1" si="20"/>
        <v>91.970725587559144</v>
      </c>
    </row>
    <row r="444" spans="1:8" x14ac:dyDescent="0.25">
      <c r="A444" vm="1294">
        <f ca="1"/>
        <v>45937</v>
      </c>
      <c r="B444" vm="1295">
        <f ca="1"/>
        <v>100.04</v>
      </c>
      <c r="C444" vm="1296">
        <f ca="1"/>
        <v>1722042</v>
      </c>
      <c r="D444">
        <f t="shared" ca="1" si="18"/>
        <v>172273081.68000001</v>
      </c>
      <c r="E444">
        <f ca="1">SUM($D$2:D444)/SUM($C$2:C444)</f>
        <v>98.48990151158489</v>
      </c>
      <c r="F444">
        <f ca="1">_xlfn.STDEV.P($B$2:B444)</f>
        <v>6.5100211469224494</v>
      </c>
      <c r="G444">
        <f t="shared" ca="1" si="19"/>
        <v>104.99992265850734</v>
      </c>
      <c r="H444">
        <f t="shared" ca="1" si="20"/>
        <v>91.979880364662435</v>
      </c>
    </row>
    <row r="445" spans="1:8" x14ac:dyDescent="0.25">
      <c r="A445" vm="1297">
        <f ca="1"/>
        <v>45938</v>
      </c>
      <c r="B445" vm="1298">
        <f ca="1"/>
        <v>100.83</v>
      </c>
      <c r="C445" vm="1299">
        <f ca="1"/>
        <v>1570590</v>
      </c>
      <c r="D445">
        <f t="shared" ca="1" si="18"/>
        <v>158362589.69999999</v>
      </c>
      <c r="E445">
        <f ca="1">SUM($D$2:D445)/SUM($C$2:C445)</f>
        <v>98.493605700071882</v>
      </c>
      <c r="F445">
        <f ca="1">_xlfn.STDEV.P($B$2:B445)</f>
        <v>6.5043144840103606</v>
      </c>
      <c r="G445">
        <f t="shared" ca="1" si="19"/>
        <v>104.99792018408225</v>
      </c>
      <c r="H445">
        <f t="shared" ca="1" si="20"/>
        <v>91.989291216061517</v>
      </c>
    </row>
    <row r="446" spans="1:8" x14ac:dyDescent="0.25">
      <c r="A446" vm="1300">
        <f ca="1"/>
        <v>45939</v>
      </c>
      <c r="B446" vm="1301">
        <f ca="1"/>
        <v>100.8</v>
      </c>
      <c r="C446" vm="1302">
        <f ca="1"/>
        <v>1816124</v>
      </c>
      <c r="D446">
        <f t="shared" ca="1" si="18"/>
        <v>183065299.19999999</v>
      </c>
      <c r="E446">
        <f ca="1">SUM($D$2:D446)/SUM($C$2:C446)</f>
        <v>98.497819568480708</v>
      </c>
      <c r="F446">
        <f ca="1">_xlfn.STDEV.P($B$2:B446)</f>
        <v>6.4985896311073645</v>
      </c>
      <c r="G446">
        <f t="shared" ca="1" si="19"/>
        <v>104.99640919958807</v>
      </c>
      <c r="H446">
        <f t="shared" ca="1" si="20"/>
        <v>91.999229937373343</v>
      </c>
    </row>
    <row r="447" spans="1:8" x14ac:dyDescent="0.25">
      <c r="A447" vm="1303">
        <f ca="1"/>
        <v>45940</v>
      </c>
      <c r="B447" vm="1304">
        <f ca="1"/>
        <v>102.39</v>
      </c>
      <c r="C447" vm="1305">
        <f ca="1"/>
        <v>2059205</v>
      </c>
      <c r="D447">
        <f t="shared" ca="1" si="18"/>
        <v>210841999.94999999</v>
      </c>
      <c r="E447">
        <f ca="1">SUM($D$2:D447)/SUM($C$2:C447)</f>
        <v>98.505865859196803</v>
      </c>
      <c r="F447">
        <f ca="1">_xlfn.STDEV.P($B$2:B447)</f>
        <v>6.4949715533786021</v>
      </c>
      <c r="G447">
        <f t="shared" ca="1" si="19"/>
        <v>105.00083741257541</v>
      </c>
      <c r="H447">
        <f t="shared" ca="1" si="20"/>
        <v>92.010894305818198</v>
      </c>
    </row>
    <row r="448" spans="1:8" x14ac:dyDescent="0.25">
      <c r="A448" vm="1306">
        <f ca="1"/>
        <v>45943</v>
      </c>
      <c r="B448" vm="456">
        <f ca="1"/>
        <v>100.86</v>
      </c>
      <c r="C448" vm="1307">
        <f ca="1"/>
        <v>1515680</v>
      </c>
      <c r="D448">
        <f t="shared" ca="1" si="18"/>
        <v>152871484.80000001</v>
      </c>
      <c r="E448">
        <f ca="1">SUM($D$2:D448)/SUM($C$2:C448)</f>
        <v>98.509442551340868</v>
      </c>
      <c r="F448">
        <f ca="1">_xlfn.STDEV.P($B$2:B448)</f>
        <v>6.4893300776457705</v>
      </c>
      <c r="G448">
        <f t="shared" ca="1" si="19"/>
        <v>104.99877262898664</v>
      </c>
      <c r="H448">
        <f t="shared" ca="1" si="20"/>
        <v>92.020112473695093</v>
      </c>
    </row>
    <row r="449" spans="1:8" x14ac:dyDescent="0.25">
      <c r="A449" vm="1308">
        <f ca="1"/>
        <v>45944</v>
      </c>
      <c r="B449" vm="1309">
        <f ca="1"/>
        <v>101.89</v>
      </c>
      <c r="C449" vm="1310">
        <f ca="1"/>
        <v>1423256</v>
      </c>
      <c r="D449">
        <f t="shared" ca="1" si="18"/>
        <v>145015553.84</v>
      </c>
      <c r="E449">
        <f ca="1">SUM($D$2:D449)/SUM($C$2:C449)</f>
        <v>98.514258646090681</v>
      </c>
      <c r="F449">
        <f ca="1">_xlfn.STDEV.P($B$2:B449)</f>
        <v>6.484969674446571</v>
      </c>
      <c r="G449">
        <f t="shared" ca="1" si="19"/>
        <v>104.99922832053726</v>
      </c>
      <c r="H449">
        <f t="shared" ca="1" si="20"/>
        <v>92.029288971644107</v>
      </c>
    </row>
    <row r="450" spans="1:8" x14ac:dyDescent="0.25">
      <c r="A450" vm="1311">
        <f ca="1"/>
        <v>45945</v>
      </c>
      <c r="B450" vm="1312">
        <f ca="1"/>
        <v>102.29</v>
      </c>
      <c r="C450" vm="1313">
        <f ca="1"/>
        <v>1556615</v>
      </c>
      <c r="D450">
        <f t="shared" ca="1" si="18"/>
        <v>159226148.35000002</v>
      </c>
      <c r="E450">
        <f ca="1">SUM($D$2:D450)/SUM($C$2:C450)</f>
        <v>98.520132605805145</v>
      </c>
      <c r="F450">
        <f ca="1">_xlfn.STDEV.P($B$2:B450)</f>
        <v>6.4812013569178326</v>
      </c>
      <c r="G450">
        <f t="shared" ca="1" si="19"/>
        <v>105.00133396272298</v>
      </c>
      <c r="H450">
        <f t="shared" ca="1" si="20"/>
        <v>92.038931248887309</v>
      </c>
    </row>
    <row r="451" spans="1:8" x14ac:dyDescent="0.25">
      <c r="A451" vm="1314">
        <f ca="1"/>
        <v>45946</v>
      </c>
      <c r="B451" vm="1119">
        <f ca="1"/>
        <v>101.07</v>
      </c>
      <c r="C451" vm="1315">
        <f ca="1"/>
        <v>1558806</v>
      </c>
      <c r="D451">
        <f t="shared" ref="D451:D514" ca="1" si="21">B451*C451</f>
        <v>157548522.41999999</v>
      </c>
      <c r="E451">
        <f ca="1">SUM($D$2:D451)/SUM($C$2:C451)</f>
        <v>98.524098865250707</v>
      </c>
      <c r="F451">
        <f ca="1">_xlfn.STDEV.P($B$2:B451)</f>
        <v>6.4758158378255386</v>
      </c>
      <c r="G451">
        <f t="shared" ref="G451:G514" ca="1" si="22">E451 + F451</f>
        <v>104.99991470307624</v>
      </c>
      <c r="H451">
        <f t="shared" ref="H451:H514" ca="1" si="23">E451 - F451</f>
        <v>92.048283027425171</v>
      </c>
    </row>
    <row r="452" spans="1:8" x14ac:dyDescent="0.25">
      <c r="A452" vm="1316">
        <f ca="1"/>
        <v>45947</v>
      </c>
      <c r="B452" vm="441">
        <f ca="1"/>
        <v>101.19</v>
      </c>
      <c r="C452" vm="1317">
        <f ca="1"/>
        <v>1597575</v>
      </c>
      <c r="D452">
        <f t="shared" ca="1" si="21"/>
        <v>161658614.25</v>
      </c>
      <c r="E452">
        <f ca="1">SUM($D$2:D452)/SUM($C$2:C452)</f>
        <v>98.528341981842658</v>
      </c>
      <c r="F452">
        <f ca="1">_xlfn.STDEV.P($B$2:B452)</f>
        <v>6.4705776187966073</v>
      </c>
      <c r="G452">
        <f t="shared" ca="1" si="22"/>
        <v>104.99891960063927</v>
      </c>
      <c r="H452">
        <f t="shared" ca="1" si="23"/>
        <v>92.057764363046047</v>
      </c>
    </row>
    <row r="453" spans="1:8" x14ac:dyDescent="0.25">
      <c r="A453" vm="1318">
        <f ca="1"/>
        <v>45950</v>
      </c>
      <c r="B453" vm="1319">
        <f ca="1"/>
        <v>101.72</v>
      </c>
      <c r="C453" vm="1320">
        <f ca="1"/>
        <v>1129321</v>
      </c>
      <c r="D453">
        <f t="shared" ca="1" si="21"/>
        <v>114874532.12</v>
      </c>
      <c r="E453">
        <f ca="1">SUM($D$2:D453)/SUM($C$2:C453)</f>
        <v>98.531928929741838</v>
      </c>
      <c r="F453">
        <f ca="1">_xlfn.STDEV.P($B$2:B453)</f>
        <v>6.4660066954086348</v>
      </c>
      <c r="G453">
        <f t="shared" ca="1" si="22"/>
        <v>104.99793562515048</v>
      </c>
      <c r="H453">
        <f t="shared" ca="1" si="23"/>
        <v>92.0659222343332</v>
      </c>
    </row>
    <row r="454" spans="1:8" x14ac:dyDescent="0.25">
      <c r="A454" vm="1321">
        <f ca="1"/>
        <v>45951</v>
      </c>
      <c r="B454" vm="492">
        <f ca="1"/>
        <v>101.56</v>
      </c>
      <c r="C454" vm="1322">
        <f ca="1"/>
        <v>1116965</v>
      </c>
      <c r="D454">
        <f t="shared" ca="1" si="21"/>
        <v>113438965.40000001</v>
      </c>
      <c r="E454">
        <f ca="1">SUM($D$2:D454)/SUM($C$2:C454)</f>
        <v>98.53529105948131</v>
      </c>
      <c r="F454">
        <f ca="1">_xlfn.STDEV.P($B$2:B454)</f>
        <v>6.4612336876737819</v>
      </c>
      <c r="G454">
        <f t="shared" ca="1" si="22"/>
        <v>104.99652474715509</v>
      </c>
      <c r="H454">
        <f t="shared" ca="1" si="23"/>
        <v>92.074057371807527</v>
      </c>
    </row>
    <row r="455" spans="1:8" x14ac:dyDescent="0.25">
      <c r="A455" vm="1323">
        <f ca="1"/>
        <v>45952</v>
      </c>
      <c r="B455" vm="450">
        <f ca="1"/>
        <v>101.94</v>
      </c>
      <c r="C455" vm="1324">
        <f ca="1"/>
        <v>1508989</v>
      </c>
      <c r="D455">
        <f t="shared" ca="1" si="21"/>
        <v>153826338.66</v>
      </c>
      <c r="E455">
        <f ca="1">SUM($D$2:D455)/SUM($C$2:C455)</f>
        <v>98.540390516614465</v>
      </c>
      <c r="F455">
        <f ca="1">_xlfn.STDEV.P($B$2:B455)</f>
        <v>6.4569733507365612</v>
      </c>
      <c r="G455">
        <f t="shared" ca="1" si="22"/>
        <v>104.99736386735103</v>
      </c>
      <c r="H455">
        <f t="shared" ca="1" si="23"/>
        <v>92.083417165877904</v>
      </c>
    </row>
    <row r="456" spans="1:8" x14ac:dyDescent="0.25">
      <c r="A456" vm="1325">
        <f ca="1"/>
        <v>45953</v>
      </c>
      <c r="B456" vm="1194">
        <f ca="1"/>
        <v>100.77</v>
      </c>
      <c r="C456" vm="1326">
        <f ca="1"/>
        <v>1302838</v>
      </c>
      <c r="D456">
        <f t="shared" ca="1" si="21"/>
        <v>131286985.25999999</v>
      </c>
      <c r="E456">
        <f ca="1">SUM($D$2:D456)/SUM($C$2:C456)</f>
        <v>98.543270008480619</v>
      </c>
      <c r="F456">
        <f ca="1">_xlfn.STDEV.P($B$2:B456)</f>
        <v>6.4513227484887548</v>
      </c>
      <c r="G456">
        <f t="shared" ca="1" si="22"/>
        <v>104.99459275696937</v>
      </c>
      <c r="H456">
        <f t="shared" ca="1" si="23"/>
        <v>92.091947259991869</v>
      </c>
    </row>
    <row r="457" spans="1:8" x14ac:dyDescent="0.25">
      <c r="A457" vm="1327">
        <f ca="1"/>
        <v>45954</v>
      </c>
      <c r="B457" vm="1295">
        <f ca="1"/>
        <v>100.04</v>
      </c>
      <c r="C457" vm="1328">
        <f ca="1"/>
        <v>1036366</v>
      </c>
      <c r="D457">
        <f t="shared" ca="1" si="21"/>
        <v>103678054.64</v>
      </c>
      <c r="E457">
        <f ca="1">SUM($D$2:D457)/SUM($C$2:C457)</f>
        <v>98.544806065436276</v>
      </c>
      <c r="F457">
        <f ca="1">_xlfn.STDEV.P($B$2:B457)</f>
        <v>6.445054157989305</v>
      </c>
      <c r="G457">
        <f t="shared" ca="1" si="22"/>
        <v>104.98986022342558</v>
      </c>
      <c r="H457">
        <f t="shared" ca="1" si="23"/>
        <v>92.099751907446972</v>
      </c>
    </row>
    <row r="458" spans="1:8" x14ac:dyDescent="0.25">
      <c r="A458" vm="1329">
        <f ca="1"/>
        <v>45957</v>
      </c>
      <c r="B458" vm="1330">
        <f ca="1"/>
        <v>100.22</v>
      </c>
      <c r="C458" vm="1331">
        <f ca="1"/>
        <v>1537561</v>
      </c>
      <c r="D458">
        <f t="shared" ca="1" si="21"/>
        <v>154094363.41999999</v>
      </c>
      <c r="E458">
        <f ca="1">SUM($D$2:D458)/SUM($C$2:C458)</f>
        <v>98.547352821789815</v>
      </c>
      <c r="F458">
        <f ca="1">_xlfn.STDEV.P($B$2:B458)</f>
        <v>6.4389418547327475</v>
      </c>
      <c r="G458">
        <f t="shared" ca="1" si="22"/>
        <v>104.98629467652256</v>
      </c>
      <c r="H458">
        <f t="shared" ca="1" si="23"/>
        <v>92.108410967057068</v>
      </c>
    </row>
    <row r="459" spans="1:8" x14ac:dyDescent="0.25">
      <c r="A459" vm="1332">
        <f ca="1"/>
        <v>45958</v>
      </c>
      <c r="B459" vm="1268">
        <f ca="1"/>
        <v>98.55</v>
      </c>
      <c r="C459" vm="1333">
        <f ca="1"/>
        <v>1156747</v>
      </c>
      <c r="D459">
        <f t="shared" ca="1" si="21"/>
        <v>113997416.84999999</v>
      </c>
      <c r="E459">
        <f ca="1">SUM($D$2:D459)/SUM($C$2:C459)</f>
        <v>98.547355846021617</v>
      </c>
      <c r="F459">
        <f ca="1">_xlfn.STDEV.P($B$2:B459)</f>
        <v>6.4319876459318825</v>
      </c>
      <c r="G459">
        <f t="shared" ca="1" si="22"/>
        <v>104.9793434919535</v>
      </c>
      <c r="H459">
        <f t="shared" ca="1" si="23"/>
        <v>92.115368200089733</v>
      </c>
    </row>
    <row r="460" spans="1:8" x14ac:dyDescent="0.25">
      <c r="A460" vm="1334">
        <f ca="1"/>
        <v>45959</v>
      </c>
      <c r="B460" vm="1251">
        <f ca="1"/>
        <v>97</v>
      </c>
      <c r="C460" vm="1335">
        <f ca="1"/>
        <v>1804147</v>
      </c>
      <c r="D460">
        <f t="shared" ca="1" si="21"/>
        <v>175002259</v>
      </c>
      <c r="E460">
        <f ca="1">SUM($D$2:D460)/SUM($C$2:C460)</f>
        <v>98.544603630206112</v>
      </c>
      <c r="F460">
        <f ca="1">_xlfn.STDEV.P($B$2:B460)</f>
        <v>6.4251048566513802</v>
      </c>
      <c r="G460">
        <f t="shared" ca="1" si="22"/>
        <v>104.96970848685748</v>
      </c>
      <c r="H460">
        <f t="shared" ca="1" si="23"/>
        <v>92.119498773554739</v>
      </c>
    </row>
    <row r="461" spans="1:8" x14ac:dyDescent="0.25">
      <c r="A461" vm="1336">
        <f ca="1"/>
        <v>45960</v>
      </c>
      <c r="B461" vm="1337">
        <f ca="1"/>
        <v>98.19</v>
      </c>
      <c r="C461" vm="1338">
        <f ca="1"/>
        <v>2073284</v>
      </c>
      <c r="D461">
        <f t="shared" ca="1" si="21"/>
        <v>203575755.96000001</v>
      </c>
      <c r="E461">
        <f ca="1">SUM($D$2:D461)/SUM($C$2:C461)</f>
        <v>98.543880301750178</v>
      </c>
      <c r="F461">
        <f ca="1">_xlfn.STDEV.P($B$2:B461)</f>
        <v>6.4181349404185601</v>
      </c>
      <c r="G461">
        <f t="shared" ca="1" si="22"/>
        <v>104.96201524216873</v>
      </c>
      <c r="H461">
        <f t="shared" ca="1" si="23"/>
        <v>92.125745361331624</v>
      </c>
    </row>
    <row r="462" spans="1:8" x14ac:dyDescent="0.25">
      <c r="A462" vm="1339">
        <f ca="1"/>
        <v>45961</v>
      </c>
      <c r="B462" vm="1340">
        <f ca="1"/>
        <v>97.41</v>
      </c>
      <c r="C462" vm="1341">
        <f ca="1"/>
        <v>2770794</v>
      </c>
      <c r="D462">
        <f t="shared" ca="1" si="21"/>
        <v>269903043.53999996</v>
      </c>
      <c r="E462">
        <f ca="1">SUM($D$2:D462)/SUM($C$2:C462)</f>
        <v>98.540797662400934</v>
      </c>
      <c r="F462">
        <f ca="1">_xlfn.STDEV.P($B$2:B462)</f>
        <v>6.4112053355756053</v>
      </c>
      <c r="G462">
        <f t="shared" ca="1" si="22"/>
        <v>104.95200299797654</v>
      </c>
      <c r="H462">
        <f t="shared" ca="1" si="23"/>
        <v>92.129592326825332</v>
      </c>
    </row>
    <row r="463" spans="1:8" x14ac:dyDescent="0.25">
      <c r="A463" vm="1342">
        <f ca="1"/>
        <v>45964</v>
      </c>
      <c r="B463" vm="272">
        <f ca="1"/>
        <v>96.64</v>
      </c>
      <c r="C463" vm="1343">
        <f ca="1"/>
        <v>1692176</v>
      </c>
      <c r="D463">
        <f t="shared" ca="1" si="21"/>
        <v>163531888.64000002</v>
      </c>
      <c r="E463">
        <f ca="1">SUM($D$2:D463)/SUM($C$2:C463)</f>
        <v>98.537646924981189</v>
      </c>
      <c r="F463">
        <f ca="1">_xlfn.STDEV.P($B$2:B463)</f>
        <v>6.4045165491335405</v>
      </c>
      <c r="G463">
        <f t="shared" ca="1" si="22"/>
        <v>104.94216347411474</v>
      </c>
      <c r="H463">
        <f t="shared" ca="1" si="23"/>
        <v>92.133130375847642</v>
      </c>
    </row>
    <row r="464" spans="1:8" x14ac:dyDescent="0.25">
      <c r="A464" vm="1344">
        <f ca="1"/>
        <v>45965</v>
      </c>
      <c r="B464" vm="1345">
        <f ca="1"/>
        <v>97.96</v>
      </c>
      <c r="C464" vm="1346">
        <f ca="1"/>
        <v>1614634</v>
      </c>
      <c r="D464">
        <f t="shared" ca="1" si="21"/>
        <v>158169546.63999999</v>
      </c>
      <c r="E464">
        <f ca="1">SUM($D$2:D464)/SUM($C$2:C464)</f>
        <v>98.536734744029275</v>
      </c>
      <c r="F464">
        <f ca="1">_xlfn.STDEV.P($B$2:B464)</f>
        <v>6.3975980550156866</v>
      </c>
      <c r="G464">
        <f t="shared" ca="1" si="22"/>
        <v>104.93433279904497</v>
      </c>
      <c r="H464">
        <f t="shared" ca="1" si="23"/>
        <v>92.139136689013583</v>
      </c>
    </row>
    <row r="465" spans="1:8" x14ac:dyDescent="0.25">
      <c r="A465" vm="1347">
        <f ca="1"/>
        <v>45966</v>
      </c>
      <c r="B465" vm="1348">
        <f ca="1"/>
        <v>96.11</v>
      </c>
      <c r="C465" vm="1349">
        <f ca="1"/>
        <v>2273863</v>
      </c>
      <c r="D465">
        <f t="shared" ca="1" si="21"/>
        <v>218540972.93000001</v>
      </c>
      <c r="E465">
        <f ca="1">SUM($D$2:D465)/SUM($C$2:C465)</f>
        <v>98.531349984638965</v>
      </c>
      <c r="F465">
        <f ca="1">_xlfn.STDEV.P($B$2:B465)</f>
        <v>6.391217808741561</v>
      </c>
      <c r="G465">
        <f t="shared" ca="1" si="22"/>
        <v>104.92256779338052</v>
      </c>
      <c r="H465">
        <f t="shared" ca="1" si="23"/>
        <v>92.140132175897406</v>
      </c>
    </row>
    <row r="466" spans="1:8" x14ac:dyDescent="0.25">
      <c r="A466" vm="1350">
        <f ca="1"/>
        <v>45967</v>
      </c>
      <c r="B466" vm="1351">
        <f ca="1"/>
        <v>96.99</v>
      </c>
      <c r="C466" vm="1352">
        <f ca="1"/>
        <v>3064515</v>
      </c>
      <c r="D466">
        <f t="shared" ca="1" si="21"/>
        <v>297227309.84999996</v>
      </c>
      <c r="E466">
        <f ca="1">SUM($D$2:D466)/SUM($C$2:C466)</f>
        <v>98.526754345699189</v>
      </c>
      <c r="F466">
        <f ca="1">_xlfn.STDEV.P($B$2:B466)</f>
        <v>6.3844690113814355</v>
      </c>
      <c r="G466">
        <f t="shared" ca="1" si="22"/>
        <v>104.91122335708063</v>
      </c>
      <c r="H466">
        <f t="shared" ca="1" si="23"/>
        <v>92.142285334317748</v>
      </c>
    </row>
    <row r="467" spans="1:8" x14ac:dyDescent="0.25">
      <c r="A467" vm="1353">
        <f ca="1"/>
        <v>45968</v>
      </c>
      <c r="B467" vm="1354">
        <f ca="1"/>
        <v>98.52</v>
      </c>
      <c r="C467" vm="1355">
        <f ca="1"/>
        <v>2924446</v>
      </c>
      <c r="D467">
        <f t="shared" ca="1" si="21"/>
        <v>288116419.92000002</v>
      </c>
      <c r="E467">
        <f ca="1">SUM($D$2:D467)/SUM($C$2:C467)</f>
        <v>98.526735182154709</v>
      </c>
      <c r="F467">
        <f ca="1">_xlfn.STDEV.P($B$2:B467)</f>
        <v>6.377688605125539</v>
      </c>
      <c r="G467">
        <f t="shared" ca="1" si="22"/>
        <v>104.90442378728025</v>
      </c>
      <c r="H467">
        <f t="shared" ca="1" si="23"/>
        <v>92.149046577029168</v>
      </c>
    </row>
    <row r="468" spans="1:8" x14ac:dyDescent="0.25">
      <c r="A468" vm="1356">
        <f ca="1"/>
        <v>45971</v>
      </c>
      <c r="B468" vm="1357">
        <f ca="1"/>
        <v>98.24</v>
      </c>
      <c r="C468" vm="1358">
        <f ca="1"/>
        <v>2188924</v>
      </c>
      <c r="D468">
        <f t="shared" ca="1" si="21"/>
        <v>215039893.75999999</v>
      </c>
      <c r="E468">
        <f ca="1">SUM($D$2:D468)/SUM($C$2:C468)</f>
        <v>98.526127552011644</v>
      </c>
      <c r="F468">
        <f ca="1">_xlfn.STDEV.P($B$2:B468)</f>
        <v>6.370880869145731</v>
      </c>
      <c r="G468">
        <f t="shared" ca="1" si="22"/>
        <v>104.89700842115738</v>
      </c>
      <c r="H468">
        <f t="shared" ca="1" si="23"/>
        <v>92.155246682865908</v>
      </c>
    </row>
    <row r="469" spans="1:8" x14ac:dyDescent="0.25">
      <c r="A469" vm="1359">
        <f ca="1"/>
        <v>45972</v>
      </c>
      <c r="B469" vm="483">
        <f ca="1"/>
        <v>99.59</v>
      </c>
      <c r="C469" vm="1360">
        <f ca="1"/>
        <v>1779798</v>
      </c>
      <c r="D469">
        <f t="shared" ca="1" si="21"/>
        <v>177250082.81999999</v>
      </c>
      <c r="E469">
        <f ca="1">SUM($D$2:D469)/SUM($C$2:C469)</f>
        <v>98.527957506342446</v>
      </c>
      <c r="F469">
        <f ca="1">_xlfn.STDEV.P($B$2:B469)</f>
        <v>6.3645719147058299</v>
      </c>
      <c r="G469">
        <f t="shared" ca="1" si="22"/>
        <v>104.89252942104828</v>
      </c>
      <c r="H469">
        <f t="shared" ca="1" si="23"/>
        <v>92.163385591636612</v>
      </c>
    </row>
    <row r="470" spans="1:8" x14ac:dyDescent="0.25">
      <c r="A470" vm="1361">
        <f ca="1"/>
        <v>45973</v>
      </c>
      <c r="B470" vm="1087">
        <f ca="1"/>
        <v>100.19</v>
      </c>
      <c r="C470" vm="1362">
        <f ca="1"/>
        <v>1340259</v>
      </c>
      <c r="D470">
        <f t="shared" ca="1" si="21"/>
        <v>134280549.21000001</v>
      </c>
      <c r="E470">
        <f ca="1">SUM($D$2:D470)/SUM($C$2:C470)</f>
        <v>98.530107556815764</v>
      </c>
      <c r="F470">
        <f ca="1">_xlfn.STDEV.P($B$2:B470)</f>
        <v>6.3586882735878021</v>
      </c>
      <c r="G470">
        <f t="shared" ca="1" si="22"/>
        <v>104.88879583040357</v>
      </c>
      <c r="H470">
        <f t="shared" ca="1" si="23"/>
        <v>92.171419283227962</v>
      </c>
    </row>
    <row r="471" spans="1:8" x14ac:dyDescent="0.25">
      <c r="A471" vm="1363">
        <f ca="1"/>
        <v>45974</v>
      </c>
      <c r="B471" vm="1364">
        <f ca="1"/>
        <v>100.95</v>
      </c>
      <c r="C471" vm="1365">
        <f ca="1"/>
        <v>1977816</v>
      </c>
      <c r="D471">
        <f t="shared" ca="1" si="21"/>
        <v>199660525.20000002</v>
      </c>
      <c r="E471">
        <f ca="1">SUM($D$2:D471)/SUM($C$2:C471)</f>
        <v>98.534718305759824</v>
      </c>
      <c r="F471">
        <f ca="1">_xlfn.STDEV.P($B$2:B471)</f>
        <v>6.3535064263335208</v>
      </c>
      <c r="G471">
        <f t="shared" ca="1" si="22"/>
        <v>104.88822473209335</v>
      </c>
      <c r="H471">
        <f t="shared" ca="1" si="23"/>
        <v>92.1812118794263</v>
      </c>
    </row>
    <row r="472" spans="1:8" x14ac:dyDescent="0.25">
      <c r="A472" vm="1366">
        <f ca="1"/>
        <v>45975</v>
      </c>
      <c r="B472" vm="1367">
        <f ca="1"/>
        <v>101.66</v>
      </c>
      <c r="C472" vm="1368">
        <f ca="1"/>
        <v>2443256</v>
      </c>
      <c r="D472">
        <f t="shared" ca="1" si="21"/>
        <v>248381404.95999998</v>
      </c>
      <c r="E472">
        <f ca="1">SUM($D$2:D472)/SUM($C$2:C472)</f>
        <v>98.542057132811507</v>
      </c>
      <c r="F472">
        <f ca="1">_xlfn.STDEV.P($B$2:B472)</f>
        <v>6.3491482200285887</v>
      </c>
      <c r="G472">
        <f t="shared" ca="1" si="22"/>
        <v>104.8912053528401</v>
      </c>
      <c r="H472">
        <f t="shared" ca="1" si="23"/>
        <v>92.192908912782912</v>
      </c>
    </row>
    <row r="473" spans="1:8" x14ac:dyDescent="0.25">
      <c r="A473" vm="1369">
        <f ca="1"/>
        <v>45978</v>
      </c>
      <c r="B473" vm="1370">
        <f ca="1"/>
        <v>103.85</v>
      </c>
      <c r="C473" vm="1371">
        <f ca="1"/>
        <v>3007831</v>
      </c>
      <c r="D473">
        <f t="shared" ca="1" si="21"/>
        <v>312363249.34999996</v>
      </c>
      <c r="E473">
        <f ca="1">SUM($D$2:D473)/SUM($C$2:C473)</f>
        <v>98.55735724175284</v>
      </c>
      <c r="F473">
        <f ca="1">_xlfn.STDEV.P($B$2:B473)</f>
        <v>6.3483492714792433</v>
      </c>
      <c r="G473">
        <f t="shared" ca="1" si="22"/>
        <v>104.90570651323208</v>
      </c>
      <c r="H473">
        <f t="shared" ca="1" si="23"/>
        <v>92.209007970273603</v>
      </c>
    </row>
    <row r="474" spans="1:8" x14ac:dyDescent="0.25">
      <c r="A474" vm="1372">
        <f ca="1"/>
        <v>45979</v>
      </c>
      <c r="B474" vm="613">
        <f ca="1"/>
        <v>102.91</v>
      </c>
      <c r="C474" vm="1373">
        <f ca="1"/>
        <v>2585563</v>
      </c>
      <c r="D474">
        <f t="shared" ca="1" si="21"/>
        <v>266080288.32999998</v>
      </c>
      <c r="E474">
        <f ca="1">SUM($D$2:D474)/SUM($C$2:C474)</f>
        <v>98.568115655136211</v>
      </c>
      <c r="F474">
        <f ca="1">_xlfn.STDEV.P($B$2:B474)</f>
        <v>6.3458150799952762</v>
      </c>
      <c r="G474">
        <f t="shared" ca="1" si="22"/>
        <v>104.91393073513149</v>
      </c>
      <c r="H474">
        <f t="shared" ca="1" si="23"/>
        <v>92.222300575140935</v>
      </c>
    </row>
    <row r="475" spans="1:8" x14ac:dyDescent="0.25">
      <c r="A475" vm="1374">
        <f ca="1"/>
        <v>45980</v>
      </c>
      <c r="B475" vm="1375">
        <f ca="1"/>
        <v>100.38</v>
      </c>
      <c r="C475" vm="1376">
        <f ca="1"/>
        <v>3059734</v>
      </c>
      <c r="D475">
        <f t="shared" ca="1" si="21"/>
        <v>307136098.91999996</v>
      </c>
      <c r="E475">
        <f ca="1">SUM($D$2:D475)/SUM($C$2:C475)</f>
        <v>98.5733999345493</v>
      </c>
      <c r="F475">
        <f ca="1">_xlfn.STDEV.P($B$2:B475)</f>
        <v>6.3401332919783853</v>
      </c>
      <c r="G475">
        <f t="shared" ca="1" si="22"/>
        <v>104.91353322652769</v>
      </c>
      <c r="H475">
        <f t="shared" ca="1" si="23"/>
        <v>92.233266642570911</v>
      </c>
    </row>
    <row r="476" spans="1:8" x14ac:dyDescent="0.25">
      <c r="A476" vm="1377">
        <f ca="1"/>
        <v>45981</v>
      </c>
      <c r="B476" vm="1364">
        <f ca="1"/>
        <v>100.95</v>
      </c>
      <c r="C476" vm="1378">
        <f ca="1"/>
        <v>2462396</v>
      </c>
      <c r="D476">
        <f t="shared" ca="1" si="21"/>
        <v>248578876.20000002</v>
      </c>
      <c r="E476">
        <f ca="1">SUM($D$2:D476)/SUM($C$2:C476)</f>
        <v>98.578964964381484</v>
      </c>
      <c r="F476">
        <f ca="1">_xlfn.STDEV.P($B$2:B476)</f>
        <v>6.3349865038346627</v>
      </c>
      <c r="G476">
        <f t="shared" ca="1" si="22"/>
        <v>104.91395146821614</v>
      </c>
      <c r="H476">
        <f t="shared" ca="1" si="23"/>
        <v>92.243978460546828</v>
      </c>
    </row>
    <row r="477" spans="1:8" x14ac:dyDescent="0.25">
      <c r="A477" vm="1379">
        <f ca="1"/>
        <v>45982</v>
      </c>
      <c r="B477" vm="1380">
        <f ca="1"/>
        <v>100.16</v>
      </c>
      <c r="C477" vm="1381">
        <f ca="1"/>
        <v>4721989</v>
      </c>
      <c r="D477">
        <f t="shared" ca="1" si="21"/>
        <v>472954418.24000001</v>
      </c>
      <c r="E477">
        <f ca="1">SUM($D$2:D477)/SUM($C$2:C477)</f>
        <v>98.586032600782616</v>
      </c>
      <c r="F477">
        <f ca="1">_xlfn.STDEV.P($B$2:B477)</f>
        <v>6.3291608628244393</v>
      </c>
      <c r="G477">
        <f t="shared" ca="1" si="22"/>
        <v>104.91519346360705</v>
      </c>
      <c r="H477">
        <f t="shared" ca="1" si="23"/>
        <v>92.256871737958178</v>
      </c>
    </row>
    <row r="478" spans="1:8" x14ac:dyDescent="0.25">
      <c r="A478" vm="1382">
        <f ca="1"/>
        <v>45985</v>
      </c>
      <c r="B478" vm="1383">
        <f ca="1"/>
        <v>98.92</v>
      </c>
      <c r="C478" vm="1384">
        <f ca="1"/>
        <v>7708010</v>
      </c>
      <c r="D478">
        <f t="shared" ca="1" si="21"/>
        <v>762476349.20000005</v>
      </c>
      <c r="E478">
        <f ca="1">SUM($D$2:D478)/SUM($C$2:C478)</f>
        <v>98.588451938500867</v>
      </c>
      <c r="F478">
        <f ca="1">_xlfn.STDEV.P($B$2:B478)</f>
        <v>6.3226874626393244</v>
      </c>
      <c r="G478">
        <f t="shared" ca="1" si="22"/>
        <v>104.91113940114019</v>
      </c>
      <c r="H478">
        <f t="shared" ca="1" si="23"/>
        <v>92.265764475861545</v>
      </c>
    </row>
    <row r="479" spans="1:8" x14ac:dyDescent="0.25">
      <c r="A479" vm="1385">
        <f ca="1"/>
        <v>45986</v>
      </c>
      <c r="B479" vm="1386">
        <f ca="1"/>
        <v>98.85</v>
      </c>
      <c r="C479" vm="1387">
        <f ca="1"/>
        <v>2127188</v>
      </c>
      <c r="D479">
        <f t="shared" ca="1" si="21"/>
        <v>210272533.79999998</v>
      </c>
      <c r="E479">
        <f ca="1">SUM($D$2:D479)/SUM($C$2:C479)</f>
        <v>98.588973781856168</v>
      </c>
      <c r="F479">
        <f ca="1">_xlfn.STDEV.P($B$2:B479)</f>
        <v>6.316211660511045</v>
      </c>
      <c r="G479">
        <f t="shared" ca="1" si="22"/>
        <v>104.90518544236721</v>
      </c>
      <c r="H479">
        <f t="shared" ca="1" si="23"/>
        <v>92.272762121345124</v>
      </c>
    </row>
    <row r="480" spans="1:8" x14ac:dyDescent="0.25">
      <c r="A480" vm="1388">
        <f ca="1"/>
        <v>45987</v>
      </c>
      <c r="B480" vm="1389">
        <f ca="1"/>
        <v>100.14</v>
      </c>
      <c r="C480" vm="1390">
        <f ca="1"/>
        <v>1305669</v>
      </c>
      <c r="D480">
        <f t="shared" ca="1" si="21"/>
        <v>130749693.66</v>
      </c>
      <c r="E480">
        <f ca="1">SUM($D$2:D480)/SUM($C$2:C480)</f>
        <v>98.590870939727012</v>
      </c>
      <c r="F480">
        <f ca="1">_xlfn.STDEV.P($B$2:B480)</f>
        <v>6.3104234713592575</v>
      </c>
      <c r="G480">
        <f t="shared" ca="1" si="22"/>
        <v>104.90129441108627</v>
      </c>
      <c r="H480">
        <f t="shared" ca="1" si="23"/>
        <v>92.280447468367754</v>
      </c>
    </row>
    <row r="481" spans="1:8" x14ac:dyDescent="0.25">
      <c r="A481" vm="1391">
        <f ca="1"/>
        <v>45989</v>
      </c>
      <c r="B481" vm="1392">
        <f ca="1"/>
        <v>100.36</v>
      </c>
      <c r="C481" vm="1393">
        <f ca="1"/>
        <v>1063335</v>
      </c>
      <c r="D481">
        <f t="shared" ca="1" si="21"/>
        <v>106716300.59999999</v>
      </c>
      <c r="E481">
        <f ca="1">SUM($D$2:D481)/SUM($C$2:C481)</f>
        <v>98.592631490124319</v>
      </c>
      <c r="F481">
        <f ca="1">_xlfn.STDEV.P($B$2:B481)</f>
        <v>6.3048189339528662</v>
      </c>
      <c r="G481">
        <f t="shared" ca="1" si="22"/>
        <v>104.89745042407719</v>
      </c>
      <c r="H481">
        <f t="shared" ca="1" si="23"/>
        <v>92.287812556171446</v>
      </c>
    </row>
    <row r="482" spans="1:8" x14ac:dyDescent="0.25">
      <c r="A482" vm="1394">
        <f ca="1"/>
        <v>45992</v>
      </c>
      <c r="B482" vm="660">
        <f ca="1"/>
        <v>97.88</v>
      </c>
      <c r="C482" vm="1395">
        <f ca="1"/>
        <v>2744812</v>
      </c>
      <c r="D482">
        <f t="shared" ca="1" si="21"/>
        <v>268662198.56</v>
      </c>
      <c r="E482">
        <f ca="1">SUM($D$2:D482)/SUM($C$2:C482)</f>
        <v>98.59080556795746</v>
      </c>
      <c r="F482">
        <f ca="1">_xlfn.STDEV.P($B$2:B482)</f>
        <v>6.2982621894105497</v>
      </c>
      <c r="G482">
        <f t="shared" ca="1" si="22"/>
        <v>104.88906775736801</v>
      </c>
      <c r="H482">
        <f t="shared" ca="1" si="23"/>
        <v>92.29254337854691</v>
      </c>
    </row>
    <row r="483" spans="1:8" x14ac:dyDescent="0.25">
      <c r="A483" vm="1396">
        <f ca="1"/>
        <v>45993</v>
      </c>
      <c r="B483" vm="420">
        <f ca="1"/>
        <v>96.87</v>
      </c>
      <c r="C483" vm="1397">
        <f ca="1"/>
        <v>2753150</v>
      </c>
      <c r="D483">
        <f t="shared" ca="1" si="21"/>
        <v>266697640.5</v>
      </c>
      <c r="E483">
        <f ca="1">SUM($D$2:D483)/SUM($C$2:C483)</f>
        <v>98.586394420094052</v>
      </c>
      <c r="F483">
        <f ca="1">_xlfn.STDEV.P($B$2:B483)</f>
        <v>6.2919125310384496</v>
      </c>
      <c r="G483">
        <f t="shared" ca="1" si="22"/>
        <v>104.8783069511325</v>
      </c>
      <c r="H483">
        <f t="shared" ca="1" si="23"/>
        <v>92.294481889055604</v>
      </c>
    </row>
    <row r="484" spans="1:8" x14ac:dyDescent="0.25">
      <c r="A484" vm="1398">
        <f ca="1"/>
        <v>45994</v>
      </c>
      <c r="B484" vm="654">
        <f ca="1"/>
        <v>96.45</v>
      </c>
      <c r="C484" vm="1399">
        <f ca="1"/>
        <v>1762033</v>
      </c>
      <c r="D484">
        <f t="shared" ca="1" si="21"/>
        <v>169948082.84999999</v>
      </c>
      <c r="E484">
        <f ca="1">SUM($D$2:D484)/SUM($C$2:C484)</f>
        <v>98.582895182025936</v>
      </c>
      <c r="F484">
        <f ca="1">_xlfn.STDEV.P($B$2:B484)</f>
        <v>6.2857579613154817</v>
      </c>
      <c r="G484">
        <f t="shared" ca="1" si="22"/>
        <v>104.86865314334142</v>
      </c>
      <c r="H484">
        <f t="shared" ca="1" si="23"/>
        <v>92.297137220710454</v>
      </c>
    </row>
    <row r="485" spans="1:8" x14ac:dyDescent="0.25">
      <c r="A485" vm="1400">
        <f ca="1"/>
        <v>45995</v>
      </c>
      <c r="B485" vm="1401">
        <f ca="1"/>
        <v>96.22</v>
      </c>
      <c r="C485" vm="1402">
        <f ca="1"/>
        <v>2303530</v>
      </c>
      <c r="D485">
        <f t="shared" ca="1" si="21"/>
        <v>221645656.59999999</v>
      </c>
      <c r="E485">
        <f ca="1">SUM($D$2:D485)/SUM($C$2:C485)</f>
        <v>98.577846390961525</v>
      </c>
      <c r="F485">
        <f ca="1">_xlfn.STDEV.P($B$2:B485)</f>
        <v>6.279741889022703</v>
      </c>
      <c r="G485">
        <f t="shared" ca="1" si="22"/>
        <v>104.85758827998423</v>
      </c>
      <c r="H485">
        <f t="shared" ca="1" si="23"/>
        <v>92.298104501938823</v>
      </c>
    </row>
    <row r="486" spans="1:8" x14ac:dyDescent="0.25">
      <c r="A486" vm="1403">
        <f ca="1"/>
        <v>45996</v>
      </c>
      <c r="B486" vm="1404">
        <f ca="1"/>
        <v>96.6</v>
      </c>
      <c r="C486" vm="1405">
        <f ca="1"/>
        <v>1775844</v>
      </c>
      <c r="D486">
        <f t="shared" ca="1" si="21"/>
        <v>171546530.39999998</v>
      </c>
      <c r="E486">
        <f ca="1">SUM($D$2:D486)/SUM($C$2:C486)</f>
        <v>98.574593783553368</v>
      </c>
      <c r="F486">
        <f ca="1">_xlfn.STDEV.P($B$2:B486)</f>
        <v>6.2735537403876354</v>
      </c>
      <c r="G486">
        <f t="shared" ca="1" si="22"/>
        <v>104.84814752394101</v>
      </c>
      <c r="H486">
        <f t="shared" ca="1" si="23"/>
        <v>92.301040043165727</v>
      </c>
    </row>
    <row r="487" spans="1:8" x14ac:dyDescent="0.25">
      <c r="A487" vm="1406">
        <f ca="1"/>
        <v>45999</v>
      </c>
      <c r="B487" vm="1407">
        <f ca="1"/>
        <v>95.45</v>
      </c>
      <c r="C487" vm="1408">
        <f ca="1"/>
        <v>2089307</v>
      </c>
      <c r="D487">
        <f t="shared" ca="1" si="21"/>
        <v>199424353.15000001</v>
      </c>
      <c r="E487">
        <f ca="1">SUM($D$2:D487)/SUM($C$2:C487)</f>
        <v>98.568559987354917</v>
      </c>
      <c r="F487">
        <f ca="1">_xlfn.STDEV.P($B$2:B487)</f>
        <v>6.2680996686688628</v>
      </c>
      <c r="G487">
        <f t="shared" ca="1" si="22"/>
        <v>104.83665965602378</v>
      </c>
      <c r="H487">
        <f t="shared" ca="1" si="23"/>
        <v>92.300460318686049</v>
      </c>
    </row>
    <row r="488" spans="1:8" x14ac:dyDescent="0.25">
      <c r="A488" vm="1409">
        <f ca="1"/>
        <v>46000</v>
      </c>
      <c r="B488" vm="1410">
        <f ca="1"/>
        <v>95.82</v>
      </c>
      <c r="C488" vm="1411">
        <f ca="1"/>
        <v>1823336</v>
      </c>
      <c r="D488">
        <f t="shared" ca="1" si="21"/>
        <v>174712055.51999998</v>
      </c>
      <c r="E488">
        <f ca="1">SUM($D$2:D488)/SUM($C$2:C488)</f>
        <v>98.563935799529077</v>
      </c>
      <c r="F488">
        <f ca="1">_xlfn.STDEV.P($B$2:B488)</f>
        <v>6.2623825150722841</v>
      </c>
      <c r="G488">
        <f t="shared" ca="1" si="22"/>
        <v>104.82631831460137</v>
      </c>
      <c r="H488">
        <f t="shared" ca="1" si="23"/>
        <v>92.301553284456787</v>
      </c>
    </row>
    <row r="489" spans="1:8" x14ac:dyDescent="0.25">
      <c r="A489" vm="1412">
        <f ca="1"/>
        <v>46001</v>
      </c>
      <c r="B489" vm="646">
        <f ca="1"/>
        <v>95.41</v>
      </c>
      <c r="C489" vm="1413">
        <f ca="1"/>
        <v>1848956</v>
      </c>
      <c r="D489">
        <f t="shared" ca="1" si="21"/>
        <v>176408891.96000001</v>
      </c>
      <c r="E489">
        <f ca="1">SUM($D$2:D489)/SUM($C$2:C489)</f>
        <v>98.558564211833399</v>
      </c>
      <c r="F489">
        <f ca="1">_xlfn.STDEV.P($B$2:B489)</f>
        <v>6.2569889512737031</v>
      </c>
      <c r="G489">
        <f t="shared" ca="1" si="22"/>
        <v>104.8155531631071</v>
      </c>
      <c r="H489">
        <f t="shared" ca="1" si="23"/>
        <v>92.301575260559702</v>
      </c>
    </row>
    <row r="490" spans="1:8" x14ac:dyDescent="0.25">
      <c r="A490" vm="1414">
        <f ca="1"/>
        <v>46002</v>
      </c>
      <c r="B490" vm="1415">
        <f ca="1"/>
        <v>95.64</v>
      </c>
      <c r="C490" vm="1416">
        <f ca="1"/>
        <v>1396780</v>
      </c>
      <c r="D490">
        <f t="shared" ca="1" si="21"/>
        <v>133588039.2</v>
      </c>
      <c r="E490">
        <f ca="1">SUM($D$2:D490)/SUM($C$2:C490)</f>
        <v>98.554813945666382</v>
      </c>
      <c r="F490">
        <f ca="1">_xlfn.STDEV.P($B$2:B490)</f>
        <v>6.2514295136785174</v>
      </c>
      <c r="G490">
        <f t="shared" ca="1" si="22"/>
        <v>104.8062434593449</v>
      </c>
      <c r="H490">
        <f t="shared" ca="1" si="23"/>
        <v>92.303384431987865</v>
      </c>
    </row>
    <row r="491" spans="1:8" x14ac:dyDescent="0.25">
      <c r="A491" vm="1417">
        <f ca="1"/>
        <v>46003</v>
      </c>
      <c r="B491" vm="683">
        <f ca="1"/>
        <v>97.53</v>
      </c>
      <c r="C491" vm="1418">
        <f ca="1"/>
        <v>2638227</v>
      </c>
      <c r="D491">
        <f t="shared" ca="1" si="21"/>
        <v>257306279.31</v>
      </c>
      <c r="E491">
        <f ca="1">SUM($D$2:D491)/SUM($C$2:C491)</f>
        <v>98.552332702971768</v>
      </c>
      <c r="F491">
        <f ca="1">_xlfn.STDEV.P($B$2:B491)</f>
        <v>6.2450702904393394</v>
      </c>
      <c r="G491">
        <f t="shared" ca="1" si="22"/>
        <v>104.79740299341111</v>
      </c>
      <c r="H491">
        <f t="shared" ca="1" si="23"/>
        <v>92.307262412532424</v>
      </c>
    </row>
    <row r="492" spans="1:8" x14ac:dyDescent="0.25">
      <c r="A492" vm="1419">
        <f ca="1"/>
        <v>46006</v>
      </c>
      <c r="B492" vm="1420">
        <f ca="1"/>
        <v>99.39</v>
      </c>
      <c r="C492" vm="1421">
        <f ca="1"/>
        <v>2388088</v>
      </c>
      <c r="D492">
        <f t="shared" ca="1" si="21"/>
        <v>237352066.31999999</v>
      </c>
      <c r="E492">
        <f ca="1">SUM($D$2:D492)/SUM($C$2:C492)</f>
        <v>98.554164524608467</v>
      </c>
      <c r="F492">
        <f ca="1">_xlfn.STDEV.P($B$2:B492)</f>
        <v>6.2390666384374338</v>
      </c>
      <c r="G492">
        <f t="shared" ca="1" si="22"/>
        <v>104.7932311630459</v>
      </c>
      <c r="H492">
        <f t="shared" ca="1" si="23"/>
        <v>92.315097886171031</v>
      </c>
    </row>
    <row r="493" spans="1:8" x14ac:dyDescent="0.25">
      <c r="A493" vm="1422">
        <f ca="1"/>
        <v>46007</v>
      </c>
      <c r="B493" vm="1423">
        <f ca="1"/>
        <v>98.9</v>
      </c>
      <c r="C493" vm="1424">
        <f ca="1"/>
        <v>2321135</v>
      </c>
      <c r="D493">
        <f t="shared" ca="1" si="21"/>
        <v>229560251.5</v>
      </c>
      <c r="E493">
        <f ca="1">SUM($D$2:D493)/SUM($C$2:C493)</f>
        <v>98.554898039818596</v>
      </c>
      <c r="F493">
        <f ca="1">_xlfn.STDEV.P($B$2:B493)</f>
        <v>6.2328829637647978</v>
      </c>
      <c r="G493">
        <f t="shared" ca="1" si="22"/>
        <v>104.78778100358339</v>
      </c>
      <c r="H493">
        <f t="shared" ca="1" si="23"/>
        <v>92.322015076053802</v>
      </c>
    </row>
    <row r="494" spans="1:8" x14ac:dyDescent="0.25">
      <c r="A494" vm="1425">
        <f ca="1"/>
        <v>46008</v>
      </c>
      <c r="B494" vm="429">
        <f ca="1"/>
        <v>100.21</v>
      </c>
      <c r="C494" vm="1426">
        <f ca="1"/>
        <v>2330732</v>
      </c>
      <c r="D494">
        <f t="shared" ca="1" si="21"/>
        <v>233562653.72</v>
      </c>
      <c r="E494">
        <f ca="1">SUM($D$2:D494)/SUM($C$2:C494)</f>
        <v>98.558415525299765</v>
      </c>
      <c r="F494">
        <f ca="1">_xlfn.STDEV.P($B$2:B494)</f>
        <v>6.2274180631401137</v>
      </c>
      <c r="G494">
        <f t="shared" ca="1" si="22"/>
        <v>104.78583358843989</v>
      </c>
      <c r="H494">
        <f t="shared" ca="1" si="23"/>
        <v>92.330997462159644</v>
      </c>
    </row>
    <row r="495" spans="1:8" x14ac:dyDescent="0.25">
      <c r="A495" vm="1427">
        <f ca="1"/>
        <v>46009</v>
      </c>
      <c r="B495" vm="1428">
        <f ca="1"/>
        <v>99.99</v>
      </c>
      <c r="C495" vm="1429">
        <f ca="1"/>
        <v>2345340</v>
      </c>
      <c r="D495">
        <f t="shared" ca="1" si="21"/>
        <v>234510546.59999999</v>
      </c>
      <c r="E495">
        <f ca="1">SUM($D$2:D495)/SUM($C$2:C495)</f>
        <v>98.561470518442761</v>
      </c>
      <c r="F495">
        <f ca="1">_xlfn.STDEV.P($B$2:B495)</f>
        <v>6.221810951931821</v>
      </c>
      <c r="G495">
        <f t="shared" ca="1" si="22"/>
        <v>104.78328147037458</v>
      </c>
      <c r="H495">
        <f t="shared" ca="1" si="23"/>
        <v>92.339659566510946</v>
      </c>
    </row>
    <row r="496" spans="1:8" x14ac:dyDescent="0.25">
      <c r="A496" vm="1430">
        <f ca="1"/>
        <v>46010</v>
      </c>
      <c r="B496" vm="1431">
        <f ca="1"/>
        <v>98.06</v>
      </c>
      <c r="C496" vm="1432">
        <f ca="1"/>
        <v>4366286</v>
      </c>
      <c r="D496">
        <f t="shared" ca="1" si="21"/>
        <v>428158005.16000003</v>
      </c>
      <c r="E496">
        <f ca="1">SUM($D$2:D496)/SUM($C$2:C496)</f>
        <v>98.559486146508007</v>
      </c>
      <c r="F496">
        <f ca="1">_xlfn.STDEV.P($B$2:B496)</f>
        <v>6.2155263383635928</v>
      </c>
      <c r="G496">
        <f t="shared" ca="1" si="22"/>
        <v>104.7750124848716</v>
      </c>
      <c r="H496">
        <f t="shared" ca="1" si="23"/>
        <v>92.343959808144419</v>
      </c>
    </row>
    <row r="497" spans="1:8" x14ac:dyDescent="0.25">
      <c r="A497" vm="1433">
        <f ca="1"/>
        <v>46013</v>
      </c>
      <c r="B497" vm="1434">
        <f ca="1"/>
        <v>98.57</v>
      </c>
      <c r="C497" vm="1435">
        <f ca="1"/>
        <v>1526222</v>
      </c>
      <c r="D497">
        <f t="shared" ca="1" si="21"/>
        <v>150439702.53999999</v>
      </c>
      <c r="E497">
        <f ca="1">SUM($D$2:D497)/SUM($C$2:C497)</f>
        <v>98.55950066912294</v>
      </c>
      <c r="F497">
        <f ca="1">_xlfn.STDEV.P($B$2:B497)</f>
        <v>6.2093261153965722</v>
      </c>
      <c r="G497">
        <f t="shared" ca="1" si="22"/>
        <v>104.76882678451952</v>
      </c>
      <c r="H497">
        <f t="shared" ca="1" si="23"/>
        <v>92.350174553726362</v>
      </c>
    </row>
    <row r="498" spans="1:8" x14ac:dyDescent="0.25">
      <c r="A498" vm="1436">
        <f ca="1"/>
        <v>46014</v>
      </c>
      <c r="B498" vm="1437">
        <f ca="1"/>
        <v>98.95</v>
      </c>
      <c r="C498" vm="1438">
        <f ca="1"/>
        <v>1485103</v>
      </c>
      <c r="D498">
        <f t="shared" ca="1" si="21"/>
        <v>146950941.84999999</v>
      </c>
      <c r="E498">
        <f ca="1">SUM($D$2:D498)/SUM($C$2:C498)</f>
        <v>98.560024822914414</v>
      </c>
      <c r="F498">
        <f ca="1">_xlfn.STDEV.P($B$2:B498)</f>
        <v>6.2032476530939258</v>
      </c>
      <c r="G498">
        <f t="shared" ca="1" si="22"/>
        <v>104.76327247600834</v>
      </c>
      <c r="H498">
        <f t="shared" ca="1" si="23"/>
        <v>92.356777169820489</v>
      </c>
    </row>
    <row r="499" spans="1:8" x14ac:dyDescent="0.25">
      <c r="A499" vm="1439">
        <f ca="1"/>
        <v>46015</v>
      </c>
      <c r="B499" vm="1440">
        <f ca="1"/>
        <v>99.53</v>
      </c>
      <c r="C499" vm="1441">
        <f ca="1"/>
        <v>522559</v>
      </c>
      <c r="D499">
        <f t="shared" ca="1" si="21"/>
        <v>52010297.270000003</v>
      </c>
      <c r="E499">
        <f ca="1">SUM($D$2:D499)/SUM($C$2:C499)</f>
        <v>98.560482725131052</v>
      </c>
      <c r="F499">
        <f ca="1">_xlfn.STDEV.P($B$2:B499)</f>
        <v>6.1974340439908868</v>
      </c>
      <c r="G499">
        <f t="shared" ca="1" si="22"/>
        <v>104.75791676912193</v>
      </c>
      <c r="H499">
        <f t="shared" ca="1" si="23"/>
        <v>92.363048681140171</v>
      </c>
    </row>
    <row r="500" spans="1:8" x14ac:dyDescent="0.25">
      <c r="A500" vm="1442">
        <f ca="1"/>
        <v>46017</v>
      </c>
      <c r="B500" vm="1443">
        <f ca="1"/>
        <v>99.3</v>
      </c>
      <c r="C500" vm="1444">
        <f ca="1"/>
        <v>611485</v>
      </c>
      <c r="D500">
        <f t="shared" ca="1" si="21"/>
        <v>60720460.5</v>
      </c>
      <c r="E500">
        <f ca="1">SUM($D$2:D500)/SUM($C$2:C500)</f>
        <v>98.56089101733005</v>
      </c>
      <c r="F500">
        <f ca="1">_xlfn.STDEV.P($B$2:B500)</f>
        <v>6.1915260111712831</v>
      </c>
      <c r="G500">
        <f t="shared" ca="1" si="22"/>
        <v>104.75241702850133</v>
      </c>
      <c r="H500">
        <f t="shared" ca="1" si="23"/>
        <v>92.369365006158773</v>
      </c>
    </row>
    <row r="501" spans="1:8" x14ac:dyDescent="0.25">
      <c r="A501" vm="1445">
        <f ca="1"/>
        <v>46020</v>
      </c>
      <c r="B501" vm="1446">
        <f ca="1"/>
        <v>99.54</v>
      </c>
      <c r="C501" vm="1447">
        <f ca="1"/>
        <v>1647935</v>
      </c>
      <c r="D501">
        <f t="shared" ca="1" si="21"/>
        <v>164035449.90000001</v>
      </c>
      <c r="E501">
        <f ca="1">SUM($D$2:D501)/SUM($C$2:C501)</f>
        <v>98.562345680194241</v>
      </c>
      <c r="F501">
        <f ca="1">_xlfn.STDEV.P($B$2:B501)</f>
        <v>6.1857502727155076</v>
      </c>
      <c r="G501">
        <f t="shared" ca="1" si="22"/>
        <v>104.74809595290975</v>
      </c>
      <c r="H501">
        <f t="shared" ca="1" si="23"/>
        <v>92.376595407478732</v>
      </c>
    </row>
    <row r="502" spans="1:8" x14ac:dyDescent="0.25">
      <c r="A502" vm="1448">
        <f ca="1"/>
        <v>46021</v>
      </c>
      <c r="B502" vm="1449">
        <f ca="1"/>
        <v>99.89</v>
      </c>
      <c r="C502" vm="1450">
        <f ca="1"/>
        <v>1019883</v>
      </c>
      <c r="D502">
        <f t="shared" ca="1" si="21"/>
        <v>101876112.87</v>
      </c>
      <c r="E502">
        <f ca="1">SUM($D$2:D502)/SUM($C$2:C502)</f>
        <v>98.563565308412521</v>
      </c>
      <c r="F502">
        <f ca="1">_xlfn.STDEV.P($B$2:B502)</f>
        <v>6.1801917114085203</v>
      </c>
      <c r="G502">
        <f t="shared" ca="1" si="22"/>
        <v>104.74375701982105</v>
      </c>
      <c r="H502">
        <f t="shared" ca="1" si="23"/>
        <v>92.383373597003995</v>
      </c>
    </row>
    <row r="503" spans="1:8" x14ac:dyDescent="0.25">
      <c r="A503" vm="1451">
        <f ca="1"/>
        <v>46022</v>
      </c>
      <c r="B503" vm="1452">
        <f ca="1"/>
        <v>99.32</v>
      </c>
      <c r="C503" vm="1453">
        <f ca="1"/>
        <v>1218242</v>
      </c>
      <c r="D503">
        <f t="shared" ca="1" si="21"/>
        <v>120995795.44</v>
      </c>
      <c r="E503">
        <f ca="1">SUM($D$2:D503)/SUM($C$2:C503)</f>
        <v>98.564394434947474</v>
      </c>
      <c r="F503">
        <f ca="1">_xlfn.STDEV.P($B$2:B503)</f>
        <v>6.1743415255968701</v>
      </c>
      <c r="G503">
        <f t="shared" ca="1" si="22"/>
        <v>104.73873596054435</v>
      </c>
      <c r="H503">
        <f t="shared" ca="1" si="23"/>
        <v>92.390052909350601</v>
      </c>
    </row>
    <row r="504" spans="1:8" x14ac:dyDescent="0.25">
      <c r="A504" vm="1454">
        <f ca="1"/>
        <v>46024</v>
      </c>
      <c r="B504" vm="1428">
        <f ca="1"/>
        <v>99.99</v>
      </c>
      <c r="C504" vm="1455">
        <f ca="1"/>
        <v>1441121</v>
      </c>
      <c r="D504">
        <f t="shared" ca="1" si="21"/>
        <v>144097688.78999999</v>
      </c>
      <c r="E504">
        <f ca="1">SUM($D$2:D504)/SUM($C$2:C504)</f>
        <v>98.566240524999387</v>
      </c>
      <c r="F504">
        <f ca="1">_xlfn.STDEV.P($B$2:B504)</f>
        <v>6.1688777453969061</v>
      </c>
      <c r="G504">
        <f t="shared" ca="1" si="22"/>
        <v>104.7351182703963</v>
      </c>
      <c r="H504">
        <f t="shared" ca="1" si="23"/>
        <v>92.397362779602474</v>
      </c>
    </row>
    <row r="505" spans="1:8" x14ac:dyDescent="0.25">
      <c r="A505" vm="1456">
        <f ca="1"/>
        <v>46027</v>
      </c>
      <c r="B505" vm="680">
        <f ca="1"/>
        <v>98.5</v>
      </c>
      <c r="C505" vm="1457">
        <f ca="1"/>
        <v>2112395</v>
      </c>
      <c r="D505">
        <f t="shared" ca="1" si="21"/>
        <v>208070907.5</v>
      </c>
      <c r="E505">
        <f ca="1">SUM($D$2:D505)/SUM($C$2:C505)</f>
        <v>98.566115029433945</v>
      </c>
      <c r="F505">
        <f ca="1">_xlfn.STDEV.P($B$2:B505)</f>
        <v>6.1628046886437797</v>
      </c>
      <c r="G505">
        <f t="shared" ca="1" si="22"/>
        <v>104.72891971807772</v>
      </c>
      <c r="H505">
        <f t="shared" ca="1" si="23"/>
        <v>92.403310340790171</v>
      </c>
    </row>
    <row r="506" spans="1:8" x14ac:dyDescent="0.25">
      <c r="A506" vm="1458">
        <f ca="1"/>
        <v>46028</v>
      </c>
      <c r="B506" vm="1452">
        <f ca="1"/>
        <v>99.32</v>
      </c>
      <c r="C506" vm="1459">
        <f ca="1"/>
        <v>1643792</v>
      </c>
      <c r="D506">
        <f t="shared" ca="1" si="21"/>
        <v>163261421.44</v>
      </c>
      <c r="E506">
        <f ca="1">SUM($D$2:D506)/SUM($C$2:C506)</f>
        <v>98.56722482155179</v>
      </c>
      <c r="F506">
        <f ca="1">_xlfn.STDEV.P($B$2:B506)</f>
        <v>6.1570038467253916</v>
      </c>
      <c r="G506">
        <f t="shared" ca="1" si="22"/>
        <v>104.72422866827718</v>
      </c>
      <c r="H506">
        <f t="shared" ca="1" si="23"/>
        <v>92.410220974826402</v>
      </c>
    </row>
    <row r="507" spans="1:8" x14ac:dyDescent="0.25">
      <c r="A507" vm="1460">
        <f ca="1"/>
        <v>46029</v>
      </c>
      <c r="B507" vm="1461">
        <f ca="1"/>
        <v>99.37</v>
      </c>
      <c r="C507" vm="1462">
        <f ca="1"/>
        <v>1638957</v>
      </c>
      <c r="D507">
        <f t="shared" ca="1" si="21"/>
        <v>162863157.09</v>
      </c>
      <c r="E507">
        <f ca="1">SUM($D$2:D507)/SUM($C$2:C507)</f>
        <v>98.568401381898738</v>
      </c>
      <c r="F507">
        <f ca="1">_xlfn.STDEV.P($B$2:B507)</f>
        <v>6.1512417158908059</v>
      </c>
      <c r="G507">
        <f t="shared" ca="1" si="22"/>
        <v>104.71964309778954</v>
      </c>
      <c r="H507">
        <f t="shared" ca="1" si="23"/>
        <v>92.417159666007933</v>
      </c>
    </row>
    <row r="508" spans="1:8" x14ac:dyDescent="0.25">
      <c r="A508" vm="1463">
        <f ca="1"/>
        <v>46030</v>
      </c>
      <c r="B508" vm="1464">
        <f ca="1"/>
        <v>100.18</v>
      </c>
      <c r="C508" vm="1465">
        <f ca="1"/>
        <v>1717623</v>
      </c>
      <c r="D508">
        <f t="shared" ca="1" si="21"/>
        <v>172071472.14000002</v>
      </c>
      <c r="E508">
        <f ca="1">SUM($D$2:D508)/SUM($C$2:C508)</f>
        <v>98.57087294041537</v>
      </c>
      <c r="F508">
        <f ca="1">_xlfn.STDEV.P($B$2:B508)</f>
        <v>6.145969326590258</v>
      </c>
      <c r="G508">
        <f t="shared" ca="1" si="22"/>
        <v>104.71684226700563</v>
      </c>
      <c r="H508">
        <f t="shared" ca="1" si="23"/>
        <v>92.424903613825109</v>
      </c>
    </row>
    <row r="509" spans="1:8" x14ac:dyDescent="0.25">
      <c r="A509" vm="1466">
        <f ca="1"/>
        <v>46031</v>
      </c>
      <c r="B509" vm="1467">
        <f ca="1"/>
        <v>99.21</v>
      </c>
      <c r="C509" vm="1468">
        <f ca="1"/>
        <v>1354245</v>
      </c>
      <c r="D509">
        <f t="shared" ca="1" si="21"/>
        <v>134354646.44999999</v>
      </c>
      <c r="E509">
        <f ca="1">SUM($D$2:D509)/SUM($C$2:C509)</f>
        <v>98.571644813320461</v>
      </c>
      <c r="F509">
        <f ca="1">_xlfn.STDEV.P($B$2:B509)</f>
        <v>6.1401696556878065</v>
      </c>
      <c r="G509">
        <f t="shared" ca="1" si="22"/>
        <v>104.71181446900826</v>
      </c>
      <c r="H509">
        <f t="shared" ca="1" si="23"/>
        <v>92.431475157632661</v>
      </c>
    </row>
    <row r="510" spans="1:8" x14ac:dyDescent="0.25">
      <c r="A510" vm="1469">
        <f ca="1"/>
        <v>46034</v>
      </c>
      <c r="B510" vm="1470">
        <f ca="1"/>
        <v>98.83</v>
      </c>
      <c r="C510" vm="1471">
        <f ca="1"/>
        <v>1987289</v>
      </c>
      <c r="D510">
        <f t="shared" ca="1" si="21"/>
        <v>196403771.87</v>
      </c>
      <c r="E510">
        <f ca="1">SUM($D$2:D510)/SUM($C$2:C510)</f>
        <v>98.572101870537594</v>
      </c>
      <c r="F510">
        <f ca="1">_xlfn.STDEV.P($B$2:B510)</f>
        <v>6.1342571186661621</v>
      </c>
      <c r="G510">
        <f t="shared" ca="1" si="22"/>
        <v>104.70635898920375</v>
      </c>
      <c r="H510">
        <f t="shared" ca="1" si="23"/>
        <v>92.437844751871438</v>
      </c>
    </row>
    <row r="511" spans="1:8" x14ac:dyDescent="0.25">
      <c r="A511" vm="1472">
        <f ca="1"/>
        <v>46035</v>
      </c>
      <c r="B511" vm="429">
        <f ca="1"/>
        <v>100.21</v>
      </c>
      <c r="C511" vm="1473">
        <f ca="1"/>
        <v>2073342</v>
      </c>
      <c r="D511">
        <f t="shared" ca="1" si="21"/>
        <v>207769601.81999999</v>
      </c>
      <c r="E511">
        <f ca="1">SUM($D$2:D511)/SUM($C$2:C511)</f>
        <v>98.575119384910352</v>
      </c>
      <c r="F511">
        <f ca="1">_xlfn.STDEV.P($B$2:B511)</f>
        <v>6.1290499413046513</v>
      </c>
      <c r="G511">
        <f t="shared" ca="1" si="22"/>
        <v>104.70416932621501</v>
      </c>
      <c r="H511">
        <f t="shared" ca="1" si="23"/>
        <v>92.446069443605694</v>
      </c>
    </row>
    <row r="512" spans="1:8" x14ac:dyDescent="0.25">
      <c r="A512" vm="1474">
        <f ca="1"/>
        <v>46036</v>
      </c>
      <c r="B512" vm="1475">
        <f ca="1"/>
        <v>101.47</v>
      </c>
      <c r="C512" vm="1476">
        <f ca="1"/>
        <v>1963060</v>
      </c>
      <c r="D512">
        <f t="shared" ca="1" si="21"/>
        <v>199191698.19999999</v>
      </c>
      <c r="E512">
        <f ca="1">SUM($D$2:D512)/SUM($C$2:C512)</f>
        <v>98.580160177872699</v>
      </c>
      <c r="F512">
        <f ca="1">_xlfn.STDEV.P($B$2:B512)</f>
        <v>6.1250118848140938</v>
      </c>
      <c r="G512">
        <f t="shared" ca="1" si="22"/>
        <v>104.7051720626868</v>
      </c>
      <c r="H512">
        <f t="shared" ca="1" si="23"/>
        <v>92.455148293058599</v>
      </c>
    </row>
    <row r="513" spans="1:8" x14ac:dyDescent="0.25">
      <c r="A513" vm="1477">
        <f ca="1"/>
        <v>46037</v>
      </c>
      <c r="B513" vm="1478">
        <f ca="1"/>
        <v>102.58</v>
      </c>
      <c r="C513" vm="1479">
        <f ca="1"/>
        <v>1813479</v>
      </c>
      <c r="D513">
        <f t="shared" ca="1" si="21"/>
        <v>186026675.81999999</v>
      </c>
      <c r="E513">
        <f ca="1">SUM($D$2:D513)/SUM($C$2:C513)</f>
        <v>98.586583973503949</v>
      </c>
      <c r="F513">
        <f ca="1">_xlfn.STDEV.P($B$2:B513)</f>
        <v>6.1224128379863609</v>
      </c>
      <c r="G513">
        <f t="shared" ca="1" si="22"/>
        <v>104.70899681149031</v>
      </c>
      <c r="H513">
        <f t="shared" ca="1" si="23"/>
        <v>92.464171135517589</v>
      </c>
    </row>
    <row r="514" spans="1:8" x14ac:dyDescent="0.25">
      <c r="A514" vm="1480">
        <f ca="1"/>
        <v>46038</v>
      </c>
      <c r="B514" vm="1481">
        <f ca="1"/>
        <v>103.81</v>
      </c>
      <c r="C514" vm="1482">
        <f ca="1"/>
        <v>2201908</v>
      </c>
      <c r="D514">
        <f t="shared" ca="1" si="21"/>
        <v>228580069.48000002</v>
      </c>
      <c r="E514">
        <f ca="1">SUM($D$2:D514)/SUM($C$2:C514)</f>
        <v>98.596749838073848</v>
      </c>
      <c r="F514">
        <f ca="1">_xlfn.STDEV.P($B$2:B514)</f>
        <v>6.1218492004337977</v>
      </c>
      <c r="G514">
        <f t="shared" ca="1" si="22"/>
        <v>104.71859903850765</v>
      </c>
      <c r="H514">
        <f t="shared" ca="1" si="23"/>
        <v>92.474900637640047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0568-B321-401D-B457-33B556BF8509}">
  <dimension ref="A1"/>
  <sheetViews>
    <sheetView topLeftCell="A12" workbookViewId="0">
      <selection activeCell="F28" sqref="F28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80F720-A55F-4C9A-BC8B-B653E2D6BB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Weekly</vt:lpstr>
      <vt:lpstr>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2026-01-19T03:32:40Z</dcterms:created>
  <dcterms:modified xsi:type="dcterms:W3CDTF">2026-01-19T19:48:37Z</dcterms:modified>
</cp:coreProperties>
</file>