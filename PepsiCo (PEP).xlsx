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F0FE3837-966B-4C7F-93EA-ECB08EE96980}" xr6:coauthVersionLast="47" xr6:coauthVersionMax="47" xr10:uidLastSave="{00000000-0000-0000-0000-000000000000}"/>
  <bookViews>
    <workbookView xWindow="-120" yWindow="-120" windowWidth="20730" windowHeight="11040" firstSheet="1" activeTab="1" xr2:uid="{92AFEA67-FCE1-458C-9A7E-ADF426D7B024}"/>
  </bookViews>
  <sheets>
    <sheet name="Intro" sheetId="10" r:id="rId1"/>
    <sheet name="Dashboard" sheetId="7" r:id="rId2"/>
    <sheet name="Data" sheetId="1" r:id="rId3"/>
    <sheet name="Forecast" sheetId="28" r:id="rId4"/>
    <sheet name="Weekly" sheetId="26" r:id="rId5"/>
    <sheet name="Dividends" sheetId="18" r:id="rId6"/>
  </sheets>
  <definedNames>
    <definedName name="data">Data!$1:$1048576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28" l="1"/>
  <c r="C58" i="28"/>
  <c r="C59" i="28"/>
  <c r="C60" i="28"/>
  <c r="C61" i="28"/>
  <c r="C55" i="28"/>
  <c r="C57" i="28"/>
  <c r="C62" i="28"/>
  <c r="C54" i="28"/>
  <c r="B1" i="1" a="1"/>
  <c r="A227" i="1" l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91" i="1"/>
  <c r="A199" i="1"/>
  <c r="A207" i="1"/>
  <c r="A215" i="1"/>
  <c r="A223" i="1"/>
  <c r="A231" i="1"/>
  <c r="A239" i="1"/>
  <c r="A247" i="1"/>
  <c r="A156" i="1"/>
  <c r="A196" i="1"/>
  <c r="A228" i="1"/>
  <c r="A5" i="1"/>
  <c r="A77" i="1"/>
  <c r="A183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33" i="1"/>
  <c r="A10" i="1"/>
  <c r="A34" i="1"/>
  <c r="A50" i="1"/>
  <c r="A66" i="1"/>
  <c r="A74" i="1"/>
  <c r="A90" i="1"/>
  <c r="A106" i="1"/>
  <c r="A122" i="1"/>
  <c r="A130" i="1"/>
  <c r="A154" i="1"/>
  <c r="A162" i="1"/>
  <c r="A178" i="1"/>
  <c r="A194" i="1"/>
  <c r="A218" i="1"/>
  <c r="A234" i="1"/>
  <c r="A250" i="1"/>
  <c r="A11" i="1"/>
  <c r="A19" i="1"/>
  <c r="A43" i="1"/>
  <c r="A59" i="1"/>
  <c r="A75" i="1"/>
  <c r="A91" i="1"/>
  <c r="A99" i="1"/>
  <c r="A115" i="1"/>
  <c r="A131" i="1"/>
  <c r="A147" i="1"/>
  <c r="A163" i="1"/>
  <c r="A179" i="1"/>
  <c r="A195" i="1"/>
  <c r="A211" i="1"/>
  <c r="A243" i="1"/>
  <c r="A4" i="1"/>
  <c r="A20" i="1"/>
  <c r="A28" i="1"/>
  <c r="A44" i="1"/>
  <c r="A52" i="1"/>
  <c r="A60" i="1"/>
  <c r="A76" i="1"/>
  <c r="A92" i="1"/>
  <c r="A108" i="1"/>
  <c r="A124" i="1"/>
  <c r="A140" i="1"/>
  <c r="A164" i="1"/>
  <c r="A180" i="1"/>
  <c r="A204" i="1"/>
  <c r="A220" i="1"/>
  <c r="A244" i="1"/>
  <c r="A252" i="1"/>
  <c r="A21" i="1"/>
  <c r="A29" i="1"/>
  <c r="A45" i="1"/>
  <c r="A61" i="1"/>
  <c r="A85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41" i="1"/>
  <c r="A249" i="1"/>
  <c r="A18" i="1"/>
  <c r="A26" i="1"/>
  <c r="A42" i="1"/>
  <c r="A58" i="1"/>
  <c r="A82" i="1"/>
  <c r="A98" i="1"/>
  <c r="A114" i="1"/>
  <c r="A138" i="1"/>
  <c r="A146" i="1"/>
  <c r="A170" i="1"/>
  <c r="A186" i="1"/>
  <c r="A202" i="1"/>
  <c r="A210" i="1"/>
  <c r="A226" i="1"/>
  <c r="A242" i="1"/>
  <c r="A3" i="1"/>
  <c r="A27" i="1"/>
  <c r="A35" i="1"/>
  <c r="A51" i="1"/>
  <c r="A67" i="1"/>
  <c r="A83" i="1"/>
  <c r="A107" i="1"/>
  <c r="A123" i="1"/>
  <c r="A139" i="1"/>
  <c r="A155" i="1"/>
  <c r="A171" i="1"/>
  <c r="A187" i="1"/>
  <c r="A203" i="1"/>
  <c r="A219" i="1"/>
  <c r="A235" i="1"/>
  <c r="A251" i="1"/>
  <c r="A12" i="1"/>
  <c r="A36" i="1"/>
  <c r="A68" i="1"/>
  <c r="A84" i="1"/>
  <c r="A100" i="1"/>
  <c r="A116" i="1"/>
  <c r="A132" i="1"/>
  <c r="A148" i="1"/>
  <c r="A172" i="1"/>
  <c r="A188" i="1"/>
  <c r="A212" i="1"/>
  <c r="A236" i="1"/>
  <c r="A13" i="1"/>
  <c r="A37" i="1"/>
  <c r="A53" i="1"/>
  <c r="A69" i="1"/>
  <c r="A93" i="1"/>
  <c r="A109" i="1"/>
  <c r="A117" i="1"/>
  <c r="A125" i="1"/>
  <c r="A189" i="1"/>
  <c r="A141" i="1"/>
  <c r="A205" i="1"/>
  <c r="A213" i="1"/>
  <c r="A221" i="1"/>
  <c r="A165" i="1"/>
  <c r="A173" i="1"/>
  <c r="A101" i="1"/>
  <c r="A245" i="1"/>
  <c r="A133" i="1"/>
  <c r="A197" i="1"/>
  <c r="A149" i="1"/>
  <c r="A157" i="1"/>
  <c r="A229" i="1"/>
  <c r="A237" i="1"/>
  <c r="A181" i="1"/>
  <c r="B1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15" i="1"/>
  <c r="A2" i="1" l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N114" i="1"/>
  <c r="AB105" i="1"/>
  <c r="AB241" i="1"/>
  <c r="N34" i="1"/>
  <c r="N108" i="1"/>
  <c r="AB178" i="1"/>
  <c r="N54" i="1"/>
  <c r="N142" i="1"/>
  <c r="N59" i="1"/>
  <c r="N139" i="1"/>
  <c r="N145" i="1"/>
  <c r="AB101" i="1"/>
  <c r="AB115" i="1"/>
  <c r="AB104" i="1"/>
  <c r="AB211" i="1"/>
  <c r="AB217" i="1"/>
  <c r="AB220" i="1"/>
  <c r="N132" i="1"/>
  <c r="N121" i="1"/>
  <c r="N71" i="1"/>
  <c r="N167" i="1"/>
  <c r="N80" i="1"/>
  <c r="N56" i="1"/>
  <c r="K102" i="1"/>
  <c r="AB174" i="1"/>
  <c r="N168" i="1"/>
  <c r="AB145" i="1"/>
  <c r="AB225" i="1"/>
  <c r="N51" i="1"/>
  <c r="N150" i="1"/>
  <c r="K205" i="1"/>
  <c r="N53" i="1"/>
  <c r="N125" i="1"/>
  <c r="AB235" i="1"/>
  <c r="K53" i="1"/>
  <c r="AB135" i="1"/>
  <c r="AB231" i="1"/>
  <c r="N77" i="1"/>
  <c r="K135" i="1"/>
  <c r="N35" i="1"/>
  <c r="AB116" i="1"/>
  <c r="AB215" i="1"/>
  <c r="K86" i="1"/>
  <c r="N129" i="1"/>
  <c r="N126" i="1"/>
  <c r="AB187" i="1"/>
  <c r="AB120" i="1"/>
  <c r="AB197" i="1"/>
  <c r="N55" i="1"/>
  <c r="N5" i="1"/>
  <c r="N143" i="1"/>
  <c r="AB111" i="1"/>
  <c r="AB158" i="1"/>
  <c r="N165" i="1"/>
  <c r="AB216" i="1"/>
  <c r="AB121" i="1"/>
  <c r="AB190" i="1"/>
  <c r="AB125" i="1"/>
  <c r="AB205" i="1"/>
  <c r="AB188" i="1"/>
  <c r="N68" i="1"/>
  <c r="N90" i="1"/>
  <c r="N186" i="1"/>
  <c r="AB119" i="1"/>
  <c r="N175" i="1"/>
  <c r="AB131" i="1"/>
  <c r="AB234" i="1"/>
  <c r="AB207" i="1"/>
  <c r="N243" i="1"/>
  <c r="AB237" i="1"/>
  <c r="N195" i="1"/>
  <c r="N219" i="1"/>
  <c r="J150" i="1"/>
  <c r="AB160" i="1"/>
  <c r="N29" i="1"/>
  <c r="N100" i="1"/>
  <c r="N111" i="1"/>
  <c r="K164" i="1"/>
  <c r="AB132" i="1"/>
  <c r="AB210" i="1"/>
  <c r="AB236" i="1"/>
  <c r="K94" i="1"/>
  <c r="AB230" i="1"/>
  <c r="N224" i="1"/>
  <c r="N74" i="1"/>
  <c r="N217" i="1"/>
  <c r="AB122" i="1"/>
  <c r="N162" i="1"/>
  <c r="AB138" i="1"/>
  <c r="AB136" i="1"/>
  <c r="AB218" i="1"/>
  <c r="AB191" i="1"/>
  <c r="N6" i="1"/>
  <c r="AB223" i="1"/>
  <c r="N102" i="1"/>
  <c r="N182" i="1"/>
  <c r="N87" i="1"/>
  <c r="AB252" i="1"/>
  <c r="K127" i="1"/>
  <c r="N91" i="1"/>
  <c r="AB228" i="1"/>
  <c r="AB206" i="1"/>
  <c r="AB144" i="1"/>
  <c r="N238" i="1"/>
  <c r="AB243" i="1"/>
  <c r="AB232" i="1"/>
  <c r="N203" i="1"/>
  <c r="N17" i="1"/>
  <c r="N88" i="1"/>
  <c r="N220" i="1"/>
  <c r="K32" i="1"/>
  <c r="N169" i="1"/>
  <c r="AB177" i="1"/>
  <c r="N45" i="1"/>
  <c r="N123" i="1"/>
  <c r="AB114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N214" i="1"/>
  <c r="AB107" i="1"/>
  <c r="N221" i="1"/>
  <c r="N78" i="1"/>
  <c r="N75" i="1"/>
  <c r="N229" i="1"/>
  <c r="N163" i="1"/>
  <c r="AB147" i="1"/>
  <c r="AB153" i="1"/>
  <c r="AB227" i="1"/>
  <c r="K214" i="1"/>
  <c r="N7" i="1"/>
  <c r="AB248" i="1"/>
  <c r="N103" i="1"/>
  <c r="N16" i="1"/>
  <c r="N107" i="1"/>
  <c r="N95" i="1"/>
  <c r="K38" i="1"/>
  <c r="AB110" i="1"/>
  <c r="N104" i="1"/>
  <c r="AB239" i="1"/>
  <c r="AB161" i="1"/>
  <c r="N196" i="1"/>
  <c r="AB129" i="1"/>
  <c r="AB157" i="1"/>
  <c r="AB249" i="1"/>
  <c r="AB244" i="1"/>
  <c r="N69" i="1"/>
  <c r="AB212" i="1"/>
  <c r="K175" i="1"/>
  <c r="N152" i="1"/>
  <c r="K129" i="1"/>
  <c r="AB182" i="1"/>
  <c r="K22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AB123" i="1"/>
  <c r="AB133" i="1"/>
  <c r="N234" i="1"/>
  <c r="N222" i="1"/>
  <c r="N79" i="1"/>
  <c r="N33" i="1"/>
  <c r="N200" i="1"/>
  <c r="AB164" i="1"/>
  <c r="AB126" i="1"/>
  <c r="AB141" i="1"/>
  <c r="K222" i="1"/>
  <c r="N26" i="1"/>
  <c r="AB229" i="1"/>
  <c r="N122" i="1"/>
  <c r="N202" i="1"/>
  <c r="N115" i="1"/>
  <c r="AB170" i="1"/>
  <c r="AB143" i="1"/>
  <c r="N209" i="1"/>
  <c r="N117" i="1"/>
  <c r="N134" i="1"/>
  <c r="N230" i="1"/>
  <c r="AB140" i="1"/>
  <c r="N176" i="1"/>
  <c r="K238" i="1"/>
  <c r="K192" i="1"/>
  <c r="N207" i="1"/>
  <c r="K58" i="1"/>
  <c r="K40" i="1"/>
  <c r="AB146" i="1"/>
  <c r="AB148" i="1"/>
  <c r="AB246" i="1"/>
  <c r="K30" i="1"/>
  <c r="AB166" i="1"/>
  <c r="N160" i="1"/>
  <c r="N10" i="1"/>
  <c r="N76" i="1"/>
  <c r="N242" i="1"/>
  <c r="N98" i="1"/>
  <c r="AB154" i="1"/>
  <c r="AB127" i="1"/>
  <c r="N236" i="1"/>
  <c r="N28" i="1"/>
  <c r="N137" i="1"/>
  <c r="AB139" i="1"/>
  <c r="AB242" i="1"/>
  <c r="AB159" i="1"/>
  <c r="N38" i="1"/>
  <c r="N118" i="1"/>
  <c r="K63" i="1"/>
  <c r="N27" i="1"/>
  <c r="N206" i="1"/>
  <c r="AB142" i="1"/>
  <c r="N49" i="1"/>
  <c r="N110" i="1"/>
  <c r="AB179" i="1"/>
  <c r="AB168" i="1"/>
  <c r="N52" i="1"/>
  <c r="AB233" i="1"/>
  <c r="N127" i="1"/>
  <c r="N135" i="1"/>
  <c r="N64" i="1"/>
  <c r="AB150" i="1"/>
  <c r="N144" i="1"/>
  <c r="N93" i="1"/>
  <c r="N184" i="1"/>
  <c r="AB176" i="1"/>
  <c r="K166" i="1"/>
  <c r="N227" i="1"/>
  <c r="K70" i="1"/>
  <c r="N245" i="1"/>
  <c r="K244" i="1"/>
  <c r="K137" i="1"/>
  <c r="N84" i="1"/>
  <c r="AB251" i="1"/>
  <c r="N119" i="1"/>
  <c r="N41" i="1"/>
  <c r="K95" i="1"/>
  <c r="AB203" i="1"/>
  <c r="K221" i="1"/>
  <c r="N180" i="1"/>
  <c r="J214" i="1"/>
  <c r="N85" i="1"/>
  <c r="K223" i="1"/>
  <c r="N92" i="1"/>
  <c r="N73" i="1"/>
  <c r="AB171" i="1"/>
  <c r="K37" i="1"/>
  <c r="K239" i="1"/>
  <c r="J156" i="1"/>
  <c r="J82" i="1"/>
  <c r="K235" i="1"/>
  <c r="N198" i="1"/>
  <c r="K62" i="1"/>
  <c r="K97" i="1"/>
  <c r="N65" i="1"/>
  <c r="J110" i="1"/>
  <c r="K28" i="1"/>
  <c r="K100" i="1"/>
  <c r="N128" i="1"/>
  <c r="N140" i="1"/>
  <c r="K77" i="1"/>
  <c r="N67" i="1"/>
  <c r="K216" i="1"/>
  <c r="N249" i="1"/>
  <c r="AB193" i="1"/>
  <c r="K252" i="1"/>
  <c r="K55" i="1"/>
  <c r="K248" i="1"/>
  <c r="J94" i="1"/>
  <c r="J127" i="1"/>
  <c r="G221" i="1"/>
  <c r="E213" i="1"/>
  <c r="G252" i="1"/>
  <c r="E106" i="1"/>
  <c r="K154" i="1"/>
  <c r="K36" i="1"/>
  <c r="J28" i="1"/>
  <c r="J69" i="1"/>
  <c r="J188" i="1"/>
  <c r="J177" i="1"/>
  <c r="G134" i="1"/>
  <c r="G193" i="1"/>
  <c r="J197" i="1"/>
  <c r="K181" i="1"/>
  <c r="K80" i="1"/>
  <c r="J87" i="1"/>
  <c r="K89" i="1"/>
  <c r="E21" i="1"/>
  <c r="J125" i="1"/>
  <c r="J48" i="1"/>
  <c r="G113" i="1"/>
  <c r="G212" i="1"/>
  <c r="J78" i="1"/>
  <c r="J248" i="1"/>
  <c r="K69" i="1"/>
  <c r="G135" i="1"/>
  <c r="J244" i="1"/>
  <c r="E144" i="1"/>
  <c r="E158" i="1"/>
  <c r="J180" i="1"/>
  <c r="K49" i="1"/>
  <c r="J215" i="1"/>
  <c r="K113" i="1"/>
  <c r="J68" i="1"/>
  <c r="G20" i="1"/>
  <c r="G195" i="1"/>
  <c r="G217" i="1"/>
  <c r="G24" i="1"/>
  <c r="G81" i="1"/>
  <c r="E39" i="1"/>
  <c r="E191" i="1"/>
  <c r="N21" i="1"/>
  <c r="N173" i="1"/>
  <c r="K158" i="1"/>
  <c r="AB165" i="1"/>
  <c r="N138" i="1"/>
  <c r="AB202" i="1"/>
  <c r="N89" i="1"/>
  <c r="N70" i="1"/>
  <c r="K191" i="1"/>
  <c r="N157" i="1"/>
  <c r="N105" i="1"/>
  <c r="K103" i="1"/>
  <c r="N120" i="1"/>
  <c r="N190" i="1"/>
  <c r="N188" i="1"/>
  <c r="K132" i="1"/>
  <c r="N241" i="1"/>
  <c r="K250" i="1"/>
  <c r="K232" i="1"/>
  <c r="K147" i="1"/>
  <c r="J245" i="1"/>
  <c r="N18" i="1"/>
  <c r="N30" i="1"/>
  <c r="AB151" i="1"/>
  <c r="N151" i="1"/>
  <c r="K26" i="1"/>
  <c r="K87" i="1"/>
  <c r="N185" i="1"/>
  <c r="AB214" i="1"/>
  <c r="N179" i="1"/>
  <c r="J22" i="1"/>
  <c r="N251" i="1"/>
  <c r="J137" i="1"/>
  <c r="J238" i="1"/>
  <c r="N66" i="1"/>
  <c r="K106" i="1"/>
  <c r="J103" i="1"/>
  <c r="K42" i="1"/>
  <c r="G9" i="1"/>
  <c r="J161" i="1"/>
  <c r="G59" i="1"/>
  <c r="G225" i="1"/>
  <c r="G203" i="1"/>
  <c r="G167" i="1"/>
  <c r="E16" i="1"/>
  <c r="G125" i="1"/>
  <c r="K130" i="1"/>
  <c r="N164" i="1"/>
  <c r="K211" i="1"/>
  <c r="J122" i="1"/>
  <c r="K184" i="1"/>
  <c r="N147" i="1"/>
  <c r="J40" i="1"/>
  <c r="J231" i="1"/>
  <c r="G162" i="1"/>
  <c r="E182" i="1"/>
  <c r="K186" i="1"/>
  <c r="J199" i="1"/>
  <c r="J95" i="1"/>
  <c r="J105" i="1"/>
  <c r="J221" i="1"/>
  <c r="G90" i="1"/>
  <c r="G5" i="1"/>
  <c r="G72" i="1"/>
  <c r="J57" i="1"/>
  <c r="E53" i="1"/>
  <c r="E84" i="1"/>
  <c r="G126" i="1"/>
  <c r="J146" i="1"/>
  <c r="E201" i="1"/>
  <c r="K200" i="1"/>
  <c r="J168" i="1"/>
  <c r="K195" i="1"/>
  <c r="K116" i="1"/>
  <c r="J93" i="1"/>
  <c r="E4" i="1"/>
  <c r="J106" i="1"/>
  <c r="K201" i="1"/>
  <c r="N86" i="1"/>
  <c r="AB199" i="1"/>
  <c r="N97" i="1"/>
  <c r="AB163" i="1"/>
  <c r="AB184" i="1"/>
  <c r="AB175" i="1"/>
  <c r="AB185" i="1"/>
  <c r="AB103" i="1"/>
  <c r="K218" i="1"/>
  <c r="K45" i="1"/>
  <c r="N187" i="1"/>
  <c r="N148" i="1"/>
  <c r="N194" i="1"/>
  <c r="N36" i="1"/>
  <c r="N136" i="1"/>
  <c r="K57" i="1"/>
  <c r="N181" i="1"/>
  <c r="AB186" i="1"/>
  <c r="N20" i="1"/>
  <c r="K171" i="1"/>
  <c r="J158" i="1"/>
  <c r="N50" i="1"/>
  <c r="K84" i="1"/>
  <c r="N240" i="1"/>
  <c r="K88" i="1"/>
  <c r="J246" i="1"/>
  <c r="N146" i="1"/>
  <c r="N158" i="1"/>
  <c r="K111" i="1"/>
  <c r="N208" i="1"/>
  <c r="K242" i="1"/>
  <c r="AB149" i="1"/>
  <c r="N218" i="1"/>
  <c r="K226" i="1"/>
  <c r="J56" i="1"/>
  <c r="K29" i="1"/>
  <c r="K153" i="1"/>
  <c r="G85" i="1"/>
  <c r="K251" i="1"/>
  <c r="G169" i="1"/>
  <c r="E195" i="1"/>
  <c r="G21" i="1"/>
  <c r="G160" i="1"/>
  <c r="E231" i="1"/>
  <c r="N213" i="1"/>
  <c r="K117" i="1"/>
  <c r="J23" i="1"/>
  <c r="K108" i="1"/>
  <c r="J222" i="1"/>
  <c r="K144" i="1"/>
  <c r="E140" i="1"/>
  <c r="G112" i="1"/>
  <c r="AB167" i="1"/>
  <c r="K119" i="1"/>
  <c r="J138" i="1"/>
  <c r="K68" i="1"/>
  <c r="J184" i="1"/>
  <c r="G208" i="1"/>
  <c r="J116" i="1"/>
  <c r="J54" i="1"/>
  <c r="J203" i="1"/>
  <c r="J234" i="1"/>
  <c r="J205" i="1"/>
  <c r="N24" i="1"/>
  <c r="G182" i="1"/>
  <c r="G43" i="1"/>
  <c r="E61" i="1"/>
  <c r="E156" i="1"/>
  <c r="E249" i="1"/>
  <c r="K61" i="1"/>
  <c r="E116" i="1"/>
  <c r="AB247" i="1"/>
  <c r="K96" i="1"/>
  <c r="K213" i="1"/>
  <c r="J25" i="1"/>
  <c r="J206" i="1"/>
  <c r="K21" i="1"/>
  <c r="J183" i="1"/>
  <c r="G241" i="1"/>
  <c r="E171" i="1"/>
  <c r="N106" i="1"/>
  <c r="AB224" i="1"/>
  <c r="AB106" i="1"/>
  <c r="AB200" i="1"/>
  <c r="N61" i="1"/>
  <c r="N246" i="1"/>
  <c r="N149" i="1"/>
  <c r="AB128" i="1"/>
  <c r="AB192" i="1"/>
  <c r="K139" i="1"/>
  <c r="AB113" i="1"/>
  <c r="N237" i="1"/>
  <c r="N193" i="1"/>
  <c r="N124" i="1"/>
  <c r="K228" i="1"/>
  <c r="N216" i="1"/>
  <c r="K237" i="1"/>
  <c r="J135" i="1"/>
  <c r="K177" i="1"/>
  <c r="N233" i="1"/>
  <c r="K185" i="1"/>
  <c r="N252" i="1"/>
  <c r="N8" i="1"/>
  <c r="N178" i="1"/>
  <c r="N210" i="1"/>
  <c r="K152" i="1"/>
  <c r="J216" i="1"/>
  <c r="N172" i="1"/>
  <c r="K196" i="1"/>
  <c r="N174" i="1"/>
  <c r="K163" i="1"/>
  <c r="K72" i="1"/>
  <c r="J207" i="1"/>
  <c r="J162" i="1"/>
  <c r="J210" i="1"/>
  <c r="E85" i="1"/>
  <c r="G10" i="1"/>
  <c r="E96" i="1"/>
  <c r="E146" i="1"/>
  <c r="E118" i="1"/>
  <c r="E187" i="1"/>
  <c r="AB226" i="1"/>
  <c r="J167" i="1"/>
  <c r="K170" i="1"/>
  <c r="G249" i="1"/>
  <c r="G142" i="1"/>
  <c r="E20" i="1"/>
  <c r="K122" i="1"/>
  <c r="J71" i="1"/>
  <c r="J31" i="1"/>
  <c r="J41" i="1"/>
  <c r="J242" i="1"/>
  <c r="G84" i="1"/>
  <c r="G181" i="1"/>
  <c r="E172" i="1"/>
  <c r="J59" i="1"/>
  <c r="J172" i="1"/>
  <c r="K212" i="1"/>
  <c r="G236" i="1"/>
  <c r="E35" i="1"/>
  <c r="E240" i="1"/>
  <c r="J164" i="1"/>
  <c r="N37" i="1"/>
  <c r="J159" i="1"/>
  <c r="J169" i="1"/>
  <c r="J47" i="1"/>
  <c r="G22" i="1"/>
  <c r="G73" i="1"/>
  <c r="J185" i="1"/>
  <c r="G123" i="1"/>
  <c r="E244" i="1"/>
  <c r="G248" i="1"/>
  <c r="E243" i="1"/>
  <c r="AB213" i="1"/>
  <c r="N99" i="1"/>
  <c r="AB112" i="1"/>
  <c r="N39" i="1"/>
  <c r="N130" i="1"/>
  <c r="AB173" i="1"/>
  <c r="N250" i="1"/>
  <c r="N116" i="1"/>
  <c r="K66" i="1"/>
  <c r="AB238" i="1"/>
  <c r="AB169" i="1"/>
  <c r="K246" i="1"/>
  <c r="N235" i="1"/>
  <c r="K54" i="1"/>
  <c r="K207" i="1"/>
  <c r="N177" i="1"/>
  <c r="N248" i="1"/>
  <c r="N47" i="1"/>
  <c r="K24" i="1"/>
  <c r="J182" i="1"/>
  <c r="K179" i="1"/>
  <c r="J88" i="1"/>
  <c r="K27" i="1"/>
  <c r="N153" i="1"/>
  <c r="K78" i="1"/>
  <c r="K114" i="1"/>
  <c r="AB204" i="1"/>
  <c r="N141" i="1"/>
  <c r="N9" i="1"/>
  <c r="K156" i="1"/>
  <c r="K249" i="1"/>
  <c r="K134" i="1"/>
  <c r="N42" i="1"/>
  <c r="J73" i="1"/>
  <c r="K110" i="1"/>
  <c r="N197" i="1"/>
  <c r="K64" i="1"/>
  <c r="N244" i="1"/>
  <c r="K229" i="1"/>
  <c r="K98" i="1"/>
  <c r="K109" i="1"/>
  <c r="E68" i="1"/>
  <c r="J154" i="1"/>
  <c r="E65" i="1"/>
  <c r="G175" i="1"/>
  <c r="G152" i="1"/>
  <c r="E154" i="1"/>
  <c r="K23" i="1"/>
  <c r="J166" i="1"/>
  <c r="J120" i="1"/>
  <c r="K157" i="1"/>
  <c r="K82" i="1"/>
  <c r="G238" i="1"/>
  <c r="J229" i="1"/>
  <c r="J139" i="1"/>
  <c r="J50" i="1"/>
  <c r="G128" i="1"/>
  <c r="G75" i="1"/>
  <c r="J171" i="1"/>
  <c r="K141" i="1"/>
  <c r="K168" i="1"/>
  <c r="J220" i="1"/>
  <c r="K187" i="1"/>
  <c r="K34" i="1"/>
  <c r="E246" i="1"/>
  <c r="G185" i="1"/>
  <c r="J51" i="1"/>
  <c r="K25" i="1"/>
  <c r="G28" i="1"/>
  <c r="G218" i="1"/>
  <c r="E217" i="1"/>
  <c r="G15" i="1"/>
  <c r="J118" i="1"/>
  <c r="J201" i="1"/>
  <c r="K151" i="1"/>
  <c r="J114" i="1"/>
  <c r="J115" i="1"/>
  <c r="G102" i="1"/>
  <c r="G156" i="1"/>
  <c r="E192" i="1"/>
  <c r="N94" i="1"/>
  <c r="N189" i="1"/>
  <c r="N72" i="1"/>
  <c r="AB118" i="1"/>
  <c r="N58" i="1"/>
  <c r="N48" i="1"/>
  <c r="N19" i="1"/>
  <c r="AB156" i="1"/>
  <c r="N82" i="1"/>
  <c r="N232" i="1"/>
  <c r="AB130" i="1"/>
  <c r="AB109" i="1"/>
  <c r="K159" i="1"/>
  <c r="N43" i="1"/>
  <c r="AB194" i="1"/>
  <c r="K180" i="1"/>
  <c r="N228" i="1"/>
  <c r="N170" i="1"/>
  <c r="K121" i="1"/>
  <c r="N212" i="1"/>
  <c r="K245" i="1"/>
  <c r="J38" i="1"/>
  <c r="AB108" i="1"/>
  <c r="K35" i="1"/>
  <c r="N109" i="1"/>
  <c r="N205" i="1"/>
  <c r="K178" i="1"/>
  <c r="AB240" i="1"/>
  <c r="N32" i="1"/>
  <c r="K126" i="1"/>
  <c r="K161" i="1"/>
  <c r="J174" i="1"/>
  <c r="K85" i="1"/>
  <c r="K190" i="1"/>
  <c r="N4" i="1"/>
  <c r="K92" i="1"/>
  <c r="J181" i="1"/>
  <c r="J155" i="1"/>
  <c r="J84" i="1"/>
  <c r="K123" i="1"/>
  <c r="G41" i="1"/>
  <c r="J80" i="1"/>
  <c r="G233" i="1"/>
  <c r="E174" i="1"/>
  <c r="K71" i="1"/>
  <c r="J144" i="1"/>
  <c r="G211" i="1"/>
  <c r="J250" i="1"/>
  <c r="K209" i="1"/>
  <c r="J108" i="1"/>
  <c r="K247" i="1"/>
  <c r="J134" i="1"/>
  <c r="E67" i="1"/>
  <c r="J157" i="1"/>
  <c r="N215" i="1"/>
  <c r="J198" i="1"/>
  <c r="N57" i="1"/>
  <c r="J35" i="1"/>
  <c r="K210" i="1"/>
  <c r="G104" i="1"/>
  <c r="J45" i="1"/>
  <c r="J235" i="1"/>
  <c r="E228" i="1"/>
  <c r="G23" i="1"/>
  <c r="G230" i="1"/>
  <c r="J123" i="1"/>
  <c r="J236" i="1"/>
  <c r="K136" i="1"/>
  <c r="J109" i="1"/>
  <c r="J119" i="1"/>
  <c r="G157" i="1"/>
  <c r="E149" i="1"/>
  <c r="E236" i="1"/>
  <c r="E73" i="1"/>
  <c r="E22" i="1"/>
  <c r="G194" i="1"/>
  <c r="K160" i="1"/>
  <c r="AB155" i="1"/>
  <c r="K199" i="1"/>
  <c r="AB183" i="1"/>
  <c r="N159" i="1"/>
  <c r="K231" i="1"/>
  <c r="J79" i="1"/>
  <c r="N199" i="1"/>
  <c r="K99" i="1"/>
  <c r="K90" i="1"/>
  <c r="K143" i="1"/>
  <c r="K233" i="1"/>
  <c r="J75" i="1"/>
  <c r="J186" i="1"/>
  <c r="J43" i="1"/>
  <c r="J92" i="1"/>
  <c r="J252" i="1"/>
  <c r="E44" i="1"/>
  <c r="K217" i="1"/>
  <c r="G147" i="1"/>
  <c r="G133" i="1"/>
  <c r="J64" i="1"/>
  <c r="J243" i="1"/>
  <c r="K176" i="1"/>
  <c r="G228" i="1"/>
  <c r="E129" i="1"/>
  <c r="E58" i="1"/>
  <c r="J96" i="1"/>
  <c r="K227" i="1"/>
  <c r="J126" i="1"/>
  <c r="J196" i="1"/>
  <c r="G117" i="1"/>
  <c r="J170" i="1"/>
  <c r="E108" i="1"/>
  <c r="E196" i="1"/>
  <c r="E226" i="1"/>
  <c r="E59" i="1"/>
  <c r="G82" i="1"/>
  <c r="E204" i="1"/>
  <c r="G141" i="1"/>
  <c r="E107" i="1"/>
  <c r="G154" i="1"/>
  <c r="G166" i="1"/>
  <c r="E242" i="1"/>
  <c r="E210" i="1"/>
  <c r="E10" i="1"/>
  <c r="E36" i="1"/>
  <c r="E184" i="1"/>
  <c r="E87" i="1"/>
  <c r="G111" i="1"/>
  <c r="AB208" i="1"/>
  <c r="N171" i="1"/>
  <c r="K206" i="1"/>
  <c r="K224" i="1"/>
  <c r="AB221" i="1"/>
  <c r="K33" i="1"/>
  <c r="N44" i="1"/>
  <c r="K165" i="1"/>
  <c r="AB134" i="1"/>
  <c r="K83" i="1"/>
  <c r="J74" i="1"/>
  <c r="J148" i="1"/>
  <c r="K31" i="1"/>
  <c r="J44" i="1"/>
  <c r="J212" i="1"/>
  <c r="J37" i="1"/>
  <c r="N191" i="1"/>
  <c r="K67" i="1"/>
  <c r="E139" i="1"/>
  <c r="G27" i="1"/>
  <c r="G19" i="1"/>
  <c r="J99" i="1"/>
  <c r="G105" i="1"/>
  <c r="K43" i="1"/>
  <c r="J251" i="1"/>
  <c r="J226" i="1"/>
  <c r="G48" i="1"/>
  <c r="J65" i="1"/>
  <c r="E117" i="1"/>
  <c r="E178" i="1"/>
  <c r="E102" i="1"/>
  <c r="G3" i="1"/>
  <c r="K169" i="1"/>
  <c r="AB189" i="1"/>
  <c r="K208" i="1"/>
  <c r="N12" i="1"/>
  <c r="K230" i="1"/>
  <c r="K183" i="1"/>
  <c r="J124" i="1"/>
  <c r="E229" i="1"/>
  <c r="K173" i="1"/>
  <c r="J98" i="1"/>
  <c r="G237" i="1"/>
  <c r="K59" i="1"/>
  <c r="J241" i="1"/>
  <c r="J86" i="1"/>
  <c r="J21" i="1"/>
  <c r="E132" i="1"/>
  <c r="G16" i="1"/>
  <c r="E13" i="1"/>
  <c r="E91" i="1"/>
  <c r="G14" i="1"/>
  <c r="E14" i="1"/>
  <c r="K65" i="1"/>
  <c r="J30" i="1"/>
  <c r="J153" i="1"/>
  <c r="J230" i="1"/>
  <c r="J63" i="1"/>
  <c r="G93" i="1"/>
  <c r="E3" i="1"/>
  <c r="J149" i="1"/>
  <c r="J72" i="1"/>
  <c r="G7" i="1"/>
  <c r="G88" i="1"/>
  <c r="G188" i="1"/>
  <c r="E225" i="1"/>
  <c r="E27" i="1"/>
  <c r="J217" i="1"/>
  <c r="J200" i="1"/>
  <c r="G122" i="1"/>
  <c r="E234" i="1"/>
  <c r="J239" i="1"/>
  <c r="N101" i="1"/>
  <c r="E209" i="1"/>
  <c r="E241" i="1"/>
  <c r="J218" i="1"/>
  <c r="G40" i="1"/>
  <c r="E162" i="1"/>
  <c r="E64" i="1"/>
  <c r="G192" i="1"/>
  <c r="E142" i="1"/>
  <c r="E230" i="1"/>
  <c r="K105" i="1"/>
  <c r="E165" i="1"/>
  <c r="AB196" i="1"/>
  <c r="N166" i="1"/>
  <c r="K234" i="1"/>
  <c r="AB250" i="1"/>
  <c r="AB162" i="1"/>
  <c r="J117" i="1"/>
  <c r="N3" i="1"/>
  <c r="N204" i="1"/>
  <c r="K189" i="1"/>
  <c r="J208" i="1"/>
  <c r="J70" i="1"/>
  <c r="G213" i="1"/>
  <c r="K47" i="1"/>
  <c r="G183" i="1"/>
  <c r="E89" i="1"/>
  <c r="G144" i="1"/>
  <c r="N223" i="1"/>
  <c r="K167" i="1"/>
  <c r="J163" i="1"/>
  <c r="G145" i="1"/>
  <c r="J133" i="1"/>
  <c r="K197" i="1"/>
  <c r="G74" i="1"/>
  <c r="J81" i="1"/>
  <c r="E120" i="1"/>
  <c r="K107" i="1"/>
  <c r="J24" i="1"/>
  <c r="N46" i="1"/>
  <c r="J90" i="1"/>
  <c r="N15" i="1"/>
  <c r="AB152" i="1"/>
  <c r="N226" i="1"/>
  <c r="AB181" i="1"/>
  <c r="N31" i="1"/>
  <c r="K182" i="1"/>
  <c r="N161" i="1"/>
  <c r="K215" i="1"/>
  <c r="J26" i="1"/>
  <c r="E56" i="1"/>
  <c r="E75" i="1"/>
  <c r="J58" i="1"/>
  <c r="J219" i="1"/>
  <c r="G130" i="1"/>
  <c r="K155" i="1"/>
  <c r="G174" i="1"/>
  <c r="G226" i="1"/>
  <c r="K149" i="1"/>
  <c r="J165" i="1"/>
  <c r="E159" i="1"/>
  <c r="J62" i="1"/>
  <c r="K124" i="1"/>
  <c r="J232" i="1"/>
  <c r="K91" i="1"/>
  <c r="E221" i="1"/>
  <c r="E62" i="1"/>
  <c r="G108" i="1"/>
  <c r="E202" i="1"/>
  <c r="K79" i="1"/>
  <c r="K138" i="1"/>
  <c r="K188" i="1"/>
  <c r="J189" i="1"/>
  <c r="G131" i="1"/>
  <c r="J32" i="1"/>
  <c r="G49" i="1"/>
  <c r="G148" i="1"/>
  <c r="G245" i="1"/>
  <c r="J193" i="1"/>
  <c r="G187" i="1"/>
  <c r="K74" i="1"/>
  <c r="E38" i="1"/>
  <c r="G219" i="1"/>
  <c r="G127" i="1"/>
  <c r="G95" i="1"/>
  <c r="J225" i="1"/>
  <c r="J152" i="1"/>
  <c r="E232" i="1"/>
  <c r="E103" i="1"/>
  <c r="E12" i="1"/>
  <c r="G109" i="1"/>
  <c r="N156" i="1"/>
  <c r="G115" i="1"/>
  <c r="E17" i="1"/>
  <c r="E80" i="1"/>
  <c r="E48" i="1"/>
  <c r="E150" i="1"/>
  <c r="K128" i="1"/>
  <c r="G132" i="1"/>
  <c r="E30" i="1"/>
  <c r="N11" i="1"/>
  <c r="AB222" i="1"/>
  <c r="N154" i="1"/>
  <c r="K118" i="1"/>
  <c r="N131" i="1"/>
  <c r="N83" i="1"/>
  <c r="K50" i="1"/>
  <c r="K101" i="1"/>
  <c r="K140" i="1"/>
  <c r="AB137" i="1"/>
  <c r="K225" i="1"/>
  <c r="G53" i="1"/>
  <c r="G137" i="1"/>
  <c r="J209" i="1"/>
  <c r="K104" i="1"/>
  <c r="J42" i="1"/>
  <c r="J194" i="1"/>
  <c r="J151" i="1"/>
  <c r="G106" i="1"/>
  <c r="G63" i="1"/>
  <c r="G51" i="1"/>
  <c r="N113" i="1"/>
  <c r="K41" i="1"/>
  <c r="J89" i="1"/>
  <c r="J102" i="1"/>
  <c r="G172" i="1"/>
  <c r="G176" i="1"/>
  <c r="G197" i="1"/>
  <c r="G178" i="1"/>
  <c r="E181" i="1"/>
  <c r="E127" i="1"/>
  <c r="N23" i="1"/>
  <c r="K125" i="1"/>
  <c r="J66" i="1"/>
  <c r="E251" i="1"/>
  <c r="G139" i="1"/>
  <c r="E212" i="1"/>
  <c r="E19" i="1"/>
  <c r="N14" i="1"/>
  <c r="AB124" i="1"/>
  <c r="N225" i="1"/>
  <c r="K142" i="1"/>
  <c r="E123" i="1"/>
  <c r="K75" i="1"/>
  <c r="G66" i="1"/>
  <c r="J179" i="1"/>
  <c r="J132" i="1"/>
  <c r="N201" i="1"/>
  <c r="J129" i="1"/>
  <c r="G78" i="1"/>
  <c r="E199" i="1"/>
  <c r="E223" i="1"/>
  <c r="E69" i="1"/>
  <c r="E219" i="1"/>
  <c r="G92" i="1"/>
  <c r="G98" i="1"/>
  <c r="E74" i="1"/>
  <c r="G29" i="1"/>
  <c r="J91" i="1"/>
  <c r="G101" i="1"/>
  <c r="G140" i="1"/>
  <c r="G45" i="1"/>
  <c r="J60" i="1"/>
  <c r="E121" i="1"/>
  <c r="E41" i="1"/>
  <c r="E60" i="1"/>
  <c r="E105" i="1"/>
  <c r="G68" i="1"/>
  <c r="E220" i="1"/>
  <c r="G37" i="1"/>
  <c r="J85" i="1"/>
  <c r="E200" i="1"/>
  <c r="G171" i="1"/>
  <c r="K198" i="1"/>
  <c r="E45" i="1"/>
  <c r="E110" i="1"/>
  <c r="E148" i="1"/>
  <c r="K133" i="1"/>
  <c r="G168" i="1"/>
  <c r="E190" i="1"/>
  <c r="E83" i="1"/>
  <c r="G204" i="1"/>
  <c r="E37" i="1"/>
  <c r="E46" i="1"/>
  <c r="E18" i="1"/>
  <c r="E141" i="1"/>
  <c r="E124" i="1"/>
  <c r="E2" i="1"/>
  <c r="G17" i="1"/>
  <c r="K148" i="1"/>
  <c r="E49" i="1"/>
  <c r="G177" i="1"/>
  <c r="J39" i="1"/>
  <c r="E197" i="1"/>
  <c r="J33" i="1"/>
  <c r="E138" i="1"/>
  <c r="G170" i="1"/>
  <c r="E125" i="1"/>
  <c r="G200" i="1"/>
  <c r="E9" i="1"/>
  <c r="E24" i="1"/>
  <c r="E115" i="1"/>
  <c r="G205" i="1"/>
  <c r="E168" i="1"/>
  <c r="E180" i="1"/>
  <c r="E167" i="1"/>
  <c r="K56" i="1"/>
  <c r="E93" i="1"/>
  <c r="E29" i="1"/>
  <c r="E203" i="1"/>
  <c r="K204" i="1"/>
  <c r="E185" i="1"/>
  <c r="E42" i="1"/>
  <c r="N62" i="1"/>
  <c r="G62" i="1"/>
  <c r="G6" i="1"/>
  <c r="E179" i="1"/>
  <c r="E70" i="1"/>
  <c r="G30" i="1"/>
  <c r="N247" i="1"/>
  <c r="G55" i="1"/>
  <c r="K44" i="1"/>
  <c r="K194" i="1"/>
  <c r="J104" i="1"/>
  <c r="J52" i="1"/>
  <c r="J27" i="1"/>
  <c r="G149" i="1"/>
  <c r="J140" i="1"/>
  <c r="J83" i="1"/>
  <c r="E216" i="1"/>
  <c r="G47" i="1"/>
  <c r="E164" i="1"/>
  <c r="J192" i="1"/>
  <c r="E157" i="1"/>
  <c r="G36" i="1"/>
  <c r="J173" i="1"/>
  <c r="E206" i="1"/>
  <c r="J49" i="1"/>
  <c r="E25" i="1"/>
  <c r="E183" i="1"/>
  <c r="E82" i="1"/>
  <c r="J34" i="1"/>
  <c r="G240" i="1"/>
  <c r="J97" i="1"/>
  <c r="E8" i="1"/>
  <c r="G184" i="1"/>
  <c r="E252" i="1"/>
  <c r="J130" i="1"/>
  <c r="G138" i="1"/>
  <c r="G38" i="1"/>
  <c r="E79" i="1"/>
  <c r="J237" i="1"/>
  <c r="G103" i="1"/>
  <c r="J136" i="1"/>
  <c r="E248" i="1"/>
  <c r="E250" i="1"/>
  <c r="E6" i="1"/>
  <c r="G100" i="1"/>
  <c r="G13" i="1"/>
  <c r="J249" i="1"/>
  <c r="E40" i="1"/>
  <c r="E189" i="1"/>
  <c r="E235" i="1"/>
  <c r="G242" i="1"/>
  <c r="J211" i="1"/>
  <c r="G159" i="1"/>
  <c r="E113" i="1"/>
  <c r="G4" i="1"/>
  <c r="J143" i="1"/>
  <c r="K150" i="1"/>
  <c r="AB209" i="1"/>
  <c r="AB180" i="1"/>
  <c r="AB195" i="1"/>
  <c r="J113" i="1"/>
  <c r="J141" i="1"/>
  <c r="K236" i="1"/>
  <c r="K73" i="1"/>
  <c r="G39" i="1"/>
  <c r="G110" i="1"/>
  <c r="G25" i="1"/>
  <c r="AB117" i="1"/>
  <c r="G215" i="1"/>
  <c r="J142" i="1"/>
  <c r="E131" i="1"/>
  <c r="E137" i="1"/>
  <c r="J121" i="1"/>
  <c r="G206" i="1"/>
  <c r="J247" i="1"/>
  <c r="E95" i="1"/>
  <c r="E166" i="1"/>
  <c r="E76" i="1"/>
  <c r="G70" i="1"/>
  <c r="E109" i="1"/>
  <c r="J160" i="1"/>
  <c r="E98" i="1"/>
  <c r="G96" i="1"/>
  <c r="E239" i="1"/>
  <c r="N231" i="1"/>
  <c r="G83" i="1"/>
  <c r="G231" i="1"/>
  <c r="E194" i="1"/>
  <c r="K120" i="1"/>
  <c r="G94" i="1"/>
  <c r="E160" i="1"/>
  <c r="G150" i="1"/>
  <c r="G143" i="1"/>
  <c r="J204" i="1"/>
  <c r="E81" i="1"/>
  <c r="E55" i="1"/>
  <c r="E133" i="1"/>
  <c r="G18" i="1"/>
  <c r="E147" i="1"/>
  <c r="G239" i="1"/>
  <c r="J224" i="1"/>
  <c r="G120" i="1"/>
  <c r="G246" i="1"/>
  <c r="E50" i="1"/>
  <c r="E7" i="1"/>
  <c r="G60" i="1"/>
  <c r="G151" i="1"/>
  <c r="G89" i="1"/>
  <c r="E238" i="1"/>
  <c r="G223" i="1"/>
  <c r="E173" i="1"/>
  <c r="G32" i="1"/>
  <c r="E26" i="1"/>
  <c r="E222" i="1"/>
  <c r="E122" i="1"/>
  <c r="J55" i="1"/>
  <c r="E101" i="1"/>
  <c r="K48" i="1"/>
  <c r="J112" i="1"/>
  <c r="G179" i="1"/>
  <c r="J76" i="1"/>
  <c r="G173" i="1"/>
  <c r="J187" i="1"/>
  <c r="J111" i="1"/>
  <c r="J178" i="1"/>
  <c r="E78" i="1"/>
  <c r="E193" i="1"/>
  <c r="J46" i="1"/>
  <c r="K81" i="1"/>
  <c r="J29" i="1"/>
  <c r="AB245" i="1"/>
  <c r="N81" i="1"/>
  <c r="J223" i="1"/>
  <c r="K115" i="1"/>
  <c r="K219" i="1"/>
  <c r="J147" i="1"/>
  <c r="E11" i="1"/>
  <c r="G107" i="1"/>
  <c r="E134" i="1"/>
  <c r="E23" i="1"/>
  <c r="J77" i="1"/>
  <c r="K202" i="1"/>
  <c r="E177" i="1"/>
  <c r="G116" i="1"/>
  <c r="G199" i="1"/>
  <c r="G153" i="1"/>
  <c r="E237" i="1"/>
  <c r="G186" i="1"/>
  <c r="G161" i="1"/>
  <c r="E51" i="1"/>
  <c r="E32" i="1"/>
  <c r="G124" i="1"/>
  <c r="E245" i="1"/>
  <c r="G67" i="1"/>
  <c r="G235" i="1"/>
  <c r="E145" i="1"/>
  <c r="K220" i="1"/>
  <c r="G201" i="1"/>
  <c r="N40" i="1"/>
  <c r="K203" i="1"/>
  <c r="N133" i="1"/>
  <c r="N25" i="1"/>
  <c r="G190" i="1"/>
  <c r="J176" i="1"/>
  <c r="K162" i="1"/>
  <c r="K51" i="1"/>
  <c r="J202" i="1"/>
  <c r="G196" i="1"/>
  <c r="G2" i="1"/>
  <c r="G52" i="1"/>
  <c r="J175" i="1"/>
  <c r="G79" i="1"/>
  <c r="K60" i="1"/>
  <c r="N60" i="1"/>
  <c r="G189" i="1"/>
  <c r="E143" i="1"/>
  <c r="G224" i="1"/>
  <c r="K39" i="1"/>
  <c r="G69" i="1"/>
  <c r="K52" i="1"/>
  <c r="N183" i="1"/>
  <c r="G80" i="1"/>
  <c r="E54" i="1"/>
  <c r="E104" i="1"/>
  <c r="J53" i="1"/>
  <c r="N112" i="1"/>
  <c r="G114" i="1"/>
  <c r="E34" i="1"/>
  <c r="E119" i="1"/>
  <c r="G214" i="1"/>
  <c r="N211" i="1"/>
  <c r="G164" i="1"/>
  <c r="E205" i="1"/>
  <c r="G163" i="1"/>
  <c r="G216" i="1"/>
  <c r="E100" i="1"/>
  <c r="E153" i="1"/>
  <c r="E152" i="1"/>
  <c r="E186" i="1"/>
  <c r="J213" i="1"/>
  <c r="E92" i="1"/>
  <c r="E5" i="1"/>
  <c r="K146" i="1"/>
  <c r="E128" i="1"/>
  <c r="E126" i="1"/>
  <c r="G129" i="1"/>
  <c r="E33" i="1"/>
  <c r="J145" i="1"/>
  <c r="K241" i="1"/>
  <c r="G202" i="1"/>
  <c r="J100" i="1"/>
  <c r="E218" i="1"/>
  <c r="E57" i="1"/>
  <c r="K240" i="1"/>
  <c r="G42" i="1"/>
  <c r="G77" i="1"/>
  <c r="E161" i="1"/>
  <c r="G91" i="1"/>
  <c r="N63" i="1"/>
  <c r="G243" i="1"/>
  <c r="E188" i="1"/>
  <c r="E28" i="1"/>
  <c r="E155" i="1"/>
  <c r="E163" i="1"/>
  <c r="G57" i="1"/>
  <c r="E111" i="1"/>
  <c r="N155" i="1"/>
  <c r="AB201" i="1"/>
  <c r="K112" i="1"/>
  <c r="K172" i="1"/>
  <c r="K46" i="1"/>
  <c r="G86" i="1"/>
  <c r="J131" i="1"/>
  <c r="N239" i="1"/>
  <c r="J233" i="1"/>
  <c r="G35" i="1"/>
  <c r="E170" i="1"/>
  <c r="N13" i="1"/>
  <c r="J128" i="1"/>
  <c r="J191" i="1"/>
  <c r="G165" i="1"/>
  <c r="E77" i="1"/>
  <c r="G146" i="1"/>
  <c r="K174" i="1"/>
  <c r="E233" i="1"/>
  <c r="G222" i="1"/>
  <c r="E215" i="1"/>
  <c r="N22" i="1"/>
  <c r="G244" i="1"/>
  <c r="G58" i="1"/>
  <c r="G136" i="1"/>
  <c r="G99" i="1"/>
  <c r="J61" i="1"/>
  <c r="G250" i="1"/>
  <c r="G44" i="1"/>
  <c r="G54" i="1"/>
  <c r="G56" i="1"/>
  <c r="E97" i="1"/>
  <c r="G180" i="1"/>
  <c r="J101" i="1"/>
  <c r="E86" i="1"/>
  <c r="G34" i="1"/>
  <c r="E227" i="1"/>
  <c r="E136" i="1"/>
  <c r="E112" i="1"/>
  <c r="E214" i="1"/>
  <c r="G234" i="1"/>
  <c r="J36" i="1"/>
  <c r="G8" i="1"/>
  <c r="G220" i="1"/>
  <c r="E31" i="1"/>
  <c r="G229" i="1"/>
  <c r="G227" i="1"/>
  <c r="E15" i="1"/>
  <c r="E176" i="1"/>
  <c r="G121" i="1"/>
  <c r="G87" i="1"/>
  <c r="G119" i="1"/>
  <c r="G64" i="1"/>
  <c r="E208" i="1"/>
  <c r="E72" i="1"/>
  <c r="E71" i="1"/>
  <c r="E207" i="1"/>
  <c r="J190" i="1"/>
  <c r="G61" i="1"/>
  <c r="K93" i="1"/>
  <c r="J227" i="1"/>
  <c r="K193" i="1"/>
  <c r="G76" i="1"/>
  <c r="G31" i="1"/>
  <c r="G71" i="1"/>
  <c r="G12" i="1"/>
  <c r="E94" i="1"/>
  <c r="E52" i="1"/>
  <c r="G191" i="1"/>
  <c r="G155" i="1"/>
  <c r="E130" i="1"/>
  <c r="E175" i="1"/>
  <c r="K131" i="1"/>
  <c r="G158" i="1"/>
  <c r="G11" i="1"/>
  <c r="K145" i="1"/>
  <c r="G118" i="1"/>
  <c r="G65" i="1"/>
  <c r="G97" i="1"/>
  <c r="G232" i="1"/>
  <c r="G210" i="1"/>
  <c r="E114" i="1"/>
  <c r="E66" i="1"/>
  <c r="E90" i="1"/>
  <c r="J195" i="1"/>
  <c r="E224" i="1"/>
  <c r="J67" i="1"/>
  <c r="E43" i="1"/>
  <c r="G46" i="1"/>
  <c r="E169" i="1"/>
  <c r="G198" i="1"/>
  <c r="K76" i="1"/>
  <c r="E198" i="1"/>
  <c r="E151" i="1"/>
  <c r="J107" i="1"/>
  <c r="E47" i="1"/>
  <c r="G251" i="1"/>
  <c r="E63" i="1"/>
  <c r="J228" i="1"/>
  <c r="E88" i="1"/>
  <c r="G247" i="1"/>
  <c r="G207" i="1"/>
  <c r="E247" i="1"/>
  <c r="E99" i="1"/>
  <c r="G209" i="1"/>
  <c r="J240" i="1"/>
  <c r="K243" i="1"/>
  <c r="E211" i="1"/>
  <c r="G50" i="1"/>
  <c r="G33" i="1"/>
  <c r="G26" i="1"/>
  <c r="E135" i="1"/>
  <c r="Y28" i="1" l="1"/>
  <c r="Y27" i="1"/>
  <c r="M36" i="1"/>
  <c r="L36" i="1"/>
  <c r="O22" i="1"/>
  <c r="P22" i="1"/>
  <c r="L191" i="1"/>
  <c r="M191" i="1"/>
  <c r="M53" i="1"/>
  <c r="L53" i="1"/>
  <c r="O60" i="1"/>
  <c r="P60" i="1"/>
  <c r="M224" i="1"/>
  <c r="L224" i="1"/>
  <c r="M121" i="1"/>
  <c r="L121" i="1"/>
  <c r="M49" i="1"/>
  <c r="L49" i="1"/>
  <c r="L192" i="1"/>
  <c r="M192" i="1"/>
  <c r="O247" i="1"/>
  <c r="P247" i="1"/>
  <c r="M39" i="1"/>
  <c r="L39" i="1"/>
  <c r="F75" i="1"/>
  <c r="F201" i="1"/>
  <c r="F29" i="1"/>
  <c r="F5" i="1"/>
  <c r="F246" i="1"/>
  <c r="F92" i="1"/>
  <c r="F25" i="1"/>
  <c r="F67" i="1"/>
  <c r="F131" i="1"/>
  <c r="F12" i="1"/>
  <c r="F118" i="1"/>
  <c r="F99" i="1"/>
  <c r="F206" i="1"/>
  <c r="F239" i="1"/>
  <c r="F79" i="1"/>
  <c r="F177" i="1"/>
  <c r="F72" i="1"/>
  <c r="F107" i="1"/>
  <c r="F175" i="1"/>
  <c r="F36" i="1"/>
  <c r="F115" i="1"/>
  <c r="F105" i="1"/>
  <c r="F145" i="1"/>
  <c r="F164" i="1"/>
  <c r="F43" i="1"/>
  <c r="F252" i="1"/>
  <c r="F28" i="1"/>
  <c r="F60" i="1"/>
  <c r="F33" i="1"/>
  <c r="F41" i="1"/>
  <c r="F236" i="1"/>
  <c r="F158" i="1"/>
  <c r="F104" i="1"/>
  <c r="F130" i="1"/>
  <c r="F191" i="1"/>
  <c r="F51" i="1"/>
  <c r="F174" i="1"/>
  <c r="F232" i="1"/>
  <c r="F53" i="1"/>
  <c r="F31" i="1"/>
  <c r="F134" i="1"/>
  <c r="F103" i="1"/>
  <c r="F139" i="1"/>
  <c r="F214" i="1"/>
  <c r="F126" i="1"/>
  <c r="F240" i="1"/>
  <c r="F80" i="1"/>
  <c r="F45" i="1"/>
  <c r="F113" i="1"/>
  <c r="F204" i="1"/>
  <c r="F9" i="1"/>
  <c r="F58" i="1"/>
  <c r="F192" i="1"/>
  <c r="F76" i="1"/>
  <c r="F187" i="1"/>
  <c r="F223" i="1"/>
  <c r="F16" i="1"/>
  <c r="F132" i="1"/>
  <c r="F196" i="1"/>
  <c r="F225" i="1"/>
  <c r="F137" i="1"/>
  <c r="F250" i="1"/>
  <c r="F98" i="1"/>
  <c r="F112" i="1"/>
  <c r="F165" i="1"/>
  <c r="F63" i="1"/>
  <c r="F194" i="1"/>
  <c r="F182" i="1"/>
  <c r="F142" i="1"/>
  <c r="F121" i="1"/>
  <c r="F54" i="1"/>
  <c r="F124" i="1"/>
  <c r="F69" i="1"/>
  <c r="F219" i="1"/>
  <c r="F153" i="1"/>
  <c r="F21" i="1"/>
  <c r="F111" i="1"/>
  <c r="F73" i="1"/>
  <c r="F116" i="1"/>
  <c r="F68" i="1"/>
  <c r="F6" i="1"/>
  <c r="F35" i="1"/>
  <c r="F189" i="1"/>
  <c r="F179" i="1"/>
  <c r="F211" i="1"/>
  <c r="F215" i="1"/>
  <c r="F231" i="1"/>
  <c r="F247" i="1"/>
  <c r="F83" i="1"/>
  <c r="F245" i="1"/>
  <c r="F198" i="1"/>
  <c r="F208" i="1"/>
  <c r="F96" i="1"/>
  <c r="F30" i="1"/>
  <c r="F123" i="1"/>
  <c r="F178" i="1"/>
  <c r="F248" i="1"/>
  <c r="F37" i="1"/>
  <c r="F218" i="1"/>
  <c r="F149" i="1"/>
  <c r="F154" i="1"/>
  <c r="F148" i="1"/>
  <c r="F109" i="1"/>
  <c r="F169" i="1"/>
  <c r="F203" i="1"/>
  <c r="F81" i="1"/>
  <c r="F184" i="1"/>
  <c r="F32" i="1"/>
  <c r="F197" i="1"/>
  <c r="F224" i="1"/>
  <c r="F185" i="1"/>
  <c r="F106" i="1"/>
  <c r="F4" i="1"/>
  <c r="F167" i="1"/>
  <c r="F108" i="1"/>
  <c r="F146" i="1"/>
  <c r="F2" i="1"/>
  <c r="F55" i="1"/>
  <c r="F46" i="1"/>
  <c r="F89" i="1"/>
  <c r="F24" i="1"/>
  <c r="F249" i="1"/>
  <c r="F230" i="1"/>
  <c r="F242" i="1"/>
  <c r="F61" i="1"/>
  <c r="F155" i="1"/>
  <c r="F56" i="1"/>
  <c r="F237" i="1"/>
  <c r="F229" i="1"/>
  <c r="F94" i="1"/>
  <c r="F3" i="1"/>
  <c r="F222" i="1"/>
  <c r="F34" i="1"/>
  <c r="F166" i="1"/>
  <c r="F151" i="1"/>
  <c r="F23" i="1"/>
  <c r="F86" i="1"/>
  <c r="F38" i="1"/>
  <c r="F135" i="1"/>
  <c r="F27" i="1"/>
  <c r="F220" i="1"/>
  <c r="F8" i="1"/>
  <c r="F95" i="1"/>
  <c r="F90" i="1"/>
  <c r="F244" i="1"/>
  <c r="F181" i="1"/>
  <c r="F183" i="1"/>
  <c r="F42" i="1"/>
  <c r="F101" i="1"/>
  <c r="F173" i="1"/>
  <c r="F241" i="1"/>
  <c r="F162" i="1"/>
  <c r="F18" i="1"/>
  <c r="F205" i="1"/>
  <c r="F77" i="1"/>
  <c r="F120" i="1"/>
  <c r="F163" i="1"/>
  <c r="F235" i="1"/>
  <c r="F114" i="1"/>
  <c r="F40" i="1"/>
  <c r="F207" i="1"/>
  <c r="F156" i="1"/>
  <c r="F44" i="1"/>
  <c r="F93" i="1"/>
  <c r="F228" i="1"/>
  <c r="F152" i="1"/>
  <c r="F168" i="1"/>
  <c r="F234" i="1"/>
  <c r="F119" i="1"/>
  <c r="F117" i="1"/>
  <c r="F102" i="1"/>
  <c r="F110" i="1"/>
  <c r="F199" i="1"/>
  <c r="F22" i="1"/>
  <c r="F87" i="1"/>
  <c r="F200" i="1"/>
  <c r="F39" i="1"/>
  <c r="F157" i="1"/>
  <c r="F147" i="1"/>
  <c r="F195" i="1"/>
  <c r="F129" i="1"/>
  <c r="F171" i="1"/>
  <c r="F85" i="1"/>
  <c r="F57" i="1"/>
  <c r="F251" i="1"/>
  <c r="F144" i="1"/>
  <c r="F19" i="1"/>
  <c r="F243" i="1"/>
  <c r="F213" i="1"/>
  <c r="F216" i="1"/>
  <c r="F52" i="1"/>
  <c r="F26" i="1"/>
  <c r="F59" i="1"/>
  <c r="F217" i="1"/>
  <c r="F188" i="1"/>
  <c r="F15" i="1"/>
  <c r="F186" i="1"/>
  <c r="F14" i="1"/>
  <c r="F161" i="1"/>
  <c r="F47" i="1"/>
  <c r="F238" i="1"/>
  <c r="F233" i="1"/>
  <c r="F140" i="1"/>
  <c r="F65" i="1"/>
  <c r="F78" i="1"/>
  <c r="F88" i="1"/>
  <c r="F20" i="1"/>
  <c r="F133" i="1"/>
  <c r="F190" i="1"/>
  <c r="F91" i="1"/>
  <c r="F138" i="1"/>
  <c r="F84" i="1"/>
  <c r="F50" i="1"/>
  <c r="F172" i="1"/>
  <c r="F176" i="1"/>
  <c r="F48" i="1"/>
  <c r="F74" i="1"/>
  <c r="F127" i="1"/>
  <c r="F49" i="1"/>
  <c r="F62" i="1"/>
  <c r="F141" i="1"/>
  <c r="F82" i="1"/>
  <c r="F180" i="1"/>
  <c r="F70" i="1"/>
  <c r="F221" i="1"/>
  <c r="F227" i="1"/>
  <c r="F11" i="1"/>
  <c r="F128" i="1"/>
  <c r="F122" i="1"/>
  <c r="F170" i="1"/>
  <c r="F71" i="1"/>
  <c r="F97" i="1"/>
  <c r="F193" i="1"/>
  <c r="F150" i="1"/>
  <c r="F160" i="1"/>
  <c r="F17" i="1"/>
  <c r="F210" i="1"/>
  <c r="F13" i="1"/>
  <c r="F64" i="1"/>
  <c r="F226" i="1"/>
  <c r="F202" i="1"/>
  <c r="F212" i="1"/>
  <c r="F7" i="1"/>
  <c r="F159" i="1"/>
  <c r="F143" i="1"/>
  <c r="F10" i="1"/>
  <c r="F125" i="1"/>
  <c r="F209" i="1"/>
  <c r="F136" i="1"/>
  <c r="F66" i="1"/>
  <c r="F100" i="1"/>
  <c r="L85" i="1"/>
  <c r="M85" i="1"/>
  <c r="O201" i="1"/>
  <c r="P201" i="1"/>
  <c r="P23" i="1"/>
  <c r="O23" i="1"/>
  <c r="L89" i="1"/>
  <c r="M89" i="1"/>
  <c r="M81" i="1"/>
  <c r="L81" i="1"/>
  <c r="P204" i="1"/>
  <c r="O204" i="1"/>
  <c r="M218" i="1"/>
  <c r="L218" i="1"/>
  <c r="L86" i="1"/>
  <c r="M86" i="1"/>
  <c r="M124" i="1"/>
  <c r="L124" i="1"/>
  <c r="P12" i="1"/>
  <c r="O12" i="1"/>
  <c r="L37" i="1"/>
  <c r="M37" i="1"/>
  <c r="M64" i="1"/>
  <c r="L64" i="1"/>
  <c r="P43" i="1"/>
  <c r="O43" i="1"/>
  <c r="O19" i="1"/>
  <c r="P19" i="1"/>
  <c r="P189" i="1"/>
  <c r="O189" i="1"/>
  <c r="M220" i="1"/>
  <c r="L220" i="1"/>
  <c r="L50" i="1"/>
  <c r="M50" i="1"/>
  <c r="L120" i="1"/>
  <c r="M120" i="1"/>
  <c r="O42" i="1"/>
  <c r="P42" i="1"/>
  <c r="P47" i="1"/>
  <c r="O47" i="1"/>
  <c r="L169" i="1"/>
  <c r="M169" i="1"/>
  <c r="L164" i="1"/>
  <c r="M164" i="1"/>
  <c r="L203" i="1"/>
  <c r="M203" i="1"/>
  <c r="O158" i="1"/>
  <c r="P158" i="1"/>
  <c r="O97" i="1"/>
  <c r="P97" i="1"/>
  <c r="L105" i="1"/>
  <c r="M105" i="1"/>
  <c r="L40" i="1"/>
  <c r="M40" i="1"/>
  <c r="L28" i="1"/>
  <c r="M28" i="1"/>
  <c r="O65" i="1"/>
  <c r="P65" i="1"/>
  <c r="O92" i="1"/>
  <c r="P92" i="1"/>
  <c r="P93" i="1"/>
  <c r="O93" i="1"/>
  <c r="O137" i="1"/>
  <c r="P137" i="1"/>
  <c r="P230" i="1"/>
  <c r="O230" i="1"/>
  <c r="P26" i="1"/>
  <c r="O26" i="1"/>
  <c r="O33" i="1"/>
  <c r="P33" i="1"/>
  <c r="O16" i="1"/>
  <c r="P16" i="1"/>
  <c r="O45" i="1"/>
  <c r="P45" i="1"/>
  <c r="P220" i="1"/>
  <c r="O220" i="1"/>
  <c r="O143" i="1"/>
  <c r="P143" i="1"/>
  <c r="P145" i="1"/>
  <c r="O145" i="1"/>
  <c r="M228" i="1"/>
  <c r="L228" i="1"/>
  <c r="L90" i="1"/>
  <c r="M90" i="1"/>
  <c r="M163" i="1"/>
  <c r="L163" i="1"/>
  <c r="P199" i="1"/>
  <c r="O199" i="1"/>
  <c r="L236" i="1"/>
  <c r="M236" i="1"/>
  <c r="P116" i="1"/>
  <c r="O116" i="1"/>
  <c r="L159" i="1"/>
  <c r="M159" i="1"/>
  <c r="O146" i="1"/>
  <c r="P146" i="1"/>
  <c r="O50" i="1"/>
  <c r="P50" i="1"/>
  <c r="P20" i="1"/>
  <c r="O20" i="1"/>
  <c r="O194" i="1"/>
  <c r="P194" i="1"/>
  <c r="M93" i="1"/>
  <c r="L93" i="1"/>
  <c r="M95" i="1"/>
  <c r="L95" i="1"/>
  <c r="L103" i="1"/>
  <c r="M103" i="1"/>
  <c r="L87" i="1"/>
  <c r="M87" i="1"/>
  <c r="O140" i="1"/>
  <c r="P140" i="1"/>
  <c r="P144" i="1"/>
  <c r="O144" i="1"/>
  <c r="O118" i="1"/>
  <c r="P118" i="1"/>
  <c r="P28" i="1"/>
  <c r="O28" i="1"/>
  <c r="O115" i="1"/>
  <c r="P115" i="1"/>
  <c r="O222" i="1"/>
  <c r="P222" i="1"/>
  <c r="P152" i="1"/>
  <c r="O152" i="1"/>
  <c r="P104" i="1"/>
  <c r="O104" i="1"/>
  <c r="O78" i="1"/>
  <c r="P78" i="1"/>
  <c r="O217" i="1"/>
  <c r="P217" i="1"/>
  <c r="O186" i="1"/>
  <c r="P186" i="1"/>
  <c r="P150" i="1"/>
  <c r="O150" i="1"/>
  <c r="O71" i="1"/>
  <c r="P71" i="1"/>
  <c r="P139" i="1"/>
  <c r="O139" i="1"/>
  <c r="L240" i="1"/>
  <c r="M240" i="1"/>
  <c r="O155" i="1"/>
  <c r="P155" i="1"/>
  <c r="O25" i="1"/>
  <c r="P25" i="1"/>
  <c r="M178" i="1"/>
  <c r="L178" i="1"/>
  <c r="M112" i="1"/>
  <c r="L112" i="1"/>
  <c r="L249" i="1"/>
  <c r="M249" i="1"/>
  <c r="M33" i="1"/>
  <c r="L33" i="1"/>
  <c r="L60" i="1"/>
  <c r="M60" i="1"/>
  <c r="M91" i="1"/>
  <c r="L91" i="1"/>
  <c r="P156" i="1"/>
  <c r="O156" i="1"/>
  <c r="M225" i="1"/>
  <c r="L225" i="1"/>
  <c r="M32" i="1"/>
  <c r="L32" i="1"/>
  <c r="L26" i="1"/>
  <c r="M26" i="1"/>
  <c r="O161" i="1"/>
  <c r="P161" i="1"/>
  <c r="O46" i="1"/>
  <c r="P46" i="1"/>
  <c r="M239" i="1"/>
  <c r="L239" i="1"/>
  <c r="M230" i="1"/>
  <c r="L230" i="1"/>
  <c r="L44" i="1"/>
  <c r="M44" i="1"/>
  <c r="M126" i="1"/>
  <c r="L126" i="1"/>
  <c r="L252" i="1"/>
  <c r="M252" i="1"/>
  <c r="P159" i="1"/>
  <c r="O159" i="1"/>
  <c r="O215" i="1"/>
  <c r="P215" i="1"/>
  <c r="O4" i="1"/>
  <c r="P4" i="1"/>
  <c r="L38" i="1"/>
  <c r="M38" i="1"/>
  <c r="O170" i="1"/>
  <c r="P170" i="1"/>
  <c r="P58" i="1"/>
  <c r="O58" i="1"/>
  <c r="O250" i="1"/>
  <c r="P250" i="1"/>
  <c r="O39" i="1"/>
  <c r="P39" i="1"/>
  <c r="M185" i="1"/>
  <c r="L185" i="1"/>
  <c r="L242" i="1"/>
  <c r="M242" i="1"/>
  <c r="O174" i="1"/>
  <c r="P174" i="1"/>
  <c r="P8" i="1"/>
  <c r="O8" i="1"/>
  <c r="O124" i="1"/>
  <c r="P124" i="1"/>
  <c r="O237" i="1"/>
  <c r="P237" i="1"/>
  <c r="P106" i="1"/>
  <c r="O106" i="1"/>
  <c r="L206" i="1"/>
  <c r="M206" i="1"/>
  <c r="M222" i="1"/>
  <c r="L222" i="1"/>
  <c r="M57" i="1"/>
  <c r="L57" i="1"/>
  <c r="L122" i="1"/>
  <c r="M122" i="1"/>
  <c r="P89" i="1"/>
  <c r="O89" i="1"/>
  <c r="L68" i="1"/>
  <c r="M68" i="1"/>
  <c r="L180" i="1"/>
  <c r="M180" i="1"/>
  <c r="M78" i="1"/>
  <c r="L78" i="1"/>
  <c r="M48" i="1"/>
  <c r="L48" i="1"/>
  <c r="M94" i="1"/>
  <c r="L94" i="1"/>
  <c r="O128" i="1"/>
  <c r="P128" i="1"/>
  <c r="O206" i="1"/>
  <c r="P206" i="1"/>
  <c r="P236" i="1"/>
  <c r="O236" i="1"/>
  <c r="P234" i="1"/>
  <c r="O234" i="1"/>
  <c r="O103" i="1"/>
  <c r="P103" i="1"/>
  <c r="P169" i="1"/>
  <c r="O169" i="1"/>
  <c r="O6" i="1"/>
  <c r="P6" i="1"/>
  <c r="P74" i="1"/>
  <c r="O74" i="1"/>
  <c r="P165" i="1"/>
  <c r="O165" i="1"/>
  <c r="P51" i="1"/>
  <c r="O51" i="1"/>
  <c r="P56" i="1"/>
  <c r="O56" i="1"/>
  <c r="O34" i="1"/>
  <c r="P34" i="1"/>
  <c r="M247" i="1"/>
  <c r="L247" i="1"/>
  <c r="L140" i="1"/>
  <c r="M140" i="1"/>
  <c r="P62" i="1"/>
  <c r="O62" i="1"/>
  <c r="M66" i="1"/>
  <c r="L66" i="1"/>
  <c r="O154" i="1"/>
  <c r="P154" i="1"/>
  <c r="L63" i="1"/>
  <c r="M63" i="1"/>
  <c r="M251" i="1"/>
  <c r="L251" i="1"/>
  <c r="M212" i="1"/>
  <c r="L212" i="1"/>
  <c r="M170" i="1"/>
  <c r="L170" i="1"/>
  <c r="O94" i="1"/>
  <c r="P94" i="1"/>
  <c r="O244" i="1"/>
  <c r="P244" i="1"/>
  <c r="M59" i="1"/>
  <c r="L59" i="1"/>
  <c r="L167" i="1"/>
  <c r="M167" i="1"/>
  <c r="M207" i="1"/>
  <c r="L207" i="1"/>
  <c r="O70" i="1"/>
  <c r="P70" i="1"/>
  <c r="L248" i="1"/>
  <c r="M248" i="1"/>
  <c r="O243" i="1"/>
  <c r="P243" i="1"/>
  <c r="L128" i="1"/>
  <c r="M128" i="1"/>
  <c r="P239" i="1"/>
  <c r="O239" i="1"/>
  <c r="M100" i="1"/>
  <c r="L100" i="1"/>
  <c r="M202" i="1"/>
  <c r="L202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136" i="1"/>
  <c r="M136" i="1"/>
  <c r="L97" i="1"/>
  <c r="M97" i="1"/>
  <c r="M173" i="1"/>
  <c r="L173" i="1"/>
  <c r="M52" i="1"/>
  <c r="L52" i="1"/>
  <c r="M132" i="1"/>
  <c r="L132" i="1"/>
  <c r="P113" i="1"/>
  <c r="O113" i="1"/>
  <c r="L232" i="1"/>
  <c r="M232" i="1"/>
  <c r="O31" i="1"/>
  <c r="P31" i="1"/>
  <c r="M24" i="1"/>
  <c r="L24" i="1"/>
  <c r="P3" i="1"/>
  <c r="O3" i="1"/>
  <c r="L98" i="1"/>
  <c r="M98" i="1"/>
  <c r="L92" i="1"/>
  <c r="M92" i="1"/>
  <c r="L123" i="1"/>
  <c r="M123" i="1"/>
  <c r="L35" i="1"/>
  <c r="M35" i="1"/>
  <c r="M84" i="1"/>
  <c r="L84" i="1"/>
  <c r="O228" i="1"/>
  <c r="P228" i="1"/>
  <c r="L201" i="1"/>
  <c r="M201" i="1"/>
  <c r="M229" i="1"/>
  <c r="L229" i="1"/>
  <c r="L166" i="1"/>
  <c r="M166" i="1"/>
  <c r="O197" i="1"/>
  <c r="P197" i="1"/>
  <c r="M88" i="1"/>
  <c r="L88" i="1"/>
  <c r="O248" i="1"/>
  <c r="P248" i="1"/>
  <c r="P235" i="1"/>
  <c r="O235" i="1"/>
  <c r="L41" i="1"/>
  <c r="M41" i="1"/>
  <c r="P252" i="1"/>
  <c r="O252" i="1"/>
  <c r="P193" i="1"/>
  <c r="O193" i="1"/>
  <c r="L183" i="1"/>
  <c r="M183" i="1"/>
  <c r="M25" i="1"/>
  <c r="L25" i="1"/>
  <c r="O24" i="1"/>
  <c r="P24" i="1"/>
  <c r="M54" i="1"/>
  <c r="L54" i="1"/>
  <c r="L246" i="1"/>
  <c r="M246" i="1"/>
  <c r="P136" i="1"/>
  <c r="O136" i="1"/>
  <c r="P148" i="1"/>
  <c r="O148" i="1"/>
  <c r="P86" i="1"/>
  <c r="O86" i="1"/>
  <c r="L146" i="1"/>
  <c r="M146" i="1"/>
  <c r="P147" i="1"/>
  <c r="O147" i="1"/>
  <c r="P30" i="1"/>
  <c r="O30" i="1"/>
  <c r="P241" i="1"/>
  <c r="O241" i="1"/>
  <c r="O190" i="1"/>
  <c r="P190" i="1"/>
  <c r="M125" i="1"/>
  <c r="L125" i="1"/>
  <c r="M177" i="1"/>
  <c r="L177" i="1"/>
  <c r="P249" i="1"/>
  <c r="O249" i="1"/>
  <c r="P85" i="1"/>
  <c r="O85" i="1"/>
  <c r="O41" i="1"/>
  <c r="P41" i="1"/>
  <c r="P64" i="1"/>
  <c r="O64" i="1"/>
  <c r="P110" i="1"/>
  <c r="O110" i="1"/>
  <c r="P27" i="1"/>
  <c r="O27" i="1"/>
  <c r="P38" i="1"/>
  <c r="O38" i="1"/>
  <c r="O160" i="1"/>
  <c r="P160" i="1"/>
  <c r="P134" i="1"/>
  <c r="O134" i="1"/>
  <c r="P202" i="1"/>
  <c r="O202" i="1"/>
  <c r="P229" i="1"/>
  <c r="O229" i="1"/>
  <c r="O88" i="1"/>
  <c r="P88" i="1"/>
  <c r="P203" i="1"/>
  <c r="O203" i="1"/>
  <c r="O162" i="1"/>
  <c r="P162" i="1"/>
  <c r="M150" i="1"/>
  <c r="L150" i="1"/>
  <c r="O5" i="1"/>
  <c r="P5" i="1"/>
  <c r="O77" i="1"/>
  <c r="P77" i="1"/>
  <c r="P121" i="1"/>
  <c r="O121" i="1"/>
  <c r="O59" i="1"/>
  <c r="P59" i="1"/>
  <c r="P192" i="1"/>
  <c r="O192" i="1"/>
  <c r="P231" i="1"/>
  <c r="O231" i="1"/>
  <c r="L130" i="1"/>
  <c r="M130" i="1"/>
  <c r="L83" i="1"/>
  <c r="M83" i="1"/>
  <c r="L27" i="1"/>
  <c r="M27" i="1"/>
  <c r="L151" i="1"/>
  <c r="M151" i="1"/>
  <c r="P83" i="1"/>
  <c r="O83" i="1"/>
  <c r="O11" i="1"/>
  <c r="P11" i="1"/>
  <c r="L189" i="1"/>
  <c r="M189" i="1"/>
  <c r="M70" i="1"/>
  <c r="L70" i="1"/>
  <c r="M200" i="1"/>
  <c r="L200" i="1"/>
  <c r="L226" i="1"/>
  <c r="M226" i="1"/>
  <c r="P191" i="1"/>
  <c r="O191" i="1"/>
  <c r="L196" i="1"/>
  <c r="M196" i="1"/>
  <c r="L96" i="1"/>
  <c r="M96" i="1"/>
  <c r="M43" i="1"/>
  <c r="L43" i="1"/>
  <c r="M79" i="1"/>
  <c r="L79" i="1"/>
  <c r="L119" i="1"/>
  <c r="M119" i="1"/>
  <c r="L235" i="1"/>
  <c r="M235" i="1"/>
  <c r="P57" i="1"/>
  <c r="O57" i="1"/>
  <c r="L157" i="1"/>
  <c r="M157" i="1"/>
  <c r="L108" i="1"/>
  <c r="M108" i="1"/>
  <c r="O232" i="1"/>
  <c r="P232" i="1"/>
  <c r="P48" i="1"/>
  <c r="O48" i="1"/>
  <c r="M118" i="1"/>
  <c r="L118" i="1"/>
  <c r="M171" i="1"/>
  <c r="L171" i="1"/>
  <c r="L139" i="1"/>
  <c r="M139" i="1"/>
  <c r="P177" i="1"/>
  <c r="O177" i="1"/>
  <c r="M31" i="1"/>
  <c r="L31" i="1"/>
  <c r="P210" i="1"/>
  <c r="O210" i="1"/>
  <c r="L135" i="1"/>
  <c r="M135" i="1"/>
  <c r="O149" i="1"/>
  <c r="P149" i="1"/>
  <c r="M205" i="1"/>
  <c r="L205" i="1"/>
  <c r="L184" i="1"/>
  <c r="M184" i="1"/>
  <c r="L23" i="1"/>
  <c r="M23" i="1"/>
  <c r="O187" i="1"/>
  <c r="P187" i="1"/>
  <c r="M199" i="1"/>
  <c r="L199" i="1"/>
  <c r="L161" i="1"/>
  <c r="M161" i="1"/>
  <c r="P251" i="1"/>
  <c r="O251" i="1"/>
  <c r="P18" i="1"/>
  <c r="O18" i="1"/>
  <c r="P173" i="1"/>
  <c r="O173" i="1"/>
  <c r="L244" i="1"/>
  <c r="M244" i="1"/>
  <c r="M188" i="1"/>
  <c r="L188" i="1"/>
  <c r="M214" i="1"/>
  <c r="L214" i="1"/>
  <c r="O227" i="1"/>
  <c r="P227" i="1"/>
  <c r="P242" i="1"/>
  <c r="O242" i="1"/>
  <c r="P207" i="1"/>
  <c r="O207" i="1"/>
  <c r="P79" i="1"/>
  <c r="O79" i="1"/>
  <c r="O196" i="1"/>
  <c r="P196" i="1"/>
  <c r="O221" i="1"/>
  <c r="P221" i="1"/>
  <c r="P17" i="1"/>
  <c r="O17" i="1"/>
  <c r="P87" i="1"/>
  <c r="O87" i="1"/>
  <c r="P111" i="1"/>
  <c r="O111" i="1"/>
  <c r="O29" i="1"/>
  <c r="P29" i="1"/>
  <c r="O219" i="1"/>
  <c r="P219" i="1"/>
  <c r="P90" i="1"/>
  <c r="O90" i="1"/>
  <c r="O80" i="1"/>
  <c r="P80" i="1"/>
  <c r="P132" i="1"/>
  <c r="O132" i="1"/>
  <c r="P54" i="1"/>
  <c r="O54" i="1"/>
  <c r="M233" i="1"/>
  <c r="L233" i="1"/>
  <c r="L195" i="1"/>
  <c r="M195" i="1"/>
  <c r="M61" i="1"/>
  <c r="L61" i="1"/>
  <c r="O81" i="1"/>
  <c r="P81" i="1"/>
  <c r="L107" i="1"/>
  <c r="M107" i="1"/>
  <c r="L213" i="1"/>
  <c r="M213" i="1"/>
  <c r="M175" i="1"/>
  <c r="L175" i="1"/>
  <c r="M187" i="1"/>
  <c r="L187" i="1"/>
  <c r="M55" i="1"/>
  <c r="L55" i="1"/>
  <c r="L160" i="1"/>
  <c r="M160" i="1"/>
  <c r="L113" i="1"/>
  <c r="M113" i="1"/>
  <c r="M237" i="1"/>
  <c r="L237" i="1"/>
  <c r="L104" i="1"/>
  <c r="M104" i="1"/>
  <c r="L129" i="1"/>
  <c r="M129" i="1"/>
  <c r="M179" i="1"/>
  <c r="L179" i="1"/>
  <c r="P225" i="1"/>
  <c r="O225" i="1"/>
  <c r="L102" i="1"/>
  <c r="M102" i="1"/>
  <c r="M194" i="1"/>
  <c r="L194" i="1"/>
  <c r="M209" i="1"/>
  <c r="L209" i="1"/>
  <c r="L152" i="1"/>
  <c r="M152" i="1"/>
  <c r="M62" i="1"/>
  <c r="L62" i="1"/>
  <c r="L219" i="1"/>
  <c r="M219" i="1"/>
  <c r="O226" i="1"/>
  <c r="P226" i="1"/>
  <c r="L208" i="1"/>
  <c r="M208" i="1"/>
  <c r="L117" i="1"/>
  <c r="M117" i="1"/>
  <c r="L217" i="1"/>
  <c r="M217" i="1"/>
  <c r="M72" i="1"/>
  <c r="L72" i="1"/>
  <c r="L153" i="1"/>
  <c r="M153" i="1"/>
  <c r="M99" i="1"/>
  <c r="L99" i="1"/>
  <c r="M148" i="1"/>
  <c r="L148" i="1"/>
  <c r="P44" i="1"/>
  <c r="O44" i="1"/>
  <c r="L186" i="1"/>
  <c r="M186" i="1"/>
  <c r="L109" i="1"/>
  <c r="M109" i="1"/>
  <c r="M45" i="1"/>
  <c r="L45" i="1"/>
  <c r="M155" i="1"/>
  <c r="L155" i="1"/>
  <c r="P82" i="1"/>
  <c r="O82" i="1"/>
  <c r="M115" i="1"/>
  <c r="L115" i="1"/>
  <c r="L51" i="1"/>
  <c r="M51" i="1"/>
  <c r="P9" i="1"/>
  <c r="O9" i="1"/>
  <c r="M182" i="1"/>
  <c r="L182" i="1"/>
  <c r="P99" i="1"/>
  <c r="O99" i="1"/>
  <c r="P172" i="1"/>
  <c r="O172" i="1"/>
  <c r="P233" i="1"/>
  <c r="O233" i="1"/>
  <c r="O216" i="1"/>
  <c r="P216" i="1"/>
  <c r="P246" i="1"/>
  <c r="O246" i="1"/>
  <c r="L234" i="1"/>
  <c r="M234" i="1"/>
  <c r="P218" i="1"/>
  <c r="O218" i="1"/>
  <c r="M158" i="1"/>
  <c r="L158" i="1"/>
  <c r="P36" i="1"/>
  <c r="O36" i="1"/>
  <c r="M168" i="1"/>
  <c r="L168" i="1"/>
  <c r="O164" i="1"/>
  <c r="P164" i="1"/>
  <c r="P66" i="1"/>
  <c r="O66" i="1"/>
  <c r="M22" i="1"/>
  <c r="L22" i="1"/>
  <c r="O157" i="1"/>
  <c r="P157" i="1"/>
  <c r="P138" i="1"/>
  <c r="O138" i="1"/>
  <c r="L197" i="1"/>
  <c r="M197" i="1"/>
  <c r="L127" i="1"/>
  <c r="M127" i="1"/>
  <c r="O67" i="1"/>
  <c r="P67" i="1"/>
  <c r="P198" i="1"/>
  <c r="O198" i="1"/>
  <c r="O73" i="1"/>
  <c r="P73" i="1"/>
  <c r="O180" i="1"/>
  <c r="P180" i="1"/>
  <c r="O84" i="1"/>
  <c r="P84" i="1"/>
  <c r="O76" i="1"/>
  <c r="P76" i="1"/>
  <c r="P176" i="1"/>
  <c r="O176" i="1"/>
  <c r="O117" i="1"/>
  <c r="P117" i="1"/>
  <c r="P122" i="1"/>
  <c r="O122" i="1"/>
  <c r="O200" i="1"/>
  <c r="P200" i="1"/>
  <c r="O7" i="1"/>
  <c r="P7" i="1"/>
  <c r="P75" i="1"/>
  <c r="O75" i="1"/>
  <c r="P182" i="1"/>
  <c r="O182" i="1"/>
  <c r="O100" i="1"/>
  <c r="P100" i="1"/>
  <c r="O175" i="1"/>
  <c r="P175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P13" i="1"/>
  <c r="O13" i="1"/>
  <c r="P133" i="1"/>
  <c r="O133" i="1"/>
  <c r="L67" i="1"/>
  <c r="M67" i="1"/>
  <c r="L131" i="1"/>
  <c r="M131" i="1"/>
  <c r="O63" i="1"/>
  <c r="P63" i="1"/>
  <c r="P40" i="1"/>
  <c r="O40" i="1"/>
  <c r="L193" i="1"/>
  <c r="M193" i="1"/>
  <c r="M149" i="1"/>
  <c r="L149" i="1"/>
  <c r="L65" i="1"/>
  <c r="M65" i="1"/>
  <c r="M74" i="1"/>
  <c r="L74" i="1"/>
  <c r="M75" i="1"/>
  <c r="L75" i="1"/>
  <c r="M250" i="1"/>
  <c r="L250" i="1"/>
  <c r="M144" i="1"/>
  <c r="L144" i="1"/>
  <c r="M80" i="1"/>
  <c r="L80" i="1"/>
  <c r="P32" i="1"/>
  <c r="O32" i="1"/>
  <c r="P205" i="1"/>
  <c r="O205" i="1"/>
  <c r="O212" i="1"/>
  <c r="P212" i="1"/>
  <c r="P72" i="1"/>
  <c r="O72" i="1"/>
  <c r="M73" i="1"/>
  <c r="L73" i="1"/>
  <c r="P153" i="1"/>
  <c r="O153" i="1"/>
  <c r="P130" i="1"/>
  <c r="O130" i="1"/>
  <c r="O37" i="1"/>
  <c r="P37" i="1"/>
  <c r="L210" i="1"/>
  <c r="M210" i="1"/>
  <c r="M138" i="1"/>
  <c r="L138" i="1"/>
  <c r="P240" i="1"/>
  <c r="O240" i="1"/>
  <c r="P181" i="1"/>
  <c r="O181" i="1"/>
  <c r="M106" i="1"/>
  <c r="L106" i="1"/>
  <c r="L231" i="1"/>
  <c r="M231" i="1"/>
  <c r="L238" i="1"/>
  <c r="M238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L215" i="1"/>
  <c r="M215" i="1"/>
  <c r="M69" i="1"/>
  <c r="L69" i="1"/>
  <c r="M110" i="1"/>
  <c r="L110" i="1"/>
  <c r="P119" i="1"/>
  <c r="O119" i="1"/>
  <c r="P245" i="1"/>
  <c r="O245" i="1"/>
  <c r="P135" i="1"/>
  <c r="O135" i="1"/>
  <c r="O49" i="1"/>
  <c r="P49" i="1"/>
  <c r="P10" i="1"/>
  <c r="O10" i="1"/>
  <c r="O209" i="1"/>
  <c r="P209" i="1"/>
  <c r="P95" i="1"/>
  <c r="O95" i="1"/>
  <c r="P163" i="1"/>
  <c r="O163" i="1"/>
  <c r="O195" i="1"/>
  <c r="P195" i="1"/>
  <c r="O68" i="1"/>
  <c r="P68" i="1"/>
  <c r="P167" i="1"/>
  <c r="O167" i="1"/>
  <c r="O96" i="1"/>
  <c r="P96" i="1"/>
  <c r="L190" i="1"/>
  <c r="M190" i="1"/>
  <c r="M101" i="1"/>
  <c r="L101" i="1"/>
  <c r="P183" i="1"/>
  <c r="O183" i="1"/>
  <c r="M176" i="1"/>
  <c r="L176" i="1"/>
  <c r="L29" i="1"/>
  <c r="M29" i="1"/>
  <c r="M42" i="1"/>
  <c r="L42" i="1"/>
  <c r="M58" i="1"/>
  <c r="L58" i="1"/>
  <c r="P166" i="1"/>
  <c r="O166" i="1"/>
  <c r="P171" i="1"/>
  <c r="O171" i="1"/>
  <c r="W30" i="1"/>
  <c r="M227" i="1"/>
  <c r="L227" i="1"/>
  <c r="M145" i="1"/>
  <c r="L145" i="1"/>
  <c r="P211" i="1"/>
  <c r="O211" i="1"/>
  <c r="P112" i="1"/>
  <c r="O112" i="1"/>
  <c r="L77" i="1"/>
  <c r="M77" i="1"/>
  <c r="M76" i="1"/>
  <c r="L76" i="1"/>
  <c r="L204" i="1"/>
  <c r="M204" i="1"/>
  <c r="M142" i="1"/>
  <c r="L142" i="1"/>
  <c r="M211" i="1"/>
  <c r="L211" i="1"/>
  <c r="L34" i="1"/>
  <c r="M34" i="1"/>
  <c r="P14" i="1"/>
  <c r="O14" i="1"/>
  <c r="P131" i="1"/>
  <c r="O131" i="1"/>
  <c r="L165" i="1"/>
  <c r="M165" i="1"/>
  <c r="O15" i="1"/>
  <c r="P15" i="1"/>
  <c r="M133" i="1"/>
  <c r="L133" i="1"/>
  <c r="P223" i="1"/>
  <c r="O223" i="1"/>
  <c r="O101" i="1"/>
  <c r="P101" i="1"/>
  <c r="L30" i="1"/>
  <c r="M30" i="1"/>
  <c r="L21" i="1"/>
  <c r="M21" i="1"/>
  <c r="L241" i="1"/>
  <c r="M241" i="1"/>
  <c r="L243" i="1"/>
  <c r="M243" i="1"/>
  <c r="M198" i="1"/>
  <c r="L198" i="1"/>
  <c r="L134" i="1"/>
  <c r="M134" i="1"/>
  <c r="L181" i="1"/>
  <c r="M181" i="1"/>
  <c r="M174" i="1"/>
  <c r="L174" i="1"/>
  <c r="O109" i="1"/>
  <c r="P109" i="1"/>
  <c r="L114" i="1"/>
  <c r="M114" i="1"/>
  <c r="L154" i="1"/>
  <c r="M154" i="1"/>
  <c r="O141" i="1"/>
  <c r="P141" i="1"/>
  <c r="L47" i="1"/>
  <c r="M47" i="1"/>
  <c r="M172" i="1"/>
  <c r="L172" i="1"/>
  <c r="M71" i="1"/>
  <c r="L71" i="1"/>
  <c r="L162" i="1"/>
  <c r="M162" i="1"/>
  <c r="L216" i="1"/>
  <c r="M216" i="1"/>
  <c r="P178" i="1"/>
  <c r="O178" i="1"/>
  <c r="O61" i="1"/>
  <c r="P61" i="1"/>
  <c r="M116" i="1"/>
  <c r="L116" i="1"/>
  <c r="P213" i="1"/>
  <c r="O213" i="1"/>
  <c r="M56" i="1"/>
  <c r="L56" i="1"/>
  <c r="P208" i="1"/>
  <c r="O208" i="1"/>
  <c r="M221" i="1"/>
  <c r="L221" i="1"/>
  <c r="L137" i="1"/>
  <c r="M137" i="1"/>
  <c r="P179" i="1"/>
  <c r="O179" i="1"/>
  <c r="O21" i="1"/>
  <c r="P21" i="1"/>
  <c r="M82" i="1"/>
  <c r="L82" i="1"/>
  <c r="L156" i="1"/>
  <c r="M156" i="1"/>
  <c r="P184" i="1"/>
  <c r="O184" i="1"/>
  <c r="P127" i="1"/>
  <c r="O127" i="1"/>
  <c r="P52" i="1"/>
  <c r="O52" i="1"/>
  <c r="P98" i="1"/>
  <c r="O98" i="1"/>
  <c r="O69" i="1"/>
  <c r="P69" i="1"/>
  <c r="P107" i="1"/>
  <c r="O107" i="1"/>
  <c r="O214" i="1"/>
  <c r="P214" i="1"/>
  <c r="P123" i="1"/>
  <c r="O123" i="1"/>
  <c r="O238" i="1"/>
  <c r="P238" i="1"/>
  <c r="P91" i="1"/>
  <c r="O91" i="1"/>
  <c r="P102" i="1"/>
  <c r="O102" i="1"/>
  <c r="P224" i="1"/>
  <c r="O224" i="1"/>
  <c r="P55" i="1"/>
  <c r="O55" i="1"/>
  <c r="P129" i="1"/>
  <c r="O129" i="1"/>
  <c r="O53" i="1"/>
  <c r="P53" i="1"/>
  <c r="P114" i="1"/>
  <c r="O114" i="1"/>
  <c r="H171" i="1" l="1"/>
  <c r="I171" i="1"/>
  <c r="R15" i="1"/>
  <c r="H143" i="1"/>
  <c r="I14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1" i="1"/>
  <c r="H251" i="1"/>
  <c r="H39" i="1"/>
  <c r="I39" i="1"/>
  <c r="H110" i="1"/>
  <c r="I110" i="1"/>
  <c r="H234" i="1"/>
  <c r="I234" i="1"/>
  <c r="H205" i="1"/>
  <c r="I205" i="1"/>
  <c r="H8" i="1"/>
  <c r="I8" i="1"/>
  <c r="H135" i="1"/>
  <c r="I135" i="1"/>
  <c r="I3" i="1"/>
  <c r="H3" i="1"/>
  <c r="H55" i="1"/>
  <c r="I55" i="1"/>
  <c r="I224" i="1"/>
  <c r="H224" i="1"/>
  <c r="H81" i="1"/>
  <c r="I81" i="1"/>
  <c r="I6" i="1"/>
  <c r="H6" i="1"/>
  <c r="H73" i="1"/>
  <c r="I73" i="1"/>
  <c r="H69" i="1"/>
  <c r="I69" i="1"/>
  <c r="H121" i="1"/>
  <c r="I121" i="1"/>
  <c r="I223" i="1"/>
  <c r="H223" i="1"/>
  <c r="H58" i="1"/>
  <c r="I58" i="1"/>
  <c r="H53" i="1"/>
  <c r="I53" i="1"/>
  <c r="I130" i="1"/>
  <c r="H130" i="1"/>
  <c r="H41" i="1"/>
  <c r="I41" i="1"/>
  <c r="I43" i="1"/>
  <c r="H43" i="1"/>
  <c r="I115" i="1"/>
  <c r="H115" i="1"/>
  <c r="H246" i="1"/>
  <c r="I246" i="1"/>
  <c r="H201" i="1"/>
  <c r="I201" i="1"/>
  <c r="H160" i="1"/>
  <c r="I160" i="1"/>
  <c r="I221" i="1"/>
  <c r="H221" i="1"/>
  <c r="H172" i="1"/>
  <c r="I172" i="1"/>
  <c r="H133" i="1"/>
  <c r="I133" i="1"/>
  <c r="H217" i="1"/>
  <c r="I217" i="1"/>
  <c r="I57" i="1"/>
  <c r="H57" i="1"/>
  <c r="I168" i="1"/>
  <c r="H168" i="1"/>
  <c r="H18" i="1"/>
  <c r="I18" i="1"/>
  <c r="I183" i="1"/>
  <c r="H183" i="1"/>
  <c r="H38" i="1"/>
  <c r="I38" i="1"/>
  <c r="I166" i="1"/>
  <c r="H166" i="1"/>
  <c r="H155" i="1"/>
  <c r="I155" i="1"/>
  <c r="H2" i="1"/>
  <c r="I2" i="1"/>
  <c r="I106" i="1"/>
  <c r="H106" i="1"/>
  <c r="I203" i="1"/>
  <c r="H203" i="1"/>
  <c r="H148" i="1"/>
  <c r="I148" i="1"/>
  <c r="I37" i="1"/>
  <c r="H37" i="1"/>
  <c r="H96" i="1"/>
  <c r="I96" i="1"/>
  <c r="I111" i="1"/>
  <c r="H111" i="1"/>
  <c r="H142" i="1"/>
  <c r="I142" i="1"/>
  <c r="H63" i="1"/>
  <c r="I63" i="1"/>
  <c r="H250" i="1"/>
  <c r="I250" i="1"/>
  <c r="I187" i="1"/>
  <c r="H187" i="1"/>
  <c r="I9" i="1"/>
  <c r="H9" i="1"/>
  <c r="I104" i="1"/>
  <c r="H104" i="1"/>
  <c r="H33" i="1"/>
  <c r="I33" i="1"/>
  <c r="H164" i="1"/>
  <c r="I164" i="1"/>
  <c r="H36" i="1"/>
  <c r="I36" i="1"/>
  <c r="H79" i="1"/>
  <c r="I79" i="1"/>
  <c r="H118" i="1"/>
  <c r="I118" i="1"/>
  <c r="I75" i="1"/>
  <c r="H75" i="1"/>
  <c r="H100" i="1"/>
  <c r="I100" i="1"/>
  <c r="H125" i="1"/>
  <c r="I125" i="1"/>
  <c r="H159" i="1"/>
  <c r="I159" i="1"/>
  <c r="I150" i="1"/>
  <c r="H150" i="1"/>
  <c r="I128" i="1"/>
  <c r="H128" i="1"/>
  <c r="I49" i="1"/>
  <c r="H49" i="1"/>
  <c r="I50" i="1"/>
  <c r="H50" i="1"/>
  <c r="H78" i="1"/>
  <c r="I78" i="1"/>
  <c r="I47" i="1"/>
  <c r="H47" i="1"/>
  <c r="H59" i="1"/>
  <c r="I59" i="1"/>
  <c r="H213" i="1"/>
  <c r="I213" i="1"/>
  <c r="H200" i="1"/>
  <c r="I200" i="1"/>
  <c r="H102" i="1"/>
  <c r="I102" i="1"/>
  <c r="I152" i="1"/>
  <c r="H152" i="1"/>
  <c r="I93" i="1"/>
  <c r="H93" i="1"/>
  <c r="H114" i="1"/>
  <c r="I114" i="1"/>
  <c r="H162" i="1"/>
  <c r="I162" i="1"/>
  <c r="H94" i="1"/>
  <c r="I94" i="1"/>
  <c r="I61" i="1"/>
  <c r="H61" i="1"/>
  <c r="H108" i="1"/>
  <c r="I108" i="1"/>
  <c r="H154" i="1"/>
  <c r="I154" i="1"/>
  <c r="H248" i="1"/>
  <c r="I248" i="1"/>
  <c r="H83" i="1"/>
  <c r="I83" i="1"/>
  <c r="I211" i="1"/>
  <c r="H211" i="1"/>
  <c r="H68" i="1"/>
  <c r="I68" i="1"/>
  <c r="H182" i="1"/>
  <c r="I182" i="1"/>
  <c r="H165" i="1"/>
  <c r="I165" i="1"/>
  <c r="I137" i="1"/>
  <c r="H137" i="1"/>
  <c r="H204" i="1"/>
  <c r="I204" i="1"/>
  <c r="I214" i="1"/>
  <c r="H214" i="1"/>
  <c r="H232" i="1"/>
  <c r="I232" i="1"/>
  <c r="H60" i="1"/>
  <c r="I60" i="1"/>
  <c r="H239" i="1"/>
  <c r="I239" i="1"/>
  <c r="H12" i="1"/>
  <c r="I12" i="1"/>
  <c r="H5" i="1"/>
  <c r="I5" i="1"/>
  <c r="H195" i="1"/>
  <c r="I195" i="1"/>
  <c r="I66" i="1"/>
  <c r="H66" i="1"/>
  <c r="I7" i="1"/>
  <c r="H7" i="1"/>
  <c r="H226" i="1"/>
  <c r="I226" i="1"/>
  <c r="H193" i="1"/>
  <c r="I193" i="1"/>
  <c r="H70" i="1"/>
  <c r="I70" i="1"/>
  <c r="H127" i="1"/>
  <c r="I127" i="1"/>
  <c r="H84" i="1"/>
  <c r="I84" i="1"/>
  <c r="H65" i="1"/>
  <c r="I65" i="1"/>
  <c r="H26" i="1"/>
  <c r="I26" i="1"/>
  <c r="H243" i="1"/>
  <c r="I243" i="1"/>
  <c r="I85" i="1"/>
  <c r="H85" i="1"/>
  <c r="H235" i="1"/>
  <c r="I235" i="1"/>
  <c r="I173" i="1"/>
  <c r="H173" i="1"/>
  <c r="H181" i="1"/>
  <c r="I181" i="1"/>
  <c r="I220" i="1"/>
  <c r="H220" i="1"/>
  <c r="H86" i="1"/>
  <c r="I86" i="1"/>
  <c r="H242" i="1"/>
  <c r="I242" i="1"/>
  <c r="H197" i="1"/>
  <c r="I197" i="1"/>
  <c r="I178" i="1"/>
  <c r="H178" i="1"/>
  <c r="H208" i="1"/>
  <c r="I208" i="1"/>
  <c r="H179" i="1"/>
  <c r="I179" i="1"/>
  <c r="I21" i="1"/>
  <c r="H21" i="1"/>
  <c r="H225" i="1"/>
  <c r="I225" i="1"/>
  <c r="H113" i="1"/>
  <c r="I113" i="1"/>
  <c r="I80" i="1"/>
  <c r="H80" i="1"/>
  <c r="H139" i="1"/>
  <c r="I139" i="1"/>
  <c r="H174" i="1"/>
  <c r="I174" i="1"/>
  <c r="H158" i="1"/>
  <c r="I158" i="1"/>
  <c r="I28" i="1"/>
  <c r="H28" i="1"/>
  <c r="H175" i="1"/>
  <c r="I175" i="1"/>
  <c r="H163" i="1"/>
  <c r="I163" i="1"/>
  <c r="H101" i="1"/>
  <c r="I101" i="1"/>
  <c r="H244" i="1"/>
  <c r="I244" i="1"/>
  <c r="H23" i="1"/>
  <c r="I23" i="1"/>
  <c r="H34" i="1"/>
  <c r="I34" i="1"/>
  <c r="I229" i="1"/>
  <c r="H229" i="1"/>
  <c r="H24" i="1"/>
  <c r="I24" i="1"/>
  <c r="H146" i="1"/>
  <c r="I146" i="1"/>
  <c r="I32" i="1"/>
  <c r="H32" i="1"/>
  <c r="H169" i="1"/>
  <c r="I169" i="1"/>
  <c r="H247" i="1"/>
  <c r="I247" i="1"/>
  <c r="I189" i="1"/>
  <c r="H189" i="1"/>
  <c r="H116" i="1"/>
  <c r="I116" i="1"/>
  <c r="I153" i="1"/>
  <c r="H153" i="1"/>
  <c r="H112" i="1"/>
  <c r="I112" i="1"/>
  <c r="I196" i="1"/>
  <c r="H196" i="1"/>
  <c r="I240" i="1"/>
  <c r="H240" i="1"/>
  <c r="I103" i="1"/>
  <c r="H103" i="1"/>
  <c r="I51" i="1"/>
  <c r="H51" i="1"/>
  <c r="H107" i="1"/>
  <c r="I107" i="1"/>
  <c r="H206" i="1"/>
  <c r="I206" i="1"/>
  <c r="H131" i="1"/>
  <c r="I131" i="1"/>
  <c r="H180" i="1"/>
  <c r="I180" i="1"/>
  <c r="I138" i="1"/>
  <c r="H138" i="1"/>
  <c r="H20" i="1"/>
  <c r="I20" i="1"/>
  <c r="I136" i="1"/>
  <c r="H136" i="1"/>
  <c r="I212" i="1"/>
  <c r="H212" i="1"/>
  <c r="H13" i="1"/>
  <c r="I13" i="1"/>
  <c r="I71" i="1"/>
  <c r="H71" i="1"/>
  <c r="I82" i="1"/>
  <c r="H82" i="1"/>
  <c r="H161" i="1"/>
  <c r="I161" i="1"/>
  <c r="H15" i="1"/>
  <c r="I15" i="1"/>
  <c r="H52" i="1"/>
  <c r="I52" i="1"/>
  <c r="H22" i="1"/>
  <c r="I22" i="1"/>
  <c r="I117" i="1"/>
  <c r="H117" i="1"/>
  <c r="H44" i="1"/>
  <c r="I44" i="1"/>
  <c r="H120" i="1"/>
  <c r="I120" i="1"/>
  <c r="H241" i="1"/>
  <c r="I241" i="1"/>
  <c r="H27" i="1"/>
  <c r="I27" i="1"/>
  <c r="H222" i="1"/>
  <c r="I222" i="1"/>
  <c r="H89" i="1"/>
  <c r="I89" i="1"/>
  <c r="I167" i="1"/>
  <c r="H167" i="1"/>
  <c r="I185" i="1"/>
  <c r="H185" i="1"/>
  <c r="H109" i="1"/>
  <c r="I109" i="1"/>
  <c r="H231" i="1"/>
  <c r="I231" i="1"/>
  <c r="H219" i="1"/>
  <c r="I219" i="1"/>
  <c r="H194" i="1"/>
  <c r="I194" i="1"/>
  <c r="H98" i="1"/>
  <c r="I98" i="1"/>
  <c r="H76" i="1"/>
  <c r="I76" i="1"/>
  <c r="I126" i="1"/>
  <c r="H126" i="1"/>
  <c r="I134" i="1"/>
  <c r="H134" i="1"/>
  <c r="I145" i="1"/>
  <c r="H145" i="1"/>
  <c r="I72" i="1"/>
  <c r="H72" i="1"/>
  <c r="H67" i="1"/>
  <c r="I67" i="1"/>
  <c r="H64" i="1"/>
  <c r="I64" i="1"/>
  <c r="I97" i="1"/>
  <c r="H97" i="1"/>
  <c r="H140" i="1"/>
  <c r="I140" i="1"/>
  <c r="H87" i="1"/>
  <c r="I87" i="1"/>
  <c r="Y29" i="1"/>
  <c r="W31" i="1"/>
  <c r="H209" i="1"/>
  <c r="I209" i="1"/>
  <c r="H10" i="1"/>
  <c r="I10" i="1"/>
  <c r="I202" i="1"/>
  <c r="H202" i="1"/>
  <c r="I170" i="1"/>
  <c r="H170" i="1"/>
  <c r="H141" i="1"/>
  <c r="I141" i="1"/>
  <c r="I74" i="1"/>
  <c r="H74" i="1"/>
  <c r="I91" i="1"/>
  <c r="H91" i="1"/>
  <c r="H233" i="1"/>
  <c r="I233" i="1"/>
  <c r="H19" i="1"/>
  <c r="I19" i="1"/>
  <c r="I147" i="1"/>
  <c r="H147" i="1"/>
  <c r="H157" i="1"/>
  <c r="I157" i="1"/>
  <c r="H119" i="1"/>
  <c r="I119" i="1"/>
  <c r="H156" i="1"/>
  <c r="I156" i="1"/>
  <c r="I40" i="1"/>
  <c r="H40" i="1"/>
  <c r="H42" i="1"/>
  <c r="I42" i="1"/>
  <c r="H90" i="1"/>
  <c r="I90" i="1"/>
  <c r="H237" i="1"/>
  <c r="I237" i="1"/>
  <c r="I230" i="1"/>
  <c r="H230" i="1"/>
  <c r="H46" i="1"/>
  <c r="I46" i="1"/>
  <c r="I4" i="1"/>
  <c r="H4" i="1"/>
  <c r="H149" i="1"/>
  <c r="I149" i="1"/>
  <c r="H123" i="1"/>
  <c r="I123" i="1"/>
  <c r="H198" i="1"/>
  <c r="I198" i="1"/>
  <c r="I124" i="1"/>
  <c r="H124" i="1"/>
  <c r="I132" i="1"/>
  <c r="H132" i="1"/>
  <c r="H192" i="1"/>
  <c r="I192" i="1"/>
  <c r="H45" i="1"/>
  <c r="I45" i="1"/>
  <c r="H31" i="1"/>
  <c r="I31" i="1"/>
  <c r="H252" i="1"/>
  <c r="I252" i="1"/>
  <c r="I99" i="1"/>
  <c r="H99" i="1"/>
  <c r="H25" i="1"/>
  <c r="I25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H210" i="1"/>
  <c r="I210" i="1"/>
  <c r="H11" i="1"/>
  <c r="I11" i="1"/>
  <c r="I48" i="1"/>
  <c r="H48" i="1"/>
  <c r="I14" i="1"/>
  <c r="H14" i="1"/>
  <c r="H188" i="1"/>
  <c r="I188" i="1"/>
  <c r="I216" i="1"/>
  <c r="H216" i="1"/>
  <c r="I144" i="1"/>
  <c r="H144" i="1"/>
  <c r="I129" i="1"/>
  <c r="H129" i="1"/>
  <c r="H199" i="1"/>
  <c r="I199" i="1"/>
  <c r="H228" i="1"/>
  <c r="I228" i="1"/>
  <c r="H207" i="1"/>
  <c r="I207" i="1"/>
  <c r="I77" i="1"/>
  <c r="H77" i="1"/>
  <c r="I95" i="1"/>
  <c r="H95" i="1"/>
  <c r="H151" i="1"/>
  <c r="I151" i="1"/>
  <c r="I56" i="1"/>
  <c r="H56" i="1"/>
  <c r="I249" i="1"/>
  <c r="H249" i="1"/>
  <c r="H184" i="1"/>
  <c r="I184" i="1"/>
  <c r="H218" i="1"/>
  <c r="I218" i="1"/>
  <c r="I30" i="1"/>
  <c r="H30" i="1"/>
  <c r="I245" i="1"/>
  <c r="H245" i="1"/>
  <c r="I215" i="1"/>
  <c r="H215" i="1"/>
  <c r="H35" i="1"/>
  <c r="I35" i="1"/>
  <c r="H54" i="1"/>
  <c r="I54" i="1"/>
  <c r="H16" i="1"/>
  <c r="I16" i="1"/>
  <c r="H191" i="1"/>
  <c r="I191" i="1"/>
  <c r="H236" i="1"/>
  <c r="I236" i="1"/>
  <c r="I105" i="1"/>
  <c r="H105" i="1"/>
  <c r="I177" i="1"/>
  <c r="H177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W238" i="1"/>
  <c r="R222" i="1"/>
  <c r="S221" i="1"/>
  <c r="T221" i="1" s="1"/>
  <c r="Z236" i="1" l="1"/>
  <c r="AA236" i="1" s="1"/>
  <c r="R223" i="1"/>
  <c r="S222" i="1"/>
  <c r="T222" i="1" s="1"/>
  <c r="Y237" i="1"/>
  <c r="W239" i="1"/>
  <c r="Z237" i="1" l="1"/>
  <c r="AA237" i="1" s="1"/>
  <c r="Y238" i="1"/>
  <c r="W240" i="1"/>
  <c r="R224" i="1"/>
  <c r="S223" i="1"/>
  <c r="T223" i="1" s="1"/>
  <c r="Z238" i="1" l="1"/>
  <c r="AA238" i="1" s="1"/>
  <c r="S224" i="1"/>
  <c r="T224" i="1" s="1"/>
  <c r="R225" i="1"/>
  <c r="Y239" i="1"/>
  <c r="W241" i="1"/>
  <c r="Z239" i="1" l="1"/>
  <c r="AA239" i="1" s="1"/>
  <c r="Y240" i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l="1"/>
  <c r="Z252" i="1"/>
  <c r="AA252" i="1" s="1"/>
  <c r="R238" i="1"/>
  <c r="S237" i="1"/>
  <c r="T237" i="1" s="1"/>
  <c r="R239" i="1" l="1"/>
  <c r="S238" i="1"/>
  <c r="T238" i="1" s="1"/>
  <c r="R240" i="1" l="1"/>
  <c r="S239" i="1"/>
  <c r="T239" i="1" s="1"/>
  <c r="R241" i="1" l="1"/>
  <c r="S240" i="1"/>
  <c r="T240" i="1" s="1"/>
  <c r="R242" i="1" l="1"/>
  <c r="S241" i="1"/>
  <c r="T241" i="1" s="1"/>
  <c r="R243" i="1" l="1"/>
  <c r="S242" i="1"/>
  <c r="T242" i="1" s="1"/>
  <c r="R244" i="1" l="1"/>
  <c r="S243" i="1"/>
  <c r="T243" i="1" s="1"/>
  <c r="R245" i="1" l="1"/>
  <c r="S244" i="1"/>
  <c r="T244" i="1" s="1"/>
  <c r="R246" i="1" l="1"/>
  <c r="S245" i="1"/>
  <c r="T245" i="1" s="1"/>
  <c r="R247" i="1" l="1"/>
  <c r="S246" i="1"/>
  <c r="T246" i="1" s="1"/>
  <c r="R248" i="1" l="1"/>
  <c r="S247" i="1"/>
  <c r="T247" i="1" s="1"/>
  <c r="R249" i="1" l="1"/>
  <c r="S248" i="1"/>
  <c r="T248" i="1" s="1"/>
  <c r="R250" i="1" l="1"/>
  <c r="S249" i="1"/>
  <c r="T249" i="1" s="1"/>
  <c r="R251" i="1" l="1"/>
  <c r="S250" i="1"/>
  <c r="T250" i="1" s="1"/>
  <c r="R252" i="1" l="1"/>
  <c r="S251" i="1"/>
  <c r="T251" i="1" s="1"/>
  <c r="S252" i="1" l="1"/>
  <c r="T25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232ACE-D0A7-4AF7-9F81-A13794E3833F}" keepAlive="1" name="Query - Forecast(1)" description="Connection to the 'Forecast' query in the workbook." type="5" refreshedVersion="0" background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4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</futureMetadata>
  <cellMetadata count="1">
    <bk>
      <rc t="1" v="0"/>
    </bk>
  </cellMetadata>
  <valueMetadata count="74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</valueMetadata>
</metadata>
</file>

<file path=xl/sharedStrings.xml><?xml version="1.0" encoding="utf-8"?>
<sst xmlns="http://schemas.openxmlformats.org/spreadsheetml/2006/main" count="59" uniqueCount="52">
  <si>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</si>
  <si>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</si>
  <si>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</si>
  <si>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</si>
  <si>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</si>
  <si>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</si>
  <si>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</si>
  <si>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</si>
  <si>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</si>
  <si>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</si>
  <si>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</si>
  <si>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</si>
  <si>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</si>
  <si>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</si>
  <si>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</si>
  <si>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</si>
  <si>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</si>
  <si>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</si>
  <si>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</si>
  <si>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</si>
  <si>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</si>
  <si>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</si>
  <si>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</si>
  <si>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</si>
  <si>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</si>
  <si>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</si>
  <si>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</si>
  <si>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</si>
  <si>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</si>
  <si>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</si>
  <si>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</si>
  <si>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</si>
  <si>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</si>
  <si>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</si>
  <si>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</si>
  <si>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</si>
  <si>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</si>
  <si>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</si>
  <si>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</si>
  <si>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</si>
  <si>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</si>
  <si>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</si>
  <si>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</si>
  <si>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</si>
  <si>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</si>
  <si>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</si>
  <si>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</si>
  <si>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</si>
  <si>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</si>
  <si>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</si>
  <si>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Dividends</t>
  </si>
  <si>
    <t>GS Simple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</si>
</sst>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yyyy\-mm\-dd;@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1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6" fillId="0" borderId="1" xfId="0" applyFont="1" applyBorder="1" applyAlignment="1">
      <alignment horizontal="center" wrapText="1"/>
    </xf>
    <xf numFmtId="14" fontId="0" fillId="0" borderId="0" xfId="0" applyNumberFormat="1"/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64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right" wrapText="1"/>
    </xf>
    <xf numFmtId="164" fontId="8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9" fillId="11" borderId="1" xfId="0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2">
    <dxf>
      <numFmt numFmtId="164" formatCode="yyyy\-mm\-dd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Dividends!$A$2:$A$1000</c:f>
              <c:numCache>
                <c:formatCode>yyyy\-mm\-dd;@</c:formatCode>
                <c:ptCount val="999"/>
                <c:pt idx="0">
                  <c:v>36593</c:v>
                </c:pt>
                <c:pt idx="1">
                  <c:v>36684</c:v>
                </c:pt>
                <c:pt idx="2">
                  <c:v>36775</c:v>
                </c:pt>
                <c:pt idx="3">
                  <c:v>36866</c:v>
                </c:pt>
                <c:pt idx="4">
                  <c:v>36957</c:v>
                </c:pt>
                <c:pt idx="5">
                  <c:v>37048</c:v>
                </c:pt>
                <c:pt idx="6">
                  <c:v>37139</c:v>
                </c:pt>
                <c:pt idx="7">
                  <c:v>37230</c:v>
                </c:pt>
                <c:pt idx="8">
                  <c:v>37321</c:v>
                </c:pt>
                <c:pt idx="9">
                  <c:v>37412</c:v>
                </c:pt>
                <c:pt idx="10">
                  <c:v>37503</c:v>
                </c:pt>
                <c:pt idx="11">
                  <c:v>37594</c:v>
                </c:pt>
                <c:pt idx="12">
                  <c:v>37692</c:v>
                </c:pt>
                <c:pt idx="13">
                  <c:v>37783</c:v>
                </c:pt>
                <c:pt idx="14">
                  <c:v>37874</c:v>
                </c:pt>
                <c:pt idx="15">
                  <c:v>37965</c:v>
                </c:pt>
                <c:pt idx="16">
                  <c:v>38056</c:v>
                </c:pt>
                <c:pt idx="17">
                  <c:v>38147</c:v>
                </c:pt>
                <c:pt idx="18">
                  <c:v>38238</c:v>
                </c:pt>
                <c:pt idx="19">
                  <c:v>38329</c:v>
                </c:pt>
                <c:pt idx="20">
                  <c:v>38420</c:v>
                </c:pt>
                <c:pt idx="21">
                  <c:v>38511</c:v>
                </c:pt>
                <c:pt idx="22">
                  <c:v>38602</c:v>
                </c:pt>
                <c:pt idx="23">
                  <c:v>38693</c:v>
                </c:pt>
                <c:pt idx="24">
                  <c:v>38784</c:v>
                </c:pt>
                <c:pt idx="25">
                  <c:v>38875</c:v>
                </c:pt>
                <c:pt idx="26">
                  <c:v>38966</c:v>
                </c:pt>
                <c:pt idx="27">
                  <c:v>39057</c:v>
                </c:pt>
                <c:pt idx="28">
                  <c:v>39148</c:v>
                </c:pt>
                <c:pt idx="29">
                  <c:v>39239</c:v>
                </c:pt>
                <c:pt idx="30">
                  <c:v>39330</c:v>
                </c:pt>
                <c:pt idx="31">
                  <c:v>39421</c:v>
                </c:pt>
                <c:pt idx="32">
                  <c:v>39512</c:v>
                </c:pt>
                <c:pt idx="33">
                  <c:v>39603</c:v>
                </c:pt>
                <c:pt idx="34">
                  <c:v>39694</c:v>
                </c:pt>
                <c:pt idx="35">
                  <c:v>39785</c:v>
                </c:pt>
                <c:pt idx="36">
                  <c:v>39876</c:v>
                </c:pt>
                <c:pt idx="37">
                  <c:v>39967</c:v>
                </c:pt>
                <c:pt idx="38">
                  <c:v>40058</c:v>
                </c:pt>
                <c:pt idx="39">
                  <c:v>40149</c:v>
                </c:pt>
                <c:pt idx="40">
                  <c:v>40240</c:v>
                </c:pt>
                <c:pt idx="41">
                  <c:v>40331</c:v>
                </c:pt>
                <c:pt idx="42">
                  <c:v>40422</c:v>
                </c:pt>
                <c:pt idx="43">
                  <c:v>40513</c:v>
                </c:pt>
                <c:pt idx="44">
                  <c:v>40604</c:v>
                </c:pt>
                <c:pt idx="45">
                  <c:v>40695</c:v>
                </c:pt>
                <c:pt idx="46">
                  <c:v>40786</c:v>
                </c:pt>
                <c:pt idx="47">
                  <c:v>40877</c:v>
                </c:pt>
                <c:pt idx="48">
                  <c:v>40968</c:v>
                </c:pt>
                <c:pt idx="49">
                  <c:v>41059</c:v>
                </c:pt>
                <c:pt idx="50">
                  <c:v>41157</c:v>
                </c:pt>
                <c:pt idx="51">
                  <c:v>41248</c:v>
                </c:pt>
                <c:pt idx="52">
                  <c:v>41332</c:v>
                </c:pt>
                <c:pt idx="53">
                  <c:v>41430</c:v>
                </c:pt>
                <c:pt idx="54">
                  <c:v>41521</c:v>
                </c:pt>
                <c:pt idx="55">
                  <c:v>41612</c:v>
                </c:pt>
                <c:pt idx="56">
                  <c:v>41703</c:v>
                </c:pt>
                <c:pt idx="57">
                  <c:v>41794</c:v>
                </c:pt>
                <c:pt idx="58">
                  <c:v>41885</c:v>
                </c:pt>
                <c:pt idx="59">
                  <c:v>41976</c:v>
                </c:pt>
                <c:pt idx="60">
                  <c:v>42067</c:v>
                </c:pt>
                <c:pt idx="61">
                  <c:v>42158</c:v>
                </c:pt>
                <c:pt idx="62">
                  <c:v>42249</c:v>
                </c:pt>
                <c:pt idx="63">
                  <c:v>42340</c:v>
                </c:pt>
                <c:pt idx="64">
                  <c:v>42431</c:v>
                </c:pt>
                <c:pt idx="65">
                  <c:v>42522</c:v>
                </c:pt>
                <c:pt idx="66">
                  <c:v>42613</c:v>
                </c:pt>
                <c:pt idx="67">
                  <c:v>42704</c:v>
                </c:pt>
                <c:pt idx="68">
                  <c:v>42795</c:v>
                </c:pt>
                <c:pt idx="69">
                  <c:v>42886</c:v>
                </c:pt>
                <c:pt idx="70">
                  <c:v>42977</c:v>
                </c:pt>
                <c:pt idx="71">
                  <c:v>43069</c:v>
                </c:pt>
                <c:pt idx="72">
                  <c:v>43160</c:v>
                </c:pt>
                <c:pt idx="73">
                  <c:v>43251</c:v>
                </c:pt>
                <c:pt idx="74">
                  <c:v>43349</c:v>
                </c:pt>
                <c:pt idx="75">
                  <c:v>43440</c:v>
                </c:pt>
                <c:pt idx="76">
                  <c:v>43524</c:v>
                </c:pt>
                <c:pt idx="77">
                  <c:v>43622</c:v>
                </c:pt>
                <c:pt idx="78">
                  <c:v>43713</c:v>
                </c:pt>
                <c:pt idx="79">
                  <c:v>43804</c:v>
                </c:pt>
                <c:pt idx="80">
                  <c:v>43895</c:v>
                </c:pt>
                <c:pt idx="81">
                  <c:v>43986</c:v>
                </c:pt>
                <c:pt idx="82">
                  <c:v>44077</c:v>
                </c:pt>
                <c:pt idx="83">
                  <c:v>44168</c:v>
                </c:pt>
                <c:pt idx="84">
                  <c:v>44259</c:v>
                </c:pt>
                <c:pt idx="85">
                  <c:v>44350</c:v>
                </c:pt>
                <c:pt idx="86">
                  <c:v>44441</c:v>
                </c:pt>
                <c:pt idx="87">
                  <c:v>44532</c:v>
                </c:pt>
                <c:pt idx="88">
                  <c:v>44623</c:v>
                </c:pt>
                <c:pt idx="89">
                  <c:v>44714</c:v>
                </c:pt>
                <c:pt idx="90">
                  <c:v>44805</c:v>
                </c:pt>
                <c:pt idx="91">
                  <c:v>44896</c:v>
                </c:pt>
                <c:pt idx="92">
                  <c:v>44987</c:v>
                </c:pt>
                <c:pt idx="93">
                  <c:v>45078</c:v>
                </c:pt>
                <c:pt idx="94">
                  <c:v>45169</c:v>
                </c:pt>
                <c:pt idx="95">
                  <c:v>45260</c:v>
                </c:pt>
                <c:pt idx="96">
                  <c:v>45351</c:v>
                </c:pt>
                <c:pt idx="97">
                  <c:v>45450</c:v>
                </c:pt>
                <c:pt idx="98">
                  <c:v>45541</c:v>
                </c:pt>
                <c:pt idx="99">
                  <c:v>45632</c:v>
                </c:pt>
                <c:pt idx="100">
                  <c:v>45723</c:v>
                </c:pt>
                <c:pt idx="101">
                  <c:v>45814</c:v>
                </c:pt>
                <c:pt idx="102">
                  <c:v>45905</c:v>
                </c:pt>
                <c:pt idx="103">
                  <c:v>45996</c:v>
                </c:pt>
              </c:numCache>
            </c:numRef>
          </c:cat>
          <c:val>
            <c:numRef>
              <c:f>Dividends!$B$2:$B$1000</c:f>
              <c:numCache>
                <c:formatCode>"$"#,##0.00_);[Red]\("$"#,##0.00\)</c:formatCode>
                <c:ptCount val="999"/>
                <c:pt idx="0">
                  <c:v>0.14000000000000001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0.23</c:v>
                </c:pt>
                <c:pt idx="18">
                  <c:v>0.23</c:v>
                </c:pt>
                <c:pt idx="19">
                  <c:v>0.23</c:v>
                </c:pt>
                <c:pt idx="20">
                  <c:v>0.23</c:v>
                </c:pt>
                <c:pt idx="21">
                  <c:v>0.26</c:v>
                </c:pt>
                <c:pt idx="22">
                  <c:v>0.26</c:v>
                </c:pt>
                <c:pt idx="23">
                  <c:v>0.26</c:v>
                </c:pt>
                <c:pt idx="24">
                  <c:v>0.26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0.43</c:v>
                </c:pt>
                <c:pt idx="34">
                  <c:v>0.43</c:v>
                </c:pt>
                <c:pt idx="35">
                  <c:v>0.43</c:v>
                </c:pt>
                <c:pt idx="36">
                  <c:v>0.43</c:v>
                </c:pt>
                <c:pt idx="37">
                  <c:v>0.45</c:v>
                </c:pt>
                <c:pt idx="38">
                  <c:v>0.45</c:v>
                </c:pt>
                <c:pt idx="39">
                  <c:v>0.45</c:v>
                </c:pt>
                <c:pt idx="40">
                  <c:v>0.45</c:v>
                </c:pt>
                <c:pt idx="41">
                  <c:v>0.48</c:v>
                </c:pt>
                <c:pt idx="42">
                  <c:v>0.48</c:v>
                </c:pt>
                <c:pt idx="43">
                  <c:v>0.48</c:v>
                </c:pt>
                <c:pt idx="44">
                  <c:v>0.48</c:v>
                </c:pt>
                <c:pt idx="45">
                  <c:v>0.52</c:v>
                </c:pt>
                <c:pt idx="46">
                  <c:v>0.52</c:v>
                </c:pt>
                <c:pt idx="47">
                  <c:v>0.52</c:v>
                </c:pt>
                <c:pt idx="48">
                  <c:v>0.52</c:v>
                </c:pt>
                <c:pt idx="49">
                  <c:v>0.54</c:v>
                </c:pt>
                <c:pt idx="50">
                  <c:v>0.54</c:v>
                </c:pt>
                <c:pt idx="51">
                  <c:v>0.54</c:v>
                </c:pt>
                <c:pt idx="52">
                  <c:v>0.54</c:v>
                </c:pt>
                <c:pt idx="53">
                  <c:v>0.56999999999999995</c:v>
                </c:pt>
                <c:pt idx="54">
                  <c:v>0.56999999999999995</c:v>
                </c:pt>
                <c:pt idx="55">
                  <c:v>0.56999999999999995</c:v>
                </c:pt>
                <c:pt idx="56">
                  <c:v>0.56999999999999995</c:v>
                </c:pt>
                <c:pt idx="57">
                  <c:v>0.66</c:v>
                </c:pt>
                <c:pt idx="58">
                  <c:v>0.66</c:v>
                </c:pt>
                <c:pt idx="59">
                  <c:v>0.66</c:v>
                </c:pt>
                <c:pt idx="60">
                  <c:v>0.66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0.93</c:v>
                </c:pt>
                <c:pt idx="74">
                  <c:v>0.93</c:v>
                </c:pt>
                <c:pt idx="75">
                  <c:v>0.93</c:v>
                </c:pt>
                <c:pt idx="76">
                  <c:v>0.93</c:v>
                </c:pt>
                <c:pt idx="77">
                  <c:v>0.96</c:v>
                </c:pt>
                <c:pt idx="78">
                  <c:v>0.96</c:v>
                </c:pt>
                <c:pt idx="79">
                  <c:v>0.96</c:v>
                </c:pt>
                <c:pt idx="80">
                  <c:v>0.96</c:v>
                </c:pt>
                <c:pt idx="81">
                  <c:v>1.02</c:v>
                </c:pt>
                <c:pt idx="82">
                  <c:v>1.02</c:v>
                </c:pt>
                <c:pt idx="83">
                  <c:v>1.02</c:v>
                </c:pt>
                <c:pt idx="84">
                  <c:v>1.02</c:v>
                </c:pt>
                <c:pt idx="85">
                  <c:v>1.08</c:v>
                </c:pt>
                <c:pt idx="86">
                  <c:v>1.08</c:v>
                </c:pt>
                <c:pt idx="87">
                  <c:v>1.08</c:v>
                </c:pt>
                <c:pt idx="88">
                  <c:v>1.08</c:v>
                </c:pt>
                <c:pt idx="89">
                  <c:v>1.1499999999999999</c:v>
                </c:pt>
                <c:pt idx="90">
                  <c:v>1.1499999999999999</c:v>
                </c:pt>
                <c:pt idx="91">
                  <c:v>1.1499999999999999</c:v>
                </c:pt>
                <c:pt idx="92">
                  <c:v>1.1499999999999999</c:v>
                </c:pt>
                <c:pt idx="93">
                  <c:v>1.27</c:v>
                </c:pt>
                <c:pt idx="94">
                  <c:v>1.27</c:v>
                </c:pt>
                <c:pt idx="95">
                  <c:v>1.27</c:v>
                </c:pt>
                <c:pt idx="96">
                  <c:v>1.27</c:v>
                </c:pt>
                <c:pt idx="97">
                  <c:v>1.36</c:v>
                </c:pt>
                <c:pt idx="98">
                  <c:v>1.36</c:v>
                </c:pt>
                <c:pt idx="99">
                  <c:v>1.36</c:v>
                </c:pt>
                <c:pt idx="100">
                  <c:v>1.36</c:v>
                </c:pt>
                <c:pt idx="101">
                  <c:v>1.42</c:v>
                </c:pt>
                <c:pt idx="102">
                  <c:v>1.42</c:v>
                </c:pt>
                <c:pt idx="103">
                  <c:v>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4-4F13-910E-C17BC0B3F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06640"/>
        <c:axId val="27507120"/>
      </c:barChart>
      <c:dateAx>
        <c:axId val="2750664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7120"/>
        <c:crosses val="autoZero"/>
        <c:auto val="1"/>
        <c:lblOffset val="100"/>
        <c:baseTimeUnit val="months"/>
      </c:dateAx>
      <c:valAx>
        <c:axId val="275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+ 20/100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145.63999999999999</c:v>
                </c:pt>
                <c:pt idx="1">
                  <c:v>143.99</c:v>
                </c:pt>
                <c:pt idx="2">
                  <c:v>144.58000000000001</c:v>
                </c:pt>
                <c:pt idx="3">
                  <c:v>143.38999999999999</c:v>
                </c:pt>
                <c:pt idx="4">
                  <c:v>144.1</c:v>
                </c:pt>
                <c:pt idx="5">
                  <c:v>145.81</c:v>
                </c:pt>
                <c:pt idx="6">
                  <c:v>149.1</c:v>
                </c:pt>
                <c:pt idx="7">
                  <c:v>153.5</c:v>
                </c:pt>
                <c:pt idx="8">
                  <c:v>153.85</c:v>
                </c:pt>
                <c:pt idx="9">
                  <c:v>156.41999999999999</c:v>
                </c:pt>
                <c:pt idx="10">
                  <c:v>151.51</c:v>
                </c:pt>
                <c:pt idx="11">
                  <c:v>152.02000000000001</c:v>
                </c:pt>
                <c:pt idx="12">
                  <c:v>153.47</c:v>
                </c:pt>
                <c:pt idx="13">
                  <c:v>155.99</c:v>
                </c:pt>
                <c:pt idx="14">
                  <c:v>154.19</c:v>
                </c:pt>
                <c:pt idx="15">
                  <c:v>153.88</c:v>
                </c:pt>
                <c:pt idx="16">
                  <c:v>154.61000000000001</c:v>
                </c:pt>
                <c:pt idx="17">
                  <c:v>154.44</c:v>
                </c:pt>
                <c:pt idx="18">
                  <c:v>156.25</c:v>
                </c:pt>
                <c:pt idx="19">
                  <c:v>152.33000000000001</c:v>
                </c:pt>
                <c:pt idx="20">
                  <c:v>148.16999999999999</c:v>
                </c:pt>
                <c:pt idx="21">
                  <c:v>148.34</c:v>
                </c:pt>
                <c:pt idx="22">
                  <c:v>148.59</c:v>
                </c:pt>
                <c:pt idx="23">
                  <c:v>151.34</c:v>
                </c:pt>
                <c:pt idx="24">
                  <c:v>148.99</c:v>
                </c:pt>
                <c:pt idx="25">
                  <c:v>148.11000000000001</c:v>
                </c:pt>
                <c:pt idx="26">
                  <c:v>147.15</c:v>
                </c:pt>
                <c:pt idx="27">
                  <c:v>145.44999999999999</c:v>
                </c:pt>
                <c:pt idx="28">
                  <c:v>146.44999999999999</c:v>
                </c:pt>
                <c:pt idx="29">
                  <c:v>145.54</c:v>
                </c:pt>
                <c:pt idx="30">
                  <c:v>148.63999999999999</c:v>
                </c:pt>
                <c:pt idx="31">
                  <c:v>149.66999999999999</c:v>
                </c:pt>
                <c:pt idx="32">
                  <c:v>149.27000000000001</c:v>
                </c:pt>
                <c:pt idx="33">
                  <c:v>149.94</c:v>
                </c:pt>
                <c:pt idx="34">
                  <c:v>149.66999999999999</c:v>
                </c:pt>
                <c:pt idx="35">
                  <c:v>149.12</c:v>
                </c:pt>
                <c:pt idx="36">
                  <c:v>151.37</c:v>
                </c:pt>
                <c:pt idx="37">
                  <c:v>146.61000000000001</c:v>
                </c:pt>
                <c:pt idx="38">
                  <c:v>143.19</c:v>
                </c:pt>
                <c:pt idx="39">
                  <c:v>140.30000000000001</c:v>
                </c:pt>
                <c:pt idx="40">
                  <c:v>145.59</c:v>
                </c:pt>
                <c:pt idx="41">
                  <c:v>144.13999999999999</c:v>
                </c:pt>
                <c:pt idx="42">
                  <c:v>144.43</c:v>
                </c:pt>
                <c:pt idx="43">
                  <c:v>146.75</c:v>
                </c:pt>
                <c:pt idx="44">
                  <c:v>142.84</c:v>
                </c:pt>
                <c:pt idx="45">
                  <c:v>140.09</c:v>
                </c:pt>
                <c:pt idx="46">
                  <c:v>142.84</c:v>
                </c:pt>
                <c:pt idx="47">
                  <c:v>141.72999999999999</c:v>
                </c:pt>
                <c:pt idx="48">
                  <c:v>143.46</c:v>
                </c:pt>
                <c:pt idx="49">
                  <c:v>142.26</c:v>
                </c:pt>
                <c:pt idx="50">
                  <c:v>135.31</c:v>
                </c:pt>
                <c:pt idx="51">
                  <c:v>133.38</c:v>
                </c:pt>
                <c:pt idx="52">
                  <c:v>133.76</c:v>
                </c:pt>
                <c:pt idx="53">
                  <c:v>134.31</c:v>
                </c:pt>
                <c:pt idx="54">
                  <c:v>135.58000000000001</c:v>
                </c:pt>
                <c:pt idx="55">
                  <c:v>133.55000000000001</c:v>
                </c:pt>
                <c:pt idx="56">
                  <c:v>133.75</c:v>
                </c:pt>
                <c:pt idx="57">
                  <c:v>131.99</c:v>
                </c:pt>
                <c:pt idx="58">
                  <c:v>130.74</c:v>
                </c:pt>
                <c:pt idx="59">
                  <c:v>131.91499999999999</c:v>
                </c:pt>
                <c:pt idx="60">
                  <c:v>131.43</c:v>
                </c:pt>
                <c:pt idx="61">
                  <c:v>130.44</c:v>
                </c:pt>
                <c:pt idx="62">
                  <c:v>131.68</c:v>
                </c:pt>
                <c:pt idx="63">
                  <c:v>130.31</c:v>
                </c:pt>
                <c:pt idx="64">
                  <c:v>128.44999999999999</c:v>
                </c:pt>
                <c:pt idx="65">
                  <c:v>131.5</c:v>
                </c:pt>
                <c:pt idx="66">
                  <c:v>131.97999999999999</c:v>
                </c:pt>
                <c:pt idx="67">
                  <c:v>131.79</c:v>
                </c:pt>
                <c:pt idx="68">
                  <c:v>131.80000000000001</c:v>
                </c:pt>
                <c:pt idx="69">
                  <c:v>130.15</c:v>
                </c:pt>
                <c:pt idx="70">
                  <c:v>130.12</c:v>
                </c:pt>
                <c:pt idx="71">
                  <c:v>129.34</c:v>
                </c:pt>
                <c:pt idx="72">
                  <c:v>131.37</c:v>
                </c:pt>
                <c:pt idx="73">
                  <c:v>130.66999999999999</c:v>
                </c:pt>
                <c:pt idx="74">
                  <c:v>131.91999999999999</c:v>
                </c:pt>
                <c:pt idx="75">
                  <c:v>131.44999999999999</c:v>
                </c:pt>
                <c:pt idx="76">
                  <c:v>130.91</c:v>
                </c:pt>
                <c:pt idx="77">
                  <c:v>131.85</c:v>
                </c:pt>
                <c:pt idx="78">
                  <c:v>131.74</c:v>
                </c:pt>
                <c:pt idx="79">
                  <c:v>131.11000000000001</c:v>
                </c:pt>
                <c:pt idx="80">
                  <c:v>130.03</c:v>
                </c:pt>
                <c:pt idx="81">
                  <c:v>129.96</c:v>
                </c:pt>
                <c:pt idx="82">
                  <c:v>131.83000000000001</c:v>
                </c:pt>
                <c:pt idx="83">
                  <c:v>129.9</c:v>
                </c:pt>
                <c:pt idx="84">
                  <c:v>132.30000000000001</c:v>
                </c:pt>
                <c:pt idx="85">
                  <c:v>130.85</c:v>
                </c:pt>
                <c:pt idx="86">
                  <c:v>131.41</c:v>
                </c:pt>
                <c:pt idx="87">
                  <c:v>129.29</c:v>
                </c:pt>
                <c:pt idx="88">
                  <c:v>129.07</c:v>
                </c:pt>
                <c:pt idx="89">
                  <c:v>129.07</c:v>
                </c:pt>
                <c:pt idx="90">
                  <c:v>129.09</c:v>
                </c:pt>
                <c:pt idx="91">
                  <c:v>131.05000000000001</c:v>
                </c:pt>
                <c:pt idx="92">
                  <c:v>128.02000000000001</c:v>
                </c:pt>
                <c:pt idx="93">
                  <c:v>128.22</c:v>
                </c:pt>
                <c:pt idx="94">
                  <c:v>131.04</c:v>
                </c:pt>
                <c:pt idx="95">
                  <c:v>132.04</c:v>
                </c:pt>
                <c:pt idx="96">
                  <c:v>135.26</c:v>
                </c:pt>
                <c:pt idx="97">
                  <c:v>136.47999999999999</c:v>
                </c:pt>
                <c:pt idx="98">
                  <c:v>135.38</c:v>
                </c:pt>
                <c:pt idx="99">
                  <c:v>134.44999999999999</c:v>
                </c:pt>
                <c:pt idx="100">
                  <c:v>135.04</c:v>
                </c:pt>
                <c:pt idx="101">
                  <c:v>134.47999999999999</c:v>
                </c:pt>
                <c:pt idx="102">
                  <c:v>136.08000000000001</c:v>
                </c:pt>
                <c:pt idx="103">
                  <c:v>135.26</c:v>
                </c:pt>
                <c:pt idx="104">
                  <c:v>135.57</c:v>
                </c:pt>
                <c:pt idx="105">
                  <c:v>133.81</c:v>
                </c:pt>
                <c:pt idx="106">
                  <c:v>135.35</c:v>
                </c:pt>
                <c:pt idx="107">
                  <c:v>145.44</c:v>
                </c:pt>
                <c:pt idx="108">
                  <c:v>143.24</c:v>
                </c:pt>
                <c:pt idx="109">
                  <c:v>141.69999999999999</c:v>
                </c:pt>
                <c:pt idx="110">
                  <c:v>146.04</c:v>
                </c:pt>
                <c:pt idx="111">
                  <c:v>145.66</c:v>
                </c:pt>
                <c:pt idx="112">
                  <c:v>144.51</c:v>
                </c:pt>
                <c:pt idx="113">
                  <c:v>143.44999999999999</c:v>
                </c:pt>
                <c:pt idx="114">
                  <c:v>141.57</c:v>
                </c:pt>
                <c:pt idx="115">
                  <c:v>143.88999999999999</c:v>
                </c:pt>
                <c:pt idx="116">
                  <c:v>142.86000000000001</c:v>
                </c:pt>
                <c:pt idx="117">
                  <c:v>137.91999999999999</c:v>
                </c:pt>
                <c:pt idx="118">
                  <c:v>139.28</c:v>
                </c:pt>
                <c:pt idx="119">
                  <c:v>139.56</c:v>
                </c:pt>
                <c:pt idx="120">
                  <c:v>139.44999999999999</c:v>
                </c:pt>
                <c:pt idx="121">
                  <c:v>140.80000000000001</c:v>
                </c:pt>
                <c:pt idx="122">
                  <c:v>143.91999999999999</c:v>
                </c:pt>
                <c:pt idx="123">
                  <c:v>145.21</c:v>
                </c:pt>
                <c:pt idx="124">
                  <c:v>144.87</c:v>
                </c:pt>
                <c:pt idx="125">
                  <c:v>146.87</c:v>
                </c:pt>
                <c:pt idx="126">
                  <c:v>149.35</c:v>
                </c:pt>
                <c:pt idx="127">
                  <c:v>148.62</c:v>
                </c:pt>
                <c:pt idx="128">
                  <c:v>150.4</c:v>
                </c:pt>
                <c:pt idx="129">
                  <c:v>149.55000000000001</c:v>
                </c:pt>
                <c:pt idx="130">
                  <c:v>152.16</c:v>
                </c:pt>
                <c:pt idx="131">
                  <c:v>150.72999999999999</c:v>
                </c:pt>
                <c:pt idx="132">
                  <c:v>148.97999999999999</c:v>
                </c:pt>
                <c:pt idx="133">
                  <c:v>149.63999999999999</c:v>
                </c:pt>
                <c:pt idx="134">
                  <c:v>148.19999999999999</c:v>
                </c:pt>
                <c:pt idx="135">
                  <c:v>147</c:v>
                </c:pt>
                <c:pt idx="136">
                  <c:v>147.63999999999999</c:v>
                </c:pt>
                <c:pt idx="137">
                  <c:v>146.97999999999999</c:v>
                </c:pt>
                <c:pt idx="138">
                  <c:v>148.65</c:v>
                </c:pt>
                <c:pt idx="139">
                  <c:v>150.28</c:v>
                </c:pt>
                <c:pt idx="140">
                  <c:v>148.63999999999999</c:v>
                </c:pt>
                <c:pt idx="141">
                  <c:v>146.88999999999999</c:v>
                </c:pt>
                <c:pt idx="142">
                  <c:v>146.38999999999999</c:v>
                </c:pt>
                <c:pt idx="143">
                  <c:v>141.71</c:v>
                </c:pt>
                <c:pt idx="144">
                  <c:v>143.1</c:v>
                </c:pt>
                <c:pt idx="145">
                  <c:v>142.66</c:v>
                </c:pt>
                <c:pt idx="146">
                  <c:v>144.22999999999999</c:v>
                </c:pt>
                <c:pt idx="147">
                  <c:v>143.53</c:v>
                </c:pt>
                <c:pt idx="148">
                  <c:v>140.63999999999999</c:v>
                </c:pt>
                <c:pt idx="149">
                  <c:v>140.03</c:v>
                </c:pt>
                <c:pt idx="150">
                  <c:v>141.22999999999999</c:v>
                </c:pt>
                <c:pt idx="151">
                  <c:v>140.72999999999999</c:v>
                </c:pt>
                <c:pt idx="152">
                  <c:v>141.76</c:v>
                </c:pt>
                <c:pt idx="153">
                  <c:v>141.03</c:v>
                </c:pt>
                <c:pt idx="154">
                  <c:v>141.9</c:v>
                </c:pt>
                <c:pt idx="155">
                  <c:v>142.16999999999999</c:v>
                </c:pt>
                <c:pt idx="156">
                  <c:v>139.91999999999999</c:v>
                </c:pt>
                <c:pt idx="157">
                  <c:v>140.44</c:v>
                </c:pt>
                <c:pt idx="158">
                  <c:v>140.16999999999999</c:v>
                </c:pt>
                <c:pt idx="159">
                  <c:v>140.44</c:v>
                </c:pt>
                <c:pt idx="160">
                  <c:v>143.13999999999999</c:v>
                </c:pt>
                <c:pt idx="161">
                  <c:v>142.31</c:v>
                </c:pt>
                <c:pt idx="162">
                  <c:v>141.97999999999999</c:v>
                </c:pt>
                <c:pt idx="163">
                  <c:v>139.69999999999999</c:v>
                </c:pt>
                <c:pt idx="164">
                  <c:v>140.79</c:v>
                </c:pt>
                <c:pt idx="165">
                  <c:v>138.84</c:v>
                </c:pt>
                <c:pt idx="166">
                  <c:v>144.71</c:v>
                </c:pt>
                <c:pt idx="167">
                  <c:v>150.08000000000001</c:v>
                </c:pt>
                <c:pt idx="168">
                  <c:v>148.88999999999999</c:v>
                </c:pt>
                <c:pt idx="169">
                  <c:v>151.54</c:v>
                </c:pt>
                <c:pt idx="170">
                  <c:v>151.16</c:v>
                </c:pt>
                <c:pt idx="171">
                  <c:v>152.66999999999999</c:v>
                </c:pt>
                <c:pt idx="172">
                  <c:v>153.71</c:v>
                </c:pt>
                <c:pt idx="173">
                  <c:v>153.63999999999999</c:v>
                </c:pt>
                <c:pt idx="174">
                  <c:v>153.18</c:v>
                </c:pt>
                <c:pt idx="175">
                  <c:v>153.03</c:v>
                </c:pt>
                <c:pt idx="176">
                  <c:v>151.51</c:v>
                </c:pt>
                <c:pt idx="177">
                  <c:v>151.55000000000001</c:v>
                </c:pt>
                <c:pt idx="178">
                  <c:v>152.63</c:v>
                </c:pt>
                <c:pt idx="179">
                  <c:v>150.12</c:v>
                </c:pt>
                <c:pt idx="180">
                  <c:v>146.16</c:v>
                </c:pt>
                <c:pt idx="181">
                  <c:v>147.55000000000001</c:v>
                </c:pt>
                <c:pt idx="182">
                  <c:v>146.09</c:v>
                </c:pt>
                <c:pt idx="183">
                  <c:v>143.6</c:v>
                </c:pt>
                <c:pt idx="184">
                  <c:v>142.9</c:v>
                </c:pt>
                <c:pt idx="185">
                  <c:v>142.86000000000001</c:v>
                </c:pt>
                <c:pt idx="186">
                  <c:v>141.58000000000001</c:v>
                </c:pt>
                <c:pt idx="187">
                  <c:v>142.94999999999999</c:v>
                </c:pt>
                <c:pt idx="188">
                  <c:v>142.62</c:v>
                </c:pt>
                <c:pt idx="189">
                  <c:v>145.08000000000001</c:v>
                </c:pt>
                <c:pt idx="190">
                  <c:v>144.38999999999999</c:v>
                </c:pt>
                <c:pt idx="191">
                  <c:v>145.02000000000001</c:v>
                </c:pt>
                <c:pt idx="192">
                  <c:v>145.85</c:v>
                </c:pt>
                <c:pt idx="193">
                  <c:v>147.83000000000001</c:v>
                </c:pt>
                <c:pt idx="194">
                  <c:v>148.77000000000001</c:v>
                </c:pt>
                <c:pt idx="195">
                  <c:v>147.11000000000001</c:v>
                </c:pt>
                <c:pt idx="196">
                  <c:v>146.1</c:v>
                </c:pt>
                <c:pt idx="197">
                  <c:v>146.33000000000001</c:v>
                </c:pt>
                <c:pt idx="198">
                  <c:v>145.5</c:v>
                </c:pt>
                <c:pt idx="199">
                  <c:v>146.11000000000001</c:v>
                </c:pt>
                <c:pt idx="200">
                  <c:v>147.97999999999999</c:v>
                </c:pt>
                <c:pt idx="201">
                  <c:v>148.74</c:v>
                </c:pt>
                <c:pt idx="202">
                  <c:v>149.51</c:v>
                </c:pt>
                <c:pt idx="203">
                  <c:v>148.61000000000001</c:v>
                </c:pt>
                <c:pt idx="204">
                  <c:v>148.06</c:v>
                </c:pt>
                <c:pt idx="205">
                  <c:v>146.91</c:v>
                </c:pt>
                <c:pt idx="206">
                  <c:v>145.02000000000001</c:v>
                </c:pt>
                <c:pt idx="207">
                  <c:v>145.63</c:v>
                </c:pt>
                <c:pt idx="208">
                  <c:v>144.63999999999999</c:v>
                </c:pt>
                <c:pt idx="209">
                  <c:v>149.69999999999999</c:v>
                </c:pt>
                <c:pt idx="210">
                  <c:v>149.04</c:v>
                </c:pt>
                <c:pt idx="211">
                  <c:v>150.65</c:v>
                </c:pt>
                <c:pt idx="212">
                  <c:v>151.22</c:v>
                </c:pt>
                <c:pt idx="213">
                  <c:v>150.37</c:v>
                </c:pt>
                <c:pt idx="214">
                  <c:v>150.08000000000001</c:v>
                </c:pt>
                <c:pt idx="215">
                  <c:v>149.37</c:v>
                </c:pt>
                <c:pt idx="216">
                  <c:v>148.16</c:v>
                </c:pt>
                <c:pt idx="217">
                  <c:v>147.05000000000001</c:v>
                </c:pt>
                <c:pt idx="218">
                  <c:v>143.68</c:v>
                </c:pt>
                <c:pt idx="219">
                  <c:v>143.74</c:v>
                </c:pt>
                <c:pt idx="220">
                  <c:v>143.78</c:v>
                </c:pt>
                <c:pt idx="221">
                  <c:v>144.24</c:v>
                </c:pt>
                <c:pt idx="222">
                  <c:v>144.16</c:v>
                </c:pt>
                <c:pt idx="223">
                  <c:v>143.52000000000001</c:v>
                </c:pt>
                <c:pt idx="224">
                  <c:v>142.22999999999999</c:v>
                </c:pt>
                <c:pt idx="225">
                  <c:v>139.91999999999999</c:v>
                </c:pt>
                <c:pt idx="226">
                  <c:v>138.96</c:v>
                </c:pt>
                <c:pt idx="227">
                  <c:v>137.01</c:v>
                </c:pt>
                <c:pt idx="228">
                  <c:v>139.37</c:v>
                </c:pt>
                <c:pt idx="229">
                  <c:v>139.91</c:v>
                </c:pt>
                <c:pt idx="230">
                  <c:v>141.36000000000001</c:v>
                </c:pt>
                <c:pt idx="231">
                  <c:v>143.47999999999999</c:v>
                </c:pt>
                <c:pt idx="232">
                  <c:v>145.91999999999999</c:v>
                </c:pt>
                <c:pt idx="233">
                  <c:v>146.57</c:v>
                </c:pt>
                <c:pt idx="234">
                  <c:v>146.32</c:v>
                </c:pt>
                <c:pt idx="235">
                  <c:v>147.66</c:v>
                </c:pt>
                <c:pt idx="236">
                  <c:v>146.74</c:v>
                </c:pt>
                <c:pt idx="237">
                  <c:v>144.4</c:v>
                </c:pt>
                <c:pt idx="238">
                  <c:v>144.58000000000001</c:v>
                </c:pt>
                <c:pt idx="239">
                  <c:v>145.87</c:v>
                </c:pt>
                <c:pt idx="240">
                  <c:v>148.78</c:v>
                </c:pt>
                <c:pt idx="241">
                  <c:v>148.5</c:v>
                </c:pt>
                <c:pt idx="242">
                  <c:v>148.69</c:v>
                </c:pt>
                <c:pt idx="243">
                  <c:v>153.63</c:v>
                </c:pt>
                <c:pt idx="244">
                  <c:v>155.19999999999999</c:v>
                </c:pt>
                <c:pt idx="245">
                  <c:v>162.85</c:v>
                </c:pt>
                <c:pt idx="246">
                  <c:v>166.18</c:v>
                </c:pt>
                <c:pt idx="247">
                  <c:v>167.53</c:v>
                </c:pt>
                <c:pt idx="248">
                  <c:v>170.49</c:v>
                </c:pt>
                <c:pt idx="249">
                  <c:v>166.47</c:v>
                </c:pt>
                <c:pt idx="250">
                  <c:v>166.97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2-4602-B9E6-92E4C3256C65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150.95350000000002</c:v>
                </c:pt>
                <c:pt idx="20">
                  <c:v>151.08000000000001</c:v>
                </c:pt>
                <c:pt idx="21">
                  <c:v>151.29750000000004</c:v>
                </c:pt>
                <c:pt idx="22">
                  <c:v>151.49800000000002</c:v>
                </c:pt>
                <c:pt idx="23">
                  <c:v>151.89550000000003</c:v>
                </c:pt>
                <c:pt idx="24">
                  <c:v>152.14000000000004</c:v>
                </c:pt>
                <c:pt idx="25">
                  <c:v>152.25500000000005</c:v>
                </c:pt>
                <c:pt idx="26">
                  <c:v>152.15750000000003</c:v>
                </c:pt>
                <c:pt idx="27">
                  <c:v>151.75500000000002</c:v>
                </c:pt>
                <c:pt idx="28">
                  <c:v>151.38499999999999</c:v>
                </c:pt>
                <c:pt idx="29">
                  <c:v>150.84099999999998</c:v>
                </c:pt>
                <c:pt idx="30">
                  <c:v>150.69749999999996</c:v>
                </c:pt>
                <c:pt idx="31">
                  <c:v>150.57999999999998</c:v>
                </c:pt>
                <c:pt idx="32">
                  <c:v>150.36999999999998</c:v>
                </c:pt>
                <c:pt idx="33">
                  <c:v>150.06749999999997</c:v>
                </c:pt>
                <c:pt idx="34">
                  <c:v>149.8415</c:v>
                </c:pt>
                <c:pt idx="35">
                  <c:v>149.6035</c:v>
                </c:pt>
                <c:pt idx="36">
                  <c:v>149.44149999999999</c:v>
                </c:pt>
                <c:pt idx="37">
                  <c:v>149.05000000000001</c:v>
                </c:pt>
                <c:pt idx="38">
                  <c:v>148.39700000000002</c:v>
                </c:pt>
                <c:pt idx="39">
                  <c:v>147.7955</c:v>
                </c:pt>
                <c:pt idx="40">
                  <c:v>147.66650000000001</c:v>
                </c:pt>
                <c:pt idx="41">
                  <c:v>147.45650000000001</c:v>
                </c:pt>
                <c:pt idx="42">
                  <c:v>147.24850000000001</c:v>
                </c:pt>
                <c:pt idx="43">
                  <c:v>147.01900000000001</c:v>
                </c:pt>
                <c:pt idx="44">
                  <c:v>146.71150000000003</c:v>
                </c:pt>
                <c:pt idx="45">
                  <c:v>146.31050000000002</c:v>
                </c:pt>
                <c:pt idx="46">
                  <c:v>146.095</c:v>
                </c:pt>
                <c:pt idx="47">
                  <c:v>145.90900000000002</c:v>
                </c:pt>
                <c:pt idx="48">
                  <c:v>145.7595</c:v>
                </c:pt>
                <c:pt idx="49">
                  <c:v>145.59549999999999</c:v>
                </c:pt>
                <c:pt idx="50">
                  <c:v>144.92900000000003</c:v>
                </c:pt>
                <c:pt idx="51">
                  <c:v>144.11449999999996</c:v>
                </c:pt>
                <c:pt idx="52">
                  <c:v>143.339</c:v>
                </c:pt>
                <c:pt idx="53">
                  <c:v>142.55749999999995</c:v>
                </c:pt>
                <c:pt idx="54">
                  <c:v>141.85300000000001</c:v>
                </c:pt>
                <c:pt idx="55">
                  <c:v>141.0745</c:v>
                </c:pt>
                <c:pt idx="56">
                  <c:v>140.19349999999997</c:v>
                </c:pt>
                <c:pt idx="57">
                  <c:v>139.46250000000001</c:v>
                </c:pt>
                <c:pt idx="58">
                  <c:v>138.84</c:v>
                </c:pt>
                <c:pt idx="59">
                  <c:v>138.42075</c:v>
                </c:pt>
                <c:pt idx="60">
                  <c:v>137.71274999999997</c:v>
                </c:pt>
                <c:pt idx="61">
                  <c:v>137.02774999999997</c:v>
                </c:pt>
                <c:pt idx="62">
                  <c:v>136.39024999999998</c:v>
                </c:pt>
                <c:pt idx="63">
                  <c:v>135.56824999999998</c:v>
                </c:pt>
                <c:pt idx="64">
                  <c:v>134.84874999999997</c:v>
                </c:pt>
                <c:pt idx="65">
                  <c:v>134.41924999999998</c:v>
                </c:pt>
                <c:pt idx="66">
                  <c:v>133.87624999999997</c:v>
                </c:pt>
                <c:pt idx="67">
                  <c:v>133.37925000000001</c:v>
                </c:pt>
                <c:pt idx="68">
                  <c:v>132.79625000000001</c:v>
                </c:pt>
                <c:pt idx="69">
                  <c:v>132.19075000000004</c:v>
                </c:pt>
                <c:pt idx="70">
                  <c:v>131.93125000000001</c:v>
                </c:pt>
                <c:pt idx="71">
                  <c:v>131.72925000000004</c:v>
                </c:pt>
                <c:pt idx="72">
                  <c:v>131.60975000000002</c:v>
                </c:pt>
                <c:pt idx="73">
                  <c:v>131.42775</c:v>
                </c:pt>
                <c:pt idx="74">
                  <c:v>131.24475000000001</c:v>
                </c:pt>
                <c:pt idx="75">
                  <c:v>131.13974999999999</c:v>
                </c:pt>
                <c:pt idx="76">
                  <c:v>130.99775</c:v>
                </c:pt>
                <c:pt idx="77">
                  <c:v>130.99074999999999</c:v>
                </c:pt>
                <c:pt idx="78">
                  <c:v>131.04074999999997</c:v>
                </c:pt>
                <c:pt idx="79">
                  <c:v>131.00049999999999</c:v>
                </c:pt>
                <c:pt idx="80">
                  <c:v>130.93050000000002</c:v>
                </c:pt>
                <c:pt idx="81">
                  <c:v>130.90650000000005</c:v>
                </c:pt>
                <c:pt idx="82">
                  <c:v>130.91400000000004</c:v>
                </c:pt>
                <c:pt idx="83">
                  <c:v>130.89350000000002</c:v>
                </c:pt>
                <c:pt idx="84">
                  <c:v>131.08600000000004</c:v>
                </c:pt>
                <c:pt idx="85">
                  <c:v>131.05350000000001</c:v>
                </c:pt>
                <c:pt idx="86">
                  <c:v>131.02500000000003</c:v>
                </c:pt>
                <c:pt idx="87">
                  <c:v>130.89999999999998</c:v>
                </c:pt>
                <c:pt idx="88">
                  <c:v>130.76349999999999</c:v>
                </c:pt>
                <c:pt idx="89">
                  <c:v>130.70949999999999</c:v>
                </c:pt>
                <c:pt idx="90">
                  <c:v>130.65800000000002</c:v>
                </c:pt>
                <c:pt idx="91">
                  <c:v>130.74350000000004</c:v>
                </c:pt>
                <c:pt idx="92">
                  <c:v>130.57600000000002</c:v>
                </c:pt>
                <c:pt idx="93">
                  <c:v>130.45350000000002</c:v>
                </c:pt>
                <c:pt idx="94">
                  <c:v>130.40950000000001</c:v>
                </c:pt>
                <c:pt idx="95">
                  <c:v>130.43899999999999</c:v>
                </c:pt>
                <c:pt idx="96">
                  <c:v>130.65649999999997</c:v>
                </c:pt>
                <c:pt idx="97">
                  <c:v>130.88799999999998</c:v>
                </c:pt>
                <c:pt idx="98">
                  <c:v>131.07</c:v>
                </c:pt>
                <c:pt idx="99">
                  <c:v>131.23699999999997</c:v>
                </c:pt>
                <c:pt idx="100">
                  <c:v>131.48749999999998</c:v>
                </c:pt>
                <c:pt idx="101">
                  <c:v>131.71349999999998</c:v>
                </c:pt>
                <c:pt idx="102">
                  <c:v>131.92599999999999</c:v>
                </c:pt>
                <c:pt idx="103">
                  <c:v>132.19399999999996</c:v>
                </c:pt>
                <c:pt idx="104">
                  <c:v>132.35750000000002</c:v>
                </c:pt>
                <c:pt idx="105">
                  <c:v>132.50549999999998</c:v>
                </c:pt>
                <c:pt idx="106">
                  <c:v>132.70249999999999</c:v>
                </c:pt>
                <c:pt idx="107">
                  <c:v>133.51</c:v>
                </c:pt>
                <c:pt idx="108">
                  <c:v>134.21850000000001</c:v>
                </c:pt>
                <c:pt idx="109">
                  <c:v>134.85</c:v>
                </c:pt>
                <c:pt idx="110">
                  <c:v>135.69749999999999</c:v>
                </c:pt>
                <c:pt idx="111">
                  <c:v>136.42799999999997</c:v>
                </c:pt>
                <c:pt idx="112">
                  <c:v>137.25249999999997</c:v>
                </c:pt>
                <c:pt idx="113">
                  <c:v>138.01399999999995</c:v>
                </c:pt>
                <c:pt idx="114">
                  <c:v>138.54049999999995</c:v>
                </c:pt>
                <c:pt idx="115">
                  <c:v>139.13299999999998</c:v>
                </c:pt>
                <c:pt idx="116">
                  <c:v>139.51299999999998</c:v>
                </c:pt>
                <c:pt idx="117">
                  <c:v>139.58500000000001</c:v>
                </c:pt>
                <c:pt idx="118">
                  <c:v>139.78000000000003</c:v>
                </c:pt>
                <c:pt idx="119">
                  <c:v>140.03550000000001</c:v>
                </c:pt>
                <c:pt idx="120">
                  <c:v>140.25600000000003</c:v>
                </c:pt>
                <c:pt idx="121">
                  <c:v>140.57200000000003</c:v>
                </c:pt>
                <c:pt idx="122">
                  <c:v>140.96400000000003</c:v>
                </c:pt>
                <c:pt idx="123">
                  <c:v>141.46150000000003</c:v>
                </c:pt>
                <c:pt idx="124">
                  <c:v>141.9265</c:v>
                </c:pt>
                <c:pt idx="125">
                  <c:v>142.5795</c:v>
                </c:pt>
                <c:pt idx="126">
                  <c:v>143.27950000000001</c:v>
                </c:pt>
                <c:pt idx="127">
                  <c:v>143.43849999999998</c:v>
                </c:pt>
                <c:pt idx="128">
                  <c:v>143.79649999999998</c:v>
                </c:pt>
                <c:pt idx="129">
                  <c:v>144.18900000000002</c:v>
                </c:pt>
                <c:pt idx="130">
                  <c:v>144.49499999999998</c:v>
                </c:pt>
                <c:pt idx="131">
                  <c:v>144.74849999999998</c:v>
                </c:pt>
                <c:pt idx="132">
                  <c:v>144.97200000000001</c:v>
                </c:pt>
                <c:pt idx="133">
                  <c:v>145.28149999999999</c:v>
                </c:pt>
                <c:pt idx="134">
                  <c:v>145.613</c:v>
                </c:pt>
                <c:pt idx="135">
                  <c:v>145.76849999999996</c:v>
                </c:pt>
                <c:pt idx="136">
                  <c:v>146.00749999999999</c:v>
                </c:pt>
                <c:pt idx="137">
                  <c:v>146.46049999999997</c:v>
                </c:pt>
                <c:pt idx="138">
                  <c:v>146.929</c:v>
                </c:pt>
                <c:pt idx="139">
                  <c:v>147.465</c:v>
                </c:pt>
                <c:pt idx="140">
                  <c:v>147.92450000000002</c:v>
                </c:pt>
                <c:pt idx="141">
                  <c:v>148.22899999999998</c:v>
                </c:pt>
                <c:pt idx="142">
                  <c:v>148.35250000000002</c:v>
                </c:pt>
                <c:pt idx="143">
                  <c:v>148.17750000000001</c:v>
                </c:pt>
                <c:pt idx="144">
                  <c:v>148.089</c:v>
                </c:pt>
                <c:pt idx="145">
                  <c:v>147.87849999999997</c:v>
                </c:pt>
                <c:pt idx="146">
                  <c:v>147.6225</c:v>
                </c:pt>
                <c:pt idx="147">
                  <c:v>147.36799999999999</c:v>
                </c:pt>
                <c:pt idx="148">
                  <c:v>146.88</c:v>
                </c:pt>
                <c:pt idx="149">
                  <c:v>146.404</c:v>
                </c:pt>
                <c:pt idx="150">
                  <c:v>145.85749999999999</c:v>
                </c:pt>
                <c:pt idx="151">
                  <c:v>145.35749999999999</c:v>
                </c:pt>
                <c:pt idx="152">
                  <c:v>144.99650000000003</c:v>
                </c:pt>
                <c:pt idx="153">
                  <c:v>144.566</c:v>
                </c:pt>
                <c:pt idx="154">
                  <c:v>144.25100000000003</c:v>
                </c:pt>
                <c:pt idx="155">
                  <c:v>144.00949999999997</c:v>
                </c:pt>
                <c:pt idx="156">
                  <c:v>143.62350000000001</c:v>
                </c:pt>
                <c:pt idx="157">
                  <c:v>143.29650000000004</c:v>
                </c:pt>
                <c:pt idx="158">
                  <c:v>142.8725</c:v>
                </c:pt>
                <c:pt idx="159">
                  <c:v>142.38050000000001</c:v>
                </c:pt>
                <c:pt idx="160">
                  <c:v>142.10550000000001</c:v>
                </c:pt>
                <c:pt idx="161">
                  <c:v>141.87650000000002</c:v>
                </c:pt>
                <c:pt idx="162">
                  <c:v>141.65600000000001</c:v>
                </c:pt>
                <c:pt idx="163">
                  <c:v>141.55549999999999</c:v>
                </c:pt>
                <c:pt idx="164">
                  <c:v>141.44</c:v>
                </c:pt>
                <c:pt idx="165">
                  <c:v>141.24900000000002</c:v>
                </c:pt>
                <c:pt idx="166">
                  <c:v>141.273</c:v>
                </c:pt>
                <c:pt idx="167">
                  <c:v>141.60050000000001</c:v>
                </c:pt>
                <c:pt idx="168">
                  <c:v>142.01299999999998</c:v>
                </c:pt>
                <c:pt idx="169">
                  <c:v>142.58850000000001</c:v>
                </c:pt>
                <c:pt idx="170">
                  <c:v>143.08499999999998</c:v>
                </c:pt>
                <c:pt idx="171">
                  <c:v>143.68199999999996</c:v>
                </c:pt>
                <c:pt idx="172">
                  <c:v>144.27949999999998</c:v>
                </c:pt>
                <c:pt idx="173">
                  <c:v>144.91</c:v>
                </c:pt>
                <c:pt idx="174">
                  <c:v>145.47399999999999</c:v>
                </c:pt>
                <c:pt idx="175">
                  <c:v>146.017</c:v>
                </c:pt>
                <c:pt idx="176">
                  <c:v>146.59649999999996</c:v>
                </c:pt>
                <c:pt idx="177">
                  <c:v>147.15199999999999</c:v>
                </c:pt>
                <c:pt idx="178">
                  <c:v>147.77500000000001</c:v>
                </c:pt>
                <c:pt idx="179">
                  <c:v>148.25900000000001</c:v>
                </c:pt>
                <c:pt idx="180">
                  <c:v>148.41000000000003</c:v>
                </c:pt>
                <c:pt idx="181">
                  <c:v>148.67200000000003</c:v>
                </c:pt>
                <c:pt idx="182">
                  <c:v>148.8775</c:v>
                </c:pt>
                <c:pt idx="183">
                  <c:v>149.07250000000002</c:v>
                </c:pt>
                <c:pt idx="184">
                  <c:v>149.178</c:v>
                </c:pt>
                <c:pt idx="185">
                  <c:v>149.37900000000002</c:v>
                </c:pt>
                <c:pt idx="186">
                  <c:v>149.22250000000003</c:v>
                </c:pt>
                <c:pt idx="187">
                  <c:v>148.86599999999999</c:v>
                </c:pt>
                <c:pt idx="188">
                  <c:v>148.55249999999998</c:v>
                </c:pt>
                <c:pt idx="189">
                  <c:v>148.22949999999997</c:v>
                </c:pt>
                <c:pt idx="190">
                  <c:v>147.89099999999996</c:v>
                </c:pt>
                <c:pt idx="191">
                  <c:v>147.50849999999997</c:v>
                </c:pt>
                <c:pt idx="192">
                  <c:v>147.11549999999997</c:v>
                </c:pt>
                <c:pt idx="193">
                  <c:v>146.82499999999996</c:v>
                </c:pt>
                <c:pt idx="194">
                  <c:v>146.60449999999997</c:v>
                </c:pt>
                <c:pt idx="195">
                  <c:v>146.30849999999998</c:v>
                </c:pt>
                <c:pt idx="196">
                  <c:v>146.03799999999998</c:v>
                </c:pt>
                <c:pt idx="197">
                  <c:v>145.77699999999999</c:v>
                </c:pt>
                <c:pt idx="198">
                  <c:v>145.42049999999998</c:v>
                </c:pt>
                <c:pt idx="199">
                  <c:v>145.21999999999997</c:v>
                </c:pt>
                <c:pt idx="200">
                  <c:v>145.31099999999998</c:v>
                </c:pt>
                <c:pt idx="201">
                  <c:v>145.37049999999999</c:v>
                </c:pt>
                <c:pt idx="202">
                  <c:v>145.54149999999998</c:v>
                </c:pt>
                <c:pt idx="203">
                  <c:v>145.79200000000003</c:v>
                </c:pt>
                <c:pt idx="204">
                  <c:v>146.05000000000001</c:v>
                </c:pt>
                <c:pt idx="205">
                  <c:v>146.2525</c:v>
                </c:pt>
                <c:pt idx="206">
                  <c:v>146.42450000000002</c:v>
                </c:pt>
                <c:pt idx="207">
                  <c:v>146.55850000000001</c:v>
                </c:pt>
                <c:pt idx="208">
                  <c:v>146.65950000000001</c:v>
                </c:pt>
                <c:pt idx="209">
                  <c:v>146.89049999999997</c:v>
                </c:pt>
                <c:pt idx="210">
                  <c:v>147.12299999999999</c:v>
                </c:pt>
                <c:pt idx="211">
                  <c:v>147.40450000000001</c:v>
                </c:pt>
                <c:pt idx="212">
                  <c:v>147.673</c:v>
                </c:pt>
                <c:pt idx="213">
                  <c:v>147.79999999999998</c:v>
                </c:pt>
                <c:pt idx="214">
                  <c:v>147.86549999999997</c:v>
                </c:pt>
                <c:pt idx="215">
                  <c:v>147.97849999999997</c:v>
                </c:pt>
                <c:pt idx="216">
                  <c:v>148.08149999999998</c:v>
                </c:pt>
                <c:pt idx="217">
                  <c:v>148.11749999999998</c:v>
                </c:pt>
                <c:pt idx="218">
                  <c:v>148.0265</c:v>
                </c:pt>
                <c:pt idx="219">
                  <c:v>147.90799999999999</c:v>
                </c:pt>
                <c:pt idx="220">
                  <c:v>147.69799999999998</c:v>
                </c:pt>
                <c:pt idx="221">
                  <c:v>147.47300000000001</c:v>
                </c:pt>
                <c:pt idx="222">
                  <c:v>147.20549999999997</c:v>
                </c:pt>
                <c:pt idx="223">
                  <c:v>146.95099999999999</c:v>
                </c:pt>
                <c:pt idx="224">
                  <c:v>146.65950000000004</c:v>
                </c:pt>
                <c:pt idx="225">
                  <c:v>146.31</c:v>
                </c:pt>
                <c:pt idx="226">
                  <c:v>146.00700000000001</c:v>
                </c:pt>
                <c:pt idx="227">
                  <c:v>145.57600000000002</c:v>
                </c:pt>
                <c:pt idx="228">
                  <c:v>145.3125</c:v>
                </c:pt>
                <c:pt idx="229">
                  <c:v>144.82300000000001</c:v>
                </c:pt>
                <c:pt idx="230">
                  <c:v>144.43900000000002</c:v>
                </c:pt>
                <c:pt idx="231">
                  <c:v>144.08049999999997</c:v>
                </c:pt>
                <c:pt idx="232">
                  <c:v>143.81550000000001</c:v>
                </c:pt>
                <c:pt idx="233">
                  <c:v>143.62550000000005</c:v>
                </c:pt>
                <c:pt idx="234">
                  <c:v>143.43750000000003</c:v>
                </c:pt>
                <c:pt idx="235">
                  <c:v>143.35200000000003</c:v>
                </c:pt>
                <c:pt idx="236">
                  <c:v>143.28100000000001</c:v>
                </c:pt>
                <c:pt idx="237">
                  <c:v>143.14850000000004</c:v>
                </c:pt>
                <c:pt idx="238">
                  <c:v>143.19350000000003</c:v>
                </c:pt>
                <c:pt idx="239">
                  <c:v>143.29999999999998</c:v>
                </c:pt>
                <c:pt idx="240">
                  <c:v>143.55000000000001</c:v>
                </c:pt>
                <c:pt idx="241">
                  <c:v>143.76300000000001</c:v>
                </c:pt>
                <c:pt idx="242">
                  <c:v>143.98949999999999</c:v>
                </c:pt>
                <c:pt idx="243">
                  <c:v>144.49500000000003</c:v>
                </c:pt>
                <c:pt idx="244">
                  <c:v>145.14350000000002</c:v>
                </c:pt>
                <c:pt idx="245">
                  <c:v>146.29000000000002</c:v>
                </c:pt>
                <c:pt idx="246">
                  <c:v>147.65100000000001</c:v>
                </c:pt>
                <c:pt idx="247">
                  <c:v>149.17699999999996</c:v>
                </c:pt>
                <c:pt idx="248">
                  <c:v>150.733</c:v>
                </c:pt>
                <c:pt idx="249">
                  <c:v>152.06099999999995</c:v>
                </c:pt>
                <c:pt idx="250">
                  <c:v>153.34149999999994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2-4602-B9E6-92E4C3256C65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Data!$AB$2:$AB$252</c:f>
              <c:numCache>
                <c:formatCode>General</c:formatCode>
                <c:ptCount val="251"/>
                <c:pt idx="99">
                  <c:v>139.88145000000006</c:v>
                </c:pt>
                <c:pt idx="100">
                  <c:v>139.77545000000006</c:v>
                </c:pt>
                <c:pt idx="101">
                  <c:v>139.68035000000006</c:v>
                </c:pt>
                <c:pt idx="102">
                  <c:v>139.59535000000008</c:v>
                </c:pt>
                <c:pt idx="103">
                  <c:v>139.51405000000005</c:v>
                </c:pt>
                <c:pt idx="104">
                  <c:v>139.42875000000006</c:v>
                </c:pt>
                <c:pt idx="105">
                  <c:v>139.30875000000003</c:v>
                </c:pt>
                <c:pt idx="106">
                  <c:v>139.17125000000004</c:v>
                </c:pt>
                <c:pt idx="107">
                  <c:v>139.09065000000007</c:v>
                </c:pt>
                <c:pt idx="108">
                  <c:v>138.98455000000004</c:v>
                </c:pt>
                <c:pt idx="109">
                  <c:v>138.83735000000004</c:v>
                </c:pt>
                <c:pt idx="110">
                  <c:v>138.78265000000005</c:v>
                </c:pt>
                <c:pt idx="111">
                  <c:v>138.71905000000007</c:v>
                </c:pt>
                <c:pt idx="112">
                  <c:v>138.62945000000005</c:v>
                </c:pt>
                <c:pt idx="113">
                  <c:v>138.50405000000006</c:v>
                </c:pt>
                <c:pt idx="114">
                  <c:v>138.37785000000005</c:v>
                </c:pt>
                <c:pt idx="115">
                  <c:v>138.27795000000003</c:v>
                </c:pt>
                <c:pt idx="116">
                  <c:v>138.16045000000003</c:v>
                </c:pt>
                <c:pt idx="117">
                  <c:v>137.99525000000006</c:v>
                </c:pt>
                <c:pt idx="118">
                  <c:v>137.82555000000005</c:v>
                </c:pt>
                <c:pt idx="119">
                  <c:v>137.69785000000005</c:v>
                </c:pt>
                <c:pt idx="120">
                  <c:v>137.61065000000005</c:v>
                </c:pt>
                <c:pt idx="121">
                  <c:v>137.53525000000002</c:v>
                </c:pt>
                <c:pt idx="122">
                  <c:v>137.48855000000003</c:v>
                </c:pt>
                <c:pt idx="123">
                  <c:v>137.42725000000002</c:v>
                </c:pt>
                <c:pt idx="124">
                  <c:v>137.38605000000004</c:v>
                </c:pt>
                <c:pt idx="125">
                  <c:v>137.37365000000003</c:v>
                </c:pt>
                <c:pt idx="126">
                  <c:v>137.39565000000005</c:v>
                </c:pt>
                <c:pt idx="127">
                  <c:v>137.42735000000005</c:v>
                </c:pt>
                <c:pt idx="128">
                  <c:v>137.46685000000002</c:v>
                </c:pt>
                <c:pt idx="129">
                  <c:v>137.50695000000002</c:v>
                </c:pt>
                <c:pt idx="130">
                  <c:v>137.54215000000005</c:v>
                </c:pt>
                <c:pt idx="131">
                  <c:v>137.55275</c:v>
                </c:pt>
                <c:pt idx="132">
                  <c:v>137.54985000000002</c:v>
                </c:pt>
                <c:pt idx="133">
                  <c:v>137.54685000000001</c:v>
                </c:pt>
                <c:pt idx="134">
                  <c:v>137.53215000000003</c:v>
                </c:pt>
                <c:pt idx="135">
                  <c:v>137.51095000000001</c:v>
                </c:pt>
                <c:pt idx="136">
                  <c:v>137.47364999999999</c:v>
                </c:pt>
                <c:pt idx="137">
                  <c:v>137.47735</c:v>
                </c:pt>
                <c:pt idx="138">
                  <c:v>137.53194999999999</c:v>
                </c:pt>
                <c:pt idx="139">
                  <c:v>137.63175000000001</c:v>
                </c:pt>
                <c:pt idx="140">
                  <c:v>137.66225</c:v>
                </c:pt>
                <c:pt idx="141">
                  <c:v>137.68974999999998</c:v>
                </c:pt>
                <c:pt idx="142">
                  <c:v>137.70935</c:v>
                </c:pt>
                <c:pt idx="143">
                  <c:v>137.65894999999998</c:v>
                </c:pt>
                <c:pt idx="144">
                  <c:v>137.66154999999998</c:v>
                </c:pt>
                <c:pt idx="145">
                  <c:v>137.68724999999998</c:v>
                </c:pt>
                <c:pt idx="146">
                  <c:v>137.70114999999998</c:v>
                </c:pt>
                <c:pt idx="147">
                  <c:v>137.71914999999998</c:v>
                </c:pt>
                <c:pt idx="148">
                  <c:v>137.69094999999996</c:v>
                </c:pt>
                <c:pt idx="149">
                  <c:v>137.66864999999999</c:v>
                </c:pt>
                <c:pt idx="150">
                  <c:v>137.72784999999996</c:v>
                </c:pt>
                <c:pt idx="151">
                  <c:v>137.80134999999996</c:v>
                </c:pt>
                <c:pt idx="152">
                  <c:v>137.88134999999997</c:v>
                </c:pt>
                <c:pt idx="153">
                  <c:v>137.94854999999995</c:v>
                </c:pt>
                <c:pt idx="154">
                  <c:v>138.01174999999998</c:v>
                </c:pt>
                <c:pt idx="155">
                  <c:v>138.09794999999997</c:v>
                </c:pt>
                <c:pt idx="156">
                  <c:v>138.15964999999997</c:v>
                </c:pt>
                <c:pt idx="157">
                  <c:v>138.24414999999996</c:v>
                </c:pt>
                <c:pt idx="158">
                  <c:v>138.33844999999997</c:v>
                </c:pt>
                <c:pt idx="159">
                  <c:v>138.42369999999997</c:v>
                </c:pt>
                <c:pt idx="160">
                  <c:v>138.54079999999999</c:v>
                </c:pt>
                <c:pt idx="161">
                  <c:v>138.65949999999998</c:v>
                </c:pt>
                <c:pt idx="162">
                  <c:v>138.76249999999996</c:v>
                </c:pt>
                <c:pt idx="163">
                  <c:v>138.85639999999998</c:v>
                </c:pt>
                <c:pt idx="164">
                  <c:v>138.97979999999998</c:v>
                </c:pt>
                <c:pt idx="165">
                  <c:v>139.05319999999995</c:v>
                </c:pt>
                <c:pt idx="166">
                  <c:v>139.18049999999997</c:v>
                </c:pt>
                <c:pt idx="167">
                  <c:v>139.36339999999996</c:v>
                </c:pt>
                <c:pt idx="168">
                  <c:v>139.53429999999994</c:v>
                </c:pt>
                <c:pt idx="169">
                  <c:v>139.74819999999997</c:v>
                </c:pt>
                <c:pt idx="170">
                  <c:v>139.95859999999996</c:v>
                </c:pt>
                <c:pt idx="171">
                  <c:v>140.19189999999998</c:v>
                </c:pt>
                <c:pt idx="172">
                  <c:v>140.41529999999995</c:v>
                </c:pt>
                <c:pt idx="173">
                  <c:v>140.64499999999995</c:v>
                </c:pt>
                <c:pt idx="174">
                  <c:v>140.85759999999993</c:v>
                </c:pt>
                <c:pt idx="175">
                  <c:v>141.07339999999994</c:v>
                </c:pt>
                <c:pt idx="176">
                  <c:v>141.27939999999995</c:v>
                </c:pt>
                <c:pt idx="177">
                  <c:v>141.47639999999996</c:v>
                </c:pt>
                <c:pt idx="178">
                  <c:v>141.68529999999996</c:v>
                </c:pt>
                <c:pt idx="179">
                  <c:v>141.87539999999996</c:v>
                </c:pt>
                <c:pt idx="180">
                  <c:v>142.03669999999994</c:v>
                </c:pt>
                <c:pt idx="181">
                  <c:v>142.21259999999995</c:v>
                </c:pt>
                <c:pt idx="182">
                  <c:v>142.35519999999994</c:v>
                </c:pt>
                <c:pt idx="183">
                  <c:v>142.49219999999997</c:v>
                </c:pt>
                <c:pt idx="184">
                  <c:v>142.59819999999999</c:v>
                </c:pt>
                <c:pt idx="185">
                  <c:v>142.71829999999997</c:v>
                </c:pt>
                <c:pt idx="186">
                  <c:v>142.82</c:v>
                </c:pt>
                <c:pt idx="187">
                  <c:v>142.95660000000001</c:v>
                </c:pt>
                <c:pt idx="188">
                  <c:v>143.09210000000002</c:v>
                </c:pt>
                <c:pt idx="189">
                  <c:v>143.25220000000002</c:v>
                </c:pt>
                <c:pt idx="190">
                  <c:v>143.40520000000001</c:v>
                </c:pt>
                <c:pt idx="191">
                  <c:v>143.54489999999998</c:v>
                </c:pt>
                <c:pt idx="192">
                  <c:v>143.72319999999999</c:v>
                </c:pt>
                <c:pt idx="193">
                  <c:v>143.91929999999999</c:v>
                </c:pt>
                <c:pt idx="194">
                  <c:v>144.0966</c:v>
                </c:pt>
                <c:pt idx="195">
                  <c:v>144.24730000000002</c:v>
                </c:pt>
                <c:pt idx="196">
                  <c:v>144.35569999999998</c:v>
                </c:pt>
                <c:pt idx="197">
                  <c:v>144.45420000000001</c:v>
                </c:pt>
                <c:pt idx="198">
                  <c:v>144.55539999999999</c:v>
                </c:pt>
                <c:pt idx="199">
                  <c:v>144.672</c:v>
                </c:pt>
                <c:pt idx="200">
                  <c:v>144.8014</c:v>
                </c:pt>
                <c:pt idx="201">
                  <c:v>144.94399999999999</c:v>
                </c:pt>
                <c:pt idx="202">
                  <c:v>145.07830000000001</c:v>
                </c:pt>
                <c:pt idx="203">
                  <c:v>145.21180000000001</c:v>
                </c:pt>
                <c:pt idx="204">
                  <c:v>145.33670000000001</c:v>
                </c:pt>
                <c:pt idx="205">
                  <c:v>145.46770000000004</c:v>
                </c:pt>
                <c:pt idx="206">
                  <c:v>145.56440000000001</c:v>
                </c:pt>
                <c:pt idx="207">
                  <c:v>145.56629999999998</c:v>
                </c:pt>
                <c:pt idx="208">
                  <c:v>145.58029999999997</c:v>
                </c:pt>
                <c:pt idx="209">
                  <c:v>145.66029999999998</c:v>
                </c:pt>
                <c:pt idx="210">
                  <c:v>145.69030000000001</c:v>
                </c:pt>
                <c:pt idx="211">
                  <c:v>145.74020000000002</c:v>
                </c:pt>
                <c:pt idx="212">
                  <c:v>145.8073</c:v>
                </c:pt>
                <c:pt idx="213">
                  <c:v>145.87649999999999</c:v>
                </c:pt>
                <c:pt idx="214">
                  <c:v>145.9616</c:v>
                </c:pt>
                <c:pt idx="215">
                  <c:v>146.0164</c:v>
                </c:pt>
                <c:pt idx="216">
                  <c:v>146.06940000000003</c:v>
                </c:pt>
                <c:pt idx="217">
                  <c:v>146.16070000000002</c:v>
                </c:pt>
                <c:pt idx="218">
                  <c:v>146.2047</c:v>
                </c:pt>
                <c:pt idx="219">
                  <c:v>146.24650000000003</c:v>
                </c:pt>
                <c:pt idx="220">
                  <c:v>146.28980000000004</c:v>
                </c:pt>
                <c:pt idx="221">
                  <c:v>146.32420000000005</c:v>
                </c:pt>
                <c:pt idx="222">
                  <c:v>146.32660000000004</c:v>
                </c:pt>
                <c:pt idx="223">
                  <c:v>146.30970000000005</c:v>
                </c:pt>
                <c:pt idx="224">
                  <c:v>146.28330000000003</c:v>
                </c:pt>
                <c:pt idx="225">
                  <c:v>146.21380000000005</c:v>
                </c:pt>
                <c:pt idx="226">
                  <c:v>146.10990000000004</c:v>
                </c:pt>
                <c:pt idx="227">
                  <c:v>145.99380000000005</c:v>
                </c:pt>
                <c:pt idx="228">
                  <c:v>145.88350000000005</c:v>
                </c:pt>
                <c:pt idx="229">
                  <c:v>145.78710000000004</c:v>
                </c:pt>
                <c:pt idx="230">
                  <c:v>145.67910000000006</c:v>
                </c:pt>
                <c:pt idx="231">
                  <c:v>145.60660000000004</c:v>
                </c:pt>
                <c:pt idx="232">
                  <c:v>145.57600000000005</c:v>
                </c:pt>
                <c:pt idx="233">
                  <c:v>145.54530000000003</c:v>
                </c:pt>
                <c:pt idx="234">
                  <c:v>145.52650000000003</c:v>
                </c:pt>
                <c:pt idx="235">
                  <c:v>145.53310000000002</c:v>
                </c:pt>
                <c:pt idx="236">
                  <c:v>145.52410000000003</c:v>
                </c:pt>
                <c:pt idx="237">
                  <c:v>145.49830000000003</c:v>
                </c:pt>
                <c:pt idx="238">
                  <c:v>145.45760000000001</c:v>
                </c:pt>
                <c:pt idx="239">
                  <c:v>145.41350000000003</c:v>
                </c:pt>
                <c:pt idx="240">
                  <c:v>145.41490000000005</c:v>
                </c:pt>
                <c:pt idx="241">
                  <c:v>145.43100000000004</c:v>
                </c:pt>
                <c:pt idx="242">
                  <c:v>145.45400000000001</c:v>
                </c:pt>
                <c:pt idx="243">
                  <c:v>145.57320000000001</c:v>
                </c:pt>
                <c:pt idx="244">
                  <c:v>145.69420000000002</c:v>
                </c:pt>
                <c:pt idx="245">
                  <c:v>145.89610000000002</c:v>
                </c:pt>
                <c:pt idx="246">
                  <c:v>146.1156</c:v>
                </c:pt>
                <c:pt idx="247">
                  <c:v>146.35560000000004</c:v>
                </c:pt>
                <c:pt idx="248">
                  <c:v>146.65410000000003</c:v>
                </c:pt>
                <c:pt idx="249">
                  <c:v>146.91850000000002</c:v>
                </c:pt>
                <c:pt idx="250">
                  <c:v>147.17590000000001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2-4602-B9E6-92E4C3256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59504"/>
        <c:axId val="165164304"/>
      </c:lineChart>
      <c:dateAx>
        <c:axId val="165159504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64304"/>
        <c:crosses val="autoZero"/>
        <c:auto val="1"/>
        <c:lblOffset val="100"/>
        <c:baseTimeUnit val="days"/>
      </c:dateAx>
      <c:valAx>
        <c:axId val="165164304"/>
        <c:scaling>
          <c:orientation val="minMax"/>
          <c:max val="170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5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VWAP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145.63999999999999</c:v>
                </c:pt>
                <c:pt idx="1">
                  <c:v>143.99</c:v>
                </c:pt>
                <c:pt idx="2">
                  <c:v>144.58000000000001</c:v>
                </c:pt>
                <c:pt idx="3">
                  <c:v>143.38999999999999</c:v>
                </c:pt>
                <c:pt idx="4">
                  <c:v>144.1</c:v>
                </c:pt>
                <c:pt idx="5">
                  <c:v>145.81</c:v>
                </c:pt>
                <c:pt idx="6">
                  <c:v>149.1</c:v>
                </c:pt>
                <c:pt idx="7">
                  <c:v>153.5</c:v>
                </c:pt>
                <c:pt idx="8">
                  <c:v>153.85</c:v>
                </c:pt>
                <c:pt idx="9">
                  <c:v>156.41999999999999</c:v>
                </c:pt>
                <c:pt idx="10">
                  <c:v>151.51</c:v>
                </c:pt>
                <c:pt idx="11">
                  <c:v>152.02000000000001</c:v>
                </c:pt>
                <c:pt idx="12">
                  <c:v>153.47</c:v>
                </c:pt>
                <c:pt idx="13">
                  <c:v>155.99</c:v>
                </c:pt>
                <c:pt idx="14">
                  <c:v>154.19</c:v>
                </c:pt>
                <c:pt idx="15">
                  <c:v>153.88</c:v>
                </c:pt>
                <c:pt idx="16">
                  <c:v>154.61000000000001</c:v>
                </c:pt>
                <c:pt idx="17">
                  <c:v>154.44</c:v>
                </c:pt>
                <c:pt idx="18">
                  <c:v>156.25</c:v>
                </c:pt>
                <c:pt idx="19">
                  <c:v>152.33000000000001</c:v>
                </c:pt>
                <c:pt idx="20">
                  <c:v>148.16999999999999</c:v>
                </c:pt>
                <c:pt idx="21">
                  <c:v>148.34</c:v>
                </c:pt>
                <c:pt idx="22">
                  <c:v>148.59</c:v>
                </c:pt>
                <c:pt idx="23">
                  <c:v>151.34</c:v>
                </c:pt>
                <c:pt idx="24">
                  <c:v>148.99</c:v>
                </c:pt>
                <c:pt idx="25">
                  <c:v>148.11000000000001</c:v>
                </c:pt>
                <c:pt idx="26">
                  <c:v>147.15</c:v>
                </c:pt>
                <c:pt idx="27">
                  <c:v>145.44999999999999</c:v>
                </c:pt>
                <c:pt idx="28">
                  <c:v>146.44999999999999</c:v>
                </c:pt>
                <c:pt idx="29">
                  <c:v>145.54</c:v>
                </c:pt>
                <c:pt idx="30">
                  <c:v>148.63999999999999</c:v>
                </c:pt>
                <c:pt idx="31">
                  <c:v>149.66999999999999</c:v>
                </c:pt>
                <c:pt idx="32">
                  <c:v>149.27000000000001</c:v>
                </c:pt>
                <c:pt idx="33">
                  <c:v>149.94</c:v>
                </c:pt>
                <c:pt idx="34">
                  <c:v>149.66999999999999</c:v>
                </c:pt>
                <c:pt idx="35">
                  <c:v>149.12</c:v>
                </c:pt>
                <c:pt idx="36">
                  <c:v>151.37</c:v>
                </c:pt>
                <c:pt idx="37">
                  <c:v>146.61000000000001</c:v>
                </c:pt>
                <c:pt idx="38">
                  <c:v>143.19</c:v>
                </c:pt>
                <c:pt idx="39">
                  <c:v>140.30000000000001</c:v>
                </c:pt>
                <c:pt idx="40">
                  <c:v>145.59</c:v>
                </c:pt>
                <c:pt idx="41">
                  <c:v>144.13999999999999</c:v>
                </c:pt>
                <c:pt idx="42">
                  <c:v>144.43</c:v>
                </c:pt>
                <c:pt idx="43">
                  <c:v>146.75</c:v>
                </c:pt>
                <c:pt idx="44">
                  <c:v>142.84</c:v>
                </c:pt>
                <c:pt idx="45">
                  <c:v>140.09</c:v>
                </c:pt>
                <c:pt idx="46">
                  <c:v>142.84</c:v>
                </c:pt>
                <c:pt idx="47">
                  <c:v>141.72999999999999</c:v>
                </c:pt>
                <c:pt idx="48">
                  <c:v>143.46</c:v>
                </c:pt>
                <c:pt idx="49">
                  <c:v>142.26</c:v>
                </c:pt>
                <c:pt idx="50">
                  <c:v>135.31</c:v>
                </c:pt>
                <c:pt idx="51">
                  <c:v>133.38</c:v>
                </c:pt>
                <c:pt idx="52">
                  <c:v>133.76</c:v>
                </c:pt>
                <c:pt idx="53">
                  <c:v>134.31</c:v>
                </c:pt>
                <c:pt idx="54">
                  <c:v>135.58000000000001</c:v>
                </c:pt>
                <c:pt idx="55">
                  <c:v>133.55000000000001</c:v>
                </c:pt>
                <c:pt idx="56">
                  <c:v>133.75</c:v>
                </c:pt>
                <c:pt idx="57">
                  <c:v>131.99</c:v>
                </c:pt>
                <c:pt idx="58">
                  <c:v>130.74</c:v>
                </c:pt>
                <c:pt idx="59">
                  <c:v>131.91499999999999</c:v>
                </c:pt>
                <c:pt idx="60">
                  <c:v>131.43</c:v>
                </c:pt>
                <c:pt idx="61">
                  <c:v>130.44</c:v>
                </c:pt>
                <c:pt idx="62">
                  <c:v>131.68</c:v>
                </c:pt>
                <c:pt idx="63">
                  <c:v>130.31</c:v>
                </c:pt>
                <c:pt idx="64">
                  <c:v>128.44999999999999</c:v>
                </c:pt>
                <c:pt idx="65">
                  <c:v>131.5</c:v>
                </c:pt>
                <c:pt idx="66">
                  <c:v>131.97999999999999</c:v>
                </c:pt>
                <c:pt idx="67">
                  <c:v>131.79</c:v>
                </c:pt>
                <c:pt idx="68">
                  <c:v>131.80000000000001</c:v>
                </c:pt>
                <c:pt idx="69">
                  <c:v>130.15</c:v>
                </c:pt>
                <c:pt idx="70">
                  <c:v>130.12</c:v>
                </c:pt>
                <c:pt idx="71">
                  <c:v>129.34</c:v>
                </c:pt>
                <c:pt idx="72">
                  <c:v>131.37</c:v>
                </c:pt>
                <c:pt idx="73">
                  <c:v>130.66999999999999</c:v>
                </c:pt>
                <c:pt idx="74">
                  <c:v>131.91999999999999</c:v>
                </c:pt>
                <c:pt idx="75">
                  <c:v>131.44999999999999</c:v>
                </c:pt>
                <c:pt idx="76">
                  <c:v>130.91</c:v>
                </c:pt>
                <c:pt idx="77">
                  <c:v>131.85</c:v>
                </c:pt>
                <c:pt idx="78">
                  <c:v>131.74</c:v>
                </c:pt>
                <c:pt idx="79">
                  <c:v>131.11000000000001</c:v>
                </c:pt>
                <c:pt idx="80">
                  <c:v>130.03</c:v>
                </c:pt>
                <c:pt idx="81">
                  <c:v>129.96</c:v>
                </c:pt>
                <c:pt idx="82">
                  <c:v>131.83000000000001</c:v>
                </c:pt>
                <c:pt idx="83">
                  <c:v>129.9</c:v>
                </c:pt>
                <c:pt idx="84">
                  <c:v>132.30000000000001</c:v>
                </c:pt>
                <c:pt idx="85">
                  <c:v>130.85</c:v>
                </c:pt>
                <c:pt idx="86">
                  <c:v>131.41</c:v>
                </c:pt>
                <c:pt idx="87">
                  <c:v>129.29</c:v>
                </c:pt>
                <c:pt idx="88">
                  <c:v>129.07</c:v>
                </c:pt>
                <c:pt idx="89">
                  <c:v>129.07</c:v>
                </c:pt>
                <c:pt idx="90">
                  <c:v>129.09</c:v>
                </c:pt>
                <c:pt idx="91">
                  <c:v>131.05000000000001</c:v>
                </c:pt>
                <c:pt idx="92">
                  <c:v>128.02000000000001</c:v>
                </c:pt>
                <c:pt idx="93">
                  <c:v>128.22</c:v>
                </c:pt>
                <c:pt idx="94">
                  <c:v>131.04</c:v>
                </c:pt>
                <c:pt idx="95">
                  <c:v>132.04</c:v>
                </c:pt>
                <c:pt idx="96">
                  <c:v>135.26</c:v>
                </c:pt>
                <c:pt idx="97">
                  <c:v>136.47999999999999</c:v>
                </c:pt>
                <c:pt idx="98">
                  <c:v>135.38</c:v>
                </c:pt>
                <c:pt idx="99">
                  <c:v>134.44999999999999</c:v>
                </c:pt>
                <c:pt idx="100">
                  <c:v>135.04</c:v>
                </c:pt>
                <c:pt idx="101">
                  <c:v>134.47999999999999</c:v>
                </c:pt>
                <c:pt idx="102">
                  <c:v>136.08000000000001</c:v>
                </c:pt>
                <c:pt idx="103">
                  <c:v>135.26</c:v>
                </c:pt>
                <c:pt idx="104">
                  <c:v>135.57</c:v>
                </c:pt>
                <c:pt idx="105">
                  <c:v>133.81</c:v>
                </c:pt>
                <c:pt idx="106">
                  <c:v>135.35</c:v>
                </c:pt>
                <c:pt idx="107">
                  <c:v>145.44</c:v>
                </c:pt>
                <c:pt idx="108">
                  <c:v>143.24</c:v>
                </c:pt>
                <c:pt idx="109">
                  <c:v>141.69999999999999</c:v>
                </c:pt>
                <c:pt idx="110">
                  <c:v>146.04</c:v>
                </c:pt>
                <c:pt idx="111">
                  <c:v>145.66</c:v>
                </c:pt>
                <c:pt idx="112">
                  <c:v>144.51</c:v>
                </c:pt>
                <c:pt idx="113">
                  <c:v>143.44999999999999</c:v>
                </c:pt>
                <c:pt idx="114">
                  <c:v>141.57</c:v>
                </c:pt>
                <c:pt idx="115">
                  <c:v>143.88999999999999</c:v>
                </c:pt>
                <c:pt idx="116">
                  <c:v>142.86000000000001</c:v>
                </c:pt>
                <c:pt idx="117">
                  <c:v>137.91999999999999</c:v>
                </c:pt>
                <c:pt idx="118">
                  <c:v>139.28</c:v>
                </c:pt>
                <c:pt idx="119">
                  <c:v>139.56</c:v>
                </c:pt>
                <c:pt idx="120">
                  <c:v>139.44999999999999</c:v>
                </c:pt>
                <c:pt idx="121">
                  <c:v>140.80000000000001</c:v>
                </c:pt>
                <c:pt idx="122">
                  <c:v>143.91999999999999</c:v>
                </c:pt>
                <c:pt idx="123">
                  <c:v>145.21</c:v>
                </c:pt>
                <c:pt idx="124">
                  <c:v>144.87</c:v>
                </c:pt>
                <c:pt idx="125">
                  <c:v>146.87</c:v>
                </c:pt>
                <c:pt idx="126">
                  <c:v>149.35</c:v>
                </c:pt>
                <c:pt idx="127">
                  <c:v>148.62</c:v>
                </c:pt>
                <c:pt idx="128">
                  <c:v>150.4</c:v>
                </c:pt>
                <c:pt idx="129">
                  <c:v>149.55000000000001</c:v>
                </c:pt>
                <c:pt idx="130">
                  <c:v>152.16</c:v>
                </c:pt>
                <c:pt idx="131">
                  <c:v>150.72999999999999</c:v>
                </c:pt>
                <c:pt idx="132">
                  <c:v>148.97999999999999</c:v>
                </c:pt>
                <c:pt idx="133">
                  <c:v>149.63999999999999</c:v>
                </c:pt>
                <c:pt idx="134">
                  <c:v>148.19999999999999</c:v>
                </c:pt>
                <c:pt idx="135">
                  <c:v>147</c:v>
                </c:pt>
                <c:pt idx="136">
                  <c:v>147.63999999999999</c:v>
                </c:pt>
                <c:pt idx="137">
                  <c:v>146.97999999999999</c:v>
                </c:pt>
                <c:pt idx="138">
                  <c:v>148.65</c:v>
                </c:pt>
                <c:pt idx="139">
                  <c:v>150.28</c:v>
                </c:pt>
                <c:pt idx="140">
                  <c:v>148.63999999999999</c:v>
                </c:pt>
                <c:pt idx="141">
                  <c:v>146.88999999999999</c:v>
                </c:pt>
                <c:pt idx="142">
                  <c:v>146.38999999999999</c:v>
                </c:pt>
                <c:pt idx="143">
                  <c:v>141.71</c:v>
                </c:pt>
                <c:pt idx="144">
                  <c:v>143.1</c:v>
                </c:pt>
                <c:pt idx="145">
                  <c:v>142.66</c:v>
                </c:pt>
                <c:pt idx="146">
                  <c:v>144.22999999999999</c:v>
                </c:pt>
                <c:pt idx="147">
                  <c:v>143.53</c:v>
                </c:pt>
                <c:pt idx="148">
                  <c:v>140.63999999999999</c:v>
                </c:pt>
                <c:pt idx="149">
                  <c:v>140.03</c:v>
                </c:pt>
                <c:pt idx="150">
                  <c:v>141.22999999999999</c:v>
                </c:pt>
                <c:pt idx="151">
                  <c:v>140.72999999999999</c:v>
                </c:pt>
                <c:pt idx="152">
                  <c:v>141.76</c:v>
                </c:pt>
                <c:pt idx="153">
                  <c:v>141.03</c:v>
                </c:pt>
                <c:pt idx="154">
                  <c:v>141.9</c:v>
                </c:pt>
                <c:pt idx="155">
                  <c:v>142.16999999999999</c:v>
                </c:pt>
                <c:pt idx="156">
                  <c:v>139.91999999999999</c:v>
                </c:pt>
                <c:pt idx="157">
                  <c:v>140.44</c:v>
                </c:pt>
                <c:pt idx="158">
                  <c:v>140.16999999999999</c:v>
                </c:pt>
                <c:pt idx="159">
                  <c:v>140.44</c:v>
                </c:pt>
                <c:pt idx="160">
                  <c:v>143.13999999999999</c:v>
                </c:pt>
                <c:pt idx="161">
                  <c:v>142.31</c:v>
                </c:pt>
                <c:pt idx="162">
                  <c:v>141.97999999999999</c:v>
                </c:pt>
                <c:pt idx="163">
                  <c:v>139.69999999999999</c:v>
                </c:pt>
                <c:pt idx="164">
                  <c:v>140.79</c:v>
                </c:pt>
                <c:pt idx="165">
                  <c:v>138.84</c:v>
                </c:pt>
                <c:pt idx="166">
                  <c:v>144.71</c:v>
                </c:pt>
                <c:pt idx="167">
                  <c:v>150.08000000000001</c:v>
                </c:pt>
                <c:pt idx="168">
                  <c:v>148.88999999999999</c:v>
                </c:pt>
                <c:pt idx="169">
                  <c:v>151.54</c:v>
                </c:pt>
                <c:pt idx="170">
                  <c:v>151.16</c:v>
                </c:pt>
                <c:pt idx="171">
                  <c:v>152.66999999999999</c:v>
                </c:pt>
                <c:pt idx="172">
                  <c:v>153.71</c:v>
                </c:pt>
                <c:pt idx="173">
                  <c:v>153.63999999999999</c:v>
                </c:pt>
                <c:pt idx="174">
                  <c:v>153.18</c:v>
                </c:pt>
                <c:pt idx="175">
                  <c:v>153.03</c:v>
                </c:pt>
                <c:pt idx="176">
                  <c:v>151.51</c:v>
                </c:pt>
                <c:pt idx="177">
                  <c:v>151.55000000000001</c:v>
                </c:pt>
                <c:pt idx="178">
                  <c:v>152.63</c:v>
                </c:pt>
                <c:pt idx="179">
                  <c:v>150.12</c:v>
                </c:pt>
                <c:pt idx="180">
                  <c:v>146.16</c:v>
                </c:pt>
                <c:pt idx="181">
                  <c:v>147.55000000000001</c:v>
                </c:pt>
                <c:pt idx="182">
                  <c:v>146.09</c:v>
                </c:pt>
                <c:pt idx="183">
                  <c:v>143.6</c:v>
                </c:pt>
                <c:pt idx="184">
                  <c:v>142.9</c:v>
                </c:pt>
                <c:pt idx="185">
                  <c:v>142.86000000000001</c:v>
                </c:pt>
                <c:pt idx="186">
                  <c:v>141.58000000000001</c:v>
                </c:pt>
                <c:pt idx="187">
                  <c:v>142.94999999999999</c:v>
                </c:pt>
                <c:pt idx="188">
                  <c:v>142.62</c:v>
                </c:pt>
                <c:pt idx="189">
                  <c:v>145.08000000000001</c:v>
                </c:pt>
                <c:pt idx="190">
                  <c:v>144.38999999999999</c:v>
                </c:pt>
                <c:pt idx="191">
                  <c:v>145.02000000000001</c:v>
                </c:pt>
                <c:pt idx="192">
                  <c:v>145.85</c:v>
                </c:pt>
                <c:pt idx="193">
                  <c:v>147.83000000000001</c:v>
                </c:pt>
                <c:pt idx="194">
                  <c:v>148.77000000000001</c:v>
                </c:pt>
                <c:pt idx="195">
                  <c:v>147.11000000000001</c:v>
                </c:pt>
                <c:pt idx="196">
                  <c:v>146.1</c:v>
                </c:pt>
                <c:pt idx="197">
                  <c:v>146.33000000000001</c:v>
                </c:pt>
                <c:pt idx="198">
                  <c:v>145.5</c:v>
                </c:pt>
                <c:pt idx="199">
                  <c:v>146.11000000000001</c:v>
                </c:pt>
                <c:pt idx="200">
                  <c:v>147.97999999999999</c:v>
                </c:pt>
                <c:pt idx="201">
                  <c:v>148.74</c:v>
                </c:pt>
                <c:pt idx="202">
                  <c:v>149.51</c:v>
                </c:pt>
                <c:pt idx="203">
                  <c:v>148.61000000000001</c:v>
                </c:pt>
                <c:pt idx="204">
                  <c:v>148.06</c:v>
                </c:pt>
                <c:pt idx="205">
                  <c:v>146.91</c:v>
                </c:pt>
                <c:pt idx="206">
                  <c:v>145.02000000000001</c:v>
                </c:pt>
                <c:pt idx="207">
                  <c:v>145.63</c:v>
                </c:pt>
                <c:pt idx="208">
                  <c:v>144.63999999999999</c:v>
                </c:pt>
                <c:pt idx="209">
                  <c:v>149.69999999999999</c:v>
                </c:pt>
                <c:pt idx="210">
                  <c:v>149.04</c:v>
                </c:pt>
                <c:pt idx="211">
                  <c:v>150.65</c:v>
                </c:pt>
                <c:pt idx="212">
                  <c:v>151.22</c:v>
                </c:pt>
                <c:pt idx="213">
                  <c:v>150.37</c:v>
                </c:pt>
                <c:pt idx="214">
                  <c:v>150.08000000000001</c:v>
                </c:pt>
                <c:pt idx="215">
                  <c:v>149.37</c:v>
                </c:pt>
                <c:pt idx="216">
                  <c:v>148.16</c:v>
                </c:pt>
                <c:pt idx="217">
                  <c:v>147.05000000000001</c:v>
                </c:pt>
                <c:pt idx="218">
                  <c:v>143.68</c:v>
                </c:pt>
                <c:pt idx="219">
                  <c:v>143.74</c:v>
                </c:pt>
                <c:pt idx="220">
                  <c:v>143.78</c:v>
                </c:pt>
                <c:pt idx="221">
                  <c:v>144.24</c:v>
                </c:pt>
                <c:pt idx="222">
                  <c:v>144.16</c:v>
                </c:pt>
                <c:pt idx="223">
                  <c:v>143.52000000000001</c:v>
                </c:pt>
                <c:pt idx="224">
                  <c:v>142.22999999999999</c:v>
                </c:pt>
                <c:pt idx="225">
                  <c:v>139.91999999999999</c:v>
                </c:pt>
                <c:pt idx="226">
                  <c:v>138.96</c:v>
                </c:pt>
                <c:pt idx="227">
                  <c:v>137.01</c:v>
                </c:pt>
                <c:pt idx="228">
                  <c:v>139.37</c:v>
                </c:pt>
                <c:pt idx="229">
                  <c:v>139.91</c:v>
                </c:pt>
                <c:pt idx="230">
                  <c:v>141.36000000000001</c:v>
                </c:pt>
                <c:pt idx="231">
                  <c:v>143.47999999999999</c:v>
                </c:pt>
                <c:pt idx="232">
                  <c:v>145.91999999999999</c:v>
                </c:pt>
                <c:pt idx="233">
                  <c:v>146.57</c:v>
                </c:pt>
                <c:pt idx="234">
                  <c:v>146.32</c:v>
                </c:pt>
                <c:pt idx="235">
                  <c:v>147.66</c:v>
                </c:pt>
                <c:pt idx="236">
                  <c:v>146.74</c:v>
                </c:pt>
                <c:pt idx="237">
                  <c:v>144.4</c:v>
                </c:pt>
                <c:pt idx="238">
                  <c:v>144.58000000000001</c:v>
                </c:pt>
                <c:pt idx="239">
                  <c:v>145.87</c:v>
                </c:pt>
                <c:pt idx="240">
                  <c:v>148.78</c:v>
                </c:pt>
                <c:pt idx="241">
                  <c:v>148.5</c:v>
                </c:pt>
                <c:pt idx="242">
                  <c:v>148.69</c:v>
                </c:pt>
                <c:pt idx="243">
                  <c:v>153.63</c:v>
                </c:pt>
                <c:pt idx="244">
                  <c:v>155.19999999999999</c:v>
                </c:pt>
                <c:pt idx="245">
                  <c:v>162.85</c:v>
                </c:pt>
                <c:pt idx="246">
                  <c:v>166.18</c:v>
                </c:pt>
                <c:pt idx="247">
                  <c:v>167.53</c:v>
                </c:pt>
                <c:pt idx="248">
                  <c:v>170.49</c:v>
                </c:pt>
                <c:pt idx="249">
                  <c:v>166.47</c:v>
                </c:pt>
                <c:pt idx="250">
                  <c:v>166.97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9-4843-84F4-1DD0D4B998BE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Data!$F$2:$F$252</c:f>
              <c:numCache>
                <c:formatCode>General</c:formatCode>
                <c:ptCount val="251"/>
                <c:pt idx="0">
                  <c:v>145.63999999999999</c:v>
                </c:pt>
                <c:pt idx="1">
                  <c:v>144.79571225321703</c:v>
                </c:pt>
                <c:pt idx="2">
                  <c:v>144.71904098433984</c:v>
                </c:pt>
                <c:pt idx="3">
                  <c:v>144.45513427686379</c:v>
                </c:pt>
                <c:pt idx="4">
                  <c:v>144.36366335465783</c:v>
                </c:pt>
                <c:pt idx="5">
                  <c:v>144.57411128138259</c:v>
                </c:pt>
                <c:pt idx="6">
                  <c:v>145.23504006955412</c:v>
                </c:pt>
                <c:pt idx="7">
                  <c:v>146.76999361657386</c:v>
                </c:pt>
                <c:pt idx="8">
                  <c:v>147.56151748947357</c:v>
                </c:pt>
                <c:pt idx="9">
                  <c:v>148.69939043822129</c:v>
                </c:pt>
                <c:pt idx="10">
                  <c:v>149.00734900936962</c:v>
                </c:pt>
                <c:pt idx="11">
                  <c:v>149.23374654644567</c:v>
                </c:pt>
                <c:pt idx="12">
                  <c:v>149.59356927954005</c:v>
                </c:pt>
                <c:pt idx="13">
                  <c:v>150.09476373407068</c:v>
                </c:pt>
                <c:pt idx="14">
                  <c:v>150.45599266062263</c:v>
                </c:pt>
                <c:pt idx="15">
                  <c:v>150.61248900798569</c:v>
                </c:pt>
                <c:pt idx="16">
                  <c:v>150.8704872339018</c:v>
                </c:pt>
                <c:pt idx="17">
                  <c:v>151.1007603317488</c:v>
                </c:pt>
                <c:pt idx="18">
                  <c:v>151.4821478266268</c:v>
                </c:pt>
                <c:pt idx="19">
                  <c:v>151.52481220349847</c:v>
                </c:pt>
                <c:pt idx="20">
                  <c:v>151.35741311776945</c:v>
                </c:pt>
                <c:pt idx="21">
                  <c:v>151.26369953554939</c:v>
                </c:pt>
                <c:pt idx="22">
                  <c:v>151.18423622606321</c:v>
                </c:pt>
                <c:pt idx="23">
                  <c:v>151.18887426264558</c:v>
                </c:pt>
                <c:pt idx="24">
                  <c:v>151.09503868386852</c:v>
                </c:pt>
                <c:pt idx="25">
                  <c:v>151.00303299825339</c:v>
                </c:pt>
                <c:pt idx="26">
                  <c:v>150.91641783154</c:v>
                </c:pt>
                <c:pt idx="27">
                  <c:v>150.61988256845845</c:v>
                </c:pt>
                <c:pt idx="28">
                  <c:v>150.50640932423974</c:v>
                </c:pt>
                <c:pt idx="29">
                  <c:v>150.40084993042279</c:v>
                </c:pt>
                <c:pt idx="30">
                  <c:v>150.35579100871956</c:v>
                </c:pt>
                <c:pt idx="31">
                  <c:v>150.34006555794926</c:v>
                </c:pt>
                <c:pt idx="32">
                  <c:v>150.30255610638943</c:v>
                </c:pt>
                <c:pt idx="33">
                  <c:v>150.28829840699456</c:v>
                </c:pt>
                <c:pt idx="34">
                  <c:v>150.27385661282563</c:v>
                </c:pt>
                <c:pt idx="35">
                  <c:v>150.24839721509892</c:v>
                </c:pt>
                <c:pt idx="36">
                  <c:v>150.28202016567303</c:v>
                </c:pt>
                <c:pt idx="37">
                  <c:v>150.11682032049464</c:v>
                </c:pt>
                <c:pt idx="38">
                  <c:v>149.78535947627157</c:v>
                </c:pt>
                <c:pt idx="39">
                  <c:v>149.49586316732754</c:v>
                </c:pt>
                <c:pt idx="40">
                  <c:v>149.32678977136021</c:v>
                </c:pt>
                <c:pt idx="41">
                  <c:v>149.15726384219354</c:v>
                </c:pt>
                <c:pt idx="42">
                  <c:v>149.0397619753839</c:v>
                </c:pt>
                <c:pt idx="43">
                  <c:v>149.00446416541931</c:v>
                </c:pt>
                <c:pt idx="44">
                  <c:v>148.90975872773492</c:v>
                </c:pt>
                <c:pt idx="45">
                  <c:v>148.71846321891087</c:v>
                </c:pt>
                <c:pt idx="46">
                  <c:v>148.62088545380016</c:v>
                </c:pt>
                <c:pt idx="47">
                  <c:v>148.48531720327688</c:v>
                </c:pt>
                <c:pt idx="48">
                  <c:v>148.39180017564397</c:v>
                </c:pt>
                <c:pt idx="49">
                  <c:v>148.27032040200882</c:v>
                </c:pt>
                <c:pt idx="50">
                  <c:v>147.77461667434704</c:v>
                </c:pt>
                <c:pt idx="51">
                  <c:v>147.37782888861111</c:v>
                </c:pt>
                <c:pt idx="52">
                  <c:v>147.10699233772266</c:v>
                </c:pt>
                <c:pt idx="53">
                  <c:v>146.90042791567987</c:v>
                </c:pt>
                <c:pt idx="54">
                  <c:v>146.69760778375539</c:v>
                </c:pt>
                <c:pt idx="55">
                  <c:v>146.49830987720438</c:v>
                </c:pt>
                <c:pt idx="56">
                  <c:v>146.29796638373315</c:v>
                </c:pt>
                <c:pt idx="57">
                  <c:v>146.02201238605809</c:v>
                </c:pt>
                <c:pt idx="58">
                  <c:v>145.7989790279704</c:v>
                </c:pt>
                <c:pt idx="59">
                  <c:v>145.61574220805642</c:v>
                </c:pt>
                <c:pt idx="60">
                  <c:v>145.42869323567996</c:v>
                </c:pt>
                <c:pt idx="61">
                  <c:v>145.28263779762946</c:v>
                </c:pt>
                <c:pt idx="62">
                  <c:v>145.05337506986416</c:v>
                </c:pt>
                <c:pt idx="63">
                  <c:v>144.80163512623054</c:v>
                </c:pt>
                <c:pt idx="64">
                  <c:v>144.47075708434295</c:v>
                </c:pt>
                <c:pt idx="65">
                  <c:v>144.24485435663269</c:v>
                </c:pt>
                <c:pt idx="66">
                  <c:v>144.04095585833295</c:v>
                </c:pt>
                <c:pt idx="67">
                  <c:v>143.82933655429972</c:v>
                </c:pt>
                <c:pt idx="68">
                  <c:v>143.66323590570946</c:v>
                </c:pt>
                <c:pt idx="69">
                  <c:v>143.44073648574948</c:v>
                </c:pt>
                <c:pt idx="70">
                  <c:v>143.27344481283654</c:v>
                </c:pt>
                <c:pt idx="71">
                  <c:v>143.07718963772678</c:v>
                </c:pt>
                <c:pt idx="72">
                  <c:v>142.80019501441649</c:v>
                </c:pt>
                <c:pt idx="73">
                  <c:v>142.60954344257047</c:v>
                </c:pt>
                <c:pt idx="74">
                  <c:v>142.49222292571591</c:v>
                </c:pt>
                <c:pt idx="75">
                  <c:v>142.26073150707006</c:v>
                </c:pt>
                <c:pt idx="76">
                  <c:v>142.13890358433918</c:v>
                </c:pt>
                <c:pt idx="77">
                  <c:v>142.01975422241622</c:v>
                </c:pt>
                <c:pt idx="78">
                  <c:v>141.9150842237222</c:v>
                </c:pt>
                <c:pt idx="79">
                  <c:v>141.75602604246069</c:v>
                </c:pt>
                <c:pt idx="80">
                  <c:v>141.61998322349652</c:v>
                </c:pt>
                <c:pt idx="81">
                  <c:v>141.47198048697715</c:v>
                </c:pt>
                <c:pt idx="82">
                  <c:v>141.3033711311264</c:v>
                </c:pt>
                <c:pt idx="83">
                  <c:v>141.15118278351929</c:v>
                </c:pt>
                <c:pt idx="84">
                  <c:v>141.00614045494098</c:v>
                </c:pt>
                <c:pt idx="85">
                  <c:v>140.86870305814907</c:v>
                </c:pt>
                <c:pt idx="86">
                  <c:v>140.72161612169975</c:v>
                </c:pt>
                <c:pt idx="87">
                  <c:v>140.56120843050348</c:v>
                </c:pt>
                <c:pt idx="88">
                  <c:v>140.42444633217511</c:v>
                </c:pt>
                <c:pt idx="89">
                  <c:v>140.08135688903113</c:v>
                </c:pt>
                <c:pt idx="90">
                  <c:v>139.89902654708538</c:v>
                </c:pt>
                <c:pt idx="91">
                  <c:v>139.79478768118821</c:v>
                </c:pt>
                <c:pt idx="92">
                  <c:v>139.63285004353321</c:v>
                </c:pt>
                <c:pt idx="93">
                  <c:v>139.46941946446361</c:v>
                </c:pt>
                <c:pt idx="94">
                  <c:v>139.20065348442839</c:v>
                </c:pt>
                <c:pt idx="95">
                  <c:v>139.10387600085923</c:v>
                </c:pt>
                <c:pt idx="96">
                  <c:v>139.046223117072</c:v>
                </c:pt>
                <c:pt idx="97">
                  <c:v>139.01839880845984</c:v>
                </c:pt>
                <c:pt idx="98">
                  <c:v>138.99775389199829</c:v>
                </c:pt>
                <c:pt idx="99">
                  <c:v>138.95751718986639</c:v>
                </c:pt>
                <c:pt idx="100">
                  <c:v>138.92340360156811</c:v>
                </c:pt>
                <c:pt idx="101">
                  <c:v>138.88482612710453</c:v>
                </c:pt>
                <c:pt idx="102">
                  <c:v>138.8572714030941</c:v>
                </c:pt>
                <c:pt idx="103">
                  <c:v>138.82582333565114</c:v>
                </c:pt>
                <c:pt idx="104">
                  <c:v>138.7957932440429</c:v>
                </c:pt>
                <c:pt idx="105">
                  <c:v>138.74781526407938</c:v>
                </c:pt>
                <c:pt idx="106">
                  <c:v>138.70823504854854</c:v>
                </c:pt>
                <c:pt idx="107">
                  <c:v>138.89064530702186</c:v>
                </c:pt>
                <c:pt idx="108">
                  <c:v>138.95173105638582</c:v>
                </c:pt>
                <c:pt idx="109">
                  <c:v>138.97683114531964</c:v>
                </c:pt>
                <c:pt idx="110">
                  <c:v>139.03552928033494</c:v>
                </c:pt>
                <c:pt idx="111">
                  <c:v>139.0762660494253</c:v>
                </c:pt>
                <c:pt idx="112">
                  <c:v>139.12859118477658</c:v>
                </c:pt>
                <c:pt idx="113">
                  <c:v>139.15835526187993</c:v>
                </c:pt>
                <c:pt idx="114">
                  <c:v>139.18326343721083</c:v>
                </c:pt>
                <c:pt idx="115">
                  <c:v>139.21179757186673</c:v>
                </c:pt>
                <c:pt idx="116">
                  <c:v>139.2457589721482</c:v>
                </c:pt>
                <c:pt idx="117">
                  <c:v>139.23110819236527</c:v>
                </c:pt>
                <c:pt idx="118">
                  <c:v>139.23145836228014</c:v>
                </c:pt>
                <c:pt idx="119">
                  <c:v>139.23402369796787</c:v>
                </c:pt>
                <c:pt idx="120">
                  <c:v>139.23513125264429</c:v>
                </c:pt>
                <c:pt idx="121">
                  <c:v>139.2448530338315</c:v>
                </c:pt>
                <c:pt idx="122">
                  <c:v>139.27765680307166</c:v>
                </c:pt>
                <c:pt idx="123">
                  <c:v>139.30634489802395</c:v>
                </c:pt>
                <c:pt idx="124">
                  <c:v>139.33541726502864</c:v>
                </c:pt>
                <c:pt idx="125">
                  <c:v>139.38736280172245</c:v>
                </c:pt>
                <c:pt idx="126">
                  <c:v>139.44210599777546</c:v>
                </c:pt>
                <c:pt idx="127">
                  <c:v>139.498306780207</c:v>
                </c:pt>
                <c:pt idx="128">
                  <c:v>139.58632985490098</c:v>
                </c:pt>
                <c:pt idx="129">
                  <c:v>139.6725143766698</c:v>
                </c:pt>
                <c:pt idx="130">
                  <c:v>139.76560380000743</c:v>
                </c:pt>
                <c:pt idx="131">
                  <c:v>139.86008067805756</c:v>
                </c:pt>
                <c:pt idx="132">
                  <c:v>139.92355978046587</c:v>
                </c:pt>
                <c:pt idx="133">
                  <c:v>139.96664933533447</c:v>
                </c:pt>
                <c:pt idx="134">
                  <c:v>140.01274260054419</c:v>
                </c:pt>
                <c:pt idx="135">
                  <c:v>140.07830685420774</c:v>
                </c:pt>
                <c:pt idx="136">
                  <c:v>140.12919513000472</c:v>
                </c:pt>
                <c:pt idx="137">
                  <c:v>140.18157343896868</c:v>
                </c:pt>
                <c:pt idx="138">
                  <c:v>140.23546150517453</c:v>
                </c:pt>
                <c:pt idx="139">
                  <c:v>140.37634132629699</c:v>
                </c:pt>
                <c:pt idx="140">
                  <c:v>140.45088294565053</c:v>
                </c:pt>
                <c:pt idx="141">
                  <c:v>140.48343557890246</c:v>
                </c:pt>
                <c:pt idx="142">
                  <c:v>140.51707704470084</c:v>
                </c:pt>
                <c:pt idx="143">
                  <c:v>140.52750593873952</c:v>
                </c:pt>
                <c:pt idx="144">
                  <c:v>140.53930794246716</c:v>
                </c:pt>
                <c:pt idx="145">
                  <c:v>140.54923705623202</c:v>
                </c:pt>
                <c:pt idx="146">
                  <c:v>140.56675693264637</c:v>
                </c:pt>
                <c:pt idx="147">
                  <c:v>140.57981606487823</c:v>
                </c:pt>
                <c:pt idx="148">
                  <c:v>140.5801520786332</c:v>
                </c:pt>
                <c:pt idx="149">
                  <c:v>140.57626271101441</c:v>
                </c:pt>
                <c:pt idx="150">
                  <c:v>140.57928197562222</c:v>
                </c:pt>
                <c:pt idx="151">
                  <c:v>140.57997640962643</c:v>
                </c:pt>
                <c:pt idx="152">
                  <c:v>140.59088427186583</c:v>
                </c:pt>
                <c:pt idx="153">
                  <c:v>140.59277915376347</c:v>
                </c:pt>
                <c:pt idx="154">
                  <c:v>140.59893481071347</c:v>
                </c:pt>
                <c:pt idx="155">
                  <c:v>140.60582842670445</c:v>
                </c:pt>
                <c:pt idx="156">
                  <c:v>140.60225483286283</c:v>
                </c:pt>
                <c:pt idx="157">
                  <c:v>140.60151715616945</c:v>
                </c:pt>
                <c:pt idx="158">
                  <c:v>140.59778954941501</c:v>
                </c:pt>
                <c:pt idx="159">
                  <c:v>140.59692786695334</c:v>
                </c:pt>
                <c:pt idx="160">
                  <c:v>140.6076520425741</c:v>
                </c:pt>
                <c:pt idx="161">
                  <c:v>140.61312437464036</c:v>
                </c:pt>
                <c:pt idx="162">
                  <c:v>140.61840489305646</c:v>
                </c:pt>
                <c:pt idx="163">
                  <c:v>140.61401159095473</c:v>
                </c:pt>
                <c:pt idx="164">
                  <c:v>140.61477030509272</c:v>
                </c:pt>
                <c:pt idx="165">
                  <c:v>140.60449111080032</c:v>
                </c:pt>
                <c:pt idx="166">
                  <c:v>140.64358872156157</c:v>
                </c:pt>
                <c:pt idx="167">
                  <c:v>140.75723487452404</c:v>
                </c:pt>
                <c:pt idx="168">
                  <c:v>140.79762908105181</c:v>
                </c:pt>
                <c:pt idx="169">
                  <c:v>140.85870028696294</c:v>
                </c:pt>
                <c:pt idx="170">
                  <c:v>140.90120685929216</c:v>
                </c:pt>
                <c:pt idx="171">
                  <c:v>140.96873504990091</c:v>
                </c:pt>
                <c:pt idx="172">
                  <c:v>141.02596799085936</c:v>
                </c:pt>
                <c:pt idx="173">
                  <c:v>141.06645894391411</c:v>
                </c:pt>
                <c:pt idx="174">
                  <c:v>141.11167010955359</c:v>
                </c:pt>
                <c:pt idx="175">
                  <c:v>141.16283860546304</c:v>
                </c:pt>
                <c:pt idx="176">
                  <c:v>141.20439420033088</c:v>
                </c:pt>
                <c:pt idx="177">
                  <c:v>141.22875561582617</c:v>
                </c:pt>
                <c:pt idx="178">
                  <c:v>141.2642237368101</c:v>
                </c:pt>
                <c:pt idx="179">
                  <c:v>141.29677412837182</c:v>
                </c:pt>
                <c:pt idx="180">
                  <c:v>141.32132685769301</c:v>
                </c:pt>
                <c:pt idx="181">
                  <c:v>141.34452952890464</c:v>
                </c:pt>
                <c:pt idx="182">
                  <c:v>141.36385161356347</c:v>
                </c:pt>
                <c:pt idx="183">
                  <c:v>141.37580241693283</c:v>
                </c:pt>
                <c:pt idx="184">
                  <c:v>141.3838773184483</c:v>
                </c:pt>
                <c:pt idx="185">
                  <c:v>141.39056836488984</c:v>
                </c:pt>
                <c:pt idx="186">
                  <c:v>141.39134119918458</c:v>
                </c:pt>
                <c:pt idx="187">
                  <c:v>141.39879159167884</c:v>
                </c:pt>
                <c:pt idx="188">
                  <c:v>141.40385814239164</c:v>
                </c:pt>
                <c:pt idx="189">
                  <c:v>141.42148185842956</c:v>
                </c:pt>
                <c:pt idx="190">
                  <c:v>141.43216823901085</c:v>
                </c:pt>
                <c:pt idx="191">
                  <c:v>141.44696952684521</c:v>
                </c:pt>
                <c:pt idx="192">
                  <c:v>141.4626440764722</c:v>
                </c:pt>
                <c:pt idx="193">
                  <c:v>141.49126962712222</c:v>
                </c:pt>
                <c:pt idx="194">
                  <c:v>141.53932502418496</c:v>
                </c:pt>
                <c:pt idx="195">
                  <c:v>141.56679686838919</c:v>
                </c:pt>
                <c:pt idx="196">
                  <c:v>141.58564924486251</c:v>
                </c:pt>
                <c:pt idx="197">
                  <c:v>141.60823416963595</c:v>
                </c:pt>
                <c:pt idx="198">
                  <c:v>141.63010174206414</c:v>
                </c:pt>
                <c:pt idx="199">
                  <c:v>141.65397348200511</c:v>
                </c:pt>
                <c:pt idx="200">
                  <c:v>141.67341831657365</c:v>
                </c:pt>
                <c:pt idx="201">
                  <c:v>141.68584522909373</c:v>
                </c:pt>
                <c:pt idx="202">
                  <c:v>141.72101118653927</c:v>
                </c:pt>
                <c:pt idx="203">
                  <c:v>141.74864193530513</c:v>
                </c:pt>
                <c:pt idx="204">
                  <c:v>141.76752072976666</c:v>
                </c:pt>
                <c:pt idx="205">
                  <c:v>141.78792127365338</c:v>
                </c:pt>
                <c:pt idx="206">
                  <c:v>141.79913699270048</c:v>
                </c:pt>
                <c:pt idx="207">
                  <c:v>141.8131712622766</c:v>
                </c:pt>
                <c:pt idx="208">
                  <c:v>141.82950086484709</c:v>
                </c:pt>
                <c:pt idx="209">
                  <c:v>141.91255053738982</c:v>
                </c:pt>
                <c:pt idx="210">
                  <c:v>141.94429230143172</c:v>
                </c:pt>
                <c:pt idx="211">
                  <c:v>141.98430508236714</c:v>
                </c:pt>
                <c:pt idx="212">
                  <c:v>142.02793602097236</c:v>
                </c:pt>
                <c:pt idx="213">
                  <c:v>142.06302963840074</c:v>
                </c:pt>
                <c:pt idx="214">
                  <c:v>142.09904531299813</c:v>
                </c:pt>
                <c:pt idx="215">
                  <c:v>142.12584473153757</c:v>
                </c:pt>
                <c:pt idx="216">
                  <c:v>142.18401280317556</c:v>
                </c:pt>
                <c:pt idx="217">
                  <c:v>142.20747825800925</c:v>
                </c:pt>
                <c:pt idx="218">
                  <c:v>142.21329685338407</c:v>
                </c:pt>
                <c:pt idx="219">
                  <c:v>142.21547132637963</c:v>
                </c:pt>
                <c:pt idx="220">
                  <c:v>142.21969376286199</c:v>
                </c:pt>
                <c:pt idx="221">
                  <c:v>142.22755535329802</c:v>
                </c:pt>
                <c:pt idx="222">
                  <c:v>142.23246464304793</c:v>
                </c:pt>
                <c:pt idx="223">
                  <c:v>142.23549703438272</c:v>
                </c:pt>
                <c:pt idx="224">
                  <c:v>142.23547588872276</c:v>
                </c:pt>
                <c:pt idx="225">
                  <c:v>142.22432928311542</c:v>
                </c:pt>
                <c:pt idx="226">
                  <c:v>142.20775109399858</c:v>
                </c:pt>
                <c:pt idx="227">
                  <c:v>142.18431742266043</c:v>
                </c:pt>
                <c:pt idx="228">
                  <c:v>142.17135794611778</c:v>
                </c:pt>
                <c:pt idx="229">
                  <c:v>142.16334430365515</c:v>
                </c:pt>
                <c:pt idx="230">
                  <c:v>142.15823510648582</c:v>
                </c:pt>
                <c:pt idx="231">
                  <c:v>142.16441634428466</c:v>
                </c:pt>
                <c:pt idx="232">
                  <c:v>142.18054681355488</c:v>
                </c:pt>
                <c:pt idx="233">
                  <c:v>142.19363048479056</c:v>
                </c:pt>
                <c:pt idx="234">
                  <c:v>142.2153942033236</c:v>
                </c:pt>
                <c:pt idx="235">
                  <c:v>142.24304882685647</c:v>
                </c:pt>
                <c:pt idx="236">
                  <c:v>142.26055170328669</c:v>
                </c:pt>
                <c:pt idx="237">
                  <c:v>142.26937119537183</c:v>
                </c:pt>
                <c:pt idx="238">
                  <c:v>142.27619695504035</c:v>
                </c:pt>
                <c:pt idx="239">
                  <c:v>142.2880751106016</c:v>
                </c:pt>
                <c:pt idx="240">
                  <c:v>142.31116027189469</c:v>
                </c:pt>
                <c:pt idx="241">
                  <c:v>142.32952242669759</c:v>
                </c:pt>
                <c:pt idx="242">
                  <c:v>142.35811607182018</c:v>
                </c:pt>
                <c:pt idx="243">
                  <c:v>142.42836106875635</c:v>
                </c:pt>
                <c:pt idx="244">
                  <c:v>142.52000349968617</c:v>
                </c:pt>
                <c:pt idx="245">
                  <c:v>142.70826005399269</c:v>
                </c:pt>
                <c:pt idx="246">
                  <c:v>142.85892355737721</c:v>
                </c:pt>
                <c:pt idx="247">
                  <c:v>142.98944187808155</c:v>
                </c:pt>
                <c:pt idx="248">
                  <c:v>143.13314109290161</c:v>
                </c:pt>
                <c:pt idx="249">
                  <c:v>143.24735471251824</c:v>
                </c:pt>
                <c:pt idx="250">
                  <c:v>143.36329982657776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9-4843-84F4-1DD0D4B998BE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Data!$H$2:$H$252</c:f>
              <c:numCache>
                <c:formatCode>General</c:formatCode>
                <c:ptCount val="251"/>
                <c:pt idx="0">
                  <c:v>145.63999999999999</c:v>
                </c:pt>
                <c:pt idx="1">
                  <c:v>145.62071225321702</c:v>
                </c:pt>
                <c:pt idx="2">
                  <c:v>145.40169918741236</c:v>
                </c:pt>
                <c:pt idx="3">
                  <c:v>145.28552575080846</c:v>
                </c:pt>
                <c:pt idx="4">
                  <c:v>145.11601965322919</c:v>
                </c:pt>
                <c:pt idx="5">
                  <c:v>145.45264699494237</c:v>
                </c:pt>
                <c:pt idx="6">
                  <c:v>147.0120359293451</c:v>
                </c:pt>
                <c:pt idx="7">
                  <c:v>149.97053629516759</c:v>
                </c:pt>
                <c:pt idx="8">
                  <c:v>151.40721349641143</c:v>
                </c:pt>
                <c:pt idx="9">
                  <c:v>153.29470065625881</c:v>
                </c:pt>
                <c:pt idx="10">
                  <c:v>153.50105829463672</c:v>
                </c:pt>
                <c:pt idx="11">
                  <c:v>153.6538680725528</c:v>
                </c:pt>
                <c:pt idx="12">
                  <c:v>154.02955405710023</c:v>
                </c:pt>
                <c:pt idx="13">
                  <c:v>154.73007017661863</c:v>
                </c:pt>
                <c:pt idx="14">
                  <c:v>155.08275461929549</c:v>
                </c:pt>
                <c:pt idx="15">
                  <c:v>155.19796608240227</c:v>
                </c:pt>
                <c:pt idx="16">
                  <c:v>155.44441727120662</c:v>
                </c:pt>
                <c:pt idx="17">
                  <c:v>155.64319947774314</c:v>
                </c:pt>
                <c:pt idx="18">
                  <c:v>156.08097249882849</c:v>
                </c:pt>
                <c:pt idx="19">
                  <c:v>156.018302244658</c:v>
                </c:pt>
                <c:pt idx="20">
                  <c:v>155.78249305222306</c:v>
                </c:pt>
                <c:pt idx="21">
                  <c:v>155.61781632978577</c:v>
                </c:pt>
                <c:pt idx="22">
                  <c:v>155.46449905741855</c:v>
                </c:pt>
                <c:pt idx="23">
                  <c:v>155.38151246599281</c:v>
                </c:pt>
                <c:pt idx="24">
                  <c:v>155.21576968697951</c:v>
                </c:pt>
                <c:pt idx="25">
                  <c:v>155.07156538343</c:v>
                </c:pt>
                <c:pt idx="26">
                  <c:v>154.95826898765344</c:v>
                </c:pt>
                <c:pt idx="27">
                  <c:v>154.69221196441646</c:v>
                </c:pt>
                <c:pt idx="28">
                  <c:v>154.56556321649936</c:v>
                </c:pt>
                <c:pt idx="29">
                  <c:v>154.47332037912534</c:v>
                </c:pt>
                <c:pt idx="30">
                  <c:v>154.368284219803</c:v>
                </c:pt>
                <c:pt idx="31">
                  <c:v>154.28951289616555</c:v>
                </c:pt>
                <c:pt idx="32">
                  <c:v>154.19301643168509</c:v>
                </c:pt>
                <c:pt idx="33">
                  <c:v>154.12115499436868</c:v>
                </c:pt>
                <c:pt idx="34">
                  <c:v>154.05167343188492</c:v>
                </c:pt>
                <c:pt idx="35">
                  <c:v>153.97525207477105</c:v>
                </c:pt>
                <c:pt idx="36">
                  <c:v>153.96675310440858</c:v>
                </c:pt>
                <c:pt idx="37">
                  <c:v>153.78981317694641</c:v>
                </c:pt>
                <c:pt idx="38">
                  <c:v>153.55744721264003</c:v>
                </c:pt>
                <c:pt idx="39">
                  <c:v>153.49391015929749</c:v>
                </c:pt>
                <c:pt idx="40">
                  <c:v>153.31869714124397</c:v>
                </c:pt>
                <c:pt idx="41">
                  <c:v>153.1785195617864</c:v>
                </c:pt>
                <c:pt idx="42">
                  <c:v>153.0774083588615</c:v>
                </c:pt>
                <c:pt idx="43">
                  <c:v>153.01065263112176</c:v>
                </c:pt>
                <c:pt idx="44">
                  <c:v>152.97383517058555</c:v>
                </c:pt>
                <c:pt idx="45">
                  <c:v>152.93670672312794</c:v>
                </c:pt>
                <c:pt idx="46">
                  <c:v>152.87797049164774</c:v>
                </c:pt>
                <c:pt idx="47">
                  <c:v>152.80884717483144</c:v>
                </c:pt>
                <c:pt idx="48">
                  <c:v>152.72770542165361</c:v>
                </c:pt>
                <c:pt idx="49">
                  <c:v>152.64523036222513</c:v>
                </c:pt>
                <c:pt idx="50">
                  <c:v>152.4596711303455</c:v>
                </c:pt>
                <c:pt idx="51">
                  <c:v>152.42960351967659</c:v>
                </c:pt>
                <c:pt idx="52">
                  <c:v>152.45586644196024</c:v>
                </c:pt>
                <c:pt idx="53">
                  <c:v>152.48516060992031</c:v>
                </c:pt>
                <c:pt idx="54">
                  <c:v>152.44304575841502</c:v>
                </c:pt>
                <c:pt idx="55">
                  <c:v>152.46177615966468</c:v>
                </c:pt>
                <c:pt idx="56">
                  <c:v>152.44841005897135</c:v>
                </c:pt>
                <c:pt idx="57">
                  <c:v>152.40386839258085</c:v>
                </c:pt>
                <c:pt idx="58">
                  <c:v>152.43451173761073</c:v>
                </c:pt>
                <c:pt idx="59">
                  <c:v>152.43689410399745</c:v>
                </c:pt>
                <c:pt idx="60">
                  <c:v>152.43294797978302</c:v>
                </c:pt>
                <c:pt idx="61">
                  <c:v>152.48417474634931</c:v>
                </c:pt>
                <c:pt idx="62">
                  <c:v>152.39598076299706</c:v>
                </c:pt>
                <c:pt idx="63">
                  <c:v>152.31193136886301</c:v>
                </c:pt>
                <c:pt idx="64">
                  <c:v>152.18999249271991</c:v>
                </c:pt>
                <c:pt idx="65">
                  <c:v>152.06947852028051</c:v>
                </c:pt>
                <c:pt idx="66">
                  <c:v>151.95052393318787</c:v>
                </c:pt>
                <c:pt idx="67">
                  <c:v>151.82063768394022</c:v>
                </c:pt>
                <c:pt idx="68">
                  <c:v>151.72896357294024</c:v>
                </c:pt>
                <c:pt idx="69">
                  <c:v>151.61101931158126</c:v>
                </c:pt>
                <c:pt idx="70">
                  <c:v>151.54033875070007</c:v>
                </c:pt>
                <c:pt idx="71">
                  <c:v>151.45028643611491</c:v>
                </c:pt>
                <c:pt idx="72">
                  <c:v>151.22919412514321</c:v>
                </c:pt>
                <c:pt idx="73">
                  <c:v>151.10283897902605</c:v>
                </c:pt>
                <c:pt idx="74">
                  <c:v>151.02214735263135</c:v>
                </c:pt>
                <c:pt idx="75">
                  <c:v>150.83164999610446</c:v>
                </c:pt>
                <c:pt idx="76">
                  <c:v>150.75627465851579</c:v>
                </c:pt>
                <c:pt idx="77">
                  <c:v>150.66436416461497</c:v>
                </c:pt>
                <c:pt idx="78">
                  <c:v>150.5857790506808</c:v>
                </c:pt>
                <c:pt idx="79">
                  <c:v>150.45970974512898</c:v>
                </c:pt>
                <c:pt idx="80">
                  <c:v>150.37089072885576</c:v>
                </c:pt>
                <c:pt idx="81">
                  <c:v>150.26744674602273</c:v>
                </c:pt>
                <c:pt idx="82">
                  <c:v>150.11241240254992</c:v>
                </c:pt>
                <c:pt idx="83">
                  <c:v>149.99955565681981</c:v>
                </c:pt>
                <c:pt idx="84">
                  <c:v>149.85794382133872</c:v>
                </c:pt>
                <c:pt idx="85">
                  <c:v>149.74101964624487</c:v>
                </c:pt>
                <c:pt idx="86">
                  <c:v>149.60504780928676</c:v>
                </c:pt>
                <c:pt idx="87">
                  <c:v>149.48296364817938</c:v>
                </c:pt>
                <c:pt idx="88">
                  <c:v>149.3847747993191</c:v>
                </c:pt>
                <c:pt idx="89">
                  <c:v>149.07730689016159</c:v>
                </c:pt>
                <c:pt idx="90">
                  <c:v>148.92755484709633</c:v>
                </c:pt>
                <c:pt idx="91">
                  <c:v>148.82875023390815</c:v>
                </c:pt>
                <c:pt idx="92">
                  <c:v>148.71003447482445</c:v>
                </c:pt>
                <c:pt idx="93">
                  <c:v>148.58396040990385</c:v>
                </c:pt>
                <c:pt idx="94">
                  <c:v>148.31568835747424</c:v>
                </c:pt>
                <c:pt idx="95">
                  <c:v>148.2086491915575</c:v>
                </c:pt>
                <c:pt idx="96">
                  <c:v>148.11695610973175</c:v>
                </c:pt>
                <c:pt idx="97">
                  <c:v>148.04973950792183</c:v>
                </c:pt>
                <c:pt idx="98">
                  <c:v>147.99514581449446</c:v>
                </c:pt>
                <c:pt idx="99">
                  <c:v>147.92643669822971</c:v>
                </c:pt>
                <c:pt idx="100">
                  <c:v>147.86067635834283</c:v>
                </c:pt>
                <c:pt idx="101">
                  <c:v>147.79380948546407</c:v>
                </c:pt>
                <c:pt idx="102">
                  <c:v>147.73032598217731</c:v>
                </c:pt>
                <c:pt idx="103">
                  <c:v>147.66695629087019</c:v>
                </c:pt>
                <c:pt idx="104">
                  <c:v>147.60387195177151</c:v>
                </c:pt>
                <c:pt idx="105">
                  <c:v>147.53248582713849</c:v>
                </c:pt>
                <c:pt idx="106">
                  <c:v>147.46135060458269</c:v>
                </c:pt>
                <c:pt idx="107">
                  <c:v>147.62127890001494</c:v>
                </c:pt>
                <c:pt idx="108">
                  <c:v>147.64906687978879</c:v>
                </c:pt>
                <c:pt idx="109">
                  <c:v>147.63671837916354</c:v>
                </c:pt>
                <c:pt idx="110">
                  <c:v>147.67728048144747</c:v>
                </c:pt>
                <c:pt idx="111">
                  <c:v>147.69741041359643</c:v>
                </c:pt>
                <c:pt idx="112">
                  <c:v>147.72290882360227</c:v>
                </c:pt>
                <c:pt idx="113">
                  <c:v>147.72156625630316</c:v>
                </c:pt>
                <c:pt idx="114">
                  <c:v>147.71064387409248</c:v>
                </c:pt>
                <c:pt idx="115">
                  <c:v>147.71046157155823</c:v>
                </c:pt>
                <c:pt idx="116">
                  <c:v>147.71239037262453</c:v>
                </c:pt>
                <c:pt idx="117">
                  <c:v>147.66380570588771</c:v>
                </c:pt>
                <c:pt idx="118">
                  <c:v>147.6288499264665</c:v>
                </c:pt>
                <c:pt idx="119">
                  <c:v>147.59641347458327</c:v>
                </c:pt>
                <c:pt idx="120">
                  <c:v>147.56299683764448</c:v>
                </c:pt>
                <c:pt idx="121">
                  <c:v>147.5389118228025</c:v>
                </c:pt>
                <c:pt idx="122">
                  <c:v>147.54577363994315</c:v>
                </c:pt>
                <c:pt idx="123">
                  <c:v>147.55451698399673</c:v>
                </c:pt>
                <c:pt idx="124">
                  <c:v>147.56204495651923</c:v>
                </c:pt>
                <c:pt idx="125">
                  <c:v>147.60376129898833</c:v>
                </c:pt>
                <c:pt idx="126">
                  <c:v>147.66701120007605</c:v>
                </c:pt>
                <c:pt idx="127">
                  <c:v>147.72487167876656</c:v>
                </c:pt>
                <c:pt idx="128">
                  <c:v>147.82945635405778</c:v>
                </c:pt>
                <c:pt idx="129">
                  <c:v>147.92357174561477</c:v>
                </c:pt>
                <c:pt idx="130">
                  <c:v>148.04893254795371</c:v>
                </c:pt>
                <c:pt idx="131">
                  <c:v>148.15989761139372</c:v>
                </c:pt>
                <c:pt idx="132">
                  <c:v>148.22422544622168</c:v>
                </c:pt>
                <c:pt idx="133">
                  <c:v>148.27280429809377</c:v>
                </c:pt>
                <c:pt idx="134">
                  <c:v>148.31324633804689</c:v>
                </c:pt>
                <c:pt idx="135">
                  <c:v>148.36560663785852</c:v>
                </c:pt>
                <c:pt idx="136">
                  <c:v>148.40688207512952</c:v>
                </c:pt>
                <c:pt idx="137">
                  <c:v>148.44575009147337</c:v>
                </c:pt>
                <c:pt idx="138">
                  <c:v>148.49610731790068</c:v>
                </c:pt>
                <c:pt idx="139">
                  <c:v>148.64508795378177</c:v>
                </c:pt>
                <c:pt idx="140">
                  <c:v>148.71524703869977</c:v>
                </c:pt>
                <c:pt idx="141">
                  <c:v>148.73315959526877</c:v>
                </c:pt>
                <c:pt idx="142">
                  <c:v>148.74979497845467</c:v>
                </c:pt>
                <c:pt idx="143">
                  <c:v>148.73173484234343</c:v>
                </c:pt>
                <c:pt idx="144">
                  <c:v>148.71683355137986</c:v>
                </c:pt>
                <c:pt idx="145">
                  <c:v>148.69967714932284</c:v>
                </c:pt>
                <c:pt idx="146">
                  <c:v>148.69337780102677</c:v>
                </c:pt>
                <c:pt idx="147">
                  <c:v>148.68124567553591</c:v>
                </c:pt>
                <c:pt idx="148">
                  <c:v>148.65447230481911</c:v>
                </c:pt>
                <c:pt idx="149">
                  <c:v>148.62416845136423</c:v>
                </c:pt>
                <c:pt idx="150">
                  <c:v>148.60049607897687</c:v>
                </c:pt>
                <c:pt idx="151">
                  <c:v>148.57484181188084</c:v>
                </c:pt>
                <c:pt idx="152">
                  <c:v>148.55972135342819</c:v>
                </c:pt>
                <c:pt idx="153">
                  <c:v>148.53570972626949</c:v>
                </c:pt>
                <c:pt idx="154">
                  <c:v>148.51641520053479</c:v>
                </c:pt>
                <c:pt idx="155">
                  <c:v>148.49828837434478</c:v>
                </c:pt>
                <c:pt idx="156">
                  <c:v>148.47018260783054</c:v>
                </c:pt>
                <c:pt idx="157">
                  <c:v>148.44472439790195</c:v>
                </c:pt>
                <c:pt idx="158">
                  <c:v>148.41669487543166</c:v>
                </c:pt>
                <c:pt idx="159">
                  <c:v>148.3915705603533</c:v>
                </c:pt>
                <c:pt idx="160">
                  <c:v>148.37960541990529</c:v>
                </c:pt>
                <c:pt idx="161">
                  <c:v>148.36156460251738</c:v>
                </c:pt>
                <c:pt idx="162">
                  <c:v>148.3432927017933</c:v>
                </c:pt>
                <c:pt idx="163">
                  <c:v>148.31617981717528</c:v>
                </c:pt>
                <c:pt idx="164">
                  <c:v>148.29362165591024</c:v>
                </c:pt>
                <c:pt idx="165">
                  <c:v>148.26230825141943</c:v>
                </c:pt>
                <c:pt idx="166">
                  <c:v>148.28335532677514</c:v>
                </c:pt>
                <c:pt idx="167">
                  <c:v>148.40492656367445</c:v>
                </c:pt>
                <c:pt idx="168">
                  <c:v>148.4452356783562</c:v>
                </c:pt>
                <c:pt idx="169">
                  <c:v>148.52404518431288</c:v>
                </c:pt>
                <c:pt idx="170">
                  <c:v>148.58069723746516</c:v>
                </c:pt>
                <c:pt idx="171">
                  <c:v>148.67368333208941</c:v>
                </c:pt>
                <c:pt idx="172">
                  <c:v>148.76451420860823</c:v>
                </c:pt>
                <c:pt idx="173">
                  <c:v>148.83681535408491</c:v>
                </c:pt>
                <c:pt idx="174">
                  <c:v>148.90877909937691</c:v>
                </c:pt>
                <c:pt idx="175">
                  <c:v>148.98451742699879</c:v>
                </c:pt>
                <c:pt idx="176">
                  <c:v>149.03829118629244</c:v>
                </c:pt>
                <c:pt idx="177">
                  <c:v>149.07460990840565</c:v>
                </c:pt>
                <c:pt idx="178">
                  <c:v>149.12932762384787</c:v>
                </c:pt>
                <c:pt idx="179">
                  <c:v>149.16373796746024</c:v>
                </c:pt>
                <c:pt idx="180">
                  <c:v>149.17273358094701</c:v>
                </c:pt>
                <c:pt idx="181">
                  <c:v>149.18518255862904</c:v>
                </c:pt>
                <c:pt idx="182">
                  <c:v>149.18885367961761</c:v>
                </c:pt>
                <c:pt idx="183">
                  <c:v>149.18036996405291</c:v>
                </c:pt>
                <c:pt idx="184">
                  <c:v>149.16758156935578</c:v>
                </c:pt>
                <c:pt idx="185">
                  <c:v>149.15355254453152</c:v>
                </c:pt>
                <c:pt idx="186">
                  <c:v>149.13361473262879</c:v>
                </c:pt>
                <c:pt idx="187">
                  <c:v>149.12072953472671</c:v>
                </c:pt>
                <c:pt idx="188">
                  <c:v>149.10545318910388</c:v>
                </c:pt>
                <c:pt idx="189">
                  <c:v>149.10591308547825</c:v>
                </c:pt>
                <c:pt idx="190">
                  <c:v>149.09829332841596</c:v>
                </c:pt>
                <c:pt idx="191">
                  <c:v>149.09603847169484</c:v>
                </c:pt>
                <c:pt idx="192">
                  <c:v>149.09663926662594</c:v>
                </c:pt>
                <c:pt idx="193">
                  <c:v>149.11656649915793</c:v>
                </c:pt>
                <c:pt idx="194">
                  <c:v>149.15976751247206</c:v>
                </c:pt>
                <c:pt idx="195">
                  <c:v>149.17590106515874</c:v>
                </c:pt>
                <c:pt idx="196">
                  <c:v>149.1804738598054</c:v>
                </c:pt>
                <c:pt idx="197">
                  <c:v>149.18945505141249</c:v>
                </c:pt>
                <c:pt idx="198">
                  <c:v>149.19576051580887</c:v>
                </c:pt>
                <c:pt idx="199">
                  <c:v>149.205584958993</c:v>
                </c:pt>
                <c:pt idx="200">
                  <c:v>149.21690178087374</c:v>
                </c:pt>
                <c:pt idx="201">
                  <c:v>149.22417489300318</c:v>
                </c:pt>
                <c:pt idx="202">
                  <c:v>149.25750197458424</c:v>
                </c:pt>
                <c:pt idx="203">
                  <c:v>149.27925040726626</c:v>
                </c:pt>
                <c:pt idx="204">
                  <c:v>149.29007221731447</c:v>
                </c:pt>
                <c:pt idx="205">
                  <c:v>149.29864788130428</c:v>
                </c:pt>
                <c:pt idx="206">
                  <c:v>149.29381485285231</c:v>
                </c:pt>
                <c:pt idx="207">
                  <c:v>149.29301665580638</c:v>
                </c:pt>
                <c:pt idx="208">
                  <c:v>149.29291918423891</c:v>
                </c:pt>
                <c:pt idx="209">
                  <c:v>149.37470274592411</c:v>
                </c:pt>
                <c:pt idx="210">
                  <c:v>149.40217747606727</c:v>
                </c:pt>
                <c:pt idx="211">
                  <c:v>149.44522358398268</c:v>
                </c:pt>
                <c:pt idx="212">
                  <c:v>149.49464168575773</c:v>
                </c:pt>
                <c:pt idx="213">
                  <c:v>149.53092848323766</c:v>
                </c:pt>
                <c:pt idx="214">
                  <c:v>149.56659540071774</c:v>
                </c:pt>
                <c:pt idx="215">
                  <c:v>149.5898156963635</c:v>
                </c:pt>
                <c:pt idx="216">
                  <c:v>149.63982288537466</c:v>
                </c:pt>
                <c:pt idx="217">
                  <c:v>149.65181318794981</c:v>
                </c:pt>
                <c:pt idx="218">
                  <c:v>149.64086387186151</c:v>
                </c:pt>
                <c:pt idx="219">
                  <c:v>149.62641710991551</c:v>
                </c:pt>
                <c:pt idx="220">
                  <c:v>149.61415302503519</c:v>
                </c:pt>
                <c:pt idx="221">
                  <c:v>149.6059777840108</c:v>
                </c:pt>
                <c:pt idx="222">
                  <c:v>149.59488598887967</c:v>
                </c:pt>
                <c:pt idx="223">
                  <c:v>149.58162033735076</c:v>
                </c:pt>
                <c:pt idx="224">
                  <c:v>149.56535746208436</c:v>
                </c:pt>
                <c:pt idx="225">
                  <c:v>149.54048493797654</c:v>
                </c:pt>
                <c:pt idx="226">
                  <c:v>149.5121876132136</c:v>
                </c:pt>
                <c:pt idx="227">
                  <c:v>149.48267315004094</c:v>
                </c:pt>
                <c:pt idx="228">
                  <c:v>149.45717334180642</c:v>
                </c:pt>
                <c:pt idx="229">
                  <c:v>149.43568216517653</c:v>
                </c:pt>
                <c:pt idx="230">
                  <c:v>149.41536773149397</c:v>
                </c:pt>
                <c:pt idx="231">
                  <c:v>149.40606355938098</c:v>
                </c:pt>
                <c:pt idx="232">
                  <c:v>149.40966127622994</c:v>
                </c:pt>
                <c:pt idx="233">
                  <c:v>149.41161701546758</c:v>
                </c:pt>
                <c:pt idx="234">
                  <c:v>149.42175090361303</c:v>
                </c:pt>
                <c:pt idx="235">
                  <c:v>149.44114184088099</c:v>
                </c:pt>
                <c:pt idx="236">
                  <c:v>149.44800981652131</c:v>
                </c:pt>
                <c:pt idx="237">
                  <c:v>149.44245621995847</c:v>
                </c:pt>
                <c:pt idx="238">
                  <c:v>149.43517035301565</c:v>
                </c:pt>
                <c:pt idx="239">
                  <c:v>149.43482193386433</c:v>
                </c:pt>
                <c:pt idx="240">
                  <c:v>149.45330861161926</c:v>
                </c:pt>
                <c:pt idx="241">
                  <c:v>149.46608924443356</c:v>
                </c:pt>
                <c:pt idx="242">
                  <c:v>149.48969176196383</c:v>
                </c:pt>
                <c:pt idx="243">
                  <c:v>149.57822643645284</c:v>
                </c:pt>
                <c:pt idx="244">
                  <c:v>149.69790034175526</c:v>
                </c:pt>
                <c:pt idx="245">
                  <c:v>149.98207787054173</c:v>
                </c:pt>
                <c:pt idx="246">
                  <c:v>150.2647480905855</c:v>
                </c:pt>
                <c:pt idx="247">
                  <c:v>150.53980225951713</c:v>
                </c:pt>
                <c:pt idx="248">
                  <c:v>150.86248411453494</c:v>
                </c:pt>
                <c:pt idx="249">
                  <c:v>151.09770696002917</c:v>
                </c:pt>
                <c:pt idx="250">
                  <c:v>151.33661102255613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79-4843-84F4-1DD0D4B998BE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Data!$I$2:$I$252</c:f>
              <c:numCache>
                <c:formatCode>General</c:formatCode>
                <c:ptCount val="251"/>
                <c:pt idx="0">
                  <c:v>145.63999999999999</c:v>
                </c:pt>
                <c:pt idx="1">
                  <c:v>143.97071225321704</c:v>
                </c:pt>
                <c:pt idx="2">
                  <c:v>144.03638278126732</c:v>
                </c:pt>
                <c:pt idx="3">
                  <c:v>143.62474280291912</c:v>
                </c:pt>
                <c:pt idx="4">
                  <c:v>143.61130705608647</c:v>
                </c:pt>
                <c:pt idx="5">
                  <c:v>143.6955755678228</c:v>
                </c:pt>
                <c:pt idx="6">
                  <c:v>143.45804420976313</c:v>
                </c:pt>
                <c:pt idx="7">
                  <c:v>143.56945093798012</c:v>
                </c:pt>
                <c:pt idx="8">
                  <c:v>143.71582148253572</c:v>
                </c:pt>
                <c:pt idx="9">
                  <c:v>144.10408022018376</c:v>
                </c:pt>
                <c:pt idx="10">
                  <c:v>144.51363972410252</c:v>
                </c:pt>
                <c:pt idx="11">
                  <c:v>144.81362502033855</c:v>
                </c:pt>
                <c:pt idx="12">
                  <c:v>145.15758450197987</c:v>
                </c:pt>
                <c:pt idx="13">
                  <c:v>145.45945729152274</c:v>
                </c:pt>
                <c:pt idx="14">
                  <c:v>145.82923070194977</c:v>
                </c:pt>
                <c:pt idx="15">
                  <c:v>146.0270119335691</c:v>
                </c:pt>
                <c:pt idx="16">
                  <c:v>146.29655719659698</c:v>
                </c:pt>
                <c:pt idx="17">
                  <c:v>146.55832118575447</c:v>
                </c:pt>
                <c:pt idx="18">
                  <c:v>146.88332315442511</c:v>
                </c:pt>
                <c:pt idx="19">
                  <c:v>147.03132216233894</c:v>
                </c:pt>
                <c:pt idx="20">
                  <c:v>146.93233318331585</c:v>
                </c:pt>
                <c:pt idx="21">
                  <c:v>146.90958274131302</c:v>
                </c:pt>
                <c:pt idx="22">
                  <c:v>146.90397339470786</c:v>
                </c:pt>
                <c:pt idx="23">
                  <c:v>146.99623605929835</c:v>
                </c:pt>
                <c:pt idx="24">
                  <c:v>146.97430768075753</c:v>
                </c:pt>
                <c:pt idx="25">
                  <c:v>146.93450061307678</c:v>
                </c:pt>
                <c:pt idx="26">
                  <c:v>146.87456667542656</c:v>
                </c:pt>
                <c:pt idx="27">
                  <c:v>146.54755317250044</c:v>
                </c:pt>
                <c:pt idx="28">
                  <c:v>146.44725543198012</c:v>
                </c:pt>
                <c:pt idx="29">
                  <c:v>146.32837948172025</c:v>
                </c:pt>
                <c:pt idx="30">
                  <c:v>146.34329779763613</c:v>
                </c:pt>
                <c:pt idx="31">
                  <c:v>146.39061821973297</c:v>
                </c:pt>
                <c:pt idx="32">
                  <c:v>146.41209578109377</c:v>
                </c:pt>
                <c:pt idx="33">
                  <c:v>146.45544181962043</c:v>
                </c:pt>
                <c:pt idx="34">
                  <c:v>146.49603979376633</c:v>
                </c:pt>
                <c:pt idx="35">
                  <c:v>146.52154235542679</c:v>
                </c:pt>
                <c:pt idx="36">
                  <c:v>146.59728722693748</c:v>
                </c:pt>
                <c:pt idx="37">
                  <c:v>146.44382746404287</c:v>
                </c:pt>
                <c:pt idx="38">
                  <c:v>146.0132717399031</c:v>
                </c:pt>
                <c:pt idx="39">
                  <c:v>145.4978161753576</c:v>
                </c:pt>
                <c:pt idx="40">
                  <c:v>145.33488240147645</c:v>
                </c:pt>
                <c:pt idx="41">
                  <c:v>145.13600812260069</c:v>
                </c:pt>
                <c:pt idx="42">
                  <c:v>145.00211559190629</c:v>
                </c:pt>
                <c:pt idx="43">
                  <c:v>144.99827569971686</c:v>
                </c:pt>
                <c:pt idx="44">
                  <c:v>144.8456822848843</c:v>
                </c:pt>
                <c:pt idx="45">
                  <c:v>144.5002197146938</c:v>
                </c:pt>
                <c:pt idx="46">
                  <c:v>144.36380041595257</c:v>
                </c:pt>
                <c:pt idx="47">
                  <c:v>144.16178723172231</c:v>
                </c:pt>
                <c:pt idx="48">
                  <c:v>144.05589492963432</c:v>
                </c:pt>
                <c:pt idx="49">
                  <c:v>143.89541044179251</c:v>
                </c:pt>
                <c:pt idx="50">
                  <c:v>143.08956221834859</c:v>
                </c:pt>
                <c:pt idx="51">
                  <c:v>142.32605425754562</c:v>
                </c:pt>
                <c:pt idx="52">
                  <c:v>141.75811823348508</c:v>
                </c:pt>
                <c:pt idx="53">
                  <c:v>141.31569522143943</c:v>
                </c:pt>
                <c:pt idx="54">
                  <c:v>140.95216980909575</c:v>
                </c:pt>
                <c:pt idx="55">
                  <c:v>140.53484359474407</c:v>
                </c:pt>
                <c:pt idx="56">
                  <c:v>140.14752270849496</c:v>
                </c:pt>
                <c:pt idx="57">
                  <c:v>139.64015637953534</c:v>
                </c:pt>
                <c:pt idx="58">
                  <c:v>139.16344631833007</c:v>
                </c:pt>
                <c:pt idx="59">
                  <c:v>138.79459031211539</c:v>
                </c:pt>
                <c:pt idx="60">
                  <c:v>138.42443849157689</c:v>
                </c:pt>
                <c:pt idx="61">
                  <c:v>138.08110084890961</c:v>
                </c:pt>
                <c:pt idx="62">
                  <c:v>137.71076937673126</c:v>
                </c:pt>
                <c:pt idx="63">
                  <c:v>137.29133888359806</c:v>
                </c:pt>
                <c:pt idx="64">
                  <c:v>136.75152167596599</c:v>
                </c:pt>
                <c:pt idx="65">
                  <c:v>136.42023019298486</c:v>
                </c:pt>
                <c:pt idx="66">
                  <c:v>136.13138778347803</c:v>
                </c:pt>
                <c:pt idx="67">
                  <c:v>135.83803542465921</c:v>
                </c:pt>
                <c:pt idx="68">
                  <c:v>135.59750823847867</c:v>
                </c:pt>
                <c:pt idx="69">
                  <c:v>135.27045365991771</c:v>
                </c:pt>
                <c:pt idx="70">
                  <c:v>135.00655087497302</c:v>
                </c:pt>
                <c:pt idx="71">
                  <c:v>134.70409283933864</c:v>
                </c:pt>
                <c:pt idx="72">
                  <c:v>134.37119590368977</c:v>
                </c:pt>
                <c:pt idx="73">
                  <c:v>134.11624790611489</c:v>
                </c:pt>
                <c:pt idx="74">
                  <c:v>133.96229849880046</c:v>
                </c:pt>
                <c:pt idx="75">
                  <c:v>133.68981301803566</c:v>
                </c:pt>
                <c:pt idx="76">
                  <c:v>133.52153251016256</c:v>
                </c:pt>
                <c:pt idx="77">
                  <c:v>133.37514428021748</c:v>
                </c:pt>
                <c:pt idx="78">
                  <c:v>133.24438939676361</c:v>
                </c:pt>
                <c:pt idx="79">
                  <c:v>133.0523423397924</c:v>
                </c:pt>
                <c:pt idx="80">
                  <c:v>132.86907571813728</c:v>
                </c:pt>
                <c:pt idx="81">
                  <c:v>132.67651422793156</c:v>
                </c:pt>
                <c:pt idx="82">
                  <c:v>132.49432985970287</c:v>
                </c:pt>
                <c:pt idx="83">
                  <c:v>132.30280991021877</c:v>
                </c:pt>
                <c:pt idx="84">
                  <c:v>132.15433708854323</c:v>
                </c:pt>
                <c:pt idx="85">
                  <c:v>131.99638647005327</c:v>
                </c:pt>
                <c:pt idx="86">
                  <c:v>131.83818443411275</c:v>
                </c:pt>
                <c:pt idx="87">
                  <c:v>131.63945321282759</c:v>
                </c:pt>
                <c:pt idx="88">
                  <c:v>131.46411786503111</c:v>
                </c:pt>
                <c:pt idx="89">
                  <c:v>131.08540688790066</c:v>
                </c:pt>
                <c:pt idx="90">
                  <c:v>130.87049824707444</c:v>
                </c:pt>
                <c:pt idx="91">
                  <c:v>130.76082512846827</c:v>
                </c:pt>
                <c:pt idx="92">
                  <c:v>130.55566561224197</c:v>
                </c:pt>
                <c:pt idx="93">
                  <c:v>130.35487851902337</c:v>
                </c:pt>
                <c:pt idx="94">
                  <c:v>130.08561861138253</c:v>
                </c:pt>
                <c:pt idx="95">
                  <c:v>129.99910281016096</c:v>
                </c:pt>
                <c:pt idx="96">
                  <c:v>129.97549012441226</c:v>
                </c:pt>
                <c:pt idx="97">
                  <c:v>129.98705810899784</c:v>
                </c:pt>
                <c:pt idx="98">
                  <c:v>130.00036196950211</c:v>
                </c:pt>
                <c:pt idx="99">
                  <c:v>129.98859768150308</c:v>
                </c:pt>
                <c:pt idx="100">
                  <c:v>129.98613084479339</c:v>
                </c:pt>
                <c:pt idx="101">
                  <c:v>129.975842768745</c:v>
                </c:pt>
                <c:pt idx="102">
                  <c:v>129.9842168240109</c:v>
                </c:pt>
                <c:pt idx="103">
                  <c:v>129.98469038043208</c:v>
                </c:pt>
                <c:pt idx="104">
                  <c:v>129.98771453631429</c:v>
                </c:pt>
                <c:pt idx="105">
                  <c:v>129.96314470102027</c:v>
                </c:pt>
                <c:pt idx="106">
                  <c:v>129.9551194925144</c:v>
                </c:pt>
                <c:pt idx="107">
                  <c:v>130.16001171402877</c:v>
                </c:pt>
                <c:pt idx="108">
                  <c:v>130.25439523298286</c:v>
                </c:pt>
                <c:pt idx="109">
                  <c:v>130.31694391147573</c:v>
                </c:pt>
                <c:pt idx="110">
                  <c:v>130.39377807922241</c:v>
                </c:pt>
                <c:pt idx="111">
                  <c:v>130.45512168525417</c:v>
                </c:pt>
                <c:pt idx="112">
                  <c:v>130.5342735459509</c:v>
                </c:pt>
                <c:pt idx="113">
                  <c:v>130.5951442674567</c:v>
                </c:pt>
                <c:pt idx="114">
                  <c:v>130.65588300032917</c:v>
                </c:pt>
                <c:pt idx="115">
                  <c:v>130.71313357217522</c:v>
                </c:pt>
                <c:pt idx="116">
                  <c:v>130.77912757167186</c:v>
                </c:pt>
                <c:pt idx="117">
                  <c:v>130.79841067884283</c:v>
                </c:pt>
                <c:pt idx="118">
                  <c:v>130.83406679809377</c:v>
                </c:pt>
                <c:pt idx="119">
                  <c:v>130.87163392135247</c:v>
                </c:pt>
                <c:pt idx="120">
                  <c:v>130.90726566764411</c:v>
                </c:pt>
                <c:pt idx="121">
                  <c:v>130.9507942448605</c:v>
                </c:pt>
                <c:pt idx="122">
                  <c:v>131.00953996620018</c:v>
                </c:pt>
                <c:pt idx="123">
                  <c:v>131.05817281205117</c:v>
                </c:pt>
                <c:pt idx="124">
                  <c:v>131.10878957353805</c:v>
                </c:pt>
                <c:pt idx="125">
                  <c:v>131.17096430445656</c:v>
                </c:pt>
                <c:pt idx="126">
                  <c:v>131.21720079547487</c:v>
                </c:pt>
                <c:pt idx="127">
                  <c:v>131.27174188164744</c:v>
                </c:pt>
                <c:pt idx="128">
                  <c:v>131.34320335574418</c:v>
                </c:pt>
                <c:pt idx="129">
                  <c:v>131.42145700772483</c:v>
                </c:pt>
                <c:pt idx="130">
                  <c:v>131.48227505206114</c:v>
                </c:pt>
                <c:pt idx="131">
                  <c:v>131.5602637447214</c:v>
                </c:pt>
                <c:pt idx="132">
                  <c:v>131.62289411471005</c:v>
                </c:pt>
                <c:pt idx="133">
                  <c:v>131.66049437257516</c:v>
                </c:pt>
                <c:pt idx="134">
                  <c:v>131.71223886304148</c:v>
                </c:pt>
                <c:pt idx="135">
                  <c:v>131.79100707055696</c:v>
                </c:pt>
                <c:pt idx="136">
                  <c:v>131.85150818487992</c:v>
                </c:pt>
                <c:pt idx="137">
                  <c:v>131.917396786464</c:v>
                </c:pt>
                <c:pt idx="138">
                  <c:v>131.97481569244837</c:v>
                </c:pt>
                <c:pt idx="139">
                  <c:v>132.10759469881222</c:v>
                </c:pt>
                <c:pt idx="140">
                  <c:v>132.1865188526013</c:v>
                </c:pt>
                <c:pt idx="141">
                  <c:v>132.23371156253614</c:v>
                </c:pt>
                <c:pt idx="142">
                  <c:v>132.28435911094701</c:v>
                </c:pt>
                <c:pt idx="143">
                  <c:v>132.32327703513562</c:v>
                </c:pt>
                <c:pt idx="144">
                  <c:v>132.36178233355446</c:v>
                </c:pt>
                <c:pt idx="145">
                  <c:v>132.39879696314119</c:v>
                </c:pt>
                <c:pt idx="146">
                  <c:v>132.44013606426597</c:v>
                </c:pt>
                <c:pt idx="147">
                  <c:v>132.47838645422055</c:v>
                </c:pt>
                <c:pt idx="148">
                  <c:v>132.5058318524473</c:v>
                </c:pt>
                <c:pt idx="149">
                  <c:v>132.52835697066459</c:v>
                </c:pt>
                <c:pt idx="150">
                  <c:v>132.55806787226757</c:v>
                </c:pt>
                <c:pt idx="151">
                  <c:v>132.58511100737201</c:v>
                </c:pt>
                <c:pt idx="152">
                  <c:v>132.62204719030348</c:v>
                </c:pt>
                <c:pt idx="153">
                  <c:v>132.64984858125746</c:v>
                </c:pt>
                <c:pt idx="154">
                  <c:v>132.68145442089215</c:v>
                </c:pt>
                <c:pt idx="155">
                  <c:v>132.71336847906412</c:v>
                </c:pt>
                <c:pt idx="156">
                  <c:v>132.73432705789511</c:v>
                </c:pt>
                <c:pt idx="157">
                  <c:v>132.75830991443695</c:v>
                </c:pt>
                <c:pt idx="158">
                  <c:v>132.77888422339836</c:v>
                </c:pt>
                <c:pt idx="159">
                  <c:v>132.80228517355337</c:v>
                </c:pt>
                <c:pt idx="160">
                  <c:v>132.83569866524292</c:v>
                </c:pt>
                <c:pt idx="161">
                  <c:v>132.86468414676335</c:v>
                </c:pt>
                <c:pt idx="162">
                  <c:v>132.89351708431963</c:v>
                </c:pt>
                <c:pt idx="163">
                  <c:v>132.91184336473418</c:v>
                </c:pt>
                <c:pt idx="164">
                  <c:v>132.93591895427519</c:v>
                </c:pt>
                <c:pt idx="165">
                  <c:v>132.94667397018122</c:v>
                </c:pt>
                <c:pt idx="166">
                  <c:v>133.003822116348</c:v>
                </c:pt>
                <c:pt idx="167">
                  <c:v>133.10954318537364</c:v>
                </c:pt>
                <c:pt idx="168">
                  <c:v>133.15002248374742</c:v>
                </c:pt>
                <c:pt idx="169">
                  <c:v>133.193355389613</c:v>
                </c:pt>
                <c:pt idx="170">
                  <c:v>133.22171648111916</c:v>
                </c:pt>
                <c:pt idx="171">
                  <c:v>133.26378676771242</c:v>
                </c:pt>
                <c:pt idx="172">
                  <c:v>133.28742177311048</c:v>
                </c:pt>
                <c:pt idx="173">
                  <c:v>133.29610253374332</c:v>
                </c:pt>
                <c:pt idx="174">
                  <c:v>133.31456111973026</c:v>
                </c:pt>
                <c:pt idx="175">
                  <c:v>133.34115978392728</c:v>
                </c:pt>
                <c:pt idx="176">
                  <c:v>133.37049721436932</c:v>
                </c:pt>
                <c:pt idx="177">
                  <c:v>133.3829013232467</c:v>
                </c:pt>
                <c:pt idx="178">
                  <c:v>133.39911984977232</c:v>
                </c:pt>
                <c:pt idx="179">
                  <c:v>133.42981028928341</c:v>
                </c:pt>
                <c:pt idx="180">
                  <c:v>133.46992013443901</c:v>
                </c:pt>
                <c:pt idx="181">
                  <c:v>133.50387649918025</c:v>
                </c:pt>
                <c:pt idx="182">
                  <c:v>133.53884954750933</c:v>
                </c:pt>
                <c:pt idx="183">
                  <c:v>133.57123486981274</c:v>
                </c:pt>
                <c:pt idx="184">
                  <c:v>133.60017306754082</c:v>
                </c:pt>
                <c:pt idx="185">
                  <c:v>133.62758418524817</c:v>
                </c:pt>
                <c:pt idx="186">
                  <c:v>133.64906766574038</c:v>
                </c:pt>
                <c:pt idx="187">
                  <c:v>133.67685364863098</c:v>
                </c:pt>
                <c:pt idx="188">
                  <c:v>133.7022630956794</c:v>
                </c:pt>
                <c:pt idx="189">
                  <c:v>133.73705063138087</c:v>
                </c:pt>
                <c:pt idx="190">
                  <c:v>133.76604314960574</c:v>
                </c:pt>
                <c:pt idx="191">
                  <c:v>133.79790058199558</c:v>
                </c:pt>
                <c:pt idx="192">
                  <c:v>133.82864888631846</c:v>
                </c:pt>
                <c:pt idx="193">
                  <c:v>133.86597275508652</c:v>
                </c:pt>
                <c:pt idx="194">
                  <c:v>133.91888253589786</c:v>
                </c:pt>
                <c:pt idx="195">
                  <c:v>133.95769267161964</c:v>
                </c:pt>
                <c:pt idx="196">
                  <c:v>133.99082462991962</c:v>
                </c:pt>
                <c:pt idx="197">
                  <c:v>134.0270132878594</c:v>
                </c:pt>
                <c:pt idx="198">
                  <c:v>134.06444296831941</c:v>
                </c:pt>
                <c:pt idx="199">
                  <c:v>134.10236200501723</c:v>
                </c:pt>
                <c:pt idx="200">
                  <c:v>134.12993485227355</c:v>
                </c:pt>
                <c:pt idx="201">
                  <c:v>134.14751556518428</c:v>
                </c:pt>
                <c:pt idx="202">
                  <c:v>134.1845203984943</c:v>
                </c:pt>
                <c:pt idx="203">
                  <c:v>134.218033463344</c:v>
                </c:pt>
                <c:pt idx="204">
                  <c:v>134.24496924221884</c:v>
                </c:pt>
                <c:pt idx="205">
                  <c:v>134.27719466600249</c:v>
                </c:pt>
                <c:pt idx="206">
                  <c:v>134.30445913254866</c:v>
                </c:pt>
                <c:pt idx="207">
                  <c:v>134.33332586874681</c:v>
                </c:pt>
                <c:pt idx="208">
                  <c:v>134.36608254545527</c:v>
                </c:pt>
                <c:pt idx="209">
                  <c:v>134.45039832885553</c:v>
                </c:pt>
                <c:pt idx="210">
                  <c:v>134.48640712679617</c:v>
                </c:pt>
                <c:pt idx="211">
                  <c:v>134.52338658075161</c:v>
                </c:pt>
                <c:pt idx="212">
                  <c:v>134.561230356187</c:v>
                </c:pt>
                <c:pt idx="213">
                  <c:v>134.59513079356381</c:v>
                </c:pt>
                <c:pt idx="214">
                  <c:v>134.63149522527851</c:v>
                </c:pt>
                <c:pt idx="215">
                  <c:v>134.66187376671164</c:v>
                </c:pt>
                <c:pt idx="216">
                  <c:v>134.72820272097647</c:v>
                </c:pt>
                <c:pt idx="217">
                  <c:v>134.76314332806868</c:v>
                </c:pt>
                <c:pt idx="218">
                  <c:v>134.78572983490662</c:v>
                </c:pt>
                <c:pt idx="219">
                  <c:v>134.80452554284375</c:v>
                </c:pt>
                <c:pt idx="220">
                  <c:v>134.82523450068879</c:v>
                </c:pt>
                <c:pt idx="221">
                  <c:v>134.84913292258523</c:v>
                </c:pt>
                <c:pt idx="222">
                  <c:v>134.8700432972162</c:v>
                </c:pt>
                <c:pt idx="223">
                  <c:v>134.88937373141468</c:v>
                </c:pt>
                <c:pt idx="224">
                  <c:v>134.90559431536116</c:v>
                </c:pt>
                <c:pt idx="225">
                  <c:v>134.9081736282543</c:v>
                </c:pt>
                <c:pt idx="226">
                  <c:v>134.90331457478356</c:v>
                </c:pt>
                <c:pt idx="227">
                  <c:v>134.88596169527992</c:v>
                </c:pt>
                <c:pt idx="228">
                  <c:v>134.88554255042914</c:v>
                </c:pt>
                <c:pt idx="229">
                  <c:v>134.89100644213377</c:v>
                </c:pt>
                <c:pt idx="230">
                  <c:v>134.90110248147766</c:v>
                </c:pt>
                <c:pt idx="231">
                  <c:v>134.92276912918834</c:v>
                </c:pt>
                <c:pt idx="232">
                  <c:v>134.95143235087983</c:v>
                </c:pt>
                <c:pt idx="233">
                  <c:v>134.97564395411354</c:v>
                </c:pt>
                <c:pt idx="234">
                  <c:v>135.00903750303416</c:v>
                </c:pt>
                <c:pt idx="235">
                  <c:v>135.04495581283194</c:v>
                </c:pt>
                <c:pt idx="236">
                  <c:v>135.07309359005208</c:v>
                </c:pt>
                <c:pt idx="237">
                  <c:v>135.09628617078519</c:v>
                </c:pt>
                <c:pt idx="238">
                  <c:v>135.11722355706505</c:v>
                </c:pt>
                <c:pt idx="239">
                  <c:v>135.14132828733887</c:v>
                </c:pt>
                <c:pt idx="240">
                  <c:v>135.16901193217012</c:v>
                </c:pt>
                <c:pt idx="241">
                  <c:v>135.19295560896163</c:v>
                </c:pt>
                <c:pt idx="242">
                  <c:v>135.22654038167653</c:v>
                </c:pt>
                <c:pt idx="243">
                  <c:v>135.27849570105985</c:v>
                </c:pt>
                <c:pt idx="244">
                  <c:v>135.34210665761708</c:v>
                </c:pt>
                <c:pt idx="245">
                  <c:v>135.43444223744365</c:v>
                </c:pt>
                <c:pt idx="246">
                  <c:v>135.45309902416892</c:v>
                </c:pt>
                <c:pt idx="247">
                  <c:v>135.43908149664597</c:v>
                </c:pt>
                <c:pt idx="248">
                  <c:v>135.40379807126828</c:v>
                </c:pt>
                <c:pt idx="249">
                  <c:v>135.39700246500732</c:v>
                </c:pt>
                <c:pt idx="250">
                  <c:v>135.38998863059939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79-4843-84F4-1DD0D4B99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58544"/>
        <c:axId val="165157104"/>
      </c:lineChart>
      <c:dateAx>
        <c:axId val="165158544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57104"/>
        <c:crosses val="autoZero"/>
        <c:auto val="1"/>
        <c:lblOffset val="100"/>
        <c:baseTimeUnit val="days"/>
      </c:dateAx>
      <c:valAx>
        <c:axId val="165157104"/>
        <c:scaling>
          <c:orientation val="minMax"/>
          <c:max val="175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5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145.63999999999999</c:v>
                </c:pt>
                <c:pt idx="1">
                  <c:v>143.99</c:v>
                </c:pt>
                <c:pt idx="2">
                  <c:v>144.58000000000001</c:v>
                </c:pt>
                <c:pt idx="3">
                  <c:v>143.38999999999999</c:v>
                </c:pt>
                <c:pt idx="4">
                  <c:v>144.1</c:v>
                </c:pt>
                <c:pt idx="5">
                  <c:v>145.81</c:v>
                </c:pt>
                <c:pt idx="6">
                  <c:v>149.1</c:v>
                </c:pt>
                <c:pt idx="7">
                  <c:v>153.5</c:v>
                </c:pt>
                <c:pt idx="8">
                  <c:v>153.85</c:v>
                </c:pt>
                <c:pt idx="9">
                  <c:v>156.41999999999999</c:v>
                </c:pt>
                <c:pt idx="10">
                  <c:v>151.51</c:v>
                </c:pt>
                <c:pt idx="11">
                  <c:v>152.02000000000001</c:v>
                </c:pt>
                <c:pt idx="12">
                  <c:v>153.47</c:v>
                </c:pt>
                <c:pt idx="13">
                  <c:v>155.99</c:v>
                </c:pt>
                <c:pt idx="14">
                  <c:v>154.19</c:v>
                </c:pt>
                <c:pt idx="15">
                  <c:v>153.88</c:v>
                </c:pt>
                <c:pt idx="16">
                  <c:v>154.61000000000001</c:v>
                </c:pt>
                <c:pt idx="17">
                  <c:v>154.44</c:v>
                </c:pt>
                <c:pt idx="18">
                  <c:v>156.25</c:v>
                </c:pt>
                <c:pt idx="19">
                  <c:v>152.33000000000001</c:v>
                </c:pt>
                <c:pt idx="20">
                  <c:v>148.16999999999999</c:v>
                </c:pt>
                <c:pt idx="21">
                  <c:v>148.34</c:v>
                </c:pt>
                <c:pt idx="22">
                  <c:v>148.59</c:v>
                </c:pt>
                <c:pt idx="23">
                  <c:v>151.34</c:v>
                </c:pt>
                <c:pt idx="24">
                  <c:v>148.99</c:v>
                </c:pt>
                <c:pt idx="25">
                  <c:v>148.11000000000001</c:v>
                </c:pt>
                <c:pt idx="26">
                  <c:v>147.15</c:v>
                </c:pt>
                <c:pt idx="27">
                  <c:v>145.44999999999999</c:v>
                </c:pt>
                <c:pt idx="28">
                  <c:v>146.44999999999999</c:v>
                </c:pt>
                <c:pt idx="29">
                  <c:v>145.54</c:v>
                </c:pt>
                <c:pt idx="30">
                  <c:v>148.63999999999999</c:v>
                </c:pt>
                <c:pt idx="31">
                  <c:v>149.66999999999999</c:v>
                </c:pt>
                <c:pt idx="32">
                  <c:v>149.27000000000001</c:v>
                </c:pt>
                <c:pt idx="33">
                  <c:v>149.94</c:v>
                </c:pt>
                <c:pt idx="34">
                  <c:v>149.66999999999999</c:v>
                </c:pt>
                <c:pt idx="35">
                  <c:v>149.12</c:v>
                </c:pt>
                <c:pt idx="36">
                  <c:v>151.37</c:v>
                </c:pt>
                <c:pt idx="37">
                  <c:v>146.61000000000001</c:v>
                </c:pt>
                <c:pt idx="38">
                  <c:v>143.19</c:v>
                </c:pt>
                <c:pt idx="39">
                  <c:v>140.30000000000001</c:v>
                </c:pt>
                <c:pt idx="40">
                  <c:v>145.59</c:v>
                </c:pt>
                <c:pt idx="41">
                  <c:v>144.13999999999999</c:v>
                </c:pt>
                <c:pt idx="42">
                  <c:v>144.43</c:v>
                </c:pt>
                <c:pt idx="43">
                  <c:v>146.75</c:v>
                </c:pt>
                <c:pt idx="44">
                  <c:v>142.84</c:v>
                </c:pt>
                <c:pt idx="45">
                  <c:v>140.09</c:v>
                </c:pt>
                <c:pt idx="46">
                  <c:v>142.84</c:v>
                </c:pt>
                <c:pt idx="47">
                  <c:v>141.72999999999999</c:v>
                </c:pt>
                <c:pt idx="48">
                  <c:v>143.46</c:v>
                </c:pt>
                <c:pt idx="49">
                  <c:v>142.26</c:v>
                </c:pt>
                <c:pt idx="50">
                  <c:v>135.31</c:v>
                </c:pt>
                <c:pt idx="51">
                  <c:v>133.38</c:v>
                </c:pt>
                <c:pt idx="52">
                  <c:v>133.76</c:v>
                </c:pt>
                <c:pt idx="53">
                  <c:v>134.31</c:v>
                </c:pt>
                <c:pt idx="54">
                  <c:v>135.58000000000001</c:v>
                </c:pt>
                <c:pt idx="55">
                  <c:v>133.55000000000001</c:v>
                </c:pt>
                <c:pt idx="56">
                  <c:v>133.75</c:v>
                </c:pt>
                <c:pt idx="57">
                  <c:v>131.99</c:v>
                </c:pt>
                <c:pt idx="58">
                  <c:v>130.74</c:v>
                </c:pt>
                <c:pt idx="59">
                  <c:v>131.91499999999999</c:v>
                </c:pt>
                <c:pt idx="60">
                  <c:v>131.43</c:v>
                </c:pt>
                <c:pt idx="61">
                  <c:v>130.44</c:v>
                </c:pt>
                <c:pt idx="62">
                  <c:v>131.68</c:v>
                </c:pt>
                <c:pt idx="63">
                  <c:v>130.31</c:v>
                </c:pt>
                <c:pt idx="64">
                  <c:v>128.44999999999999</c:v>
                </c:pt>
                <c:pt idx="65">
                  <c:v>131.5</c:v>
                </c:pt>
                <c:pt idx="66">
                  <c:v>131.97999999999999</c:v>
                </c:pt>
                <c:pt idx="67">
                  <c:v>131.79</c:v>
                </c:pt>
                <c:pt idx="68">
                  <c:v>131.80000000000001</c:v>
                </c:pt>
                <c:pt idx="69">
                  <c:v>130.15</c:v>
                </c:pt>
                <c:pt idx="70">
                  <c:v>130.12</c:v>
                </c:pt>
                <c:pt idx="71">
                  <c:v>129.34</c:v>
                </c:pt>
                <c:pt idx="72">
                  <c:v>131.37</c:v>
                </c:pt>
                <c:pt idx="73">
                  <c:v>130.66999999999999</c:v>
                </c:pt>
                <c:pt idx="74">
                  <c:v>131.91999999999999</c:v>
                </c:pt>
                <c:pt idx="75">
                  <c:v>131.44999999999999</c:v>
                </c:pt>
                <c:pt idx="76">
                  <c:v>130.91</c:v>
                </c:pt>
                <c:pt idx="77">
                  <c:v>131.85</c:v>
                </c:pt>
                <c:pt idx="78">
                  <c:v>131.74</c:v>
                </c:pt>
                <c:pt idx="79">
                  <c:v>131.11000000000001</c:v>
                </c:pt>
                <c:pt idx="80">
                  <c:v>130.03</c:v>
                </c:pt>
                <c:pt idx="81">
                  <c:v>129.96</c:v>
                </c:pt>
                <c:pt idx="82">
                  <c:v>131.83000000000001</c:v>
                </c:pt>
                <c:pt idx="83">
                  <c:v>129.9</c:v>
                </c:pt>
                <c:pt idx="84">
                  <c:v>132.30000000000001</c:v>
                </c:pt>
                <c:pt idx="85">
                  <c:v>130.85</c:v>
                </c:pt>
                <c:pt idx="86">
                  <c:v>131.41</c:v>
                </c:pt>
                <c:pt idx="87">
                  <c:v>129.29</c:v>
                </c:pt>
                <c:pt idx="88">
                  <c:v>129.07</c:v>
                </c:pt>
                <c:pt idx="89">
                  <c:v>129.07</c:v>
                </c:pt>
                <c:pt idx="90">
                  <c:v>129.09</c:v>
                </c:pt>
                <c:pt idx="91">
                  <c:v>131.05000000000001</c:v>
                </c:pt>
                <c:pt idx="92">
                  <c:v>128.02000000000001</c:v>
                </c:pt>
                <c:pt idx="93">
                  <c:v>128.22</c:v>
                </c:pt>
                <c:pt idx="94">
                  <c:v>131.04</c:v>
                </c:pt>
                <c:pt idx="95">
                  <c:v>132.04</c:v>
                </c:pt>
                <c:pt idx="96">
                  <c:v>135.26</c:v>
                </c:pt>
                <c:pt idx="97">
                  <c:v>136.47999999999999</c:v>
                </c:pt>
                <c:pt idx="98">
                  <c:v>135.38</c:v>
                </c:pt>
                <c:pt idx="99">
                  <c:v>134.44999999999999</c:v>
                </c:pt>
                <c:pt idx="100">
                  <c:v>135.04</c:v>
                </c:pt>
                <c:pt idx="101">
                  <c:v>134.47999999999999</c:v>
                </c:pt>
                <c:pt idx="102">
                  <c:v>136.08000000000001</c:v>
                </c:pt>
                <c:pt idx="103">
                  <c:v>135.26</c:v>
                </c:pt>
                <c:pt idx="104">
                  <c:v>135.57</c:v>
                </c:pt>
                <c:pt idx="105">
                  <c:v>133.81</c:v>
                </c:pt>
                <c:pt idx="106">
                  <c:v>135.35</c:v>
                </c:pt>
                <c:pt idx="107">
                  <c:v>145.44</c:v>
                </c:pt>
                <c:pt idx="108">
                  <c:v>143.24</c:v>
                </c:pt>
                <c:pt idx="109">
                  <c:v>141.69999999999999</c:v>
                </c:pt>
                <c:pt idx="110">
                  <c:v>146.04</c:v>
                </c:pt>
                <c:pt idx="111">
                  <c:v>145.66</c:v>
                </c:pt>
                <c:pt idx="112">
                  <c:v>144.51</c:v>
                </c:pt>
                <c:pt idx="113">
                  <c:v>143.44999999999999</c:v>
                </c:pt>
                <c:pt idx="114">
                  <c:v>141.57</c:v>
                </c:pt>
                <c:pt idx="115">
                  <c:v>143.88999999999999</c:v>
                </c:pt>
                <c:pt idx="116">
                  <c:v>142.86000000000001</c:v>
                </c:pt>
                <c:pt idx="117">
                  <c:v>137.91999999999999</c:v>
                </c:pt>
                <c:pt idx="118">
                  <c:v>139.28</c:v>
                </c:pt>
                <c:pt idx="119">
                  <c:v>139.56</c:v>
                </c:pt>
                <c:pt idx="120">
                  <c:v>139.44999999999999</c:v>
                </c:pt>
                <c:pt idx="121">
                  <c:v>140.80000000000001</c:v>
                </c:pt>
                <c:pt idx="122">
                  <c:v>143.91999999999999</c:v>
                </c:pt>
                <c:pt idx="123">
                  <c:v>145.21</c:v>
                </c:pt>
                <c:pt idx="124">
                  <c:v>144.87</c:v>
                </c:pt>
                <c:pt idx="125">
                  <c:v>146.87</c:v>
                </c:pt>
                <c:pt idx="126">
                  <c:v>149.35</c:v>
                </c:pt>
                <c:pt idx="127">
                  <c:v>148.62</c:v>
                </c:pt>
                <c:pt idx="128">
                  <c:v>150.4</c:v>
                </c:pt>
                <c:pt idx="129">
                  <c:v>149.55000000000001</c:v>
                </c:pt>
                <c:pt idx="130">
                  <c:v>152.16</c:v>
                </c:pt>
                <c:pt idx="131">
                  <c:v>150.72999999999999</c:v>
                </c:pt>
                <c:pt idx="132">
                  <c:v>148.97999999999999</c:v>
                </c:pt>
                <c:pt idx="133">
                  <c:v>149.63999999999999</c:v>
                </c:pt>
                <c:pt idx="134">
                  <c:v>148.19999999999999</c:v>
                </c:pt>
                <c:pt idx="135">
                  <c:v>147</c:v>
                </c:pt>
                <c:pt idx="136">
                  <c:v>147.63999999999999</c:v>
                </c:pt>
                <c:pt idx="137">
                  <c:v>146.97999999999999</c:v>
                </c:pt>
                <c:pt idx="138">
                  <c:v>148.65</c:v>
                </c:pt>
                <c:pt idx="139">
                  <c:v>150.28</c:v>
                </c:pt>
                <c:pt idx="140">
                  <c:v>148.63999999999999</c:v>
                </c:pt>
                <c:pt idx="141">
                  <c:v>146.88999999999999</c:v>
                </c:pt>
                <c:pt idx="142">
                  <c:v>146.38999999999999</c:v>
                </c:pt>
                <c:pt idx="143">
                  <c:v>141.71</c:v>
                </c:pt>
                <c:pt idx="144">
                  <c:v>143.1</c:v>
                </c:pt>
                <c:pt idx="145">
                  <c:v>142.66</c:v>
                </c:pt>
                <c:pt idx="146">
                  <c:v>144.22999999999999</c:v>
                </c:pt>
                <c:pt idx="147">
                  <c:v>143.53</c:v>
                </c:pt>
                <c:pt idx="148">
                  <c:v>140.63999999999999</c:v>
                </c:pt>
                <c:pt idx="149">
                  <c:v>140.03</c:v>
                </c:pt>
                <c:pt idx="150">
                  <c:v>141.22999999999999</c:v>
                </c:pt>
                <c:pt idx="151">
                  <c:v>140.72999999999999</c:v>
                </c:pt>
                <c:pt idx="152">
                  <c:v>141.76</c:v>
                </c:pt>
                <c:pt idx="153">
                  <c:v>141.03</c:v>
                </c:pt>
                <c:pt idx="154">
                  <c:v>141.9</c:v>
                </c:pt>
                <c:pt idx="155">
                  <c:v>142.16999999999999</c:v>
                </c:pt>
                <c:pt idx="156">
                  <c:v>139.91999999999999</c:v>
                </c:pt>
                <c:pt idx="157">
                  <c:v>140.44</c:v>
                </c:pt>
                <c:pt idx="158">
                  <c:v>140.16999999999999</c:v>
                </c:pt>
                <c:pt idx="159">
                  <c:v>140.44</c:v>
                </c:pt>
                <c:pt idx="160">
                  <c:v>143.13999999999999</c:v>
                </c:pt>
                <c:pt idx="161">
                  <c:v>142.31</c:v>
                </c:pt>
                <c:pt idx="162">
                  <c:v>141.97999999999999</c:v>
                </c:pt>
                <c:pt idx="163">
                  <c:v>139.69999999999999</c:v>
                </c:pt>
                <c:pt idx="164">
                  <c:v>140.79</c:v>
                </c:pt>
                <c:pt idx="165">
                  <c:v>138.84</c:v>
                </c:pt>
                <c:pt idx="166">
                  <c:v>144.71</c:v>
                </c:pt>
                <c:pt idx="167">
                  <c:v>150.08000000000001</c:v>
                </c:pt>
                <c:pt idx="168">
                  <c:v>148.88999999999999</c:v>
                </c:pt>
                <c:pt idx="169">
                  <c:v>151.54</c:v>
                </c:pt>
                <c:pt idx="170">
                  <c:v>151.16</c:v>
                </c:pt>
                <c:pt idx="171">
                  <c:v>152.66999999999999</c:v>
                </c:pt>
                <c:pt idx="172">
                  <c:v>153.71</c:v>
                </c:pt>
                <c:pt idx="173">
                  <c:v>153.63999999999999</c:v>
                </c:pt>
                <c:pt idx="174">
                  <c:v>153.18</c:v>
                </c:pt>
                <c:pt idx="175">
                  <c:v>153.03</c:v>
                </c:pt>
                <c:pt idx="176">
                  <c:v>151.51</c:v>
                </c:pt>
                <c:pt idx="177">
                  <c:v>151.55000000000001</c:v>
                </c:pt>
                <c:pt idx="178">
                  <c:v>152.63</c:v>
                </c:pt>
                <c:pt idx="179">
                  <c:v>150.12</c:v>
                </c:pt>
                <c:pt idx="180">
                  <c:v>146.16</c:v>
                </c:pt>
                <c:pt idx="181">
                  <c:v>147.55000000000001</c:v>
                </c:pt>
                <c:pt idx="182">
                  <c:v>146.09</c:v>
                </c:pt>
                <c:pt idx="183">
                  <c:v>143.6</c:v>
                </c:pt>
                <c:pt idx="184">
                  <c:v>142.9</c:v>
                </c:pt>
                <c:pt idx="185">
                  <c:v>142.86000000000001</c:v>
                </c:pt>
                <c:pt idx="186">
                  <c:v>141.58000000000001</c:v>
                </c:pt>
                <c:pt idx="187">
                  <c:v>142.94999999999999</c:v>
                </c:pt>
                <c:pt idx="188">
                  <c:v>142.62</c:v>
                </c:pt>
                <c:pt idx="189">
                  <c:v>145.08000000000001</c:v>
                </c:pt>
                <c:pt idx="190">
                  <c:v>144.38999999999999</c:v>
                </c:pt>
                <c:pt idx="191">
                  <c:v>145.02000000000001</c:v>
                </c:pt>
                <c:pt idx="192">
                  <c:v>145.85</c:v>
                </c:pt>
                <c:pt idx="193">
                  <c:v>147.83000000000001</c:v>
                </c:pt>
                <c:pt idx="194">
                  <c:v>148.77000000000001</c:v>
                </c:pt>
                <c:pt idx="195">
                  <c:v>147.11000000000001</c:v>
                </c:pt>
                <c:pt idx="196">
                  <c:v>146.1</c:v>
                </c:pt>
                <c:pt idx="197">
                  <c:v>146.33000000000001</c:v>
                </c:pt>
                <c:pt idx="198">
                  <c:v>145.5</c:v>
                </c:pt>
                <c:pt idx="199">
                  <c:v>146.11000000000001</c:v>
                </c:pt>
                <c:pt idx="200">
                  <c:v>147.97999999999999</c:v>
                </c:pt>
                <c:pt idx="201">
                  <c:v>148.74</c:v>
                </c:pt>
                <c:pt idx="202">
                  <c:v>149.51</c:v>
                </c:pt>
                <c:pt idx="203">
                  <c:v>148.61000000000001</c:v>
                </c:pt>
                <c:pt idx="204">
                  <c:v>148.06</c:v>
                </c:pt>
                <c:pt idx="205">
                  <c:v>146.91</c:v>
                </c:pt>
                <c:pt idx="206">
                  <c:v>145.02000000000001</c:v>
                </c:pt>
                <c:pt idx="207">
                  <c:v>145.63</c:v>
                </c:pt>
                <c:pt idx="208">
                  <c:v>144.63999999999999</c:v>
                </c:pt>
                <c:pt idx="209">
                  <c:v>149.69999999999999</c:v>
                </c:pt>
                <c:pt idx="210">
                  <c:v>149.04</c:v>
                </c:pt>
                <c:pt idx="211">
                  <c:v>150.65</c:v>
                </c:pt>
                <c:pt idx="212">
                  <c:v>151.22</c:v>
                </c:pt>
                <c:pt idx="213">
                  <c:v>150.37</c:v>
                </c:pt>
                <c:pt idx="214">
                  <c:v>150.08000000000001</c:v>
                </c:pt>
                <c:pt idx="215">
                  <c:v>149.37</c:v>
                </c:pt>
                <c:pt idx="216">
                  <c:v>148.16</c:v>
                </c:pt>
                <c:pt idx="217">
                  <c:v>147.05000000000001</c:v>
                </c:pt>
                <c:pt idx="218">
                  <c:v>143.68</c:v>
                </c:pt>
                <c:pt idx="219">
                  <c:v>143.74</c:v>
                </c:pt>
                <c:pt idx="220">
                  <c:v>143.78</c:v>
                </c:pt>
                <c:pt idx="221">
                  <c:v>144.24</c:v>
                </c:pt>
                <c:pt idx="222">
                  <c:v>144.16</c:v>
                </c:pt>
                <c:pt idx="223">
                  <c:v>143.52000000000001</c:v>
                </c:pt>
                <c:pt idx="224">
                  <c:v>142.22999999999999</c:v>
                </c:pt>
                <c:pt idx="225">
                  <c:v>139.91999999999999</c:v>
                </c:pt>
                <c:pt idx="226">
                  <c:v>138.96</c:v>
                </c:pt>
                <c:pt idx="227">
                  <c:v>137.01</c:v>
                </c:pt>
                <c:pt idx="228">
                  <c:v>139.37</c:v>
                </c:pt>
                <c:pt idx="229">
                  <c:v>139.91</c:v>
                </c:pt>
                <c:pt idx="230">
                  <c:v>141.36000000000001</c:v>
                </c:pt>
                <c:pt idx="231">
                  <c:v>143.47999999999999</c:v>
                </c:pt>
                <c:pt idx="232">
                  <c:v>145.91999999999999</c:v>
                </c:pt>
                <c:pt idx="233">
                  <c:v>146.57</c:v>
                </c:pt>
                <c:pt idx="234">
                  <c:v>146.32</c:v>
                </c:pt>
                <c:pt idx="235">
                  <c:v>147.66</c:v>
                </c:pt>
                <c:pt idx="236">
                  <c:v>146.74</c:v>
                </c:pt>
                <c:pt idx="237">
                  <c:v>144.4</c:v>
                </c:pt>
                <c:pt idx="238">
                  <c:v>144.58000000000001</c:v>
                </c:pt>
                <c:pt idx="239">
                  <c:v>145.87</c:v>
                </c:pt>
                <c:pt idx="240">
                  <c:v>148.78</c:v>
                </c:pt>
                <c:pt idx="241">
                  <c:v>148.5</c:v>
                </c:pt>
                <c:pt idx="242">
                  <c:v>148.69</c:v>
                </c:pt>
                <c:pt idx="243">
                  <c:v>153.63</c:v>
                </c:pt>
                <c:pt idx="244">
                  <c:v>155.19999999999999</c:v>
                </c:pt>
                <c:pt idx="245">
                  <c:v>162.85</c:v>
                </c:pt>
                <c:pt idx="246">
                  <c:v>166.18</c:v>
                </c:pt>
                <c:pt idx="247">
                  <c:v>167.53</c:v>
                </c:pt>
                <c:pt idx="248">
                  <c:v>170.49</c:v>
                </c:pt>
                <c:pt idx="249">
                  <c:v>166.47</c:v>
                </c:pt>
                <c:pt idx="250">
                  <c:v>166.97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D-4411-937B-A0991A5E42BE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150.95350000000002</c:v>
                </c:pt>
                <c:pt idx="20">
                  <c:v>151.08000000000001</c:v>
                </c:pt>
                <c:pt idx="21">
                  <c:v>151.29750000000004</c:v>
                </c:pt>
                <c:pt idx="22">
                  <c:v>151.49800000000002</c:v>
                </c:pt>
                <c:pt idx="23">
                  <c:v>151.89550000000003</c:v>
                </c:pt>
                <c:pt idx="24">
                  <c:v>152.14000000000004</c:v>
                </c:pt>
                <c:pt idx="25">
                  <c:v>152.25500000000005</c:v>
                </c:pt>
                <c:pt idx="26">
                  <c:v>152.15750000000003</c:v>
                </c:pt>
                <c:pt idx="27">
                  <c:v>151.75500000000002</c:v>
                </c:pt>
                <c:pt idx="28">
                  <c:v>151.38499999999999</c:v>
                </c:pt>
                <c:pt idx="29">
                  <c:v>150.84099999999998</c:v>
                </c:pt>
                <c:pt idx="30">
                  <c:v>150.69749999999996</c:v>
                </c:pt>
                <c:pt idx="31">
                  <c:v>150.57999999999998</c:v>
                </c:pt>
                <c:pt idx="32">
                  <c:v>150.36999999999998</c:v>
                </c:pt>
                <c:pt idx="33">
                  <c:v>150.06749999999997</c:v>
                </c:pt>
                <c:pt idx="34">
                  <c:v>149.8415</c:v>
                </c:pt>
                <c:pt idx="35">
                  <c:v>149.6035</c:v>
                </c:pt>
                <c:pt idx="36">
                  <c:v>149.44149999999999</c:v>
                </c:pt>
                <c:pt idx="37">
                  <c:v>149.05000000000001</c:v>
                </c:pt>
                <c:pt idx="38">
                  <c:v>148.39700000000002</c:v>
                </c:pt>
                <c:pt idx="39">
                  <c:v>147.7955</c:v>
                </c:pt>
                <c:pt idx="40">
                  <c:v>147.66650000000001</c:v>
                </c:pt>
                <c:pt idx="41">
                  <c:v>147.45650000000001</c:v>
                </c:pt>
                <c:pt idx="42">
                  <c:v>147.24850000000001</c:v>
                </c:pt>
                <c:pt idx="43">
                  <c:v>147.01900000000001</c:v>
                </c:pt>
                <c:pt idx="44">
                  <c:v>146.71150000000003</c:v>
                </c:pt>
                <c:pt idx="45">
                  <c:v>146.31050000000002</c:v>
                </c:pt>
                <c:pt idx="46">
                  <c:v>146.095</c:v>
                </c:pt>
                <c:pt idx="47">
                  <c:v>145.90900000000002</c:v>
                </c:pt>
                <c:pt idx="48">
                  <c:v>145.7595</c:v>
                </c:pt>
                <c:pt idx="49">
                  <c:v>145.59549999999999</c:v>
                </c:pt>
                <c:pt idx="50">
                  <c:v>144.92900000000003</c:v>
                </c:pt>
                <c:pt idx="51">
                  <c:v>144.11449999999996</c:v>
                </c:pt>
                <c:pt idx="52">
                  <c:v>143.339</c:v>
                </c:pt>
                <c:pt idx="53">
                  <c:v>142.55749999999995</c:v>
                </c:pt>
                <c:pt idx="54">
                  <c:v>141.85300000000001</c:v>
                </c:pt>
                <c:pt idx="55">
                  <c:v>141.0745</c:v>
                </c:pt>
                <c:pt idx="56">
                  <c:v>140.19349999999997</c:v>
                </c:pt>
                <c:pt idx="57">
                  <c:v>139.46250000000001</c:v>
                </c:pt>
                <c:pt idx="58">
                  <c:v>138.84</c:v>
                </c:pt>
                <c:pt idx="59">
                  <c:v>138.42075</c:v>
                </c:pt>
                <c:pt idx="60">
                  <c:v>137.71274999999997</c:v>
                </c:pt>
                <c:pt idx="61">
                  <c:v>137.02774999999997</c:v>
                </c:pt>
                <c:pt idx="62">
                  <c:v>136.39024999999998</c:v>
                </c:pt>
                <c:pt idx="63">
                  <c:v>135.56824999999998</c:v>
                </c:pt>
                <c:pt idx="64">
                  <c:v>134.84874999999997</c:v>
                </c:pt>
                <c:pt idx="65">
                  <c:v>134.41924999999998</c:v>
                </c:pt>
                <c:pt idx="66">
                  <c:v>133.87624999999997</c:v>
                </c:pt>
                <c:pt idx="67">
                  <c:v>133.37925000000001</c:v>
                </c:pt>
                <c:pt idx="68">
                  <c:v>132.79625000000001</c:v>
                </c:pt>
                <c:pt idx="69">
                  <c:v>132.19075000000004</c:v>
                </c:pt>
                <c:pt idx="70">
                  <c:v>131.93125000000001</c:v>
                </c:pt>
                <c:pt idx="71">
                  <c:v>131.72925000000004</c:v>
                </c:pt>
                <c:pt idx="72">
                  <c:v>131.60975000000002</c:v>
                </c:pt>
                <c:pt idx="73">
                  <c:v>131.42775</c:v>
                </c:pt>
                <c:pt idx="74">
                  <c:v>131.24475000000001</c:v>
                </c:pt>
                <c:pt idx="75">
                  <c:v>131.13974999999999</c:v>
                </c:pt>
                <c:pt idx="76">
                  <c:v>130.99775</c:v>
                </c:pt>
                <c:pt idx="77">
                  <c:v>130.99074999999999</c:v>
                </c:pt>
                <c:pt idx="78">
                  <c:v>131.04074999999997</c:v>
                </c:pt>
                <c:pt idx="79">
                  <c:v>131.00049999999999</c:v>
                </c:pt>
                <c:pt idx="80">
                  <c:v>130.93050000000002</c:v>
                </c:pt>
                <c:pt idx="81">
                  <c:v>130.90650000000005</c:v>
                </c:pt>
                <c:pt idx="82">
                  <c:v>130.91400000000004</c:v>
                </c:pt>
                <c:pt idx="83">
                  <c:v>130.89350000000002</c:v>
                </c:pt>
                <c:pt idx="84">
                  <c:v>131.08600000000004</c:v>
                </c:pt>
                <c:pt idx="85">
                  <c:v>131.05350000000001</c:v>
                </c:pt>
                <c:pt idx="86">
                  <c:v>131.02500000000003</c:v>
                </c:pt>
                <c:pt idx="87">
                  <c:v>130.89999999999998</c:v>
                </c:pt>
                <c:pt idx="88">
                  <c:v>130.76349999999999</c:v>
                </c:pt>
                <c:pt idx="89">
                  <c:v>130.70949999999999</c:v>
                </c:pt>
                <c:pt idx="90">
                  <c:v>130.65800000000002</c:v>
                </c:pt>
                <c:pt idx="91">
                  <c:v>130.74350000000004</c:v>
                </c:pt>
                <c:pt idx="92">
                  <c:v>130.57600000000002</c:v>
                </c:pt>
                <c:pt idx="93">
                  <c:v>130.45350000000002</c:v>
                </c:pt>
                <c:pt idx="94">
                  <c:v>130.40950000000001</c:v>
                </c:pt>
                <c:pt idx="95">
                  <c:v>130.43899999999999</c:v>
                </c:pt>
                <c:pt idx="96">
                  <c:v>130.65649999999997</c:v>
                </c:pt>
                <c:pt idx="97">
                  <c:v>130.88799999999998</c:v>
                </c:pt>
                <c:pt idx="98">
                  <c:v>131.07</c:v>
                </c:pt>
                <c:pt idx="99">
                  <c:v>131.23699999999997</c:v>
                </c:pt>
                <c:pt idx="100">
                  <c:v>131.48749999999998</c:v>
                </c:pt>
                <c:pt idx="101">
                  <c:v>131.71349999999998</c:v>
                </c:pt>
                <c:pt idx="102">
                  <c:v>131.92599999999999</c:v>
                </c:pt>
                <c:pt idx="103">
                  <c:v>132.19399999999996</c:v>
                </c:pt>
                <c:pt idx="104">
                  <c:v>132.35750000000002</c:v>
                </c:pt>
                <c:pt idx="105">
                  <c:v>132.50549999999998</c:v>
                </c:pt>
                <c:pt idx="106">
                  <c:v>132.70249999999999</c:v>
                </c:pt>
                <c:pt idx="107">
                  <c:v>133.51</c:v>
                </c:pt>
                <c:pt idx="108">
                  <c:v>134.21850000000001</c:v>
                </c:pt>
                <c:pt idx="109">
                  <c:v>134.85</c:v>
                </c:pt>
                <c:pt idx="110">
                  <c:v>135.69749999999999</c:v>
                </c:pt>
                <c:pt idx="111">
                  <c:v>136.42799999999997</c:v>
                </c:pt>
                <c:pt idx="112">
                  <c:v>137.25249999999997</c:v>
                </c:pt>
                <c:pt idx="113">
                  <c:v>138.01399999999995</c:v>
                </c:pt>
                <c:pt idx="114">
                  <c:v>138.54049999999995</c:v>
                </c:pt>
                <c:pt idx="115">
                  <c:v>139.13299999999998</c:v>
                </c:pt>
                <c:pt idx="116">
                  <c:v>139.51299999999998</c:v>
                </c:pt>
                <c:pt idx="117">
                  <c:v>139.58500000000001</c:v>
                </c:pt>
                <c:pt idx="118">
                  <c:v>139.78000000000003</c:v>
                </c:pt>
                <c:pt idx="119">
                  <c:v>140.03550000000001</c:v>
                </c:pt>
                <c:pt idx="120">
                  <c:v>140.25600000000003</c:v>
                </c:pt>
                <c:pt idx="121">
                  <c:v>140.57200000000003</c:v>
                </c:pt>
                <c:pt idx="122">
                  <c:v>140.96400000000003</c:v>
                </c:pt>
                <c:pt idx="123">
                  <c:v>141.46150000000003</c:v>
                </c:pt>
                <c:pt idx="124">
                  <c:v>141.9265</c:v>
                </c:pt>
                <c:pt idx="125">
                  <c:v>142.5795</c:v>
                </c:pt>
                <c:pt idx="126">
                  <c:v>143.27950000000001</c:v>
                </c:pt>
                <c:pt idx="127">
                  <c:v>143.43849999999998</c:v>
                </c:pt>
                <c:pt idx="128">
                  <c:v>143.79649999999998</c:v>
                </c:pt>
                <c:pt idx="129">
                  <c:v>144.18900000000002</c:v>
                </c:pt>
                <c:pt idx="130">
                  <c:v>144.49499999999998</c:v>
                </c:pt>
                <c:pt idx="131">
                  <c:v>144.74849999999998</c:v>
                </c:pt>
                <c:pt idx="132">
                  <c:v>144.97200000000001</c:v>
                </c:pt>
                <c:pt idx="133">
                  <c:v>145.28149999999999</c:v>
                </c:pt>
                <c:pt idx="134">
                  <c:v>145.613</c:v>
                </c:pt>
                <c:pt idx="135">
                  <c:v>145.76849999999996</c:v>
                </c:pt>
                <c:pt idx="136">
                  <c:v>146.00749999999999</c:v>
                </c:pt>
                <c:pt idx="137">
                  <c:v>146.46049999999997</c:v>
                </c:pt>
                <c:pt idx="138">
                  <c:v>146.929</c:v>
                </c:pt>
                <c:pt idx="139">
                  <c:v>147.465</c:v>
                </c:pt>
                <c:pt idx="140">
                  <c:v>147.92450000000002</c:v>
                </c:pt>
                <c:pt idx="141">
                  <c:v>148.22899999999998</c:v>
                </c:pt>
                <c:pt idx="142">
                  <c:v>148.35250000000002</c:v>
                </c:pt>
                <c:pt idx="143">
                  <c:v>148.17750000000001</c:v>
                </c:pt>
                <c:pt idx="144">
                  <c:v>148.089</c:v>
                </c:pt>
                <c:pt idx="145">
                  <c:v>147.87849999999997</c:v>
                </c:pt>
                <c:pt idx="146">
                  <c:v>147.6225</c:v>
                </c:pt>
                <c:pt idx="147">
                  <c:v>147.36799999999999</c:v>
                </c:pt>
                <c:pt idx="148">
                  <c:v>146.88</c:v>
                </c:pt>
                <c:pt idx="149">
                  <c:v>146.404</c:v>
                </c:pt>
                <c:pt idx="150">
                  <c:v>145.85749999999999</c:v>
                </c:pt>
                <c:pt idx="151">
                  <c:v>145.35749999999999</c:v>
                </c:pt>
                <c:pt idx="152">
                  <c:v>144.99650000000003</c:v>
                </c:pt>
                <c:pt idx="153">
                  <c:v>144.566</c:v>
                </c:pt>
                <c:pt idx="154">
                  <c:v>144.25100000000003</c:v>
                </c:pt>
                <c:pt idx="155">
                  <c:v>144.00949999999997</c:v>
                </c:pt>
                <c:pt idx="156">
                  <c:v>143.62350000000001</c:v>
                </c:pt>
                <c:pt idx="157">
                  <c:v>143.29650000000004</c:v>
                </c:pt>
                <c:pt idx="158">
                  <c:v>142.8725</c:v>
                </c:pt>
                <c:pt idx="159">
                  <c:v>142.38050000000001</c:v>
                </c:pt>
                <c:pt idx="160">
                  <c:v>142.10550000000001</c:v>
                </c:pt>
                <c:pt idx="161">
                  <c:v>141.87650000000002</c:v>
                </c:pt>
                <c:pt idx="162">
                  <c:v>141.65600000000001</c:v>
                </c:pt>
                <c:pt idx="163">
                  <c:v>141.55549999999999</c:v>
                </c:pt>
                <c:pt idx="164">
                  <c:v>141.44</c:v>
                </c:pt>
                <c:pt idx="165">
                  <c:v>141.24900000000002</c:v>
                </c:pt>
                <c:pt idx="166">
                  <c:v>141.273</c:v>
                </c:pt>
                <c:pt idx="167">
                  <c:v>141.60050000000001</c:v>
                </c:pt>
                <c:pt idx="168">
                  <c:v>142.01299999999998</c:v>
                </c:pt>
                <c:pt idx="169">
                  <c:v>142.58850000000001</c:v>
                </c:pt>
                <c:pt idx="170">
                  <c:v>143.08499999999998</c:v>
                </c:pt>
                <c:pt idx="171">
                  <c:v>143.68199999999996</c:v>
                </c:pt>
                <c:pt idx="172">
                  <c:v>144.27949999999998</c:v>
                </c:pt>
                <c:pt idx="173">
                  <c:v>144.91</c:v>
                </c:pt>
                <c:pt idx="174">
                  <c:v>145.47399999999999</c:v>
                </c:pt>
                <c:pt idx="175">
                  <c:v>146.017</c:v>
                </c:pt>
                <c:pt idx="176">
                  <c:v>146.59649999999996</c:v>
                </c:pt>
                <c:pt idx="177">
                  <c:v>147.15199999999999</c:v>
                </c:pt>
                <c:pt idx="178">
                  <c:v>147.77500000000001</c:v>
                </c:pt>
                <c:pt idx="179">
                  <c:v>148.25900000000001</c:v>
                </c:pt>
                <c:pt idx="180">
                  <c:v>148.41000000000003</c:v>
                </c:pt>
                <c:pt idx="181">
                  <c:v>148.67200000000003</c:v>
                </c:pt>
                <c:pt idx="182">
                  <c:v>148.8775</c:v>
                </c:pt>
                <c:pt idx="183">
                  <c:v>149.07250000000002</c:v>
                </c:pt>
                <c:pt idx="184">
                  <c:v>149.178</c:v>
                </c:pt>
                <c:pt idx="185">
                  <c:v>149.37900000000002</c:v>
                </c:pt>
                <c:pt idx="186">
                  <c:v>149.22250000000003</c:v>
                </c:pt>
                <c:pt idx="187">
                  <c:v>148.86599999999999</c:v>
                </c:pt>
                <c:pt idx="188">
                  <c:v>148.55249999999998</c:v>
                </c:pt>
                <c:pt idx="189">
                  <c:v>148.22949999999997</c:v>
                </c:pt>
                <c:pt idx="190">
                  <c:v>147.89099999999996</c:v>
                </c:pt>
                <c:pt idx="191">
                  <c:v>147.50849999999997</c:v>
                </c:pt>
                <c:pt idx="192">
                  <c:v>147.11549999999997</c:v>
                </c:pt>
                <c:pt idx="193">
                  <c:v>146.82499999999996</c:v>
                </c:pt>
                <c:pt idx="194">
                  <c:v>146.60449999999997</c:v>
                </c:pt>
                <c:pt idx="195">
                  <c:v>146.30849999999998</c:v>
                </c:pt>
                <c:pt idx="196">
                  <c:v>146.03799999999998</c:v>
                </c:pt>
                <c:pt idx="197">
                  <c:v>145.77699999999999</c:v>
                </c:pt>
                <c:pt idx="198">
                  <c:v>145.42049999999998</c:v>
                </c:pt>
                <c:pt idx="199">
                  <c:v>145.21999999999997</c:v>
                </c:pt>
                <c:pt idx="200">
                  <c:v>145.31099999999998</c:v>
                </c:pt>
                <c:pt idx="201">
                  <c:v>145.37049999999999</c:v>
                </c:pt>
                <c:pt idx="202">
                  <c:v>145.54149999999998</c:v>
                </c:pt>
                <c:pt idx="203">
                  <c:v>145.79200000000003</c:v>
                </c:pt>
                <c:pt idx="204">
                  <c:v>146.05000000000001</c:v>
                </c:pt>
                <c:pt idx="205">
                  <c:v>146.2525</c:v>
                </c:pt>
                <c:pt idx="206">
                  <c:v>146.42450000000002</c:v>
                </c:pt>
                <c:pt idx="207">
                  <c:v>146.55850000000001</c:v>
                </c:pt>
                <c:pt idx="208">
                  <c:v>146.65950000000001</c:v>
                </c:pt>
                <c:pt idx="209">
                  <c:v>146.89049999999997</c:v>
                </c:pt>
                <c:pt idx="210">
                  <c:v>147.12299999999999</c:v>
                </c:pt>
                <c:pt idx="211">
                  <c:v>147.40450000000001</c:v>
                </c:pt>
                <c:pt idx="212">
                  <c:v>147.673</c:v>
                </c:pt>
                <c:pt idx="213">
                  <c:v>147.79999999999998</c:v>
                </c:pt>
                <c:pt idx="214">
                  <c:v>147.86549999999997</c:v>
                </c:pt>
                <c:pt idx="215">
                  <c:v>147.97849999999997</c:v>
                </c:pt>
                <c:pt idx="216">
                  <c:v>148.08149999999998</c:v>
                </c:pt>
                <c:pt idx="217">
                  <c:v>148.11749999999998</c:v>
                </c:pt>
                <c:pt idx="218">
                  <c:v>148.0265</c:v>
                </c:pt>
                <c:pt idx="219">
                  <c:v>147.90799999999999</c:v>
                </c:pt>
                <c:pt idx="220">
                  <c:v>147.69799999999998</c:v>
                </c:pt>
                <c:pt idx="221">
                  <c:v>147.47300000000001</c:v>
                </c:pt>
                <c:pt idx="222">
                  <c:v>147.20549999999997</c:v>
                </c:pt>
                <c:pt idx="223">
                  <c:v>146.95099999999999</c:v>
                </c:pt>
                <c:pt idx="224">
                  <c:v>146.65950000000004</c:v>
                </c:pt>
                <c:pt idx="225">
                  <c:v>146.31</c:v>
                </c:pt>
                <c:pt idx="226">
                  <c:v>146.00700000000001</c:v>
                </c:pt>
                <c:pt idx="227">
                  <c:v>145.57600000000002</c:v>
                </c:pt>
                <c:pt idx="228">
                  <c:v>145.3125</c:v>
                </c:pt>
                <c:pt idx="229">
                  <c:v>144.82300000000001</c:v>
                </c:pt>
                <c:pt idx="230">
                  <c:v>144.43900000000002</c:v>
                </c:pt>
                <c:pt idx="231">
                  <c:v>144.08049999999997</c:v>
                </c:pt>
                <c:pt idx="232">
                  <c:v>143.81550000000001</c:v>
                </c:pt>
                <c:pt idx="233">
                  <c:v>143.62550000000005</c:v>
                </c:pt>
                <c:pt idx="234">
                  <c:v>143.43750000000003</c:v>
                </c:pt>
                <c:pt idx="235">
                  <c:v>143.35200000000003</c:v>
                </c:pt>
                <c:pt idx="236">
                  <c:v>143.28100000000001</c:v>
                </c:pt>
                <c:pt idx="237">
                  <c:v>143.14850000000004</c:v>
                </c:pt>
                <c:pt idx="238">
                  <c:v>143.19350000000003</c:v>
                </c:pt>
                <c:pt idx="239">
                  <c:v>143.29999999999998</c:v>
                </c:pt>
                <c:pt idx="240">
                  <c:v>143.55000000000001</c:v>
                </c:pt>
                <c:pt idx="241">
                  <c:v>143.76300000000001</c:v>
                </c:pt>
                <c:pt idx="242">
                  <c:v>143.98949999999999</c:v>
                </c:pt>
                <c:pt idx="243">
                  <c:v>144.49500000000003</c:v>
                </c:pt>
                <c:pt idx="244">
                  <c:v>145.14350000000002</c:v>
                </c:pt>
                <c:pt idx="245">
                  <c:v>146.29000000000002</c:v>
                </c:pt>
                <c:pt idx="246">
                  <c:v>147.65100000000001</c:v>
                </c:pt>
                <c:pt idx="247">
                  <c:v>149.17699999999996</c:v>
                </c:pt>
                <c:pt idx="248">
                  <c:v>150.733</c:v>
                </c:pt>
                <c:pt idx="249">
                  <c:v>152.06099999999995</c:v>
                </c:pt>
                <c:pt idx="250">
                  <c:v>153.34149999999994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D-4411-937B-A0991A5E42BE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Data!$L$2:$L$252</c:f>
              <c:numCache>
                <c:formatCode>General</c:formatCode>
                <c:ptCount val="251"/>
                <c:pt idx="19">
                  <c:v>160.17394701507988</c:v>
                </c:pt>
                <c:pt idx="20">
                  <c:v>160.0597854856573</c:v>
                </c:pt>
                <c:pt idx="21">
                  <c:v>159.7494318875379</c:v>
                </c:pt>
                <c:pt idx="22">
                  <c:v>159.45470812651354</c:v>
                </c:pt>
                <c:pt idx="23">
                  <c:v>158.88186107373733</c:v>
                </c:pt>
                <c:pt idx="24">
                  <c:v>158.26708224541713</c:v>
                </c:pt>
                <c:pt idx="25">
                  <c:v>157.95316036795631</c:v>
                </c:pt>
                <c:pt idx="26">
                  <c:v>158.14247724570271</c:v>
                </c:pt>
                <c:pt idx="27">
                  <c:v>158.40557021694582</c:v>
                </c:pt>
                <c:pt idx="28">
                  <c:v>158.36027814951905</c:v>
                </c:pt>
                <c:pt idx="29">
                  <c:v>157.85981651442447</c:v>
                </c:pt>
                <c:pt idx="30">
                  <c:v>157.7758283039816</c:v>
                </c:pt>
                <c:pt idx="31">
                  <c:v>157.64389783558474</c:v>
                </c:pt>
                <c:pt idx="32">
                  <c:v>157.32096509770216</c:v>
                </c:pt>
                <c:pt idx="33">
                  <c:v>156.49557943814926</c:v>
                </c:pt>
                <c:pt idx="34">
                  <c:v>155.97016354453442</c:v>
                </c:pt>
                <c:pt idx="35">
                  <c:v>155.43428319195448</c:v>
                </c:pt>
                <c:pt idx="36">
                  <c:v>154.85145680496424</c:v>
                </c:pt>
                <c:pt idx="37">
                  <c:v>154.05501222460256</c:v>
                </c:pt>
                <c:pt idx="38">
                  <c:v>152.82084971668226</c:v>
                </c:pt>
                <c:pt idx="39">
                  <c:v>153.14273726009884</c:v>
                </c:pt>
                <c:pt idx="40">
                  <c:v>153.09949190618133</c:v>
                </c:pt>
                <c:pt idx="41">
                  <c:v>153.10046752946758</c:v>
                </c:pt>
                <c:pt idx="42">
                  <c:v>153.02172048226484</c:v>
                </c:pt>
                <c:pt idx="43">
                  <c:v>152.46292621474419</c:v>
                </c:pt>
                <c:pt idx="44">
                  <c:v>152.37691966671494</c:v>
                </c:pt>
                <c:pt idx="45">
                  <c:v>152.65388602922678</c:v>
                </c:pt>
                <c:pt idx="46">
                  <c:v>152.60885406167824</c:v>
                </c:pt>
                <c:pt idx="47">
                  <c:v>152.70666492415248</c:v>
                </c:pt>
                <c:pt idx="48">
                  <c:v>152.63810290282385</c:v>
                </c:pt>
                <c:pt idx="49">
                  <c:v>152.65028553517882</c:v>
                </c:pt>
                <c:pt idx="50">
                  <c:v>153.1885473305299</c:v>
                </c:pt>
                <c:pt idx="51">
                  <c:v>153.53653123703049</c:v>
                </c:pt>
                <c:pt idx="52">
                  <c:v>153.4986537446178</c:v>
                </c:pt>
                <c:pt idx="53">
                  <c:v>152.9803794384984</c:v>
                </c:pt>
                <c:pt idx="54">
                  <c:v>152.15572748762241</c:v>
                </c:pt>
                <c:pt idx="55">
                  <c:v>151.41810921433844</c:v>
                </c:pt>
                <c:pt idx="56">
                  <c:v>149.82165449332675</c:v>
                </c:pt>
                <c:pt idx="57">
                  <c:v>149.25798956354268</c:v>
                </c:pt>
                <c:pt idx="58">
                  <c:v>149.20398419629501</c:v>
                </c:pt>
                <c:pt idx="59">
                  <c:v>149.20589000836335</c:v>
                </c:pt>
                <c:pt idx="60">
                  <c:v>148.37467017612704</c:v>
                </c:pt>
                <c:pt idx="61">
                  <c:v>147.71135695793225</c:v>
                </c:pt>
                <c:pt idx="62">
                  <c:v>146.73015149347356</c:v>
                </c:pt>
                <c:pt idx="63">
                  <c:v>145.01584243906808</c:v>
                </c:pt>
                <c:pt idx="64">
                  <c:v>144.15532146152225</c:v>
                </c:pt>
                <c:pt idx="65">
                  <c:v>143.49741714343872</c:v>
                </c:pt>
                <c:pt idx="66">
                  <c:v>142.09184804979461</c:v>
                </c:pt>
                <c:pt idx="67">
                  <c:v>140.75398801497204</c:v>
                </c:pt>
                <c:pt idx="68">
                  <c:v>138.46076268401515</c:v>
                </c:pt>
                <c:pt idx="69">
                  <c:v>135.81869167393495</c:v>
                </c:pt>
                <c:pt idx="70">
                  <c:v>135.35656731146335</c:v>
                </c:pt>
                <c:pt idx="71">
                  <c:v>135.26940800271836</c:v>
                </c:pt>
                <c:pt idx="72">
                  <c:v>135.02025771802923</c:v>
                </c:pt>
                <c:pt idx="73">
                  <c:v>134.61255681889565</c:v>
                </c:pt>
                <c:pt idx="74">
                  <c:v>133.77916880600083</c:v>
                </c:pt>
                <c:pt idx="75">
                  <c:v>133.43473417607203</c:v>
                </c:pt>
                <c:pt idx="76">
                  <c:v>132.93650292256049</c:v>
                </c:pt>
                <c:pt idx="77">
                  <c:v>132.91537785192904</c:v>
                </c:pt>
                <c:pt idx="78">
                  <c:v>132.98975318651677</c:v>
                </c:pt>
                <c:pt idx="79">
                  <c:v>132.90625278675134</c:v>
                </c:pt>
                <c:pt idx="80">
                  <c:v>132.87233282927295</c:v>
                </c:pt>
                <c:pt idx="81">
                  <c:v>132.88537022526017</c:v>
                </c:pt>
                <c:pt idx="82">
                  <c:v>132.90630519750368</c:v>
                </c:pt>
                <c:pt idx="83">
                  <c:v>132.92011527520253</c:v>
                </c:pt>
                <c:pt idx="84">
                  <c:v>132.84969707388237</c:v>
                </c:pt>
                <c:pt idx="85">
                  <c:v>132.80901192113959</c:v>
                </c:pt>
                <c:pt idx="86">
                  <c:v>132.73510002785312</c:v>
                </c:pt>
                <c:pt idx="87">
                  <c:v>132.73553233351208</c:v>
                </c:pt>
                <c:pt idx="88">
                  <c:v>132.719320194082</c:v>
                </c:pt>
                <c:pt idx="89">
                  <c:v>132.79216504369055</c:v>
                </c:pt>
                <c:pt idx="90">
                  <c:v>132.85010641309128</c:v>
                </c:pt>
                <c:pt idx="91">
                  <c:v>132.85091323102898</c:v>
                </c:pt>
                <c:pt idx="92">
                  <c:v>132.98473323335602</c:v>
                </c:pt>
                <c:pt idx="93">
                  <c:v>133.08133701329081</c:v>
                </c:pt>
                <c:pt idx="94">
                  <c:v>132.96234753291611</c:v>
                </c:pt>
                <c:pt idx="95">
                  <c:v>133.05532043748065</c:v>
                </c:pt>
                <c:pt idx="96">
                  <c:v>134.04653042992084</c:v>
                </c:pt>
                <c:pt idx="97">
                  <c:v>135.14315959252934</c:v>
                </c:pt>
                <c:pt idx="98">
                  <c:v>135.76703153738165</c:v>
                </c:pt>
                <c:pt idx="99">
                  <c:v>136.17151901351454</c:v>
                </c:pt>
                <c:pt idx="100">
                  <c:v>136.66662764448748</c:v>
                </c:pt>
                <c:pt idx="101">
                  <c:v>137.00522651161074</c:v>
                </c:pt>
                <c:pt idx="102">
                  <c:v>137.56721823349307</c:v>
                </c:pt>
                <c:pt idx="103">
                  <c:v>137.93829291145838</c:v>
                </c:pt>
                <c:pt idx="104">
                  <c:v>138.2973170271305</c:v>
                </c:pt>
                <c:pt idx="105">
                  <c:v>138.43465890014409</c:v>
                </c:pt>
                <c:pt idx="106">
                  <c:v>138.73924319654665</c:v>
                </c:pt>
                <c:pt idx="107">
                  <c:v>141.59713598383584</c:v>
                </c:pt>
                <c:pt idx="108">
                  <c:v>143.11058110150765</c:v>
                </c:pt>
                <c:pt idx="109">
                  <c:v>143.99293745265479</c:v>
                </c:pt>
                <c:pt idx="110">
                  <c:v>145.69477936674983</c:v>
                </c:pt>
                <c:pt idx="111">
                  <c:v>147.10725800694723</c:v>
                </c:pt>
                <c:pt idx="112">
                  <c:v>147.74309102243527</c:v>
                </c:pt>
                <c:pt idx="113">
                  <c:v>147.93977378662021</c:v>
                </c:pt>
                <c:pt idx="114">
                  <c:v>148.01555417287662</c:v>
                </c:pt>
                <c:pt idx="115">
                  <c:v>148.37567698747156</c:v>
                </c:pt>
                <c:pt idx="116">
                  <c:v>148.71003636476101</c:v>
                </c:pt>
                <c:pt idx="117">
                  <c:v>148.70427859566004</c:v>
                </c:pt>
                <c:pt idx="118">
                  <c:v>148.68495308655159</c:v>
                </c:pt>
                <c:pt idx="119">
                  <c:v>148.58258685367187</c:v>
                </c:pt>
                <c:pt idx="120">
                  <c:v>148.48196249367629</c:v>
                </c:pt>
                <c:pt idx="121">
                  <c:v>148.33632218209476</c:v>
                </c:pt>
                <c:pt idx="122">
                  <c:v>148.56330855580401</c:v>
                </c:pt>
                <c:pt idx="123">
                  <c:v>148.78633669658097</c:v>
                </c:pt>
                <c:pt idx="124">
                  <c:v>148.84613575250665</c:v>
                </c:pt>
                <c:pt idx="125">
                  <c:v>148.69193589999756</c:v>
                </c:pt>
                <c:pt idx="126">
                  <c:v>149.10580866257351</c:v>
                </c:pt>
                <c:pt idx="127">
                  <c:v>149.67237106227361</c:v>
                </c:pt>
                <c:pt idx="128">
                  <c:v>150.76183151816153</c:v>
                </c:pt>
                <c:pt idx="129">
                  <c:v>151.53140144280934</c:v>
                </c:pt>
                <c:pt idx="130">
                  <c:v>152.62958503454297</c:v>
                </c:pt>
                <c:pt idx="131">
                  <c:v>153.33915900296728</c:v>
                </c:pt>
                <c:pt idx="132">
                  <c:v>153.76669840301531</c:v>
                </c:pt>
                <c:pt idx="133">
                  <c:v>154.28389564607227</c:v>
                </c:pt>
                <c:pt idx="134">
                  <c:v>154.52779456326746</c:v>
                </c:pt>
                <c:pt idx="135">
                  <c:v>154.66522742908131</c:v>
                </c:pt>
                <c:pt idx="136">
                  <c:v>154.83176767499717</c:v>
                </c:pt>
                <c:pt idx="137">
                  <c:v>154.42496707504483</c:v>
                </c:pt>
                <c:pt idx="138">
                  <c:v>154.18593831338055</c:v>
                </c:pt>
                <c:pt idx="139">
                  <c:v>153.9754143291224</c:v>
                </c:pt>
                <c:pt idx="140">
                  <c:v>153.24078471377285</c:v>
                </c:pt>
                <c:pt idx="141">
                  <c:v>152.4017431340975</c:v>
                </c:pt>
                <c:pt idx="142">
                  <c:v>152.11422902574841</c:v>
                </c:pt>
                <c:pt idx="143">
                  <c:v>152.78528231850603</c:v>
                </c:pt>
                <c:pt idx="144">
                  <c:v>153.02085520767525</c:v>
                </c:pt>
                <c:pt idx="145">
                  <c:v>153.35835891097665</c:v>
                </c:pt>
                <c:pt idx="146">
                  <c:v>153.28814113527181</c:v>
                </c:pt>
                <c:pt idx="147">
                  <c:v>153.29617927138545</c:v>
                </c:pt>
                <c:pt idx="148">
                  <c:v>153.34025582025649</c:v>
                </c:pt>
                <c:pt idx="149">
                  <c:v>153.41531236307665</c:v>
                </c:pt>
                <c:pt idx="150">
                  <c:v>152.68111804015248</c:v>
                </c:pt>
                <c:pt idx="151">
                  <c:v>152.14321836169248</c:v>
                </c:pt>
                <c:pt idx="152">
                  <c:v>151.7388477872482</c:v>
                </c:pt>
                <c:pt idx="153">
                  <c:v>151.15779521909823</c:v>
                </c:pt>
                <c:pt idx="154">
                  <c:v>150.71243181134275</c:v>
                </c:pt>
                <c:pt idx="155">
                  <c:v>150.39896657850986</c:v>
                </c:pt>
                <c:pt idx="156">
                  <c:v>150.02224420245264</c:v>
                </c:pt>
                <c:pt idx="157">
                  <c:v>149.64122271386148</c:v>
                </c:pt>
                <c:pt idx="158">
                  <c:v>148.83259846262715</c:v>
                </c:pt>
                <c:pt idx="159">
                  <c:v>147.2995905235569</c:v>
                </c:pt>
                <c:pt idx="160">
                  <c:v>146.07434962784194</c:v>
                </c:pt>
                <c:pt idx="161">
                  <c:v>145.15072003568872</c:v>
                </c:pt>
                <c:pt idx="162">
                  <c:v>144.15185255974788</c:v>
                </c:pt>
                <c:pt idx="163">
                  <c:v>144.19966318470861</c:v>
                </c:pt>
                <c:pt idx="164">
                  <c:v>144.00058381500864</c:v>
                </c:pt>
                <c:pt idx="165">
                  <c:v>143.98994797277763</c:v>
                </c:pt>
                <c:pt idx="166">
                  <c:v>144.12980793525699</c:v>
                </c:pt>
                <c:pt idx="167">
                  <c:v>146.39282928751774</c:v>
                </c:pt>
                <c:pt idx="168">
                  <c:v>147.77862627264284</c:v>
                </c:pt>
                <c:pt idx="169">
                  <c:v>149.66862867858089</c:v>
                </c:pt>
                <c:pt idx="170">
                  <c:v>151.09557064791659</c:v>
                </c:pt>
                <c:pt idx="171">
                  <c:v>152.67324626921561</c:v>
                </c:pt>
                <c:pt idx="172">
                  <c:v>154.26610676790881</c:v>
                </c:pt>
                <c:pt idx="173">
                  <c:v>155.60025724667091</c:v>
                </c:pt>
                <c:pt idx="174">
                  <c:v>156.6737037554806</c:v>
                </c:pt>
                <c:pt idx="175">
                  <c:v>157.58909183655592</c:v>
                </c:pt>
                <c:pt idx="176">
                  <c:v>158.0431400954028</c:v>
                </c:pt>
                <c:pt idx="177">
                  <c:v>158.41754617079508</c:v>
                </c:pt>
                <c:pt idx="178">
                  <c:v>158.79012930855606</c:v>
                </c:pt>
                <c:pt idx="179">
                  <c:v>158.75555361986673</c:v>
                </c:pt>
                <c:pt idx="180">
                  <c:v>158.6809544475262</c:v>
                </c:pt>
                <c:pt idx="181">
                  <c:v>158.54749993404732</c:v>
                </c:pt>
                <c:pt idx="182">
                  <c:v>158.32859712372618</c:v>
                </c:pt>
                <c:pt idx="183">
                  <c:v>157.86424702715416</c:v>
                </c:pt>
                <c:pt idx="184">
                  <c:v>157.59387122174837</c:v>
                </c:pt>
                <c:pt idx="185">
                  <c:v>156.89967438185533</c:v>
                </c:pt>
                <c:pt idx="186">
                  <c:v>157.26446329786521</c:v>
                </c:pt>
                <c:pt idx="187">
                  <c:v>157.36695573574244</c:v>
                </c:pt>
                <c:pt idx="188">
                  <c:v>157.50043095754836</c:v>
                </c:pt>
                <c:pt idx="189">
                  <c:v>157.18973372580493</c:v>
                </c:pt>
                <c:pt idx="190">
                  <c:v>156.89649282674918</c:v>
                </c:pt>
                <c:pt idx="191">
                  <c:v>156.30679475104779</c:v>
                </c:pt>
                <c:pt idx="192">
                  <c:v>155.43669038802042</c:v>
                </c:pt>
                <c:pt idx="193">
                  <c:v>154.57306053830652</c:v>
                </c:pt>
                <c:pt idx="194">
                  <c:v>153.82404503596422</c:v>
                </c:pt>
                <c:pt idx="195">
                  <c:v>152.87467897378599</c:v>
                </c:pt>
                <c:pt idx="196">
                  <c:v>152.13060673620947</c:v>
                </c:pt>
                <c:pt idx="197">
                  <c:v>151.29558143481017</c:v>
                </c:pt>
                <c:pt idx="198">
                  <c:v>149.89807676474791</c:v>
                </c:pt>
                <c:pt idx="199">
                  <c:v>149.13535170161867</c:v>
                </c:pt>
                <c:pt idx="200">
                  <c:v>149.39912864150256</c:v>
                </c:pt>
                <c:pt idx="201">
                  <c:v>149.62700944220484</c:v>
                </c:pt>
                <c:pt idx="202">
                  <c:v>150.17757944621087</c:v>
                </c:pt>
                <c:pt idx="203">
                  <c:v>150.52673436146998</c:v>
                </c:pt>
                <c:pt idx="204">
                  <c:v>150.68244848296973</c:v>
                </c:pt>
                <c:pt idx="205">
                  <c:v>150.64570947300311</c:v>
                </c:pt>
                <c:pt idx="206">
                  <c:v>150.28445623100359</c:v>
                </c:pt>
                <c:pt idx="207">
                  <c:v>150.08199870979044</c:v>
                </c:pt>
                <c:pt idx="208">
                  <c:v>149.80295753322005</c:v>
                </c:pt>
                <c:pt idx="209">
                  <c:v>150.21881220069017</c:v>
                </c:pt>
                <c:pt idx="210">
                  <c:v>150.36436488470358</c:v>
                </c:pt>
                <c:pt idx="211">
                  <c:v>150.84842355804892</c:v>
                </c:pt>
                <c:pt idx="212">
                  <c:v>151.42975167636814</c:v>
                </c:pt>
                <c:pt idx="213">
                  <c:v>151.74606266122518</c:v>
                </c:pt>
                <c:pt idx="214">
                  <c:v>151.92131830279203</c:v>
                </c:pt>
                <c:pt idx="215">
                  <c:v>152.07145299393068</c:v>
                </c:pt>
                <c:pt idx="216">
                  <c:v>152.07795250585801</c:v>
                </c:pt>
                <c:pt idx="217">
                  <c:v>152.06013003323253</c:v>
                </c:pt>
                <c:pt idx="218">
                  <c:v>152.29412734524638</c:v>
                </c:pt>
                <c:pt idx="219">
                  <c:v>152.51760827197415</c:v>
                </c:pt>
                <c:pt idx="220">
                  <c:v>152.6627922519742</c:v>
                </c:pt>
                <c:pt idx="221">
                  <c:v>152.64260794604286</c:v>
                </c:pt>
                <c:pt idx="222">
                  <c:v>152.48382698773707</c:v>
                </c:pt>
                <c:pt idx="223">
                  <c:v>152.43117249056229</c:v>
                </c:pt>
                <c:pt idx="224">
                  <c:v>152.49968555941689</c:v>
                </c:pt>
                <c:pt idx="225">
                  <c:v>152.87829706360708</c:v>
                </c:pt>
                <c:pt idx="226">
                  <c:v>153.3404018816573</c:v>
                </c:pt>
                <c:pt idx="227">
                  <c:v>153.94307683344923</c:v>
                </c:pt>
                <c:pt idx="228">
                  <c:v>154.12382733892483</c:v>
                </c:pt>
                <c:pt idx="229">
                  <c:v>153.69557418292905</c:v>
                </c:pt>
                <c:pt idx="230">
                  <c:v>153.20727270993495</c:v>
                </c:pt>
                <c:pt idx="231">
                  <c:v>152.35175771636492</c:v>
                </c:pt>
                <c:pt idx="232">
                  <c:v>151.43779272042144</c:v>
                </c:pt>
                <c:pt idx="233">
                  <c:v>150.73184549651157</c:v>
                </c:pt>
                <c:pt idx="234">
                  <c:v>150.00325766261679</c:v>
                </c:pt>
                <c:pt idx="235">
                  <c:v>149.63074140924843</c:v>
                </c:pt>
                <c:pt idx="236">
                  <c:v>149.3597495251469</c:v>
                </c:pt>
                <c:pt idx="237">
                  <c:v>148.99232454075741</c:v>
                </c:pt>
                <c:pt idx="238">
                  <c:v>149.06833580957579</c:v>
                </c:pt>
                <c:pt idx="239">
                  <c:v>149.29259543102984</c:v>
                </c:pt>
                <c:pt idx="240">
                  <c:v>150.02469893630504</c:v>
                </c:pt>
                <c:pt idx="241">
                  <c:v>150.60324037743212</c:v>
                </c:pt>
                <c:pt idx="242">
                  <c:v>151.17631387571782</c:v>
                </c:pt>
                <c:pt idx="243">
                  <c:v>152.86722349891534</c:v>
                </c:pt>
                <c:pt idx="244">
                  <c:v>154.70221445882046</c:v>
                </c:pt>
                <c:pt idx="245">
                  <c:v>158.37695512569343</c:v>
                </c:pt>
                <c:pt idx="246">
                  <c:v>162.15171199703838</c:v>
                </c:pt>
                <c:pt idx="247">
                  <c:v>165.29600362599177</c:v>
                </c:pt>
                <c:pt idx="248">
                  <c:v>168.76104727143382</c:v>
                </c:pt>
                <c:pt idx="249">
                  <c:v>170.63684158325844</c:v>
                </c:pt>
                <c:pt idx="250">
                  <c:v>172.33744003714307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1D-4411-937B-A0991A5E42BE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Data!$M$2:$M$252</c:f>
              <c:numCache>
                <c:formatCode>General</c:formatCode>
                <c:ptCount val="251"/>
                <c:pt idx="19">
                  <c:v>141.73305298492016</c:v>
                </c:pt>
                <c:pt idx="20">
                  <c:v>142.10021451434272</c:v>
                </c:pt>
                <c:pt idx="21">
                  <c:v>142.84556811246219</c:v>
                </c:pt>
                <c:pt idx="22">
                  <c:v>143.5412918734865</c:v>
                </c:pt>
                <c:pt idx="23">
                  <c:v>144.90913892626273</c:v>
                </c:pt>
                <c:pt idx="24">
                  <c:v>146.01291775458296</c:v>
                </c:pt>
                <c:pt idx="25">
                  <c:v>146.55683963204379</c:v>
                </c:pt>
                <c:pt idx="26">
                  <c:v>146.17252275429735</c:v>
                </c:pt>
                <c:pt idx="27">
                  <c:v>145.10442978305423</c:v>
                </c:pt>
                <c:pt idx="28">
                  <c:v>144.40972185048093</c:v>
                </c:pt>
                <c:pt idx="29">
                  <c:v>143.82218348557549</c:v>
                </c:pt>
                <c:pt idx="30">
                  <c:v>143.61917169601833</c:v>
                </c:pt>
                <c:pt idx="31">
                  <c:v>143.51610216441523</c:v>
                </c:pt>
                <c:pt idx="32">
                  <c:v>143.4190349022978</c:v>
                </c:pt>
                <c:pt idx="33">
                  <c:v>143.63942056185067</c:v>
                </c:pt>
                <c:pt idx="34">
                  <c:v>143.71283645546558</c:v>
                </c:pt>
                <c:pt idx="35">
                  <c:v>143.77271680804552</c:v>
                </c:pt>
                <c:pt idx="36">
                  <c:v>144.03154319503574</c:v>
                </c:pt>
                <c:pt idx="37">
                  <c:v>144.04498777539746</c:v>
                </c:pt>
                <c:pt idx="38">
                  <c:v>143.97315028331778</c:v>
                </c:pt>
                <c:pt idx="39">
                  <c:v>142.44826273990117</c:v>
                </c:pt>
                <c:pt idx="40">
                  <c:v>142.2335080938187</c:v>
                </c:pt>
                <c:pt idx="41">
                  <c:v>141.81253247053243</c:v>
                </c:pt>
                <c:pt idx="42">
                  <c:v>141.47527951773517</c:v>
                </c:pt>
                <c:pt idx="43">
                  <c:v>141.57507378525582</c:v>
                </c:pt>
                <c:pt idx="44">
                  <c:v>141.04608033328512</c:v>
                </c:pt>
                <c:pt idx="45">
                  <c:v>139.96711397077326</c:v>
                </c:pt>
                <c:pt idx="46">
                  <c:v>139.58114593832175</c:v>
                </c:pt>
                <c:pt idx="47">
                  <c:v>139.11133507584756</c:v>
                </c:pt>
                <c:pt idx="48">
                  <c:v>138.88089709717616</c:v>
                </c:pt>
                <c:pt idx="49">
                  <c:v>138.54071446482115</c:v>
                </c:pt>
                <c:pt idx="50">
                  <c:v>136.66945266947016</c:v>
                </c:pt>
                <c:pt idx="51">
                  <c:v>134.69246876296944</c:v>
                </c:pt>
                <c:pt idx="52">
                  <c:v>133.1793462553822</c:v>
                </c:pt>
                <c:pt idx="53">
                  <c:v>132.13462056150149</c:v>
                </c:pt>
                <c:pt idx="54">
                  <c:v>131.5502725123776</c:v>
                </c:pt>
                <c:pt idx="55">
                  <c:v>130.73089078566156</c:v>
                </c:pt>
                <c:pt idx="56">
                  <c:v>130.5653455066732</c:v>
                </c:pt>
                <c:pt idx="57">
                  <c:v>129.66701043645733</c:v>
                </c:pt>
                <c:pt idx="58">
                  <c:v>128.476015803705</c:v>
                </c:pt>
                <c:pt idx="59">
                  <c:v>127.63560999163664</c:v>
                </c:pt>
                <c:pt idx="60">
                  <c:v>127.05082982387292</c:v>
                </c:pt>
                <c:pt idx="61">
                  <c:v>126.3441430420677</c:v>
                </c:pt>
                <c:pt idx="62">
                  <c:v>126.05034850652642</c:v>
                </c:pt>
                <c:pt idx="63">
                  <c:v>126.12065756093187</c:v>
                </c:pt>
                <c:pt idx="64">
                  <c:v>125.54217853847769</c:v>
                </c:pt>
                <c:pt idx="65">
                  <c:v>125.34108285656124</c:v>
                </c:pt>
                <c:pt idx="66">
                  <c:v>125.66065195020533</c:v>
                </c:pt>
                <c:pt idx="67">
                  <c:v>126.00451198502797</c:v>
                </c:pt>
                <c:pt idx="68">
                  <c:v>127.13173731598488</c:v>
                </c:pt>
                <c:pt idx="69">
                  <c:v>128.56280832606512</c:v>
                </c:pt>
                <c:pt idx="70">
                  <c:v>128.50593268853666</c:v>
                </c:pt>
                <c:pt idx="71">
                  <c:v>128.18909199728171</c:v>
                </c:pt>
                <c:pt idx="72">
                  <c:v>128.19924228197081</c:v>
                </c:pt>
                <c:pt idx="73">
                  <c:v>128.24294318110435</c:v>
                </c:pt>
                <c:pt idx="74">
                  <c:v>128.7103311939992</c:v>
                </c:pt>
                <c:pt idx="75">
                  <c:v>128.84476582392796</c:v>
                </c:pt>
                <c:pt idx="76">
                  <c:v>129.0589970774395</c:v>
                </c:pt>
                <c:pt idx="77">
                  <c:v>129.06612214807095</c:v>
                </c:pt>
                <c:pt idx="78">
                  <c:v>129.09174681348318</c:v>
                </c:pt>
                <c:pt idx="79">
                  <c:v>129.09474721324864</c:v>
                </c:pt>
                <c:pt idx="80">
                  <c:v>128.9886671707271</c:v>
                </c:pt>
                <c:pt idx="81">
                  <c:v>128.92762977473993</c:v>
                </c:pt>
                <c:pt idx="82">
                  <c:v>128.9216948024964</c:v>
                </c:pt>
                <c:pt idx="83">
                  <c:v>128.8668847247975</c:v>
                </c:pt>
                <c:pt idx="84">
                  <c:v>129.32230292611771</c:v>
                </c:pt>
                <c:pt idx="85">
                  <c:v>129.29798807886044</c:v>
                </c:pt>
                <c:pt idx="86">
                  <c:v>129.31489997214695</c:v>
                </c:pt>
                <c:pt idx="87">
                  <c:v>129.06446766648787</c:v>
                </c:pt>
                <c:pt idx="88">
                  <c:v>128.80767980591799</c:v>
                </c:pt>
                <c:pt idx="89">
                  <c:v>128.62683495630944</c:v>
                </c:pt>
                <c:pt idx="90">
                  <c:v>128.46589358690875</c:v>
                </c:pt>
                <c:pt idx="91">
                  <c:v>128.6360867689711</c:v>
                </c:pt>
                <c:pt idx="92">
                  <c:v>128.16726676664402</c:v>
                </c:pt>
                <c:pt idx="93">
                  <c:v>127.82566298670923</c:v>
                </c:pt>
                <c:pt idx="94">
                  <c:v>127.85665246708392</c:v>
                </c:pt>
                <c:pt idx="95">
                  <c:v>127.82267956251934</c:v>
                </c:pt>
                <c:pt idx="96">
                  <c:v>127.2664695700791</c:v>
                </c:pt>
                <c:pt idx="97">
                  <c:v>126.63284040747061</c:v>
                </c:pt>
                <c:pt idx="98">
                  <c:v>126.37296846261835</c:v>
                </c:pt>
                <c:pt idx="99">
                  <c:v>126.30248098648539</c:v>
                </c:pt>
                <c:pt idx="100">
                  <c:v>126.30837235551247</c:v>
                </c:pt>
                <c:pt idx="101">
                  <c:v>126.42177348838922</c:v>
                </c:pt>
                <c:pt idx="102">
                  <c:v>126.28478176650691</c:v>
                </c:pt>
                <c:pt idx="103">
                  <c:v>126.44970708854153</c:v>
                </c:pt>
                <c:pt idx="104">
                  <c:v>126.41768297286951</c:v>
                </c:pt>
                <c:pt idx="105">
                  <c:v>126.5763410998559</c:v>
                </c:pt>
                <c:pt idx="106">
                  <c:v>126.66575680345331</c:v>
                </c:pt>
                <c:pt idx="107">
                  <c:v>125.42286401616414</c:v>
                </c:pt>
                <c:pt idx="108">
                  <c:v>125.32641889849236</c:v>
                </c:pt>
                <c:pt idx="109">
                  <c:v>125.70706254734519</c:v>
                </c:pt>
                <c:pt idx="110">
                  <c:v>125.70022063325015</c:v>
                </c:pt>
                <c:pt idx="111">
                  <c:v>125.7487419930527</c:v>
                </c:pt>
                <c:pt idx="112">
                  <c:v>126.76190897756467</c:v>
                </c:pt>
                <c:pt idx="113">
                  <c:v>128.0882262133797</c:v>
                </c:pt>
                <c:pt idx="114">
                  <c:v>129.06544582712328</c:v>
                </c:pt>
                <c:pt idx="115">
                  <c:v>129.8903230125284</c:v>
                </c:pt>
                <c:pt idx="116">
                  <c:v>130.31596363523894</c:v>
                </c:pt>
                <c:pt idx="117">
                  <c:v>130.46572140433997</c:v>
                </c:pt>
                <c:pt idx="118">
                  <c:v>130.87504691344847</c:v>
                </c:pt>
                <c:pt idx="119">
                  <c:v>131.48841314632816</c:v>
                </c:pt>
                <c:pt idx="120">
                  <c:v>132.03003750632377</c:v>
                </c:pt>
                <c:pt idx="121">
                  <c:v>132.8076778179053</c:v>
                </c:pt>
                <c:pt idx="122">
                  <c:v>133.36469144419604</c:v>
                </c:pt>
                <c:pt idx="123">
                  <c:v>134.13666330341908</c:v>
                </c:pt>
                <c:pt idx="124">
                  <c:v>135.00686424749335</c:v>
                </c:pt>
                <c:pt idx="125">
                  <c:v>136.46706410000243</c:v>
                </c:pt>
                <c:pt idx="126">
                  <c:v>137.45319133742652</c:v>
                </c:pt>
                <c:pt idx="127">
                  <c:v>137.20462893772634</c:v>
                </c:pt>
                <c:pt idx="128">
                  <c:v>136.83116848183843</c:v>
                </c:pt>
                <c:pt idx="129">
                  <c:v>136.8465985571907</c:v>
                </c:pt>
                <c:pt idx="130">
                  <c:v>136.36041496545698</c:v>
                </c:pt>
                <c:pt idx="131">
                  <c:v>136.15784099703268</c:v>
                </c:pt>
                <c:pt idx="132">
                  <c:v>136.17730159698471</c:v>
                </c:pt>
                <c:pt idx="133">
                  <c:v>136.27910435392772</c:v>
                </c:pt>
                <c:pt idx="134">
                  <c:v>136.69820543673254</c:v>
                </c:pt>
                <c:pt idx="135">
                  <c:v>136.87177257091861</c:v>
                </c:pt>
                <c:pt idx="136">
                  <c:v>137.18323232500282</c:v>
                </c:pt>
                <c:pt idx="137">
                  <c:v>138.4960329249551</c:v>
                </c:pt>
                <c:pt idx="138">
                  <c:v>139.67206168661946</c:v>
                </c:pt>
                <c:pt idx="139">
                  <c:v>140.95458567087761</c:v>
                </c:pt>
                <c:pt idx="140">
                  <c:v>142.60821528622719</c:v>
                </c:pt>
                <c:pt idx="141">
                  <c:v>144.05625686590247</c:v>
                </c:pt>
                <c:pt idx="142">
                  <c:v>144.59077097425163</c:v>
                </c:pt>
                <c:pt idx="143">
                  <c:v>143.56971768149398</c:v>
                </c:pt>
                <c:pt idx="144">
                  <c:v>143.15714479232474</c:v>
                </c:pt>
                <c:pt idx="145">
                  <c:v>142.3986410890233</c:v>
                </c:pt>
                <c:pt idx="146">
                  <c:v>141.95685886472819</c:v>
                </c:pt>
                <c:pt idx="147">
                  <c:v>141.43982072861454</c:v>
                </c:pt>
                <c:pt idx="148">
                  <c:v>140.4197441797435</c:v>
                </c:pt>
                <c:pt idx="149">
                  <c:v>139.39268763692334</c:v>
                </c:pt>
                <c:pt idx="150">
                  <c:v>139.03388195984749</c:v>
                </c:pt>
                <c:pt idx="151">
                  <c:v>138.5717816383075</c:v>
                </c:pt>
                <c:pt idx="152">
                  <c:v>138.25415221275185</c:v>
                </c:pt>
                <c:pt idx="153">
                  <c:v>137.97420478090177</c:v>
                </c:pt>
                <c:pt idx="154">
                  <c:v>137.78956818865731</c:v>
                </c:pt>
                <c:pt idx="155">
                  <c:v>137.62003342149009</c:v>
                </c:pt>
                <c:pt idx="156">
                  <c:v>137.22475579754737</c:v>
                </c:pt>
                <c:pt idx="157">
                  <c:v>136.95177728613859</c:v>
                </c:pt>
                <c:pt idx="158">
                  <c:v>136.91240153737286</c:v>
                </c:pt>
                <c:pt idx="159">
                  <c:v>137.46140947644312</c:v>
                </c:pt>
                <c:pt idx="160">
                  <c:v>138.13665037215807</c:v>
                </c:pt>
                <c:pt idx="161">
                  <c:v>138.60227996431132</c:v>
                </c:pt>
                <c:pt idx="162">
                  <c:v>139.16014744025213</c:v>
                </c:pt>
                <c:pt idx="163">
                  <c:v>138.91133681529138</c:v>
                </c:pt>
                <c:pt idx="164">
                  <c:v>138.87941618499136</c:v>
                </c:pt>
                <c:pt idx="165">
                  <c:v>138.50805202722242</c:v>
                </c:pt>
                <c:pt idx="166">
                  <c:v>138.416192064743</c:v>
                </c:pt>
                <c:pt idx="167">
                  <c:v>136.80817071248228</c:v>
                </c:pt>
                <c:pt idx="168">
                  <c:v>136.24737372735711</c:v>
                </c:pt>
                <c:pt idx="169">
                  <c:v>135.50837132141913</c:v>
                </c:pt>
                <c:pt idx="170">
                  <c:v>135.07442935208337</c:v>
                </c:pt>
                <c:pt idx="171">
                  <c:v>134.69075373078431</c:v>
                </c:pt>
                <c:pt idx="172">
                  <c:v>134.29289323209116</c:v>
                </c:pt>
                <c:pt idx="173">
                  <c:v>134.21974275332909</c:v>
                </c:pt>
                <c:pt idx="174">
                  <c:v>134.27429624451938</c:v>
                </c:pt>
                <c:pt idx="175">
                  <c:v>134.44490816344407</c:v>
                </c:pt>
                <c:pt idx="176">
                  <c:v>135.14985990459712</c:v>
                </c:pt>
                <c:pt idx="177">
                  <c:v>135.8864538292049</c:v>
                </c:pt>
                <c:pt idx="178">
                  <c:v>136.75987069144395</c:v>
                </c:pt>
                <c:pt idx="179">
                  <c:v>137.7624463801333</c:v>
                </c:pt>
                <c:pt idx="180">
                  <c:v>138.13904555247385</c:v>
                </c:pt>
                <c:pt idx="181">
                  <c:v>138.79650006595273</c:v>
                </c:pt>
                <c:pt idx="182">
                  <c:v>139.42640287627381</c:v>
                </c:pt>
                <c:pt idx="183">
                  <c:v>140.28075297284587</c:v>
                </c:pt>
                <c:pt idx="184">
                  <c:v>140.76212877825162</c:v>
                </c:pt>
                <c:pt idx="185">
                  <c:v>141.8583256181447</c:v>
                </c:pt>
                <c:pt idx="186">
                  <c:v>141.18053670213484</c:v>
                </c:pt>
                <c:pt idx="187">
                  <c:v>140.36504426425753</c:v>
                </c:pt>
                <c:pt idx="188">
                  <c:v>139.6045690424516</c:v>
                </c:pt>
                <c:pt idx="189">
                  <c:v>139.26926627419502</c:v>
                </c:pt>
                <c:pt idx="190">
                  <c:v>138.88550717325074</c:v>
                </c:pt>
                <c:pt idx="191">
                  <c:v>138.71020524895215</c:v>
                </c:pt>
                <c:pt idx="192">
                  <c:v>138.79430961197951</c:v>
                </c:pt>
                <c:pt idx="193">
                  <c:v>139.0769394616934</c:v>
                </c:pt>
                <c:pt idx="194">
                  <c:v>139.38495496403573</c:v>
                </c:pt>
                <c:pt idx="195">
                  <c:v>139.74232102621397</c:v>
                </c:pt>
                <c:pt idx="196">
                  <c:v>139.94539326379049</c:v>
                </c:pt>
                <c:pt idx="197">
                  <c:v>140.2584185651898</c:v>
                </c:pt>
                <c:pt idx="198">
                  <c:v>140.94292323525204</c:v>
                </c:pt>
                <c:pt idx="199">
                  <c:v>141.30464829838127</c:v>
                </c:pt>
                <c:pt idx="200">
                  <c:v>141.2228713584974</c:v>
                </c:pt>
                <c:pt idx="201">
                  <c:v>141.11399055779515</c:v>
                </c:pt>
                <c:pt idx="202">
                  <c:v>140.9054205537891</c:v>
                </c:pt>
                <c:pt idx="203">
                  <c:v>141.05726563853008</c:v>
                </c:pt>
                <c:pt idx="204">
                  <c:v>141.41755151703029</c:v>
                </c:pt>
                <c:pt idx="205">
                  <c:v>141.85929052699689</c:v>
                </c:pt>
                <c:pt idx="206">
                  <c:v>142.56454376899646</c:v>
                </c:pt>
                <c:pt idx="207">
                  <c:v>143.03500129020958</c:v>
                </c:pt>
                <c:pt idx="208">
                  <c:v>143.51604246677996</c:v>
                </c:pt>
                <c:pt idx="209">
                  <c:v>143.56218779930978</c:v>
                </c:pt>
                <c:pt idx="210">
                  <c:v>143.8816351152964</c:v>
                </c:pt>
                <c:pt idx="211">
                  <c:v>143.9605764419511</c:v>
                </c:pt>
                <c:pt idx="212">
                  <c:v>143.91624832363186</c:v>
                </c:pt>
                <c:pt idx="213">
                  <c:v>143.85393733877478</c:v>
                </c:pt>
                <c:pt idx="214">
                  <c:v>143.80968169720791</c:v>
                </c:pt>
                <c:pt idx="215">
                  <c:v>143.88554700606926</c:v>
                </c:pt>
                <c:pt idx="216">
                  <c:v>144.08504749414195</c:v>
                </c:pt>
                <c:pt idx="217">
                  <c:v>144.17486996676743</c:v>
                </c:pt>
                <c:pt idx="218">
                  <c:v>143.75887265475362</c:v>
                </c:pt>
                <c:pt idx="219">
                  <c:v>143.29839172802582</c:v>
                </c:pt>
                <c:pt idx="220">
                  <c:v>142.73320774802576</c:v>
                </c:pt>
                <c:pt idx="221">
                  <c:v>142.30339205395717</c:v>
                </c:pt>
                <c:pt idx="222">
                  <c:v>141.92717301226287</c:v>
                </c:pt>
                <c:pt idx="223">
                  <c:v>141.4708275094377</c:v>
                </c:pt>
                <c:pt idx="224">
                  <c:v>140.81931444058318</c:v>
                </c:pt>
                <c:pt idx="225">
                  <c:v>139.74170293639293</c:v>
                </c:pt>
                <c:pt idx="226">
                  <c:v>138.67359811834271</c:v>
                </c:pt>
                <c:pt idx="227">
                  <c:v>137.20892316655082</c:v>
                </c:pt>
                <c:pt idx="228">
                  <c:v>136.50117266107517</c:v>
                </c:pt>
                <c:pt idx="229">
                  <c:v>135.95042581707096</c:v>
                </c:pt>
                <c:pt idx="230">
                  <c:v>135.67072729006509</c:v>
                </c:pt>
                <c:pt idx="231">
                  <c:v>135.80924228363503</c:v>
                </c:pt>
                <c:pt idx="232">
                  <c:v>136.19320727957859</c:v>
                </c:pt>
                <c:pt idx="233">
                  <c:v>136.51915450348852</c:v>
                </c:pt>
                <c:pt idx="234">
                  <c:v>136.87174233738327</c:v>
                </c:pt>
                <c:pt idx="235">
                  <c:v>137.07325859075164</c:v>
                </c:pt>
                <c:pt idx="236">
                  <c:v>137.20225047485312</c:v>
                </c:pt>
                <c:pt idx="237">
                  <c:v>137.30467545924267</c:v>
                </c:pt>
                <c:pt idx="238">
                  <c:v>137.31866419042427</c:v>
                </c:pt>
                <c:pt idx="239">
                  <c:v>137.30740456897013</c:v>
                </c:pt>
                <c:pt idx="240">
                  <c:v>137.07530106369498</c:v>
                </c:pt>
                <c:pt idx="241">
                  <c:v>136.9227596225679</c:v>
                </c:pt>
                <c:pt idx="242">
                  <c:v>136.80268612428216</c:v>
                </c:pt>
                <c:pt idx="243">
                  <c:v>136.12277650108473</c:v>
                </c:pt>
                <c:pt idx="244">
                  <c:v>135.58478554117957</c:v>
                </c:pt>
                <c:pt idx="245">
                  <c:v>134.20304487430661</c:v>
                </c:pt>
                <c:pt idx="246">
                  <c:v>133.15028800296164</c:v>
                </c:pt>
                <c:pt idx="247">
                  <c:v>133.05799637400816</c:v>
                </c:pt>
                <c:pt idx="248">
                  <c:v>132.70495272856618</c:v>
                </c:pt>
                <c:pt idx="249">
                  <c:v>133.48515841674146</c:v>
                </c:pt>
                <c:pt idx="250">
                  <c:v>134.34555996285681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1D-4411-937B-A0991A5E4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79184"/>
        <c:axId val="165180144"/>
      </c:lineChart>
      <c:dateAx>
        <c:axId val="165179184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80144"/>
        <c:crosses val="autoZero"/>
        <c:auto val="1"/>
        <c:lblOffset val="100"/>
        <c:baseTimeUnit val="days"/>
      </c:dateAx>
      <c:valAx>
        <c:axId val="165180144"/>
        <c:scaling>
          <c:orientation val="minMax"/>
          <c:max val="180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Data!$AA$2:$AA$252</c:f>
              <c:numCache>
                <c:formatCode>General</c:formatCode>
                <c:ptCount val="251"/>
                <c:pt idx="35">
                  <c:v>0.43789490916352003</c:v>
                </c:pt>
                <c:pt idx="36">
                  <c:v>0.18289972500121121</c:v>
                </c:pt>
                <c:pt idx="37">
                  <c:v>-0.19991798095355384</c:v>
                </c:pt>
                <c:pt idx="38">
                  <c:v>-0.6085054151704723</c:v>
                </c:pt>
                <c:pt idx="39">
                  <c:v>-0.48841059040146528</c:v>
                </c:pt>
                <c:pt idx="40">
                  <c:v>-0.47226140473936251</c:v>
                </c:pt>
                <c:pt idx="41">
                  <c:v>-0.40999078459270133</c:v>
                </c:pt>
                <c:pt idx="42">
                  <c:v>-0.19159216215663877</c:v>
                </c:pt>
                <c:pt idx="43">
                  <c:v>-0.28393171755367375</c:v>
                </c:pt>
                <c:pt idx="44">
                  <c:v>-0.49151972289356793</c:v>
                </c:pt>
                <c:pt idx="45">
                  <c:v>-0.40834369379144597</c:v>
                </c:pt>
                <c:pt idx="46">
                  <c:v>-0.39268811028251349</c:v>
                </c:pt>
                <c:pt idx="47">
                  <c:v>-0.23803654466201474</c:v>
                </c:pt>
                <c:pt idx="48">
                  <c:v>-0.19081530242367983</c:v>
                </c:pt>
                <c:pt idx="49">
                  <c:v>-0.57992138143699212</c:v>
                </c:pt>
                <c:pt idx="50">
                  <c:v>-0.90042495821770885</c:v>
                </c:pt>
                <c:pt idx="51">
                  <c:v>-1.0116574345126508</c:v>
                </c:pt>
                <c:pt idx="52">
                  <c:v>-0.97273707428819955</c:v>
                </c:pt>
                <c:pt idx="53">
                  <c:v>-0.79357831216757013</c:v>
                </c:pt>
                <c:pt idx="54">
                  <c:v>-0.74470220006435417</c:v>
                </c:pt>
                <c:pt idx="55">
                  <c:v>-0.63603617829301218</c:v>
                </c:pt>
                <c:pt idx="56">
                  <c:v>-0.61922441786346161</c:v>
                </c:pt>
                <c:pt idx="57">
                  <c:v>-0.62690808294047251</c:v>
                </c:pt>
                <c:pt idx="58">
                  <c:v>-0.4933555306604589</c:v>
                </c:pt>
                <c:pt idx="59">
                  <c:v>-0.38309276390427272</c:v>
                </c:pt>
                <c:pt idx="60">
                  <c:v>-0.32456251427756744</c:v>
                </c:pt>
                <c:pt idx="61">
                  <c:v>-0.15847232262858091</c:v>
                </c:pt>
                <c:pt idx="62">
                  <c:v>-9.9875277484861691E-2</c:v>
                </c:pt>
                <c:pt idx="63">
                  <c:v>-0.14276762732635451</c:v>
                </c:pt>
                <c:pt idx="64">
                  <c:v>6.6647049732997843E-2</c:v>
                </c:pt>
                <c:pt idx="65">
                  <c:v>0.25906172172255326</c:v>
                </c:pt>
                <c:pt idx="66">
                  <c:v>0.38738613599893545</c:v>
                </c:pt>
                <c:pt idx="67">
                  <c:v>0.4806936419322807</c:v>
                </c:pt>
                <c:pt idx="68">
                  <c:v>0.44012897448049326</c:v>
                </c:pt>
                <c:pt idx="69">
                  <c:v>0.42016376160651658</c:v>
                </c:pt>
                <c:pt idx="70">
                  <c:v>0.36533561116762003</c:v>
                </c:pt>
                <c:pt idx="71">
                  <c:v>0.47002519068556481</c:v>
                </c:pt>
                <c:pt idx="72">
                  <c:v>0.49391588751070969</c:v>
                </c:pt>
                <c:pt idx="73">
                  <c:v>0.58922973042130034</c:v>
                </c:pt>
                <c:pt idx="74">
                  <c:v>0.6132043529470188</c:v>
                </c:pt>
                <c:pt idx="75">
                  <c:v>0.58534329165080123</c:v>
                </c:pt>
                <c:pt idx="76">
                  <c:v>0.61956917751609808</c:v>
                </c:pt>
                <c:pt idx="77">
                  <c:v>0.62249511105549127</c:v>
                </c:pt>
                <c:pt idx="78">
                  <c:v>0.57104548112575237</c:v>
                </c:pt>
                <c:pt idx="79">
                  <c:v>0.45819189918060088</c:v>
                </c:pt>
                <c:pt idx="80">
                  <c:v>0.37617900938662086</c:v>
                </c:pt>
                <c:pt idx="81">
                  <c:v>0.44074459890305429</c:v>
                </c:pt>
                <c:pt idx="82">
                  <c:v>0.35028643606069831</c:v>
                </c:pt>
                <c:pt idx="83">
                  <c:v>0.4429364656073056</c:v>
                </c:pt>
                <c:pt idx="84">
                  <c:v>0.39879074760239241</c:v>
                </c:pt>
                <c:pt idx="85">
                  <c:v>0.3985828761840382</c:v>
                </c:pt>
                <c:pt idx="86">
                  <c:v>0.25398550272063991</c:v>
                </c:pt>
                <c:pt idx="87">
                  <c:v>0.14714229683456881</c:v>
                </c:pt>
                <c:pt idx="88">
                  <c:v>8.3268088150335595E-2</c:v>
                </c:pt>
                <c:pt idx="89">
                  <c:v>5.0760974490823951E-2</c:v>
                </c:pt>
                <c:pt idx="90">
                  <c:v>0.16330879820220301</c:v>
                </c:pt>
                <c:pt idx="91">
                  <c:v>4.2051947345891794E-2</c:v>
                </c:pt>
                <c:pt idx="92">
                  <c:v>-1.3357450254037895E-2</c:v>
                </c:pt>
                <c:pt idx="93">
                  <c:v>0.14264243588520165</c:v>
                </c:pt>
                <c:pt idx="94">
                  <c:v>0.30649853447153641</c:v>
                </c:pt>
                <c:pt idx="95">
                  <c:v>0.60766578888927225</c:v>
                </c:pt>
                <c:pt idx="96">
                  <c:v>0.85008900960469402</c:v>
                </c:pt>
                <c:pt idx="97">
                  <c:v>0.89298987737611779</c:v>
                </c:pt>
                <c:pt idx="98">
                  <c:v>0.81739876361882102</c:v>
                </c:pt>
                <c:pt idx="99">
                  <c:v>0.76664161437983769</c:v>
                </c:pt>
                <c:pt idx="100">
                  <c:v>0.65897304191726258</c:v>
                </c:pt>
                <c:pt idx="101">
                  <c:v>0.65762187740505063</c:v>
                </c:pt>
                <c:pt idx="102">
                  <c:v>0.56704163504154081</c:v>
                </c:pt>
                <c:pt idx="103">
                  <c:v>0.4961042588437351</c:v>
                </c:pt>
                <c:pt idx="104">
                  <c:v>0.3079640190317422</c:v>
                </c:pt>
                <c:pt idx="105">
                  <c:v>0.26612229546533306</c:v>
                </c:pt>
                <c:pt idx="106">
                  <c:v>0.86320553899655272</c:v>
                </c:pt>
                <c:pt idx="107">
                  <c:v>1.0431679752608827</c:v>
                </c:pt>
                <c:pt idx="108">
                  <c:v>0.99199530951324011</c:v>
                </c:pt>
                <c:pt idx="109">
                  <c:v>1.1716211006303161</c:v>
                </c:pt>
                <c:pt idx="110">
                  <c:v>1.1826008777108861</c:v>
                </c:pt>
                <c:pt idx="111">
                  <c:v>1.0354660345963138</c:v>
                </c:pt>
                <c:pt idx="112">
                  <c:v>0.80032461553503431</c:v>
                </c:pt>
                <c:pt idx="113">
                  <c:v>0.46819429536269741</c:v>
                </c:pt>
                <c:pt idx="114">
                  <c:v>0.35965110969311009</c:v>
                </c:pt>
                <c:pt idx="115">
                  <c:v>0.18232913006101459</c:v>
                </c:pt>
                <c:pt idx="116">
                  <c:v>-0.27874918447301322</c:v>
                </c:pt>
                <c:pt idx="117">
                  <c:v>-0.49082337747829552</c:v>
                </c:pt>
                <c:pt idx="118">
                  <c:v>-0.60351372264996384</c:v>
                </c:pt>
                <c:pt idx="119">
                  <c:v>-0.6715181423154144</c:v>
                </c:pt>
                <c:pt idx="120">
                  <c:v>-0.61324507067869938</c:v>
                </c:pt>
                <c:pt idx="121">
                  <c:v>-0.36452351008216377</c:v>
                </c:pt>
                <c:pt idx="122">
                  <c:v>-0.12542642337661958</c:v>
                </c:pt>
                <c:pt idx="123">
                  <c:v>-8.6325546560002131E-3</c:v>
                </c:pt>
                <c:pt idx="124">
                  <c:v>0.17473450751927233</c:v>
                </c:pt>
                <c:pt idx="125">
                  <c:v>0.42045017656059569</c:v>
                </c:pt>
                <c:pt idx="126">
                  <c:v>0.48655093123989257</c:v>
                </c:pt>
                <c:pt idx="127">
                  <c:v>0.59568081472050594</c:v>
                </c:pt>
                <c:pt idx="128">
                  <c:v>0.55686162078932</c:v>
                </c:pt>
                <c:pt idx="129">
                  <c:v>0.6468856942117438</c:v>
                </c:pt>
                <c:pt idx="130">
                  <c:v>0.55364927564399702</c:v>
                </c:pt>
                <c:pt idx="131">
                  <c:v>0.32875280705713283</c:v>
                </c:pt>
                <c:pt idx="132">
                  <c:v>0.18617508995790022</c:v>
                </c:pt>
                <c:pt idx="133">
                  <c:v>-3.1774093665773773E-2</c:v>
                </c:pt>
                <c:pt idx="134">
                  <c:v>-0.27015073706654658</c:v>
                </c:pt>
                <c:pt idx="135">
                  <c:v>-0.39079458936397726</c:v>
                </c:pt>
                <c:pt idx="136">
                  <c:v>-0.51339372201329025</c:v>
                </c:pt>
                <c:pt idx="137">
                  <c:v>-0.48092625255164823</c:v>
                </c:pt>
                <c:pt idx="138">
                  <c:v>-0.3544246177670356</c:v>
                </c:pt>
                <c:pt idx="139">
                  <c:v>-0.38349156991908906</c:v>
                </c:pt>
                <c:pt idx="140">
                  <c:v>-0.51468804899576659</c:v>
                </c:pt>
                <c:pt idx="141">
                  <c:v>-0.62207464279949942</c:v>
                </c:pt>
                <c:pt idx="142">
                  <c:v>-0.9742482799073251</c:v>
                </c:pt>
                <c:pt idx="143">
                  <c:v>-1.0717944411752087</c:v>
                </c:pt>
                <c:pt idx="144">
                  <c:v>-1.1189749910326852</c:v>
                </c:pt>
                <c:pt idx="145">
                  <c:v>-1.0012901943930377</c:v>
                </c:pt>
                <c:pt idx="146">
                  <c:v>-0.92902417801914372</c:v>
                </c:pt>
                <c:pt idx="147">
                  <c:v>-1.0266573269368302</c:v>
                </c:pt>
                <c:pt idx="148">
                  <c:v>-1.0778176569442639</c:v>
                </c:pt>
                <c:pt idx="149">
                  <c:v>-0.97920127937920975</c:v>
                </c:pt>
                <c:pt idx="150">
                  <c:v>-0.89813562733478314</c:v>
                </c:pt>
                <c:pt idx="151">
                  <c:v>-0.73263196705758127</c:v>
                </c:pt>
                <c:pt idx="152">
                  <c:v>-0.63352944627963204</c:v>
                </c:pt>
                <c:pt idx="153">
                  <c:v>-0.47768878736815801</c:v>
                </c:pt>
                <c:pt idx="154">
                  <c:v>-0.33165703644725053</c:v>
                </c:pt>
                <c:pt idx="155">
                  <c:v>-0.35949314406117039</c:v>
                </c:pt>
                <c:pt idx="156">
                  <c:v>-0.31725275589818247</c:v>
                </c:pt>
                <c:pt idx="157">
                  <c:v>-0.28299695994762808</c:v>
                </c:pt>
                <c:pt idx="158">
                  <c:v>-0.22043495135968971</c:v>
                </c:pt>
                <c:pt idx="159">
                  <c:v>1.2168577978402428E-2</c:v>
                </c:pt>
                <c:pt idx="160">
                  <c:v>0.11385328897697677</c:v>
                </c:pt>
                <c:pt idx="161">
                  <c:v>0.15979947761587177</c:v>
                </c:pt>
                <c:pt idx="162">
                  <c:v>4.3592605365343262E-2</c:v>
                </c:pt>
                <c:pt idx="163">
                  <c:v>4.6809262942334784E-2</c:v>
                </c:pt>
                <c:pt idx="164">
                  <c:v>-6.9402732892988594E-2</c:v>
                </c:pt>
                <c:pt idx="165">
                  <c:v>0.24483404380437768</c:v>
                </c:pt>
                <c:pt idx="166">
                  <c:v>0.77992810264107937</c:v>
                </c:pt>
                <c:pt idx="167">
                  <c:v>1.0049792238879149</c:v>
                </c:pt>
                <c:pt idx="168">
                  <c:v>1.26667316485034</c:v>
                </c:pt>
                <c:pt idx="169">
                  <c:v>1.3413611607752909</c:v>
                </c:pt>
                <c:pt idx="170">
                  <c:v>1.4124803362960037</c:v>
                </c:pt>
                <c:pt idx="171">
                  <c:v>1.4444208292311065</c:v>
                </c:pt>
                <c:pt idx="172">
                  <c:v>1.3760007754362167</c:v>
                </c:pt>
                <c:pt idx="173">
                  <c:v>1.2202382945441332</c:v>
                </c:pt>
                <c:pt idx="174">
                  <c:v>1.0348989049665434</c:v>
                </c:pt>
                <c:pt idx="175">
                  <c:v>0.75094813571219321</c:v>
                </c:pt>
                <c:pt idx="176">
                  <c:v>0.51791882548008061</c:v>
                </c:pt>
                <c:pt idx="177">
                  <c:v>0.39421180935848943</c:v>
                </c:pt>
                <c:pt idx="178">
                  <c:v>0.11550691390202239</c:v>
                </c:pt>
                <c:pt idx="179">
                  <c:v>-0.33853635451283859</c:v>
                </c:pt>
                <c:pt idx="180">
                  <c:v>-0.53648052557269832</c:v>
                </c:pt>
                <c:pt idx="181">
                  <c:v>-0.7441877775839878</c:v>
                </c:pt>
                <c:pt idx="182">
                  <c:v>-1.0111620214762975</c:v>
                </c:pt>
                <c:pt idx="183">
                  <c:v>-1.1847501756507106</c:v>
                </c:pt>
                <c:pt idx="184">
                  <c:v>-1.2458860166762105</c:v>
                </c:pt>
                <c:pt idx="185">
                  <c:v>-1.3096283614596482</c:v>
                </c:pt>
                <c:pt idx="186">
                  <c:v>-1.1995612161962443</c:v>
                </c:pt>
                <c:pt idx="187">
                  <c:v>-1.0920795372849286</c:v>
                </c:pt>
                <c:pt idx="188">
                  <c:v>-0.8113123935861587</c:v>
                </c:pt>
                <c:pt idx="189">
                  <c:v>-0.6358280512433867</c:v>
                </c:pt>
                <c:pt idx="190">
                  <c:v>-0.44984361134054918</c:v>
                </c:pt>
                <c:pt idx="191">
                  <c:v>-0.25323870802441906</c:v>
                </c:pt>
                <c:pt idx="192">
                  <c:v>1.3684037731394594E-2</c:v>
                </c:pt>
                <c:pt idx="193">
                  <c:v>0.24428655438359798</c:v>
                </c:pt>
                <c:pt idx="194">
                  <c:v>0.27355298570048958</c:v>
                </c:pt>
                <c:pt idx="195">
                  <c:v>0.21594966346021843</c:v>
                </c:pt>
                <c:pt idx="196">
                  <c:v>0.18555943414270071</c:v>
                </c:pt>
                <c:pt idx="197">
                  <c:v>0.1057492991702679</c:v>
                </c:pt>
                <c:pt idx="198">
                  <c:v>9.0803915764989113E-2</c:v>
                </c:pt>
                <c:pt idx="199">
                  <c:v>0.19750125961564516</c:v>
                </c:pt>
                <c:pt idx="200">
                  <c:v>0.30356090506672601</c:v>
                </c:pt>
                <c:pt idx="201">
                  <c:v>0.4036073315769112</c:v>
                </c:pt>
                <c:pt idx="202">
                  <c:v>0.38714478862829393</c:v>
                </c:pt>
                <c:pt idx="203">
                  <c:v>0.31997347553265421</c:v>
                </c:pt>
                <c:pt idx="204">
                  <c:v>0.18552023636352</c:v>
                </c:pt>
                <c:pt idx="205">
                  <c:v>-3.1703659000887729E-2</c:v>
                </c:pt>
                <c:pt idx="206">
                  <c:v>-0.1298029439979628</c:v>
                </c:pt>
                <c:pt idx="207">
                  <c:v>-0.24990711936550603</c:v>
                </c:pt>
                <c:pt idx="208">
                  <c:v>9.1589805967233207E-3</c:v>
                </c:pt>
                <c:pt idx="209">
                  <c:v>0.12724307813376767</c:v>
                </c:pt>
                <c:pt idx="210">
                  <c:v>0.29534830846075244</c:v>
                </c:pt>
                <c:pt idx="211">
                  <c:v>0.41894993288747723</c:v>
                </c:pt>
                <c:pt idx="212">
                  <c:v>0.41660220365661627</c:v>
                </c:pt>
                <c:pt idx="213">
                  <c:v>0.37022330248912005</c:v>
                </c:pt>
                <c:pt idx="214">
                  <c:v>0.27103054181576225</c:v>
                </c:pt>
                <c:pt idx="215">
                  <c:v>0.11140836026387479</c:v>
                </c:pt>
                <c:pt idx="216">
                  <c:v>-7.1594308868979772E-2</c:v>
                </c:pt>
                <c:pt idx="217">
                  <c:v>-0.40372285466478275</c:v>
                </c:pt>
                <c:pt idx="218">
                  <c:v>-0.59209513077239895</c:v>
                </c:pt>
                <c:pt idx="219">
                  <c:v>-0.68041582478207896</c:v>
                </c:pt>
                <c:pt idx="220">
                  <c:v>-0.6730419846288711</c:v>
                </c:pt>
                <c:pt idx="221">
                  <c:v>-0.63900275289534303</c:v>
                </c:pt>
                <c:pt idx="222">
                  <c:v>-0.62431603829542648</c:v>
                </c:pt>
                <c:pt idx="223">
                  <c:v>-0.66258754730631098</c:v>
                </c:pt>
                <c:pt idx="224">
                  <c:v>-0.79562983520817898</c:v>
                </c:pt>
                <c:pt idx="225">
                  <c:v>-0.89313106724240821</c:v>
                </c:pt>
                <c:pt idx="226">
                  <c:v>-1.0243885391224812</c:v>
                </c:pt>
                <c:pt idx="227">
                  <c:v>-0.89253411485497991</c:v>
                </c:pt>
                <c:pt idx="228">
                  <c:v>-0.71679216056515838</c:v>
                </c:pt>
                <c:pt idx="229">
                  <c:v>-0.46304724794361718</c:v>
                </c:pt>
                <c:pt idx="230">
                  <c:v>-0.12990010672067154</c:v>
                </c:pt>
                <c:pt idx="231">
                  <c:v>0.25626841051134575</c:v>
                </c:pt>
                <c:pt idx="232">
                  <c:v>0.5406084014656185</c:v>
                </c:pt>
                <c:pt idx="233">
                  <c:v>0.68755061938334139</c:v>
                </c:pt>
                <c:pt idx="234">
                  <c:v>0.84057463965651524</c:v>
                </c:pt>
                <c:pt idx="235">
                  <c:v>0.84324508395661069</c:v>
                </c:pt>
                <c:pt idx="236">
                  <c:v>0.65899382182832988</c:v>
                </c:pt>
                <c:pt idx="237">
                  <c:v>0.52656094360730599</c:v>
                </c:pt>
                <c:pt idx="238">
                  <c:v>0.50318664277653946</c:v>
                </c:pt>
                <c:pt idx="239">
                  <c:v>0.65163121615353137</c:v>
                </c:pt>
                <c:pt idx="240">
                  <c:v>0.69492327443833712</c:v>
                </c:pt>
                <c:pt idx="241">
                  <c:v>0.69844876345741724</c:v>
                </c:pt>
                <c:pt idx="242">
                  <c:v>0.97840652242756221</c:v>
                </c:pt>
                <c:pt idx="243">
                  <c:v>1.1996553110451145</c:v>
                </c:pt>
                <c:pt idx="244">
                  <c:v>1.7577853662240339</c:v>
                </c:pt>
                <c:pt idx="245">
                  <c:v>2.2181093169448838</c:v>
                </c:pt>
                <c:pt idx="246">
                  <c:v>2.4615848598948284</c:v>
                </c:pt>
                <c:pt idx="247">
                  <c:v>2.6535166205433605</c:v>
                </c:pt>
                <c:pt idx="248">
                  <c:v>2.3515851623922259</c:v>
                </c:pt>
                <c:pt idx="249">
                  <c:v>2.0390336545662988</c:v>
                </c:pt>
                <c:pt idx="250">
                  <c:v>1.6312269236530392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6-49A6-8022-A7F8A2CD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225386688"/>
        <c:axId val="225389088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Data!$Y$2:$Y$252</c:f>
              <c:numCache>
                <c:formatCode>General</c:formatCode>
                <c:ptCount val="251"/>
                <c:pt idx="25">
                  <c:v>-0.35583515508065489</c:v>
                </c:pt>
                <c:pt idx="26">
                  <c:v>-0.68303704849549263</c:v>
                </c:pt>
                <c:pt idx="27">
                  <c:v>-0.85183583053279222</c:v>
                </c:pt>
                <c:pt idx="28">
                  <c:v>-1.0469706502995564</c:v>
                </c:pt>
                <c:pt idx="29">
                  <c:v>-0.94062931934416838</c:v>
                </c:pt>
                <c:pt idx="30">
                  <c:v>-0.76442879715011713</c:v>
                </c:pt>
                <c:pt idx="31">
                  <c:v>-0.64957734760039898</c:v>
                </c:pt>
                <c:pt idx="32">
                  <c:v>-0.4987441338779206</c:v>
                </c:pt>
                <c:pt idx="33">
                  <c:v>-0.39642473128765232</c:v>
                </c:pt>
                <c:pt idx="34">
                  <c:v>-0.35561694029769342</c:v>
                </c:pt>
                <c:pt idx="35">
                  <c:v>-0.14010523008846576</c:v>
                </c:pt>
                <c:pt idx="36">
                  <c:v>-0.34937548300047183</c:v>
                </c:pt>
                <c:pt idx="37">
                  <c:v>-0.7821726841936254</c:v>
                </c:pt>
                <c:pt idx="38">
                  <c:v>-1.3428864722031619</c:v>
                </c:pt>
                <c:pt idx="39">
                  <c:v>-1.3448942950345213</c:v>
                </c:pt>
                <c:pt idx="40">
                  <c:v>-1.4468104605572591</c:v>
                </c:pt>
                <c:pt idx="41">
                  <c:v>-1.4870375365587734</c:v>
                </c:pt>
                <c:pt idx="42">
                  <c:v>-1.3165369546618706</c:v>
                </c:pt>
                <c:pt idx="43">
                  <c:v>-1.4798594394473241</c:v>
                </c:pt>
                <c:pt idx="44">
                  <c:v>-1.8103273755106102</c:v>
                </c:pt>
                <c:pt idx="45">
                  <c:v>-1.8292372698563497</c:v>
                </c:pt>
                <c:pt idx="46">
                  <c:v>-1.9117537139180456</c:v>
                </c:pt>
                <c:pt idx="47">
                  <c:v>-1.8166112844630504</c:v>
                </c:pt>
                <c:pt idx="48">
                  <c:v>-1.8170938678306356</c:v>
                </c:pt>
                <c:pt idx="49">
                  <c:v>-2.3511802922031961</c:v>
                </c:pt>
                <c:pt idx="50">
                  <c:v>-2.8967901085383403</c:v>
                </c:pt>
                <c:pt idx="51">
                  <c:v>-3.260936943461445</c:v>
                </c:pt>
                <c:pt idx="52">
                  <c:v>-3.465200851809044</c:v>
                </c:pt>
                <c:pt idx="53">
                  <c:v>-3.4844366677303071</c:v>
                </c:pt>
                <c:pt idx="54">
                  <c:v>-3.6217361056431798</c:v>
                </c:pt>
                <c:pt idx="55">
                  <c:v>-3.6720791284450911</c:v>
                </c:pt>
                <c:pt idx="56">
                  <c:v>-3.810073472481406</c:v>
                </c:pt>
                <c:pt idx="57">
                  <c:v>-3.9744841582935351</c:v>
                </c:pt>
                <c:pt idx="58">
                  <c:v>-3.9642704886786362</c:v>
                </c:pt>
                <c:pt idx="59">
                  <c:v>-3.9497809128985182</c:v>
                </c:pt>
                <c:pt idx="60">
                  <c:v>-3.9723912918412054</c:v>
                </c:pt>
                <c:pt idx="61">
                  <c:v>-3.8459191808493642</c:v>
                </c:pt>
                <c:pt idx="62">
                  <c:v>-3.8122909550768611</c:v>
                </c:pt>
                <c:pt idx="63">
                  <c:v>-3.8908752117499432</c:v>
                </c:pt>
                <c:pt idx="64">
                  <c:v>-3.6647987722573419</c:v>
                </c:pt>
                <c:pt idx="65">
                  <c:v>-3.4076186698371487</c:v>
                </c:pt>
                <c:pt idx="66">
                  <c:v>-3.1824477215610329</c:v>
                </c:pt>
                <c:pt idx="67">
                  <c:v>-2.9689668051446176</c:v>
                </c:pt>
                <c:pt idx="68">
                  <c:v>-2.899499228976282</c:v>
                </c:pt>
                <c:pt idx="69">
                  <c:v>-2.8144235014486298</c:v>
                </c:pt>
                <c:pt idx="70">
                  <c:v>-2.7779177490956215</c:v>
                </c:pt>
                <c:pt idx="71">
                  <c:v>-2.555721871906286</c:v>
                </c:pt>
                <c:pt idx="72">
                  <c:v>-2.4083522032034637</c:v>
                </c:pt>
                <c:pt idx="73">
                  <c:v>-2.165730927687548</c:v>
                </c:pt>
                <c:pt idx="74">
                  <c:v>-1.9884552169250753</c:v>
                </c:pt>
                <c:pt idx="75">
                  <c:v>-1.8699804553085926</c:v>
                </c:pt>
                <c:pt idx="76">
                  <c:v>-1.6808622750642712</c:v>
                </c:pt>
                <c:pt idx="77">
                  <c:v>-1.5223125637610053</c:v>
                </c:pt>
                <c:pt idx="78">
                  <c:v>-1.4310008234093061</c:v>
                </c:pt>
                <c:pt idx="79">
                  <c:v>-1.4293064305593077</c:v>
                </c:pt>
                <c:pt idx="80">
                  <c:v>-1.4172745680066328</c:v>
                </c:pt>
                <c:pt idx="81">
                  <c:v>-1.2425228287644359</c:v>
                </c:pt>
                <c:pt idx="82">
                  <c:v>-1.2454093825916175</c:v>
                </c:pt>
                <c:pt idx="83">
                  <c:v>-1.0420252366431839</c:v>
                </c:pt>
                <c:pt idx="84">
                  <c:v>-0.98647326774749899</c:v>
                </c:pt>
                <c:pt idx="85">
                  <c:v>-0.88703542011984382</c:v>
                </c:pt>
                <c:pt idx="86">
                  <c:v>-0.96813641790308225</c:v>
                </c:pt>
                <c:pt idx="87">
                  <c:v>-1.0381940495805111</c:v>
                </c:pt>
                <c:pt idx="88">
                  <c:v>-1.0812512362271605</c:v>
                </c:pt>
                <c:pt idx="89">
                  <c:v>-1.1010681062639662</c:v>
                </c:pt>
                <c:pt idx="90">
                  <c:v>-0.94769308300203647</c:v>
                </c:pt>
                <c:pt idx="91">
                  <c:v>-1.0584369470218746</c:v>
                </c:pt>
                <c:pt idx="92">
                  <c:v>-1.117185707185314</c:v>
                </c:pt>
                <c:pt idx="93">
                  <c:v>-0.92552521207477412</c:v>
                </c:pt>
                <c:pt idx="94">
                  <c:v>-0.68504447987055528</c:v>
                </c:pt>
                <c:pt idx="95">
                  <c:v>-0.23196077823050132</c:v>
                </c:pt>
                <c:pt idx="96">
                  <c:v>0.22298469488609385</c:v>
                </c:pt>
                <c:pt idx="97">
                  <c:v>0.48913303200154701</c:v>
                </c:pt>
                <c:pt idx="98">
                  <c:v>0.61789160914895547</c:v>
                </c:pt>
                <c:pt idx="99">
                  <c:v>0.75879486350493153</c:v>
                </c:pt>
                <c:pt idx="100">
                  <c:v>0.81586955152167207</c:v>
                </c:pt>
                <c:pt idx="101">
                  <c:v>0.97892385636072277</c:v>
                </c:pt>
                <c:pt idx="102">
                  <c:v>1.0301040227575982</c:v>
                </c:pt>
                <c:pt idx="103">
                  <c:v>1.0831927112707262</c:v>
                </c:pt>
                <c:pt idx="104">
                  <c:v>0.97204347621666898</c:v>
                </c:pt>
                <c:pt idx="105">
                  <c:v>0.99673232651659305</c:v>
                </c:pt>
                <c:pt idx="106">
                  <c:v>1.8096169547969509</c:v>
                </c:pt>
                <c:pt idx="107">
                  <c:v>2.2503713848765017</c:v>
                </c:pt>
                <c:pt idx="108">
                  <c:v>2.4471975465071694</c:v>
                </c:pt>
                <c:pt idx="109">
                  <c:v>2.9197286127818245</c:v>
                </c:pt>
                <c:pt idx="110">
                  <c:v>3.2263586092901164</c:v>
                </c:pt>
                <c:pt idx="111">
                  <c:v>3.3380902748246228</c:v>
                </c:pt>
                <c:pt idx="112">
                  <c:v>3.3030300096471024</c:v>
                </c:pt>
                <c:pt idx="113">
                  <c:v>3.0879482633154396</c:v>
                </c:pt>
                <c:pt idx="114">
                  <c:v>3.06931785506913</c:v>
                </c:pt>
                <c:pt idx="115">
                  <c:v>2.9375781579522879</c:v>
                </c:pt>
                <c:pt idx="116">
                  <c:v>2.4068125473000066</c:v>
                </c:pt>
                <c:pt idx="117">
                  <c:v>2.0720325099251511</c:v>
                </c:pt>
                <c:pt idx="118">
                  <c:v>1.8084637340909921</c:v>
                </c:pt>
                <c:pt idx="119">
                  <c:v>1.5725797788466878</c:v>
                </c:pt>
                <c:pt idx="120">
                  <c:v>1.4775415828137284</c:v>
                </c:pt>
                <c:pt idx="121">
                  <c:v>1.6351322658897232</c:v>
                </c:pt>
                <c:pt idx="122">
                  <c:v>1.8428727467511123</c:v>
                </c:pt>
                <c:pt idx="123">
                  <c:v>1.9575084768077318</c:v>
                </c:pt>
                <c:pt idx="124">
                  <c:v>2.1845591658628223</c:v>
                </c:pt>
                <c:pt idx="125">
                  <c:v>2.5353873790442947</c:v>
                </c:pt>
                <c:pt idx="126">
                  <c:v>2.7231258665335645</c:v>
                </c:pt>
                <c:pt idx="127">
                  <c:v>2.9811759536943043</c:v>
                </c:pt>
                <c:pt idx="128">
                  <c:v>3.0815721649604484</c:v>
                </c:pt>
                <c:pt idx="129">
                  <c:v>3.3333176619358085</c:v>
                </c:pt>
                <c:pt idx="130">
                  <c:v>3.3784935622790613</c:v>
                </c:pt>
                <c:pt idx="131">
                  <c:v>3.2357852954564805</c:v>
                </c:pt>
                <c:pt idx="132">
                  <c:v>3.1397513508467227</c:v>
                </c:pt>
                <c:pt idx="133">
                  <c:v>2.9138586438066056</c:v>
                </c:pt>
                <c:pt idx="134">
                  <c:v>2.6079443161391964</c:v>
                </c:pt>
                <c:pt idx="135">
                  <c:v>2.3896018165007717</c:v>
                </c:pt>
                <c:pt idx="136">
                  <c:v>2.1386542533481361</c:v>
                </c:pt>
                <c:pt idx="137">
                  <c:v>2.0508901596718658</c:v>
                </c:pt>
                <c:pt idx="138">
                  <c:v>2.08878564001472</c:v>
                </c:pt>
                <c:pt idx="139">
                  <c:v>1.9638457953828947</c:v>
                </c:pt>
                <c:pt idx="140">
                  <c:v>1.7039773040572754</c:v>
                </c:pt>
                <c:pt idx="141">
                  <c:v>1.441072049553668</c:v>
                </c:pt>
                <c:pt idx="142">
                  <c:v>0.84533634246901102</c:v>
                </c:pt>
                <c:pt idx="143">
                  <c:v>0.47984157090732538</c:v>
                </c:pt>
                <c:pt idx="144">
                  <c:v>0.1529172732916777</c:v>
                </c:pt>
                <c:pt idx="145">
                  <c:v>2.0279521333065986E-2</c:v>
                </c:pt>
                <c:pt idx="146">
                  <c:v>-0.13971050679782593</c:v>
                </c:pt>
                <c:pt idx="147">
                  <c:v>-0.49400798744972008</c:v>
                </c:pt>
                <c:pt idx="148">
                  <c:v>-0.81462273169321975</c:v>
                </c:pt>
                <c:pt idx="149">
                  <c:v>-0.96080667397296793</c:v>
                </c:pt>
                <c:pt idx="150">
                  <c:v>-1.1042749287622371</c:v>
                </c:pt>
                <c:pt idx="151">
                  <c:v>-1.1219292602494306</c:v>
                </c:pt>
                <c:pt idx="152">
                  <c:v>-1.1812091010413894</c:v>
                </c:pt>
                <c:pt idx="153">
                  <c:v>-1.1447906389719549</c:v>
                </c:pt>
                <c:pt idx="154">
                  <c:v>-1.08167314716286</c:v>
                </c:pt>
                <c:pt idx="155">
                  <c:v>-1.1993825407920724</c:v>
                </c:pt>
                <c:pt idx="156">
                  <c:v>-1.2364553416036301</c:v>
                </c:pt>
                <c:pt idx="157">
                  <c:v>-1.2729487856399828</c:v>
                </c:pt>
                <c:pt idx="158">
                  <c:v>-1.2654955148919669</c:v>
                </c:pt>
                <c:pt idx="159">
                  <c:v>-1.0298498410592742</c:v>
                </c:pt>
                <c:pt idx="160">
                  <c:v>-0.89970180781645581</c:v>
                </c:pt>
                <c:pt idx="161">
                  <c:v>-0.81380574977359288</c:v>
                </c:pt>
                <c:pt idx="162">
                  <c:v>-0.91911447068278562</c:v>
                </c:pt>
                <c:pt idx="163">
                  <c:v>-0.90419549737021043</c:v>
                </c:pt>
                <c:pt idx="164">
                  <c:v>-1.0377581764287811</c:v>
                </c:pt>
                <c:pt idx="165">
                  <c:v>-0.66231288878032046</c:v>
                </c:pt>
                <c:pt idx="166">
                  <c:v>6.7763195716651126E-2</c:v>
                </c:pt>
                <c:pt idx="167">
                  <c:v>0.54405912293546521</c:v>
                </c:pt>
                <c:pt idx="168">
                  <c:v>1.1224213551104754</c:v>
                </c:pt>
                <c:pt idx="169">
                  <c:v>1.532449641229249</c:v>
                </c:pt>
                <c:pt idx="170">
                  <c:v>1.9566889008239627</c:v>
                </c:pt>
                <c:pt idx="171">
                  <c:v>2.3497346010668423</c:v>
                </c:pt>
                <c:pt idx="172">
                  <c:v>2.6253147411310067</c:v>
                </c:pt>
                <c:pt idx="173">
                  <c:v>2.7746118338749568</c:v>
                </c:pt>
                <c:pt idx="174">
                  <c:v>2.8479971705390028</c:v>
                </c:pt>
                <c:pt idx="175">
                  <c:v>2.7517834352127011</c:v>
                </c:pt>
                <c:pt idx="176">
                  <c:v>2.6482338313506091</c:v>
                </c:pt>
                <c:pt idx="177">
                  <c:v>2.6230797675686404</c:v>
                </c:pt>
                <c:pt idx="178">
                  <c:v>2.3732516005876789</c:v>
                </c:pt>
                <c:pt idx="179">
                  <c:v>1.8345742435446084</c:v>
                </c:pt>
                <c:pt idx="180">
                  <c:v>1.5025099410915743</c:v>
                </c:pt>
                <c:pt idx="181">
                  <c:v>1.1087557446842879</c:v>
                </c:pt>
                <c:pt idx="182">
                  <c:v>0.58899099542290401</c:v>
                </c:pt>
                <c:pt idx="183">
                  <c:v>0.11921529733581337</c:v>
                </c:pt>
                <c:pt idx="184">
                  <c:v>-0.25339204785873903</c:v>
                </c:pt>
                <c:pt idx="185">
                  <c:v>-0.6445414830070888</c:v>
                </c:pt>
                <c:pt idx="186">
                  <c:v>-0.83436464179274594</c:v>
                </c:pt>
                <c:pt idx="187">
                  <c:v>-0.99990284720266231</c:v>
                </c:pt>
                <c:pt idx="188">
                  <c:v>-0.92196380190043214</c:v>
                </c:pt>
                <c:pt idx="189">
                  <c:v>-0.90543647236850688</c:v>
                </c:pt>
                <c:pt idx="190">
                  <c:v>-0.83191293530080657</c:v>
                </c:pt>
                <c:pt idx="191">
                  <c:v>-0.69861770899078124</c:v>
                </c:pt>
                <c:pt idx="192">
                  <c:v>-0.42827395380211897</c:v>
                </c:pt>
                <c:pt idx="193">
                  <c:v>-0.13659979855401616</c:v>
                </c:pt>
                <c:pt idx="194">
                  <c:v>-3.8945120812002187E-2</c:v>
                </c:pt>
                <c:pt idx="195">
                  <c:v>-4.256102718721877E-2</c:v>
                </c:pt>
                <c:pt idx="196">
                  <c:v>-2.6561397969061318E-2</c:v>
                </c:pt>
                <c:pt idx="197">
                  <c:v>-7.9934208148927155E-2</c:v>
                </c:pt>
                <c:pt idx="198">
                  <c:v>-7.2178612612958659E-2</c:v>
                </c:pt>
                <c:pt idx="199">
                  <c:v>8.3894046141608669E-2</c:v>
                </c:pt>
                <c:pt idx="200">
                  <c:v>0.265843917859371</c:v>
                </c:pt>
                <c:pt idx="201">
                  <c:v>0.46679217726378397</c:v>
                </c:pt>
                <c:pt idx="202">
                  <c:v>0.54711583147224019</c:v>
                </c:pt>
                <c:pt idx="203">
                  <c:v>0.55993788725976401</c:v>
                </c:pt>
                <c:pt idx="204">
                  <c:v>0.47186470718150986</c:v>
                </c:pt>
                <c:pt idx="205">
                  <c:v>0.24671489706688021</c:v>
                </c:pt>
                <c:pt idx="206">
                  <c:v>0.11616487607031445</c:v>
                </c:pt>
                <c:pt idx="207">
                  <c:v>-6.6416079138605255E-2</c:v>
                </c:pt>
                <c:pt idx="208">
                  <c:v>0.19493976597280493</c:v>
                </c:pt>
                <c:pt idx="209">
                  <c:v>0.34483463304329121</c:v>
                </c:pt>
                <c:pt idx="210">
                  <c:v>0.58677694048546414</c:v>
                </c:pt>
                <c:pt idx="211">
                  <c:v>0.81511604813405825</c:v>
                </c:pt>
                <c:pt idx="212">
                  <c:v>0.91691886981735138</c:v>
                </c:pt>
                <c:pt idx="213">
                  <c:v>0.96309579427213521</c:v>
                </c:pt>
                <c:pt idx="214">
                  <c:v>0.93166066905271805</c:v>
                </c:pt>
                <c:pt idx="215">
                  <c:v>0.79989057756679927</c:v>
                </c:pt>
                <c:pt idx="216">
                  <c:v>0.59898933121669984</c:v>
                </c:pt>
                <c:pt idx="217">
                  <c:v>0.1659300717547012</c:v>
                </c:pt>
                <c:pt idx="218">
                  <c:v>-0.17046598704601479</c:v>
                </c:pt>
                <c:pt idx="219">
                  <c:v>-0.42889063725121446</c:v>
                </c:pt>
                <c:pt idx="220">
                  <c:v>-0.58977729325522432</c:v>
                </c:pt>
                <c:pt idx="221">
                  <c:v>-0.715488749745532</c:v>
                </c:pt>
                <c:pt idx="222">
                  <c:v>-0.85688104471947213</c:v>
                </c:pt>
                <c:pt idx="223">
                  <c:v>-1.0607994405569343</c:v>
                </c:pt>
                <c:pt idx="224">
                  <c:v>-1.3927491872608471</c:v>
                </c:pt>
                <c:pt idx="225">
                  <c:v>-1.7135331861056784</c:v>
                </c:pt>
                <c:pt idx="226">
                  <c:v>-2.1008877927663718</c:v>
                </c:pt>
                <c:pt idx="227">
                  <c:v>-2.1921668972126156</c:v>
                </c:pt>
                <c:pt idx="228">
                  <c:v>-2.1956229830640837</c:v>
                </c:pt>
                <c:pt idx="229">
                  <c:v>-2.0576398824284468</c:v>
                </c:pt>
                <c:pt idx="230">
                  <c:v>-1.7569677678856692</c:v>
                </c:pt>
                <c:pt idx="231">
                  <c:v>-1.3067321480258158</c:v>
                </c:pt>
                <c:pt idx="232">
                  <c:v>-0.88724005670513861</c:v>
                </c:pt>
                <c:pt idx="233">
                  <c:v>-0.56841018394158027</c:v>
                </c:pt>
                <c:pt idx="234">
                  <c:v>-0.20524250375427755</c:v>
                </c:pt>
                <c:pt idx="235">
                  <c:v>8.2392115349705364E-3</c:v>
                </c:pt>
                <c:pt idx="236">
                  <c:v>-1.1263595136227877E-2</c:v>
                </c:pt>
                <c:pt idx="237">
                  <c:v>-1.2056237455425389E-2</c:v>
                </c:pt>
                <c:pt idx="238">
                  <c:v>9.0366122407942839E-2</c:v>
                </c:pt>
                <c:pt idx="239">
                  <c:v>0.40171849982331764</c:v>
                </c:pt>
                <c:pt idx="240">
                  <c:v>0.61874137671770768</c:v>
                </c:pt>
                <c:pt idx="241">
                  <c:v>0.79687905660114211</c:v>
                </c:pt>
                <c:pt idx="242">
                  <c:v>1.3214384461781776</c:v>
                </c:pt>
                <c:pt idx="243">
                  <c:v>1.8426010625570086</c:v>
                </c:pt>
                <c:pt idx="244">
                  <c:v>2.8401774592919367</c:v>
                </c:pt>
                <c:pt idx="245">
                  <c:v>3.8550287392490077</c:v>
                </c:pt>
                <c:pt idx="246">
                  <c:v>4.7139004971726592</c:v>
                </c:pt>
                <c:pt idx="247">
                  <c:v>5.5692114129570314</c:v>
                </c:pt>
                <c:pt idx="248">
                  <c:v>5.8551762454039533</c:v>
                </c:pt>
                <c:pt idx="249">
                  <c:v>6.0523831512196011</c:v>
                </c:pt>
                <c:pt idx="250">
                  <c:v>6.0523831512196011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6-49A6-8022-A7F8A2CDBA6B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45706</c:v>
                </c:pt>
                <c:pt idx="5">
                  <c:v>45707</c:v>
                </c:pt>
                <c:pt idx="6">
                  <c:v>45708</c:v>
                </c:pt>
                <c:pt idx="7">
                  <c:v>45709</c:v>
                </c:pt>
                <c:pt idx="8">
                  <c:v>45712</c:v>
                </c:pt>
                <c:pt idx="9">
                  <c:v>45713</c:v>
                </c:pt>
                <c:pt idx="10">
                  <c:v>45714</c:v>
                </c:pt>
                <c:pt idx="11">
                  <c:v>45715</c:v>
                </c:pt>
                <c:pt idx="12">
                  <c:v>45716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45768</c:v>
                </c:pt>
                <c:pt idx="48">
                  <c:v>45769</c:v>
                </c:pt>
                <c:pt idx="49">
                  <c:v>45770</c:v>
                </c:pt>
                <c:pt idx="50">
                  <c:v>45771</c:v>
                </c:pt>
                <c:pt idx="51">
                  <c:v>45772</c:v>
                </c:pt>
                <c:pt idx="52">
                  <c:v>45775</c:v>
                </c:pt>
                <c:pt idx="53">
                  <c:v>45776</c:v>
                </c:pt>
                <c:pt idx="54">
                  <c:v>45777</c:v>
                </c:pt>
                <c:pt idx="55">
                  <c:v>45778</c:v>
                </c:pt>
                <c:pt idx="56">
                  <c:v>45779</c:v>
                </c:pt>
                <c:pt idx="57">
                  <c:v>45782</c:v>
                </c:pt>
                <c:pt idx="58">
                  <c:v>45783</c:v>
                </c:pt>
                <c:pt idx="59">
                  <c:v>45784</c:v>
                </c:pt>
                <c:pt idx="60">
                  <c:v>45785</c:v>
                </c:pt>
                <c:pt idx="61">
                  <c:v>45786</c:v>
                </c:pt>
                <c:pt idx="62">
                  <c:v>45789</c:v>
                </c:pt>
                <c:pt idx="63">
                  <c:v>45790</c:v>
                </c:pt>
                <c:pt idx="64">
                  <c:v>45791</c:v>
                </c:pt>
                <c:pt idx="65">
                  <c:v>45792</c:v>
                </c:pt>
                <c:pt idx="66">
                  <c:v>45793</c:v>
                </c:pt>
                <c:pt idx="67">
                  <c:v>45796</c:v>
                </c:pt>
                <c:pt idx="68">
                  <c:v>45797</c:v>
                </c:pt>
                <c:pt idx="69">
                  <c:v>45798</c:v>
                </c:pt>
                <c:pt idx="70">
                  <c:v>45799</c:v>
                </c:pt>
                <c:pt idx="71">
                  <c:v>45800</c:v>
                </c:pt>
                <c:pt idx="72">
                  <c:v>45804</c:v>
                </c:pt>
                <c:pt idx="73">
                  <c:v>45805</c:v>
                </c:pt>
                <c:pt idx="74">
                  <c:v>45806</c:v>
                </c:pt>
                <c:pt idx="75">
                  <c:v>45807</c:v>
                </c:pt>
                <c:pt idx="76">
                  <c:v>45810</c:v>
                </c:pt>
                <c:pt idx="77">
                  <c:v>45811</c:v>
                </c:pt>
                <c:pt idx="78">
                  <c:v>45812</c:v>
                </c:pt>
                <c:pt idx="79">
                  <c:v>45813</c:v>
                </c:pt>
                <c:pt idx="80">
                  <c:v>45814</c:v>
                </c:pt>
                <c:pt idx="81">
                  <c:v>45817</c:v>
                </c:pt>
                <c:pt idx="82">
                  <c:v>45818</c:v>
                </c:pt>
                <c:pt idx="83">
                  <c:v>45819</c:v>
                </c:pt>
                <c:pt idx="84">
                  <c:v>45820</c:v>
                </c:pt>
                <c:pt idx="85">
                  <c:v>45821</c:v>
                </c:pt>
                <c:pt idx="86">
                  <c:v>45824</c:v>
                </c:pt>
                <c:pt idx="87">
                  <c:v>45825</c:v>
                </c:pt>
                <c:pt idx="88">
                  <c:v>45826</c:v>
                </c:pt>
                <c:pt idx="89">
                  <c:v>45828</c:v>
                </c:pt>
                <c:pt idx="90">
                  <c:v>45831</c:v>
                </c:pt>
                <c:pt idx="91">
                  <c:v>45832</c:v>
                </c:pt>
                <c:pt idx="92">
                  <c:v>45833</c:v>
                </c:pt>
                <c:pt idx="93">
                  <c:v>45834</c:v>
                </c:pt>
                <c:pt idx="94">
                  <c:v>45835</c:v>
                </c:pt>
                <c:pt idx="95">
                  <c:v>45838</c:v>
                </c:pt>
                <c:pt idx="96">
                  <c:v>45839</c:v>
                </c:pt>
                <c:pt idx="97">
                  <c:v>45840</c:v>
                </c:pt>
                <c:pt idx="98">
                  <c:v>45841</c:v>
                </c:pt>
                <c:pt idx="99">
                  <c:v>45845</c:v>
                </c:pt>
                <c:pt idx="100">
                  <c:v>45846</c:v>
                </c:pt>
                <c:pt idx="101">
                  <c:v>45847</c:v>
                </c:pt>
                <c:pt idx="102">
                  <c:v>45848</c:v>
                </c:pt>
                <c:pt idx="103">
                  <c:v>45849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45859</c:v>
                </c:pt>
                <c:pt idx="110">
                  <c:v>45860</c:v>
                </c:pt>
                <c:pt idx="111">
                  <c:v>45861</c:v>
                </c:pt>
                <c:pt idx="112">
                  <c:v>45862</c:v>
                </c:pt>
                <c:pt idx="113">
                  <c:v>45863</c:v>
                </c:pt>
                <c:pt idx="114">
                  <c:v>45866</c:v>
                </c:pt>
                <c:pt idx="115">
                  <c:v>45867</c:v>
                </c:pt>
                <c:pt idx="116">
                  <c:v>45868</c:v>
                </c:pt>
                <c:pt idx="117">
                  <c:v>45869</c:v>
                </c:pt>
                <c:pt idx="118">
                  <c:v>45870</c:v>
                </c:pt>
                <c:pt idx="119">
                  <c:v>45873</c:v>
                </c:pt>
                <c:pt idx="120">
                  <c:v>45874</c:v>
                </c:pt>
                <c:pt idx="121">
                  <c:v>45875</c:v>
                </c:pt>
                <c:pt idx="122">
                  <c:v>45876</c:v>
                </c:pt>
                <c:pt idx="123">
                  <c:v>45877</c:v>
                </c:pt>
                <c:pt idx="124">
                  <c:v>45880</c:v>
                </c:pt>
                <c:pt idx="125">
                  <c:v>45881</c:v>
                </c:pt>
                <c:pt idx="126">
                  <c:v>45882</c:v>
                </c:pt>
                <c:pt idx="127">
                  <c:v>45883</c:v>
                </c:pt>
                <c:pt idx="128">
                  <c:v>45884</c:v>
                </c:pt>
                <c:pt idx="129">
                  <c:v>45887</c:v>
                </c:pt>
                <c:pt idx="130">
                  <c:v>45888</c:v>
                </c:pt>
                <c:pt idx="131">
                  <c:v>45889</c:v>
                </c:pt>
                <c:pt idx="132">
                  <c:v>45890</c:v>
                </c:pt>
                <c:pt idx="133">
                  <c:v>45891</c:v>
                </c:pt>
                <c:pt idx="134">
                  <c:v>45894</c:v>
                </c:pt>
                <c:pt idx="135">
                  <c:v>45895</c:v>
                </c:pt>
                <c:pt idx="136">
                  <c:v>45896</c:v>
                </c:pt>
                <c:pt idx="137">
                  <c:v>45897</c:v>
                </c:pt>
                <c:pt idx="138">
                  <c:v>45898</c:v>
                </c:pt>
                <c:pt idx="139">
                  <c:v>45902</c:v>
                </c:pt>
                <c:pt idx="140">
                  <c:v>45903</c:v>
                </c:pt>
                <c:pt idx="141">
                  <c:v>45904</c:v>
                </c:pt>
                <c:pt idx="142">
                  <c:v>45905</c:v>
                </c:pt>
                <c:pt idx="143">
                  <c:v>45908</c:v>
                </c:pt>
                <c:pt idx="144">
                  <c:v>45909</c:v>
                </c:pt>
                <c:pt idx="145">
                  <c:v>45910</c:v>
                </c:pt>
                <c:pt idx="146">
                  <c:v>45911</c:v>
                </c:pt>
                <c:pt idx="147">
                  <c:v>45912</c:v>
                </c:pt>
                <c:pt idx="148">
                  <c:v>45915</c:v>
                </c:pt>
                <c:pt idx="149">
                  <c:v>45916</c:v>
                </c:pt>
                <c:pt idx="150">
                  <c:v>45917</c:v>
                </c:pt>
                <c:pt idx="151">
                  <c:v>45918</c:v>
                </c:pt>
                <c:pt idx="152">
                  <c:v>45919</c:v>
                </c:pt>
                <c:pt idx="153">
                  <c:v>45922</c:v>
                </c:pt>
                <c:pt idx="154">
                  <c:v>45923</c:v>
                </c:pt>
                <c:pt idx="155">
                  <c:v>45924</c:v>
                </c:pt>
                <c:pt idx="156">
                  <c:v>45925</c:v>
                </c:pt>
                <c:pt idx="157">
                  <c:v>45926</c:v>
                </c:pt>
                <c:pt idx="158">
                  <c:v>45929</c:v>
                </c:pt>
                <c:pt idx="159">
                  <c:v>45930</c:v>
                </c:pt>
                <c:pt idx="160">
                  <c:v>45931</c:v>
                </c:pt>
                <c:pt idx="161">
                  <c:v>45932</c:v>
                </c:pt>
                <c:pt idx="162">
                  <c:v>45933</c:v>
                </c:pt>
                <c:pt idx="163">
                  <c:v>45936</c:v>
                </c:pt>
                <c:pt idx="164">
                  <c:v>45937</c:v>
                </c:pt>
                <c:pt idx="165">
                  <c:v>45938</c:v>
                </c:pt>
                <c:pt idx="166">
                  <c:v>45939</c:v>
                </c:pt>
                <c:pt idx="167">
                  <c:v>45940</c:v>
                </c:pt>
                <c:pt idx="168">
                  <c:v>45943</c:v>
                </c:pt>
                <c:pt idx="169">
                  <c:v>45944</c:v>
                </c:pt>
                <c:pt idx="170">
                  <c:v>45945</c:v>
                </c:pt>
                <c:pt idx="171">
                  <c:v>45946</c:v>
                </c:pt>
                <c:pt idx="172">
                  <c:v>45947</c:v>
                </c:pt>
                <c:pt idx="173">
                  <c:v>45950</c:v>
                </c:pt>
                <c:pt idx="174">
                  <c:v>45951</c:v>
                </c:pt>
                <c:pt idx="175">
                  <c:v>45952</c:v>
                </c:pt>
                <c:pt idx="176">
                  <c:v>45953</c:v>
                </c:pt>
                <c:pt idx="177">
                  <c:v>45954</c:v>
                </c:pt>
                <c:pt idx="178">
                  <c:v>45957</c:v>
                </c:pt>
                <c:pt idx="179">
                  <c:v>45958</c:v>
                </c:pt>
                <c:pt idx="180">
                  <c:v>45959</c:v>
                </c:pt>
                <c:pt idx="181">
                  <c:v>45960</c:v>
                </c:pt>
                <c:pt idx="182">
                  <c:v>45961</c:v>
                </c:pt>
                <c:pt idx="183">
                  <c:v>45964</c:v>
                </c:pt>
                <c:pt idx="184">
                  <c:v>45965</c:v>
                </c:pt>
                <c:pt idx="185">
                  <c:v>45966</c:v>
                </c:pt>
                <c:pt idx="186">
                  <c:v>45967</c:v>
                </c:pt>
                <c:pt idx="187">
                  <c:v>45968</c:v>
                </c:pt>
                <c:pt idx="188">
                  <c:v>45971</c:v>
                </c:pt>
                <c:pt idx="189">
                  <c:v>45972</c:v>
                </c:pt>
                <c:pt idx="190">
                  <c:v>45973</c:v>
                </c:pt>
                <c:pt idx="191">
                  <c:v>45974</c:v>
                </c:pt>
                <c:pt idx="192">
                  <c:v>45975</c:v>
                </c:pt>
                <c:pt idx="193">
                  <c:v>45978</c:v>
                </c:pt>
                <c:pt idx="194">
                  <c:v>45979</c:v>
                </c:pt>
                <c:pt idx="195">
                  <c:v>45980</c:v>
                </c:pt>
                <c:pt idx="196">
                  <c:v>45981</c:v>
                </c:pt>
                <c:pt idx="197">
                  <c:v>45982</c:v>
                </c:pt>
                <c:pt idx="198">
                  <c:v>45985</c:v>
                </c:pt>
                <c:pt idx="199">
                  <c:v>45986</c:v>
                </c:pt>
                <c:pt idx="200">
                  <c:v>45987</c:v>
                </c:pt>
                <c:pt idx="201">
                  <c:v>45989</c:v>
                </c:pt>
                <c:pt idx="202">
                  <c:v>45992</c:v>
                </c:pt>
                <c:pt idx="203">
                  <c:v>45993</c:v>
                </c:pt>
                <c:pt idx="204">
                  <c:v>45994</c:v>
                </c:pt>
                <c:pt idx="205">
                  <c:v>45995</c:v>
                </c:pt>
                <c:pt idx="206">
                  <c:v>45996</c:v>
                </c:pt>
                <c:pt idx="207">
                  <c:v>45999</c:v>
                </c:pt>
                <c:pt idx="208">
                  <c:v>46000</c:v>
                </c:pt>
                <c:pt idx="209">
                  <c:v>46001</c:v>
                </c:pt>
                <c:pt idx="210">
                  <c:v>46002</c:v>
                </c:pt>
                <c:pt idx="211">
                  <c:v>46003</c:v>
                </c:pt>
                <c:pt idx="212">
                  <c:v>46006</c:v>
                </c:pt>
                <c:pt idx="213">
                  <c:v>46007</c:v>
                </c:pt>
                <c:pt idx="214">
                  <c:v>46008</c:v>
                </c:pt>
                <c:pt idx="215">
                  <c:v>46009</c:v>
                </c:pt>
                <c:pt idx="216">
                  <c:v>46010</c:v>
                </c:pt>
                <c:pt idx="217">
                  <c:v>46013</c:v>
                </c:pt>
                <c:pt idx="218">
                  <c:v>46014</c:v>
                </c:pt>
                <c:pt idx="219">
                  <c:v>46015</c:v>
                </c:pt>
                <c:pt idx="220">
                  <c:v>46017</c:v>
                </c:pt>
                <c:pt idx="221">
                  <c:v>46020</c:v>
                </c:pt>
                <c:pt idx="222">
                  <c:v>46021</c:v>
                </c:pt>
                <c:pt idx="223">
                  <c:v>46022</c:v>
                </c:pt>
                <c:pt idx="224">
                  <c:v>46024</c:v>
                </c:pt>
                <c:pt idx="225">
                  <c:v>46027</c:v>
                </c:pt>
                <c:pt idx="226">
                  <c:v>46028</c:v>
                </c:pt>
                <c:pt idx="227">
                  <c:v>46029</c:v>
                </c:pt>
                <c:pt idx="228">
                  <c:v>46030</c:v>
                </c:pt>
                <c:pt idx="229">
                  <c:v>46031</c:v>
                </c:pt>
                <c:pt idx="230">
                  <c:v>46034</c:v>
                </c:pt>
                <c:pt idx="231">
                  <c:v>46035</c:v>
                </c:pt>
                <c:pt idx="232">
                  <c:v>46036</c:v>
                </c:pt>
                <c:pt idx="233">
                  <c:v>46037</c:v>
                </c:pt>
                <c:pt idx="234">
                  <c:v>46038</c:v>
                </c:pt>
                <c:pt idx="235">
                  <c:v>46042</c:v>
                </c:pt>
                <c:pt idx="236">
                  <c:v>46043</c:v>
                </c:pt>
                <c:pt idx="237">
                  <c:v>46044</c:v>
                </c:pt>
                <c:pt idx="238">
                  <c:v>46045</c:v>
                </c:pt>
                <c:pt idx="239">
                  <c:v>46048</c:v>
                </c:pt>
                <c:pt idx="240">
                  <c:v>46049</c:v>
                </c:pt>
                <c:pt idx="241">
                  <c:v>46050</c:v>
                </c:pt>
                <c:pt idx="242">
                  <c:v>46051</c:v>
                </c:pt>
                <c:pt idx="243">
                  <c:v>46052</c:v>
                </c:pt>
                <c:pt idx="244">
                  <c:v>46055</c:v>
                </c:pt>
                <c:pt idx="245">
                  <c:v>46056</c:v>
                </c:pt>
                <c:pt idx="246">
                  <c:v>46057</c:v>
                </c:pt>
                <c:pt idx="247">
                  <c:v>46058</c:v>
                </c:pt>
                <c:pt idx="248">
                  <c:v>46059</c:v>
                </c:pt>
                <c:pt idx="249">
                  <c:v>46062</c:v>
                </c:pt>
                <c:pt idx="250">
                  <c:v>46063</c:v>
                </c:pt>
              </c:numCache>
            </c:numRef>
          </c:cat>
          <c:val>
            <c:numRef>
              <c:f>Data!$Z$2:$Z$252</c:f>
              <c:numCache>
                <c:formatCode>General</c:formatCode>
                <c:ptCount val="251"/>
                <c:pt idx="34">
                  <c:v>-0.6874738665428658</c:v>
                </c:pt>
                <c:pt idx="35">
                  <c:v>-0.57800013925198579</c:v>
                </c:pt>
                <c:pt idx="36">
                  <c:v>-0.53227520800168304</c:v>
                </c:pt>
                <c:pt idx="37">
                  <c:v>-0.58225470324007156</c:v>
                </c:pt>
                <c:pt idx="38">
                  <c:v>-0.73438105703268963</c:v>
                </c:pt>
                <c:pt idx="39">
                  <c:v>-0.85648370463305601</c:v>
                </c:pt>
                <c:pt idx="40">
                  <c:v>-0.97454905581789664</c:v>
                </c:pt>
                <c:pt idx="41">
                  <c:v>-1.077046751966072</c:v>
                </c:pt>
                <c:pt idx="42">
                  <c:v>-1.1249447925052318</c:v>
                </c:pt>
                <c:pt idx="43">
                  <c:v>-1.1959277218936504</c:v>
                </c:pt>
                <c:pt idx="44">
                  <c:v>-1.3188076526170422</c:v>
                </c:pt>
                <c:pt idx="45">
                  <c:v>-1.4208935760649037</c:v>
                </c:pt>
                <c:pt idx="46">
                  <c:v>-1.5190656036355321</c:v>
                </c:pt>
                <c:pt idx="47">
                  <c:v>-1.5785747398010357</c:v>
                </c:pt>
                <c:pt idx="48">
                  <c:v>-1.6262785654069558</c:v>
                </c:pt>
                <c:pt idx="49">
                  <c:v>-1.771258910766204</c:v>
                </c:pt>
                <c:pt idx="50">
                  <c:v>-1.9963651503206314</c:v>
                </c:pt>
                <c:pt idx="51">
                  <c:v>-2.2492795089487942</c:v>
                </c:pt>
                <c:pt idx="52">
                  <c:v>-2.4924637775208445</c:v>
                </c:pt>
                <c:pt idx="53">
                  <c:v>-2.690858355562737</c:v>
                </c:pt>
                <c:pt idx="54">
                  <c:v>-2.8770339055788257</c:v>
                </c:pt>
                <c:pt idx="55">
                  <c:v>-3.0360429501520789</c:v>
                </c:pt>
                <c:pt idx="56">
                  <c:v>-3.1908490546179444</c:v>
                </c:pt>
                <c:pt idx="57">
                  <c:v>-3.3475760753530626</c:v>
                </c:pt>
                <c:pt idx="58">
                  <c:v>-3.4709149580181773</c:v>
                </c:pt>
                <c:pt idx="59">
                  <c:v>-3.5666881489942455</c:v>
                </c:pt>
                <c:pt idx="60">
                  <c:v>-3.647828777563638</c:v>
                </c:pt>
                <c:pt idx="61">
                  <c:v>-3.6874468582207833</c:v>
                </c:pt>
                <c:pt idx="62">
                  <c:v>-3.7124156775919994</c:v>
                </c:pt>
                <c:pt idx="63">
                  <c:v>-3.7481075844235887</c:v>
                </c:pt>
                <c:pt idx="64">
                  <c:v>-3.7314458219903397</c:v>
                </c:pt>
                <c:pt idx="65">
                  <c:v>-3.6666803915597019</c:v>
                </c:pt>
                <c:pt idx="66">
                  <c:v>-3.5698338575599684</c:v>
                </c:pt>
                <c:pt idx="67">
                  <c:v>-3.4496604470768983</c:v>
                </c:pt>
                <c:pt idx="68">
                  <c:v>-3.3396282034567752</c:v>
                </c:pt>
                <c:pt idx="69">
                  <c:v>-3.2345872630551464</c:v>
                </c:pt>
                <c:pt idx="70">
                  <c:v>-3.1432533602632415</c:v>
                </c:pt>
                <c:pt idx="71">
                  <c:v>-3.0257470625918508</c:v>
                </c:pt>
                <c:pt idx="72">
                  <c:v>-2.9022680907141734</c:v>
                </c:pt>
                <c:pt idx="73">
                  <c:v>-2.7549606581088484</c:v>
                </c:pt>
                <c:pt idx="74">
                  <c:v>-2.6016595698720941</c:v>
                </c:pt>
                <c:pt idx="75">
                  <c:v>-2.4553237469593938</c:v>
                </c:pt>
                <c:pt idx="76">
                  <c:v>-2.3004314525803693</c:v>
                </c:pt>
                <c:pt idx="77">
                  <c:v>-2.1448076748164966</c:v>
                </c:pt>
                <c:pt idx="78">
                  <c:v>-2.0020463045350585</c:v>
                </c:pt>
                <c:pt idx="79">
                  <c:v>-1.8874983297399086</c:v>
                </c:pt>
                <c:pt idx="80">
                  <c:v>-1.7934535773932536</c:v>
                </c:pt>
                <c:pt idx="81">
                  <c:v>-1.6832674276674902</c:v>
                </c:pt>
                <c:pt idx="82">
                  <c:v>-1.5956958186523158</c:v>
                </c:pt>
                <c:pt idx="83">
                  <c:v>-1.4849617022504895</c:v>
                </c:pt>
                <c:pt idx="84">
                  <c:v>-1.3852640153498914</c:v>
                </c:pt>
                <c:pt idx="85">
                  <c:v>-1.285618296303882</c:v>
                </c:pt>
                <c:pt idx="86">
                  <c:v>-1.2221219206237222</c:v>
                </c:pt>
                <c:pt idx="87">
                  <c:v>-1.1853363464150799</c:v>
                </c:pt>
                <c:pt idx="88">
                  <c:v>-1.1645193243774961</c:v>
                </c:pt>
                <c:pt idx="89">
                  <c:v>-1.1518290807547902</c:v>
                </c:pt>
                <c:pt idx="90">
                  <c:v>-1.1110018812042395</c:v>
                </c:pt>
                <c:pt idx="91">
                  <c:v>-1.1004888943677664</c:v>
                </c:pt>
                <c:pt idx="92">
                  <c:v>-1.1038282569312761</c:v>
                </c:pt>
                <c:pt idx="93">
                  <c:v>-1.0681676479599758</c:v>
                </c:pt>
                <c:pt idx="94">
                  <c:v>-0.99154301434209169</c:v>
                </c:pt>
                <c:pt idx="95">
                  <c:v>-0.83962656711977357</c:v>
                </c:pt>
                <c:pt idx="96">
                  <c:v>-0.62710431471860018</c:v>
                </c:pt>
                <c:pt idx="97">
                  <c:v>-0.40385684537457078</c:v>
                </c:pt>
                <c:pt idx="98">
                  <c:v>-0.19950715446986556</c:v>
                </c:pt>
                <c:pt idx="99">
                  <c:v>-7.8467508749061332E-3</c:v>
                </c:pt>
                <c:pt idx="100">
                  <c:v>0.15689650960440951</c:v>
                </c:pt>
                <c:pt idx="101">
                  <c:v>0.32130197895567214</c:v>
                </c:pt>
                <c:pt idx="102">
                  <c:v>0.46306238771605734</c:v>
                </c:pt>
                <c:pt idx="103">
                  <c:v>0.58708845242699115</c:v>
                </c:pt>
                <c:pt idx="104">
                  <c:v>0.66407945718492678</c:v>
                </c:pt>
                <c:pt idx="105">
                  <c:v>0.73061003105125999</c:v>
                </c:pt>
                <c:pt idx="106">
                  <c:v>0.94641141580039823</c:v>
                </c:pt>
                <c:pt idx="107">
                  <c:v>1.207203409615619</c:v>
                </c:pt>
                <c:pt idx="108">
                  <c:v>1.4552022369939293</c:v>
                </c:pt>
                <c:pt idx="109">
                  <c:v>1.7481075121515084</c:v>
                </c:pt>
                <c:pt idx="110">
                  <c:v>2.0437577315792304</c:v>
                </c:pt>
                <c:pt idx="111">
                  <c:v>2.302624240228309</c:v>
                </c:pt>
                <c:pt idx="112">
                  <c:v>2.502705394112068</c:v>
                </c:pt>
                <c:pt idx="113">
                  <c:v>2.6197539679527422</c:v>
                </c:pt>
                <c:pt idx="114">
                  <c:v>2.7096667453760199</c:v>
                </c:pt>
                <c:pt idx="115">
                  <c:v>2.7552490278912734</c:v>
                </c:pt>
                <c:pt idx="116">
                  <c:v>2.6855617317730198</c:v>
                </c:pt>
                <c:pt idx="117">
                  <c:v>2.5628558874034466</c:v>
                </c:pt>
                <c:pt idx="118">
                  <c:v>2.411977456740956</c:v>
                </c:pt>
                <c:pt idx="119">
                  <c:v>2.2440979211621022</c:v>
                </c:pt>
                <c:pt idx="120">
                  <c:v>2.0907866534924278</c:v>
                </c:pt>
                <c:pt idx="121">
                  <c:v>1.9996557759718869</c:v>
                </c:pt>
                <c:pt idx="122">
                  <c:v>1.9682991701277319</c:v>
                </c:pt>
                <c:pt idx="123">
                  <c:v>1.966141031463732</c:v>
                </c:pt>
                <c:pt idx="124">
                  <c:v>2.00982465834355</c:v>
                </c:pt>
                <c:pt idx="125">
                  <c:v>2.114937202483699</c:v>
                </c:pt>
                <c:pt idx="126">
                  <c:v>2.2365749352936719</c:v>
                </c:pt>
                <c:pt idx="127">
                  <c:v>2.3854951389737984</c:v>
                </c:pt>
                <c:pt idx="128">
                  <c:v>2.5247105441711284</c:v>
                </c:pt>
                <c:pt idx="129">
                  <c:v>2.6864319677240647</c:v>
                </c:pt>
                <c:pt idx="130">
                  <c:v>2.8248442866350643</c:v>
                </c:pt>
                <c:pt idx="131">
                  <c:v>2.9070324883993477</c:v>
                </c:pt>
                <c:pt idx="132">
                  <c:v>2.9535762608888225</c:v>
                </c:pt>
                <c:pt idx="133">
                  <c:v>2.9456327374723794</c:v>
                </c:pt>
                <c:pt idx="134">
                  <c:v>2.878095053205743</c:v>
                </c:pt>
                <c:pt idx="135">
                  <c:v>2.780396405864749</c:v>
                </c:pt>
                <c:pt idx="136">
                  <c:v>2.6520479753614263</c:v>
                </c:pt>
                <c:pt idx="137">
                  <c:v>2.5318164122235141</c:v>
                </c:pt>
                <c:pt idx="138">
                  <c:v>2.4432102577817556</c:v>
                </c:pt>
                <c:pt idx="139">
                  <c:v>2.3473373653019838</c:v>
                </c:pt>
                <c:pt idx="140">
                  <c:v>2.218665353053042</c:v>
                </c:pt>
                <c:pt idx="141">
                  <c:v>2.0631466923531674</c:v>
                </c:pt>
                <c:pt idx="142">
                  <c:v>1.8195846223763361</c:v>
                </c:pt>
                <c:pt idx="143">
                  <c:v>1.5516360120825341</c:v>
                </c:pt>
                <c:pt idx="144">
                  <c:v>1.2718922643243629</c:v>
                </c:pt>
                <c:pt idx="145">
                  <c:v>1.0215697157261037</c:v>
                </c:pt>
                <c:pt idx="146">
                  <c:v>0.78931367122131779</c:v>
                </c:pt>
                <c:pt idx="147">
                  <c:v>0.53264933948711024</c:v>
                </c:pt>
                <c:pt idx="148">
                  <c:v>0.26319492525104426</c:v>
                </c:pt>
                <c:pt idx="149">
                  <c:v>1.8394605406241826E-2</c:v>
                </c:pt>
                <c:pt idx="150">
                  <c:v>-0.20613930142745399</c:v>
                </c:pt>
                <c:pt idx="151">
                  <c:v>-0.38929729319184936</c:v>
                </c:pt>
                <c:pt idx="152">
                  <c:v>-0.5476796547617574</c:v>
                </c:pt>
                <c:pt idx="153">
                  <c:v>-0.66710185160379687</c:v>
                </c:pt>
                <c:pt idx="154">
                  <c:v>-0.75001611071560947</c:v>
                </c:pt>
                <c:pt idx="155">
                  <c:v>-0.83988939673090202</c:v>
                </c:pt>
                <c:pt idx="156">
                  <c:v>-0.91920258570544766</c:v>
                </c:pt>
                <c:pt idx="157">
                  <c:v>-0.98995182569235474</c:v>
                </c:pt>
                <c:pt idx="158">
                  <c:v>-1.0450605635322772</c:v>
                </c:pt>
                <c:pt idx="159">
                  <c:v>-1.0420184190376767</c:v>
                </c:pt>
                <c:pt idx="160">
                  <c:v>-1.0135550967934326</c:v>
                </c:pt>
                <c:pt idx="161">
                  <c:v>-0.97360522738946464</c:v>
                </c:pt>
                <c:pt idx="162">
                  <c:v>-0.96270707604812888</c:v>
                </c:pt>
                <c:pt idx="163">
                  <c:v>-0.95100476031254522</c:v>
                </c:pt>
                <c:pt idx="164">
                  <c:v>-0.9683554435357925</c:v>
                </c:pt>
                <c:pt idx="165">
                  <c:v>-0.90714693258469814</c:v>
                </c:pt>
                <c:pt idx="166">
                  <c:v>-0.71216490692442824</c:v>
                </c:pt>
                <c:pt idx="167">
                  <c:v>-0.46092010095244962</c:v>
                </c:pt>
                <c:pt idx="168">
                  <c:v>-0.14425180973986465</c:v>
                </c:pt>
                <c:pt idx="169">
                  <c:v>0.1910884804539581</c:v>
                </c:pt>
                <c:pt idx="170">
                  <c:v>0.54420856452795907</c:v>
                </c:pt>
                <c:pt idx="171">
                  <c:v>0.9053137718357358</c:v>
                </c:pt>
                <c:pt idx="172">
                  <c:v>1.24931396569479</c:v>
                </c:pt>
                <c:pt idx="173">
                  <c:v>1.5543735393308236</c:v>
                </c:pt>
                <c:pt idx="174">
                  <c:v>1.8130982655724595</c:v>
                </c:pt>
                <c:pt idx="175">
                  <c:v>2.0008352995005079</c:v>
                </c:pt>
                <c:pt idx="176">
                  <c:v>2.1303150058705285</c:v>
                </c:pt>
                <c:pt idx="177">
                  <c:v>2.2288679582101509</c:v>
                </c:pt>
                <c:pt idx="178">
                  <c:v>2.2577446866856565</c:v>
                </c:pt>
                <c:pt idx="179">
                  <c:v>2.173110598057447</c:v>
                </c:pt>
                <c:pt idx="180">
                  <c:v>2.0389904666642726</c:v>
                </c:pt>
                <c:pt idx="181">
                  <c:v>1.8529435222682757</c:v>
                </c:pt>
                <c:pt idx="182">
                  <c:v>1.6001530168992015</c:v>
                </c:pt>
                <c:pt idx="183">
                  <c:v>1.303965472986524</c:v>
                </c:pt>
                <c:pt idx="184">
                  <c:v>0.99249396881747143</c:v>
                </c:pt>
                <c:pt idx="185">
                  <c:v>0.66508687845255943</c:v>
                </c:pt>
                <c:pt idx="186">
                  <c:v>0.3651965744034984</c:v>
                </c:pt>
                <c:pt idx="187">
                  <c:v>9.2176690082266283E-2</c:v>
                </c:pt>
                <c:pt idx="188">
                  <c:v>-0.11065140831427342</c:v>
                </c:pt>
                <c:pt idx="189">
                  <c:v>-0.26960842112512012</c:v>
                </c:pt>
                <c:pt idx="190">
                  <c:v>-0.38206932396025739</c:v>
                </c:pt>
                <c:pt idx="191">
                  <c:v>-0.44537900096636218</c:v>
                </c:pt>
                <c:pt idx="192">
                  <c:v>-0.44195799153351356</c:v>
                </c:pt>
                <c:pt idx="193">
                  <c:v>-0.38088635293761414</c:v>
                </c:pt>
                <c:pt idx="194">
                  <c:v>-0.31249810651249177</c:v>
                </c:pt>
                <c:pt idx="195">
                  <c:v>-0.2585106906474372</c:v>
                </c:pt>
                <c:pt idx="196">
                  <c:v>-0.21212083211176203</c:v>
                </c:pt>
                <c:pt idx="197">
                  <c:v>-0.18568350731919506</c:v>
                </c:pt>
                <c:pt idx="198">
                  <c:v>-0.16298252837794777</c:v>
                </c:pt>
                <c:pt idx="199">
                  <c:v>-0.11360721347403649</c:v>
                </c:pt>
                <c:pt idx="200">
                  <c:v>-3.7716987207354995E-2</c:v>
                </c:pt>
                <c:pt idx="201">
                  <c:v>6.3184845686872798E-2</c:v>
                </c:pt>
                <c:pt idx="202">
                  <c:v>0.15997104284394628</c:v>
                </c:pt>
                <c:pt idx="203">
                  <c:v>0.23996441172710983</c:v>
                </c:pt>
                <c:pt idx="204">
                  <c:v>0.28634447081798986</c:v>
                </c:pt>
                <c:pt idx="205">
                  <c:v>0.27841855606776794</c:v>
                </c:pt>
                <c:pt idx="206">
                  <c:v>0.24596782006827725</c:v>
                </c:pt>
                <c:pt idx="207">
                  <c:v>0.18349104022690077</c:v>
                </c:pt>
                <c:pt idx="208">
                  <c:v>0.18578078537608161</c:v>
                </c:pt>
                <c:pt idx="209">
                  <c:v>0.21759155490952353</c:v>
                </c:pt>
                <c:pt idx="210">
                  <c:v>0.2914286320247117</c:v>
                </c:pt>
                <c:pt idx="211">
                  <c:v>0.39616611524658102</c:v>
                </c:pt>
                <c:pt idx="212">
                  <c:v>0.50031666616073511</c:v>
                </c:pt>
                <c:pt idx="213">
                  <c:v>0.59287249178301515</c:v>
                </c:pt>
                <c:pt idx="214">
                  <c:v>0.6606301272369558</c:v>
                </c:pt>
                <c:pt idx="215">
                  <c:v>0.68848221730292447</c:v>
                </c:pt>
                <c:pt idx="216">
                  <c:v>0.67058364008567961</c:v>
                </c:pt>
                <c:pt idx="217">
                  <c:v>0.56965292641948395</c:v>
                </c:pt>
                <c:pt idx="218">
                  <c:v>0.42162914372638421</c:v>
                </c:pt>
                <c:pt idx="219">
                  <c:v>0.2515251875308645</c:v>
                </c:pt>
                <c:pt idx="220">
                  <c:v>8.3264691373646754E-2</c:v>
                </c:pt>
                <c:pt idx="221">
                  <c:v>-7.6485996850188989E-2</c:v>
                </c:pt>
                <c:pt idx="222">
                  <c:v>-0.23256500642404562</c:v>
                </c:pt>
                <c:pt idx="223">
                  <c:v>-0.39821189325062334</c:v>
                </c:pt>
                <c:pt idx="224">
                  <c:v>-0.59711935205266808</c:v>
                </c:pt>
                <c:pt idx="225">
                  <c:v>-0.82040211886327019</c:v>
                </c:pt>
                <c:pt idx="226">
                  <c:v>-1.0764992536438907</c:v>
                </c:pt>
                <c:pt idx="227">
                  <c:v>-1.2996327823576357</c:v>
                </c:pt>
                <c:pt idx="228">
                  <c:v>-1.4788308224989253</c:v>
                </c:pt>
                <c:pt idx="229">
                  <c:v>-1.5945926344848296</c:v>
                </c:pt>
                <c:pt idx="230">
                  <c:v>-1.6270676611649977</c:v>
                </c:pt>
                <c:pt idx="231">
                  <c:v>-1.5630005585371616</c:v>
                </c:pt>
                <c:pt idx="232">
                  <c:v>-1.4278484581707571</c:v>
                </c:pt>
                <c:pt idx="233">
                  <c:v>-1.2559608033249217</c:v>
                </c:pt>
                <c:pt idx="234">
                  <c:v>-1.0458171434107928</c:v>
                </c:pt>
                <c:pt idx="235">
                  <c:v>-0.83500587242164015</c:v>
                </c:pt>
                <c:pt idx="236">
                  <c:v>-0.67025741696455776</c:v>
                </c:pt>
                <c:pt idx="237">
                  <c:v>-0.53861718106273138</c:v>
                </c:pt>
                <c:pt idx="238">
                  <c:v>-0.41282052036859657</c:v>
                </c:pt>
                <c:pt idx="239">
                  <c:v>-0.24991271633021375</c:v>
                </c:pt>
                <c:pt idx="240">
                  <c:v>-7.6181897720629471E-2</c:v>
                </c:pt>
                <c:pt idx="241">
                  <c:v>9.8430293143724853E-2</c:v>
                </c:pt>
                <c:pt idx="242">
                  <c:v>0.34303192375061542</c:v>
                </c:pt>
                <c:pt idx="243">
                  <c:v>0.64294575151189415</c:v>
                </c:pt>
                <c:pt idx="244">
                  <c:v>1.0823920930679027</c:v>
                </c:pt>
                <c:pt idx="245">
                  <c:v>1.6369194223041239</c:v>
                </c:pt>
                <c:pt idx="246">
                  <c:v>2.2523156372778308</c:v>
                </c:pt>
                <c:pt idx="247">
                  <c:v>2.9156947924136709</c:v>
                </c:pt>
                <c:pt idx="248">
                  <c:v>3.5035910830117274</c:v>
                </c:pt>
                <c:pt idx="249">
                  <c:v>4.0133494966533023</c:v>
                </c:pt>
                <c:pt idx="250">
                  <c:v>4.4211562275665619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C6-49A6-8022-A7F8A2CD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383328"/>
        <c:axId val="225382848"/>
      </c:lineChart>
      <c:dateAx>
        <c:axId val="225383328"/>
        <c:scaling>
          <c:orientation val="minMax"/>
          <c:max val="46061"/>
          <c:min val="4593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82848"/>
        <c:crosses val="autoZero"/>
        <c:auto val="1"/>
        <c:lblOffset val="100"/>
        <c:baseTimeUnit val="days"/>
      </c:dateAx>
      <c:valAx>
        <c:axId val="225382848"/>
        <c:scaling>
          <c:orientation val="minMax"/>
          <c:max val="4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83328"/>
        <c:crosses val="autoZero"/>
        <c:crossBetween val="between"/>
      </c:valAx>
      <c:valAx>
        <c:axId val="225389088"/>
        <c:scaling>
          <c:orientation val="minMax"/>
          <c:min val="-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86688"/>
        <c:crosses val="max"/>
        <c:crossBetween val="between"/>
      </c:valAx>
      <c:dateAx>
        <c:axId val="2253866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25389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Quarter Forecast (Avg Weekly Close)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</c:f>
              <c:numCache>
                <c:formatCode>m/d/yyyy</c:formatCode>
                <c:ptCount val="61"/>
                <c:pt idx="0">
                  <c:v>45698</c:v>
                </c:pt>
                <c:pt idx="1">
                  <c:v>45705</c:v>
                </c:pt>
                <c:pt idx="2">
                  <c:v>45712</c:v>
                </c:pt>
                <c:pt idx="3">
                  <c:v>45719</c:v>
                </c:pt>
                <c:pt idx="4">
                  <c:v>45726</c:v>
                </c:pt>
                <c:pt idx="5">
                  <c:v>45733</c:v>
                </c:pt>
                <c:pt idx="6">
                  <c:v>45740</c:v>
                </c:pt>
                <c:pt idx="7">
                  <c:v>45747</c:v>
                </c:pt>
                <c:pt idx="8">
                  <c:v>45754</c:v>
                </c:pt>
                <c:pt idx="9">
                  <c:v>45761</c:v>
                </c:pt>
                <c:pt idx="10">
                  <c:v>45768</c:v>
                </c:pt>
                <c:pt idx="11">
                  <c:v>45775</c:v>
                </c:pt>
                <c:pt idx="12">
                  <c:v>45782</c:v>
                </c:pt>
                <c:pt idx="13">
                  <c:v>45789</c:v>
                </c:pt>
                <c:pt idx="14">
                  <c:v>45796</c:v>
                </c:pt>
                <c:pt idx="15">
                  <c:v>45803</c:v>
                </c:pt>
                <c:pt idx="16">
                  <c:v>45810</c:v>
                </c:pt>
                <c:pt idx="17">
                  <c:v>45817</c:v>
                </c:pt>
                <c:pt idx="18">
                  <c:v>45824</c:v>
                </c:pt>
                <c:pt idx="19">
                  <c:v>45831</c:v>
                </c:pt>
                <c:pt idx="20">
                  <c:v>45838</c:v>
                </c:pt>
                <c:pt idx="21">
                  <c:v>45845</c:v>
                </c:pt>
                <c:pt idx="22">
                  <c:v>45852</c:v>
                </c:pt>
                <c:pt idx="23">
                  <c:v>45859</c:v>
                </c:pt>
                <c:pt idx="24">
                  <c:v>45866</c:v>
                </c:pt>
                <c:pt idx="25">
                  <c:v>45873</c:v>
                </c:pt>
                <c:pt idx="26">
                  <c:v>45880</c:v>
                </c:pt>
                <c:pt idx="27">
                  <c:v>45887</c:v>
                </c:pt>
                <c:pt idx="28">
                  <c:v>45894</c:v>
                </c:pt>
                <c:pt idx="29">
                  <c:v>45901</c:v>
                </c:pt>
                <c:pt idx="30">
                  <c:v>45908</c:v>
                </c:pt>
                <c:pt idx="31">
                  <c:v>45915</c:v>
                </c:pt>
                <c:pt idx="32">
                  <c:v>45922</c:v>
                </c:pt>
                <c:pt idx="33">
                  <c:v>45929</c:v>
                </c:pt>
                <c:pt idx="34">
                  <c:v>45936</c:v>
                </c:pt>
                <c:pt idx="35">
                  <c:v>45943</c:v>
                </c:pt>
                <c:pt idx="36">
                  <c:v>45950</c:v>
                </c:pt>
                <c:pt idx="37">
                  <c:v>45957</c:v>
                </c:pt>
                <c:pt idx="38">
                  <c:v>45964</c:v>
                </c:pt>
                <c:pt idx="39">
                  <c:v>45971</c:v>
                </c:pt>
                <c:pt idx="40">
                  <c:v>45978</c:v>
                </c:pt>
                <c:pt idx="41">
                  <c:v>45985</c:v>
                </c:pt>
                <c:pt idx="42">
                  <c:v>45992</c:v>
                </c:pt>
                <c:pt idx="43">
                  <c:v>45999</c:v>
                </c:pt>
                <c:pt idx="44">
                  <c:v>46006</c:v>
                </c:pt>
                <c:pt idx="45">
                  <c:v>46013</c:v>
                </c:pt>
                <c:pt idx="46">
                  <c:v>46020</c:v>
                </c:pt>
                <c:pt idx="47">
                  <c:v>46027</c:v>
                </c:pt>
                <c:pt idx="48">
                  <c:v>46034</c:v>
                </c:pt>
                <c:pt idx="49">
                  <c:v>46041</c:v>
                </c:pt>
                <c:pt idx="50">
                  <c:v>46048</c:v>
                </c:pt>
                <c:pt idx="51">
                  <c:v>46055</c:v>
                </c:pt>
                <c:pt idx="52">
                  <c:v>46062</c:v>
                </c:pt>
                <c:pt idx="53">
                  <c:v>46069</c:v>
                </c:pt>
                <c:pt idx="54">
                  <c:v>46076</c:v>
                </c:pt>
                <c:pt idx="55">
                  <c:v>46083</c:v>
                </c:pt>
                <c:pt idx="56">
                  <c:v>46090</c:v>
                </c:pt>
                <c:pt idx="57">
                  <c:v>46097</c:v>
                </c:pt>
                <c:pt idx="58">
                  <c:v>46104</c:v>
                </c:pt>
                <c:pt idx="59">
                  <c:v>46111</c:v>
                </c:pt>
                <c:pt idx="60">
                  <c:v>46113</c:v>
                </c:pt>
              </c:numCache>
            </c:numRef>
          </c:cat>
          <c:val>
            <c:numRef>
              <c:f>Forecast!$B$2:$B$62</c:f>
              <c:numCache>
                <c:formatCode>General</c:formatCode>
                <c:ptCount val="61"/>
                <c:pt idx="0">
                  <c:v>144.4</c:v>
                </c:pt>
                <c:pt idx="1">
                  <c:v>148.1275</c:v>
                </c:pt>
                <c:pt idx="2">
                  <c:v>153.45400000000001</c:v>
                </c:pt>
                <c:pt idx="3">
                  <c:v>154.62200000000001</c:v>
                </c:pt>
                <c:pt idx="4">
                  <c:v>150.73599999999999</c:v>
                </c:pt>
                <c:pt idx="5">
                  <c:v>148.208</c:v>
                </c:pt>
                <c:pt idx="6">
                  <c:v>147.91399999999999</c:v>
                </c:pt>
                <c:pt idx="7">
                  <c:v>149.34200000000001</c:v>
                </c:pt>
                <c:pt idx="8">
                  <c:v>143.53</c:v>
                </c:pt>
                <c:pt idx="9">
                  <c:v>143.13</c:v>
                </c:pt>
                <c:pt idx="10">
                  <c:v>139.22800000000001</c:v>
                </c:pt>
                <c:pt idx="11">
                  <c:v>134.19</c:v>
                </c:pt>
                <c:pt idx="12">
                  <c:v>131.303</c:v>
                </c:pt>
                <c:pt idx="13">
                  <c:v>130.78399999999999</c:v>
                </c:pt>
                <c:pt idx="14">
                  <c:v>130.64000000000001</c:v>
                </c:pt>
                <c:pt idx="15">
                  <c:v>131.35249999999999</c:v>
                </c:pt>
                <c:pt idx="16">
                  <c:v>131.12800000000001</c:v>
                </c:pt>
                <c:pt idx="17">
                  <c:v>130.96800000000002</c:v>
                </c:pt>
                <c:pt idx="18">
                  <c:v>129.70999999999998</c:v>
                </c:pt>
                <c:pt idx="19">
                  <c:v>129.48400000000001</c:v>
                </c:pt>
                <c:pt idx="20">
                  <c:v>134.79</c:v>
                </c:pt>
                <c:pt idx="21">
                  <c:v>135.06199999999998</c:v>
                </c:pt>
                <c:pt idx="22">
                  <c:v>138.68199999999999</c:v>
                </c:pt>
                <c:pt idx="23">
                  <c:v>144.27199999999999</c:v>
                </c:pt>
                <c:pt idx="24">
                  <c:v>141.10399999999998</c:v>
                </c:pt>
                <c:pt idx="25">
                  <c:v>141.78800000000001</c:v>
                </c:pt>
                <c:pt idx="26">
                  <c:v>148.02199999999999</c:v>
                </c:pt>
                <c:pt idx="27">
                  <c:v>150.21199999999999</c:v>
                </c:pt>
                <c:pt idx="28">
                  <c:v>147.69399999999999</c:v>
                </c:pt>
                <c:pt idx="29">
                  <c:v>148.04999999999998</c:v>
                </c:pt>
                <c:pt idx="30">
                  <c:v>143.04599999999999</c:v>
                </c:pt>
                <c:pt idx="31">
                  <c:v>140.87799999999999</c:v>
                </c:pt>
                <c:pt idx="32">
                  <c:v>141.09199999999998</c:v>
                </c:pt>
                <c:pt idx="33">
                  <c:v>141.608</c:v>
                </c:pt>
                <c:pt idx="34">
                  <c:v>142.82400000000001</c:v>
                </c:pt>
                <c:pt idx="35">
                  <c:v>151.59399999999999</c:v>
                </c:pt>
                <c:pt idx="36">
                  <c:v>152.58199999999999</c:v>
                </c:pt>
                <c:pt idx="37">
                  <c:v>148.51</c:v>
                </c:pt>
                <c:pt idx="38">
                  <c:v>142.77799999999999</c:v>
                </c:pt>
                <c:pt idx="39">
                  <c:v>144.59200000000001</c:v>
                </c:pt>
                <c:pt idx="40">
                  <c:v>147.22800000000001</c:v>
                </c:pt>
                <c:pt idx="41">
                  <c:v>147.08250000000001</c:v>
                </c:pt>
                <c:pt idx="42">
                  <c:v>147.62200000000001</c:v>
                </c:pt>
                <c:pt idx="43">
                  <c:v>147.93199999999999</c:v>
                </c:pt>
                <c:pt idx="44">
                  <c:v>149.84</c:v>
                </c:pt>
                <c:pt idx="45">
                  <c:v>144.5625</c:v>
                </c:pt>
                <c:pt idx="46">
                  <c:v>143.53749999999999</c:v>
                </c:pt>
                <c:pt idx="47">
                  <c:v>139.03399999999999</c:v>
                </c:pt>
                <c:pt idx="48">
                  <c:v>144.72999999999999</c:v>
                </c:pt>
                <c:pt idx="49">
                  <c:v>145.845</c:v>
                </c:pt>
                <c:pt idx="50">
                  <c:v>149.09399999999999</c:v>
                </c:pt>
                <c:pt idx="51">
                  <c:v>164.45</c:v>
                </c:pt>
                <c:pt idx="52">
                  <c:v>166.72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9-4BCF-86A7-343252044CB4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</c:f>
              <c:numCache>
                <c:formatCode>m/d/yyyy</c:formatCode>
                <c:ptCount val="61"/>
                <c:pt idx="0">
                  <c:v>45698</c:v>
                </c:pt>
                <c:pt idx="1">
                  <c:v>45705</c:v>
                </c:pt>
                <c:pt idx="2">
                  <c:v>45712</c:v>
                </c:pt>
                <c:pt idx="3">
                  <c:v>45719</c:v>
                </c:pt>
                <c:pt idx="4">
                  <c:v>45726</c:v>
                </c:pt>
                <c:pt idx="5">
                  <c:v>45733</c:v>
                </c:pt>
                <c:pt idx="6">
                  <c:v>45740</c:v>
                </c:pt>
                <c:pt idx="7">
                  <c:v>45747</c:v>
                </c:pt>
                <c:pt idx="8">
                  <c:v>45754</c:v>
                </c:pt>
                <c:pt idx="9">
                  <c:v>45761</c:v>
                </c:pt>
                <c:pt idx="10">
                  <c:v>45768</c:v>
                </c:pt>
                <c:pt idx="11">
                  <c:v>45775</c:v>
                </c:pt>
                <c:pt idx="12">
                  <c:v>45782</c:v>
                </c:pt>
                <c:pt idx="13">
                  <c:v>45789</c:v>
                </c:pt>
                <c:pt idx="14">
                  <c:v>45796</c:v>
                </c:pt>
                <c:pt idx="15">
                  <c:v>45803</c:v>
                </c:pt>
                <c:pt idx="16">
                  <c:v>45810</c:v>
                </c:pt>
                <c:pt idx="17">
                  <c:v>45817</c:v>
                </c:pt>
                <c:pt idx="18">
                  <c:v>45824</c:v>
                </c:pt>
                <c:pt idx="19">
                  <c:v>45831</c:v>
                </c:pt>
                <c:pt idx="20">
                  <c:v>45838</c:v>
                </c:pt>
                <c:pt idx="21">
                  <c:v>45845</c:v>
                </c:pt>
                <c:pt idx="22">
                  <c:v>45852</c:v>
                </c:pt>
                <c:pt idx="23">
                  <c:v>45859</c:v>
                </c:pt>
                <c:pt idx="24">
                  <c:v>45866</c:v>
                </c:pt>
                <c:pt idx="25">
                  <c:v>45873</c:v>
                </c:pt>
                <c:pt idx="26">
                  <c:v>45880</c:v>
                </c:pt>
                <c:pt idx="27">
                  <c:v>45887</c:v>
                </c:pt>
                <c:pt idx="28">
                  <c:v>45894</c:v>
                </c:pt>
                <c:pt idx="29">
                  <c:v>45901</c:v>
                </c:pt>
                <c:pt idx="30">
                  <c:v>45908</c:v>
                </c:pt>
                <c:pt idx="31">
                  <c:v>45915</c:v>
                </c:pt>
                <c:pt idx="32">
                  <c:v>45922</c:v>
                </c:pt>
                <c:pt idx="33">
                  <c:v>45929</c:v>
                </c:pt>
                <c:pt idx="34">
                  <c:v>45936</c:v>
                </c:pt>
                <c:pt idx="35">
                  <c:v>45943</c:v>
                </c:pt>
                <c:pt idx="36">
                  <c:v>45950</c:v>
                </c:pt>
                <c:pt idx="37">
                  <c:v>45957</c:v>
                </c:pt>
                <c:pt idx="38">
                  <c:v>45964</c:v>
                </c:pt>
                <c:pt idx="39">
                  <c:v>45971</c:v>
                </c:pt>
                <c:pt idx="40">
                  <c:v>45978</c:v>
                </c:pt>
                <c:pt idx="41">
                  <c:v>45985</c:v>
                </c:pt>
                <c:pt idx="42">
                  <c:v>45992</c:v>
                </c:pt>
                <c:pt idx="43">
                  <c:v>45999</c:v>
                </c:pt>
                <c:pt idx="44">
                  <c:v>46006</c:v>
                </c:pt>
                <c:pt idx="45">
                  <c:v>46013</c:v>
                </c:pt>
                <c:pt idx="46">
                  <c:v>46020</c:v>
                </c:pt>
                <c:pt idx="47">
                  <c:v>46027</c:v>
                </c:pt>
                <c:pt idx="48">
                  <c:v>46034</c:v>
                </c:pt>
                <c:pt idx="49">
                  <c:v>46041</c:v>
                </c:pt>
                <c:pt idx="50">
                  <c:v>46048</c:v>
                </c:pt>
                <c:pt idx="51">
                  <c:v>46055</c:v>
                </c:pt>
                <c:pt idx="52">
                  <c:v>46062</c:v>
                </c:pt>
                <c:pt idx="53">
                  <c:v>46069</c:v>
                </c:pt>
                <c:pt idx="54">
                  <c:v>46076</c:v>
                </c:pt>
                <c:pt idx="55">
                  <c:v>46083</c:v>
                </c:pt>
                <c:pt idx="56">
                  <c:v>46090</c:v>
                </c:pt>
                <c:pt idx="57">
                  <c:v>46097</c:v>
                </c:pt>
                <c:pt idx="58">
                  <c:v>46104</c:v>
                </c:pt>
                <c:pt idx="59">
                  <c:v>46111</c:v>
                </c:pt>
                <c:pt idx="60">
                  <c:v>46113</c:v>
                </c:pt>
              </c:numCache>
            </c:numRef>
          </c:cat>
          <c:val>
            <c:numRef>
              <c:f>Forecast!$C$2:$C$62</c:f>
              <c:numCache>
                <c:formatCode>General</c:formatCode>
                <c:ptCount val="61"/>
                <c:pt idx="52">
                  <c:v>163.0392220353117</c:v>
                </c:pt>
                <c:pt idx="53">
                  <c:v>166.90464772048151</c:v>
                </c:pt>
                <c:pt idx="54">
                  <c:v>167.13207954751132</c:v>
                </c:pt>
                <c:pt idx="55">
                  <c:v>167.44793066026409</c:v>
                </c:pt>
                <c:pt idx="56">
                  <c:v>167.86510714285714</c:v>
                </c:pt>
                <c:pt idx="57">
                  <c:v>168.01435032213732</c:v>
                </c:pt>
                <c:pt idx="58">
                  <c:v>172.52484734252397</c:v>
                </c:pt>
                <c:pt idx="59">
                  <c:v>167.32695079839414</c:v>
                </c:pt>
                <c:pt idx="60">
                  <c:v>170.04254799861016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9-4BCF-86A7-343252044CB4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</c:f>
              <c:numCache>
                <c:formatCode>m/d/yyyy</c:formatCode>
                <c:ptCount val="61"/>
                <c:pt idx="0">
                  <c:v>45698</c:v>
                </c:pt>
                <c:pt idx="1">
                  <c:v>45705</c:v>
                </c:pt>
                <c:pt idx="2">
                  <c:v>45712</c:v>
                </c:pt>
                <c:pt idx="3">
                  <c:v>45719</c:v>
                </c:pt>
                <c:pt idx="4">
                  <c:v>45726</c:v>
                </c:pt>
                <c:pt idx="5">
                  <c:v>45733</c:v>
                </c:pt>
                <c:pt idx="6">
                  <c:v>45740</c:v>
                </c:pt>
                <c:pt idx="7">
                  <c:v>45747</c:v>
                </c:pt>
                <c:pt idx="8">
                  <c:v>45754</c:v>
                </c:pt>
                <c:pt idx="9">
                  <c:v>45761</c:v>
                </c:pt>
                <c:pt idx="10">
                  <c:v>45768</c:v>
                </c:pt>
                <c:pt idx="11">
                  <c:v>45775</c:v>
                </c:pt>
                <c:pt idx="12">
                  <c:v>45782</c:v>
                </c:pt>
                <c:pt idx="13">
                  <c:v>45789</c:v>
                </c:pt>
                <c:pt idx="14">
                  <c:v>45796</c:v>
                </c:pt>
                <c:pt idx="15">
                  <c:v>45803</c:v>
                </c:pt>
                <c:pt idx="16">
                  <c:v>45810</c:v>
                </c:pt>
                <c:pt idx="17">
                  <c:v>45817</c:v>
                </c:pt>
                <c:pt idx="18">
                  <c:v>45824</c:v>
                </c:pt>
                <c:pt idx="19">
                  <c:v>45831</c:v>
                </c:pt>
                <c:pt idx="20">
                  <c:v>45838</c:v>
                </c:pt>
                <c:pt idx="21">
                  <c:v>45845</c:v>
                </c:pt>
                <c:pt idx="22">
                  <c:v>45852</c:v>
                </c:pt>
                <c:pt idx="23">
                  <c:v>45859</c:v>
                </c:pt>
                <c:pt idx="24">
                  <c:v>45866</c:v>
                </c:pt>
                <c:pt idx="25">
                  <c:v>45873</c:v>
                </c:pt>
                <c:pt idx="26">
                  <c:v>45880</c:v>
                </c:pt>
                <c:pt idx="27">
                  <c:v>45887</c:v>
                </c:pt>
                <c:pt idx="28">
                  <c:v>45894</c:v>
                </c:pt>
                <c:pt idx="29">
                  <c:v>45901</c:v>
                </c:pt>
                <c:pt idx="30">
                  <c:v>45908</c:v>
                </c:pt>
                <c:pt idx="31">
                  <c:v>45915</c:v>
                </c:pt>
                <c:pt idx="32">
                  <c:v>45922</c:v>
                </c:pt>
                <c:pt idx="33">
                  <c:v>45929</c:v>
                </c:pt>
                <c:pt idx="34">
                  <c:v>45936</c:v>
                </c:pt>
                <c:pt idx="35">
                  <c:v>45943</c:v>
                </c:pt>
                <c:pt idx="36">
                  <c:v>45950</c:v>
                </c:pt>
                <c:pt idx="37">
                  <c:v>45957</c:v>
                </c:pt>
                <c:pt idx="38">
                  <c:v>45964</c:v>
                </c:pt>
                <c:pt idx="39">
                  <c:v>45971</c:v>
                </c:pt>
                <c:pt idx="40">
                  <c:v>45978</c:v>
                </c:pt>
                <c:pt idx="41">
                  <c:v>45985</c:v>
                </c:pt>
                <c:pt idx="42">
                  <c:v>45992</c:v>
                </c:pt>
                <c:pt idx="43">
                  <c:v>45999</c:v>
                </c:pt>
                <c:pt idx="44">
                  <c:v>46006</c:v>
                </c:pt>
                <c:pt idx="45">
                  <c:v>46013</c:v>
                </c:pt>
                <c:pt idx="46">
                  <c:v>46020</c:v>
                </c:pt>
                <c:pt idx="47">
                  <c:v>46027</c:v>
                </c:pt>
                <c:pt idx="48">
                  <c:v>46034</c:v>
                </c:pt>
                <c:pt idx="49">
                  <c:v>46041</c:v>
                </c:pt>
                <c:pt idx="50">
                  <c:v>46048</c:v>
                </c:pt>
                <c:pt idx="51">
                  <c:v>46055</c:v>
                </c:pt>
                <c:pt idx="52">
                  <c:v>46062</c:v>
                </c:pt>
                <c:pt idx="53">
                  <c:v>46069</c:v>
                </c:pt>
                <c:pt idx="54">
                  <c:v>46076</c:v>
                </c:pt>
                <c:pt idx="55">
                  <c:v>46083</c:v>
                </c:pt>
                <c:pt idx="56">
                  <c:v>46090</c:v>
                </c:pt>
                <c:pt idx="57">
                  <c:v>46097</c:v>
                </c:pt>
                <c:pt idx="58">
                  <c:v>46104</c:v>
                </c:pt>
                <c:pt idx="59">
                  <c:v>46111</c:v>
                </c:pt>
                <c:pt idx="60">
                  <c:v>46113</c:v>
                </c:pt>
              </c:numCache>
            </c:numRef>
          </c:cat>
          <c:val>
            <c:numRef>
              <c:f>Forecast!$D$2:$D$62</c:f>
              <c:numCache>
                <c:formatCode>General</c:formatCode>
                <c:ptCount val="61"/>
                <c:pt idx="52">
                  <c:v>154.968596808451</c:v>
                </c:pt>
                <c:pt idx="53">
                  <c:v>157.96720239796301</c:v>
                </c:pt>
                <c:pt idx="54">
                  <c:v>160.42030542280699</c:v>
                </c:pt>
                <c:pt idx="55">
                  <c:v>166.37323318432101</c:v>
                </c:pt>
                <c:pt idx="56">
                  <c:v>169.31618331708</c:v>
                </c:pt>
                <c:pt idx="57">
                  <c:v>171.57613543514299</c:v>
                </c:pt>
                <c:pt idx="58">
                  <c:v>169.502214686499</c:v>
                </c:pt>
                <c:pt idx="59">
                  <c:v>166.264365195956</c:v>
                </c:pt>
                <c:pt idx="60">
                  <c:v>167.12110965010299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9-4BCF-86A7-343252044CB4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GS Simple ML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</c:f>
              <c:numCache>
                <c:formatCode>m/d/yyyy</c:formatCode>
                <c:ptCount val="61"/>
                <c:pt idx="0">
                  <c:v>45698</c:v>
                </c:pt>
                <c:pt idx="1">
                  <c:v>45705</c:v>
                </c:pt>
                <c:pt idx="2">
                  <c:v>45712</c:v>
                </c:pt>
                <c:pt idx="3">
                  <c:v>45719</c:v>
                </c:pt>
                <c:pt idx="4">
                  <c:v>45726</c:v>
                </c:pt>
                <c:pt idx="5">
                  <c:v>45733</c:v>
                </c:pt>
                <c:pt idx="6">
                  <c:v>45740</c:v>
                </c:pt>
                <c:pt idx="7">
                  <c:v>45747</c:v>
                </c:pt>
                <c:pt idx="8">
                  <c:v>45754</c:v>
                </c:pt>
                <c:pt idx="9">
                  <c:v>45761</c:v>
                </c:pt>
                <c:pt idx="10">
                  <c:v>45768</c:v>
                </c:pt>
                <c:pt idx="11">
                  <c:v>45775</c:v>
                </c:pt>
                <c:pt idx="12">
                  <c:v>45782</c:v>
                </c:pt>
                <c:pt idx="13">
                  <c:v>45789</c:v>
                </c:pt>
                <c:pt idx="14">
                  <c:v>45796</c:v>
                </c:pt>
                <c:pt idx="15">
                  <c:v>45803</c:v>
                </c:pt>
                <c:pt idx="16">
                  <c:v>45810</c:v>
                </c:pt>
                <c:pt idx="17">
                  <c:v>45817</c:v>
                </c:pt>
                <c:pt idx="18">
                  <c:v>45824</c:v>
                </c:pt>
                <c:pt idx="19">
                  <c:v>45831</c:v>
                </c:pt>
                <c:pt idx="20">
                  <c:v>45838</c:v>
                </c:pt>
                <c:pt idx="21">
                  <c:v>45845</c:v>
                </c:pt>
                <c:pt idx="22">
                  <c:v>45852</c:v>
                </c:pt>
                <c:pt idx="23">
                  <c:v>45859</c:v>
                </c:pt>
                <c:pt idx="24">
                  <c:v>45866</c:v>
                </c:pt>
                <c:pt idx="25">
                  <c:v>45873</c:v>
                </c:pt>
                <c:pt idx="26">
                  <c:v>45880</c:v>
                </c:pt>
                <c:pt idx="27">
                  <c:v>45887</c:v>
                </c:pt>
                <c:pt idx="28">
                  <c:v>45894</c:v>
                </c:pt>
                <c:pt idx="29">
                  <c:v>45901</c:v>
                </c:pt>
                <c:pt idx="30">
                  <c:v>45908</c:v>
                </c:pt>
                <c:pt idx="31">
                  <c:v>45915</c:v>
                </c:pt>
                <c:pt idx="32">
                  <c:v>45922</c:v>
                </c:pt>
                <c:pt idx="33">
                  <c:v>45929</c:v>
                </c:pt>
                <c:pt idx="34">
                  <c:v>45936</c:v>
                </c:pt>
                <c:pt idx="35">
                  <c:v>45943</c:v>
                </c:pt>
                <c:pt idx="36">
                  <c:v>45950</c:v>
                </c:pt>
                <c:pt idx="37">
                  <c:v>45957</c:v>
                </c:pt>
                <c:pt idx="38">
                  <c:v>45964</c:v>
                </c:pt>
                <c:pt idx="39">
                  <c:v>45971</c:v>
                </c:pt>
                <c:pt idx="40">
                  <c:v>45978</c:v>
                </c:pt>
                <c:pt idx="41">
                  <c:v>45985</c:v>
                </c:pt>
                <c:pt idx="42">
                  <c:v>45992</c:v>
                </c:pt>
                <c:pt idx="43">
                  <c:v>45999</c:v>
                </c:pt>
                <c:pt idx="44">
                  <c:v>46006</c:v>
                </c:pt>
                <c:pt idx="45">
                  <c:v>46013</c:v>
                </c:pt>
                <c:pt idx="46">
                  <c:v>46020</c:v>
                </c:pt>
                <c:pt idx="47">
                  <c:v>46027</c:v>
                </c:pt>
                <c:pt idx="48">
                  <c:v>46034</c:v>
                </c:pt>
                <c:pt idx="49">
                  <c:v>46041</c:v>
                </c:pt>
                <c:pt idx="50">
                  <c:v>46048</c:v>
                </c:pt>
                <c:pt idx="51">
                  <c:v>46055</c:v>
                </c:pt>
                <c:pt idx="52">
                  <c:v>46062</c:v>
                </c:pt>
                <c:pt idx="53">
                  <c:v>46069</c:v>
                </c:pt>
                <c:pt idx="54">
                  <c:v>46076</c:v>
                </c:pt>
                <c:pt idx="55">
                  <c:v>46083</c:v>
                </c:pt>
                <c:pt idx="56">
                  <c:v>46090</c:v>
                </c:pt>
                <c:pt idx="57">
                  <c:v>46097</c:v>
                </c:pt>
                <c:pt idx="58">
                  <c:v>46104</c:v>
                </c:pt>
                <c:pt idx="59">
                  <c:v>46111</c:v>
                </c:pt>
                <c:pt idx="60">
                  <c:v>46113</c:v>
                </c:pt>
              </c:numCache>
            </c:numRef>
          </c:cat>
          <c:val>
            <c:numRef>
              <c:f>Forecast!$E$2:$E$62</c:f>
              <c:numCache>
                <c:formatCode>General</c:formatCode>
                <c:ptCount val="61"/>
                <c:pt idx="53">
                  <c:v>164.43016299999999</c:v>
                </c:pt>
                <c:pt idx="54">
                  <c:v>167.248266</c:v>
                </c:pt>
                <c:pt idx="55">
                  <c:v>166.50167400000001</c:v>
                </c:pt>
                <c:pt idx="56">
                  <c:v>167.669611</c:v>
                </c:pt>
                <c:pt idx="57">
                  <c:v>166.896096</c:v>
                </c:pt>
                <c:pt idx="58">
                  <c:v>171.31114299999999</c:v>
                </c:pt>
                <c:pt idx="59">
                  <c:v>171.77056899999999</c:v>
                </c:pt>
                <c:pt idx="60">
                  <c:v>167.983035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39-4BCF-86A7-343252044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92032"/>
        <c:axId val="273591072"/>
      </c:lineChart>
      <c:dateAx>
        <c:axId val="273592032"/>
        <c:scaling>
          <c:orientation val="minMax"/>
          <c:min val="4594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91072"/>
        <c:crosses val="autoZero"/>
        <c:auto val="1"/>
        <c:lblOffset val="100"/>
        <c:baseTimeUnit val="days"/>
      </c:dateAx>
      <c:valAx>
        <c:axId val="273591072"/>
        <c:scaling>
          <c:orientation val="minMax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9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80</xdr:row>
      <xdr:rowOff>19050</xdr:rowOff>
    </xdr:from>
    <xdr:to>
      <xdr:col>14</xdr:col>
      <xdr:colOff>552450</xdr:colOff>
      <xdr:row>94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6E110-A830-489B-9791-E313D801B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3</xdr:row>
      <xdr:rowOff>19050</xdr:rowOff>
    </xdr:from>
    <xdr:to>
      <xdr:col>14</xdr:col>
      <xdr:colOff>457200</xdr:colOff>
      <xdr:row>17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D5F08-746F-4F9A-9661-FC24A34A5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95249</xdr:colOff>
      <xdr:row>18</xdr:row>
      <xdr:rowOff>123825</xdr:rowOff>
    </xdr:from>
    <xdr:to>
      <xdr:col>14</xdr:col>
      <xdr:colOff>466724</xdr:colOff>
      <xdr:row>33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28CAE5-471B-4B67-A26B-C322C315B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133350</xdr:colOff>
      <xdr:row>34</xdr:row>
      <xdr:rowOff>104775</xdr:rowOff>
    </xdr:from>
    <xdr:to>
      <xdr:col>14</xdr:col>
      <xdr:colOff>476250</xdr:colOff>
      <xdr:row>48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77C499D-A23E-4150-B0E8-52FED60B9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171450</xdr:colOff>
      <xdr:row>50</xdr:row>
      <xdr:rowOff>57150</xdr:rowOff>
    </xdr:from>
    <xdr:to>
      <xdr:col>14</xdr:col>
      <xdr:colOff>504825</xdr:colOff>
      <xdr:row>64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D53A420-2BCF-4789-ADC6-6A218B451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180975</xdr:colOff>
      <xdr:row>66</xdr:row>
      <xdr:rowOff>9525</xdr:rowOff>
    </xdr:from>
    <xdr:to>
      <xdr:col>14</xdr:col>
      <xdr:colOff>514350</xdr:colOff>
      <xdr:row>78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3E78D12-BE42-40DA-ADBC-3CA6986BE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52">
    <v t="i">0</v>
    <v t="i">1</v>
    <v t="i">2</v>
    <v t="i">3</v>
    <v t="i">7</v>
    <v t="i">8</v>
    <v t="i">9</v>
    <v t="i">10</v>
    <v t="i">13</v>
    <v t="i">14</v>
    <v t="i">15</v>
    <v t="i">16</v>
    <v t="i">17</v>
    <v t="i">20</v>
    <v t="i">21</v>
    <v t="i">22</v>
    <v t="i">23</v>
    <v t="i">24</v>
    <v t="i">27</v>
    <v t="i">28</v>
    <v t="i">29</v>
    <v t="i">30</v>
    <v t="i">31</v>
    <v t="i">34</v>
    <v t="i">35</v>
    <v t="i">36</v>
    <v t="i">37</v>
    <v t="i">38</v>
    <v t="i">41</v>
    <v t="i">42</v>
    <v t="i">43</v>
    <v t="i">44</v>
    <v t="i">45</v>
    <v t="i">48</v>
    <v t="i">49</v>
    <v t="i">50</v>
    <v t="i">51</v>
    <v t="i">52</v>
    <v t="i">55</v>
    <v t="i">56</v>
    <v t="i">57</v>
    <v t="i">58</v>
    <v t="i">59</v>
    <v t="i">62</v>
    <v t="i">63</v>
    <v t="i">64</v>
    <v t="i">65</v>
    <v t="i">69</v>
    <v t="i">70</v>
    <v t="i">71</v>
    <v t="i">72</v>
    <v t="i">73</v>
    <v t="i">76</v>
    <v t="i">77</v>
    <v t="i">78</v>
    <v t="i">79</v>
    <v t="i">80</v>
    <v t="i">83</v>
    <v t="i">84</v>
    <v t="i">85</v>
    <v t="i">86</v>
    <v t="i">87</v>
    <v t="i">90</v>
    <v t="i">91</v>
    <v t="i">92</v>
    <v t="i">93</v>
    <v t="i">94</v>
    <v t="i">97</v>
    <v t="i">98</v>
    <v t="i">99</v>
    <v t="i">100</v>
    <v t="i">101</v>
    <v t="i">105</v>
    <v t="i">106</v>
    <v t="i">107</v>
    <v t="i">108</v>
    <v t="i">111</v>
    <v t="i">112</v>
    <v t="i">113</v>
    <v t="i">114</v>
    <v t="i">115</v>
    <v t="i">118</v>
    <v t="i">119</v>
    <v t="i">120</v>
    <v t="i">121</v>
    <v t="i">122</v>
    <v t="i">125</v>
    <v t="i">126</v>
    <v t="i">127</v>
    <v t="i">129</v>
    <v t="i">132</v>
    <v t="i">133</v>
    <v t="i">134</v>
    <v t="i">135</v>
    <v t="i">136</v>
    <v t="i">139</v>
    <v t="i">140</v>
    <v t="i">141</v>
    <v t="i">142</v>
    <v t="i">146</v>
    <v t="i">147</v>
    <v t="i">148</v>
    <v t="i">149</v>
    <v t="i">150</v>
    <v t="i">153</v>
    <v t="i">154</v>
    <v t="i">155</v>
    <v t="i">156</v>
    <v t="i">157</v>
    <v t="i">160</v>
    <v t="i">161</v>
    <v t="i">162</v>
    <v t="i">163</v>
    <v t="i">164</v>
    <v t="i">167</v>
    <v t="i">168</v>
    <v t="i">169</v>
    <v t="i">170</v>
    <v t="i">171</v>
    <v t="i">174</v>
    <v t="i">175</v>
    <v t="i">176</v>
    <v t="i">177</v>
    <v t="i">178</v>
    <v t="i">181</v>
    <v t="i">182</v>
    <v t="i">183</v>
    <v t="i">184</v>
    <v t="i">185</v>
    <v t="i">188</v>
    <v t="i">189</v>
    <v t="i">190</v>
    <v t="i">191</v>
    <v t="i">192</v>
    <v t="i">195</v>
    <v t="i">196</v>
    <v t="i">197</v>
    <v t="i">198</v>
    <v t="i">199</v>
    <v t="i">203</v>
    <v t="i">204</v>
    <v t="i">205</v>
    <v t="i">206</v>
    <v t="i">209</v>
    <v t="i">210</v>
    <v t="i">211</v>
    <v t="i">212</v>
    <v t="i">213</v>
    <v t="i">216</v>
    <v t="i">217</v>
    <v t="i">218</v>
    <v t="i">219</v>
    <v t="i">220</v>
    <v t="i">223</v>
    <v t="i">224</v>
    <v t="i">225</v>
    <v t="i">226</v>
    <v t="i">227</v>
    <v t="i">230</v>
    <v t="i">231</v>
    <v t="i">232</v>
    <v t="i">233</v>
    <v t="i">234</v>
    <v t="i">237</v>
    <v t="i">238</v>
    <v t="i">239</v>
    <v t="i">240</v>
    <v t="i">241</v>
    <v t="i">244</v>
    <v t="i">245</v>
    <v t="i">246</v>
    <v t="i">247</v>
    <v t="i">248</v>
    <v t="i">251</v>
    <v t="i">252</v>
    <v t="i">253</v>
    <v t="i">254</v>
    <v t="i">255</v>
    <v t="i">258</v>
    <v t="i">259</v>
    <v t="i">260</v>
    <v t="i">261</v>
    <v t="i">262</v>
    <v t="i">265</v>
    <v t="i">266</v>
    <v t="i">267</v>
    <v t="i">268</v>
    <v t="i">269</v>
    <v t="i">272</v>
    <v t="i">273</v>
    <v t="i">274</v>
    <v t="i">275</v>
    <v t="i">276</v>
    <v t="i">279</v>
    <v t="i">280</v>
    <v t="i">281</v>
    <v t="i">282</v>
    <v t="i">283</v>
    <v t="i">286</v>
    <v t="i">287</v>
    <v t="i">288</v>
    <v t="i">290</v>
    <v t="i">293</v>
    <v t="i">294</v>
    <v t="i">295</v>
    <v t="i">296</v>
    <v t="i">297</v>
    <v t="i">300</v>
    <v t="i">301</v>
    <v t="i">302</v>
    <v t="i">303</v>
    <v t="i">304</v>
    <v t="i">307</v>
    <v t="i">308</v>
    <v t="i">309</v>
    <v t="i">310</v>
    <v t="i">311</v>
    <v t="i">314</v>
    <v t="i">315</v>
    <v t="i">316</v>
    <v t="i">318</v>
    <v t="i">321</v>
    <v t="i">322</v>
    <v t="i">323</v>
    <v t="i">325</v>
    <v t="i">328</v>
    <v t="i">329</v>
    <v t="i">330</v>
    <v t="i">331</v>
    <v t="i">332</v>
    <v t="i">335</v>
    <v t="i">336</v>
    <v t="i">337</v>
    <v t="i">338</v>
    <v t="i">339</v>
    <v t="i">343</v>
    <v t="i">344</v>
    <v t="i">345</v>
    <v t="i">346</v>
    <v t="i">349</v>
    <v t="i">350</v>
    <v t="i">351</v>
    <v t="i">352</v>
    <v t="i">353</v>
    <v t="i">356</v>
    <v t="i">357</v>
    <v t="i">358</v>
    <v t="i">359</v>
    <v t="i">360</v>
    <v t="i">363</v>
    <v t="i">364</v>
    <v t="i">365</v>
  </a>
  <a r="1" c="252">
    <v>145.63999999999999</v>
    <v>143.99</v>
    <v>144.58000000000001</v>
    <v>143.38999999999999</v>
    <v>144.1</v>
    <v>145.81</v>
    <v>149.1</v>
    <v>153.5</v>
    <v>153.85</v>
    <v>156.41999999999999</v>
    <v>151.51</v>
    <v>152.02000000000001</v>
    <v>153.47</v>
    <v>155.99</v>
    <v>154.19</v>
    <v>153.88</v>
    <v>154.61000000000001</v>
    <v>154.44</v>
    <v>156.25</v>
    <v>152.33000000000001</v>
    <v>148.16999999999999</v>
    <v>148.34</v>
    <v>148.59</v>
    <v>151.34</v>
    <v>148.99</v>
    <v>148.11000000000001</v>
    <v>147.15</v>
    <v>145.44999999999999</v>
    <v>146.44999999999999</v>
    <v>145.54</v>
    <v>148.63999999999999</v>
    <v>149.66999999999999</v>
    <v>149.27000000000001</v>
    <v>149.94</v>
    <v>149.66999999999999</v>
    <v>149.12</v>
    <v>151.37</v>
    <v>146.61000000000001</v>
    <v>143.19</v>
    <v>140.30000000000001</v>
    <v>145.59</v>
    <v>144.13999999999999</v>
    <v>144.43</v>
    <v>146.75</v>
    <v>142.84</v>
    <v>140.09</v>
    <v>142.84</v>
    <v>141.72999999999999</v>
    <v>143.46</v>
    <v>142.26</v>
    <v>135.31</v>
    <v>133.38</v>
    <v>133.76</v>
    <v>134.31</v>
    <v>135.58000000000001</v>
    <v>133.55000000000001</v>
    <v>133.75</v>
    <v>131.99</v>
    <v>130.74</v>
    <v>131.91499999999999</v>
    <v>131.43</v>
    <v>130.44</v>
    <v>131.68</v>
    <v>130.31</v>
    <v>128.44999999999999</v>
    <v>131.5</v>
    <v>131.97999999999999</v>
    <v>131.79</v>
    <v>131.80000000000001</v>
    <v>130.15</v>
    <v>130.12</v>
    <v>129.34</v>
    <v>131.37</v>
    <v>130.66999999999999</v>
    <v>131.91999999999999</v>
    <v>131.44999999999999</v>
    <v>130.91</v>
    <v>131.85</v>
    <v>131.74</v>
    <v>131.11000000000001</v>
    <v>130.03</v>
    <v>129.96</v>
    <v>131.83000000000001</v>
    <v>129.9</v>
    <v>132.30000000000001</v>
    <v>130.85</v>
    <v>131.41</v>
    <v>129.29</v>
    <v>129.07</v>
    <v>129.07</v>
    <v>129.09</v>
    <v>131.05000000000001</v>
    <v>128.02000000000001</v>
    <v>128.22</v>
    <v>131.04</v>
    <v>132.04</v>
    <v>135.26</v>
    <v>136.47999999999999</v>
    <v>135.38</v>
    <v>134.44999999999999</v>
    <v>135.04</v>
    <v>134.47999999999999</v>
    <v>136.08000000000001</v>
    <v>135.26</v>
    <v>135.57</v>
    <v>133.81</v>
    <v>135.35</v>
    <v>145.44</v>
    <v>143.24</v>
    <v>141.69999999999999</v>
    <v>146.04</v>
    <v>145.66</v>
    <v>144.51</v>
    <v>143.44999999999999</v>
    <v>141.57</v>
    <v>143.88999999999999</v>
    <v>142.86000000000001</v>
    <v>137.91999999999999</v>
    <v>139.28</v>
    <v>139.56</v>
    <v>139.44999999999999</v>
    <v>140.80000000000001</v>
    <v>143.91999999999999</v>
    <v>145.21</v>
    <v>144.87</v>
    <v>146.87</v>
    <v>149.35</v>
    <v>148.62</v>
    <v>150.4</v>
    <v>149.55000000000001</v>
    <v>152.16</v>
    <v>150.72999999999999</v>
    <v>148.97999999999999</v>
    <v>149.63999999999999</v>
    <v>148.19999999999999</v>
    <v>147</v>
    <v>147.63999999999999</v>
    <v>146.97999999999999</v>
    <v>148.65</v>
    <v>150.28</v>
    <v>148.63999999999999</v>
    <v>146.88999999999999</v>
    <v>146.38999999999999</v>
    <v>141.71</v>
    <v>143.1</v>
    <v>142.66</v>
    <v>144.22999999999999</v>
    <v>143.53</v>
    <v>140.63999999999999</v>
    <v>140.03</v>
    <v>141.22999999999999</v>
    <v>140.72999999999999</v>
    <v>141.76</v>
    <v>141.03</v>
    <v>141.9</v>
    <v>142.16999999999999</v>
    <v>139.91999999999999</v>
    <v>140.44</v>
    <v>140.16999999999999</v>
    <v>140.44</v>
    <v>143.13999999999999</v>
    <v>142.31</v>
    <v>141.97999999999999</v>
    <v>139.69999999999999</v>
    <v>140.79</v>
    <v>138.84</v>
    <v>144.71</v>
    <v>150.08000000000001</v>
    <v>148.88999999999999</v>
    <v>151.54</v>
    <v>151.16</v>
    <v>152.66999999999999</v>
    <v>153.71</v>
    <v>153.63999999999999</v>
    <v>153.18</v>
    <v>153.03</v>
    <v>151.51</v>
    <v>151.55000000000001</v>
    <v>152.63</v>
    <v>150.12</v>
    <v>146.16</v>
    <v>147.55000000000001</v>
    <v>146.09</v>
    <v>143.6</v>
    <v>142.9</v>
    <v>142.86000000000001</v>
    <v>141.58000000000001</v>
    <v>142.94999999999999</v>
    <v>142.62</v>
    <v>145.08000000000001</v>
    <v>144.38999999999999</v>
    <v>145.02000000000001</v>
    <v>145.85</v>
    <v>147.83000000000001</v>
    <v>148.77000000000001</v>
    <v>147.11000000000001</v>
    <v>146.1</v>
    <v>146.33000000000001</v>
    <v>145.5</v>
    <v>146.11000000000001</v>
    <v>147.97999999999999</v>
    <v>148.74</v>
    <v>149.51</v>
    <v>148.61000000000001</v>
    <v>148.06</v>
    <v>146.91</v>
    <v>145.02000000000001</v>
    <v>145.63</v>
    <v>144.63999999999999</v>
    <v>149.69999999999999</v>
    <v>149.04</v>
    <v>150.65</v>
    <v>151.22</v>
    <v>150.37</v>
    <v>150.08000000000001</v>
    <v>149.37</v>
    <v>148.16</v>
    <v>147.05000000000001</v>
    <v>143.68</v>
    <v>143.74</v>
    <v>143.78</v>
    <v>144.24</v>
    <v>144.16</v>
    <v>143.52000000000001</v>
    <v>142.22999999999999</v>
    <v>139.91999999999999</v>
    <v>138.96</v>
    <v>137.01</v>
    <v>139.37</v>
    <v>139.91</v>
    <v>141.36000000000001</v>
    <v>143.47999999999999</v>
    <v>145.91999999999999</v>
    <v>146.57</v>
    <v>146.32</v>
    <v>147.66</v>
    <v>146.74</v>
    <v>144.4</v>
    <v>144.58000000000001</v>
    <v>145.87</v>
    <v>148.78</v>
    <v>148.5</v>
    <v>148.69</v>
    <v>153.63</v>
    <v>155.19999999999999</v>
    <v>162.85</v>
    <v>166.18</v>
    <v>167.53</v>
    <v>170.49</v>
    <v>166.47</v>
    <v>166.97</v>
    <v>169.15</v>
  </a>
  <a r="1" c="252">
    <v>6353965</v>
    <v>6658177</v>
    <v>7175276</v>
    <v>5001806</v>
    <v>8738725</v>
    <v>5777273</v>
    <v>6789805</v>
    <v>10604404</v>
    <v>7187038</v>
    <v>9474619</v>
    <v>9076519</v>
    <v>6730985</v>
    <v>8314044</v>
    <v>8321674</v>
    <v>10274235</v>
    <v>5578701</v>
    <v>8421031</v>
    <v>8997748</v>
    <v>11156892</v>
    <v>7981566</v>
    <v>8330241</v>
    <v>5351093</v>
    <v>5277544</v>
    <v>5449712</v>
    <v>8158556</v>
    <v>6080054</v>
    <v>4536367</v>
    <v>11574777</v>
    <v>5968852</v>
    <v>4763277</v>
    <v>5885290</v>
    <v>5397532</v>
    <v>8550883</v>
    <v>9985702</v>
    <v>6072838</v>
    <v>5866172</v>
    <v>8216247</v>
    <v>12911386</v>
    <v>14423214</v>
    <v>9488865</v>
    <v>14067005</v>
    <v>10980259</v>
    <v>8563304</v>
    <v>5393999</v>
    <v>5459551</v>
    <v>7878593</v>
    <v>6131364</v>
    <v>7412800</v>
    <v>7144709</v>
    <v>7760035</v>
    <v>15577256</v>
    <v>11544686</v>
    <v>8498608</v>
    <v>7010733</v>
    <v>7923472</v>
    <v>6807019</v>
    <v>7169731</v>
    <v>8972159</v>
    <v>6889893</v>
    <v>6313815</v>
    <v>6392355</v>
    <v>4770504</v>
    <v>8392720</v>
    <v>8650220</v>
    <v>10463015</v>
    <v>9165089</v>
    <v>8896370</v>
    <v>9406194</v>
    <v>7624244</v>
    <v>9243724</v>
    <v>7140231</v>
    <v>8122494</v>
    <v>13974764</v>
    <v>9431450</v>
    <v>6659069</v>
    <v>12992075</v>
    <v>6723720</v>
    <v>7339524</v>
    <v>6519728</v>
    <v>9566619</v>
    <v>7628224</v>
    <v>8453146</v>
    <v>11852874</v>
    <v>9168356</v>
    <v>11444911</v>
    <v>9581034</v>
    <v>11183692</v>
    <v>10235225</v>
    <v>8785766</v>
    <v>23000967</v>
    <v>12840356</v>
    <v>9226773</v>
    <v>10922565</v>
    <v>11538069</v>
    <v>26536478</v>
    <v>11402443</v>
    <v>12846685</v>
    <v>9388667</v>
    <v>4941378</v>
    <v>7773744</v>
    <v>7718265</v>
    <v>7762618</v>
    <v>8870905</v>
    <v>7963646</v>
    <v>8480302</v>
    <v>8933520</v>
    <v>10941629</v>
    <v>26161000</v>
    <v>13752825</v>
    <v>9025630</v>
    <v>8281528</v>
    <v>6165951</v>
    <v>9749426</v>
    <v>7021594</v>
    <v>10639129</v>
    <v>6282944</v>
    <v>9738383</v>
    <v>11689674</v>
    <v>7630810</v>
    <v>8384672</v>
    <v>5535084</v>
    <v>6747448</v>
    <v>7674642</v>
    <v>5315087</v>
    <v>5773384</v>
    <v>7670149</v>
    <v>6147005</v>
    <v>6892466</v>
    <v>9162178</v>
    <v>9900999</v>
    <v>8596943</v>
    <v>10023466</v>
    <v>8153618</v>
    <v>5218019</v>
    <v>6624298</v>
    <v>11208146</v>
    <v>8092909</v>
    <v>9265077</v>
    <v>7760710</v>
    <v>17348611</v>
    <v>11259203</v>
    <v>6342232</v>
    <v>7186260</v>
    <v>11127619</v>
    <v>5866442</v>
    <v>6015122</v>
    <v>6144363</v>
    <v>5714114</v>
    <v>7279639</v>
    <v>9283480</v>
    <v>6092884</v>
    <v>6106557</v>
    <v>12365531</v>
    <v>5797558</v>
    <v>6356489</v>
    <v>5949145</v>
    <v>7101666</v>
    <v>6224693</v>
    <v>11930247</v>
    <v>7583411</v>
    <v>5880796</v>
    <v>4497315</v>
    <v>5425725</v>
    <v>6750712</v>
    <v>6110309</v>
    <v>8256741</v>
    <v>13706629</v>
    <v>17545164</v>
    <v>7271983</v>
    <v>8371136</v>
    <v>6101096</v>
    <v>8532889</v>
    <v>6710141</v>
    <v>4810592</v>
    <v>5614266</v>
    <v>6485959</v>
    <v>6091762</v>
    <v>3580182</v>
    <v>4744578</v>
    <v>5626528</v>
    <v>7767556</v>
    <v>5752708</v>
    <v>6313592</v>
    <v>8331545</v>
    <v>8302941</v>
    <v>7136424</v>
    <v>6449386</v>
    <v>7592652</v>
    <v>6617494</v>
    <v>7683573</v>
    <v>5790488</v>
    <v>6663264</v>
    <v>5770478</v>
    <v>7320150</v>
    <v>10821528</v>
    <v>8123236</v>
    <v>6878914</v>
    <v>7911761</v>
    <v>9391443</v>
    <v>8953952</v>
    <v>5180946</v>
    <v>2969300</v>
    <v>7623275</v>
    <v>6830290</v>
    <v>5109218</v>
    <v>6802969</v>
    <v>5971510</v>
    <v>6327412</v>
    <v>10035178</v>
    <v>18526426</v>
    <v>7854008</v>
    <v>8143100</v>
    <v>8409625</v>
    <v>7520334</v>
    <v>8067133</v>
    <v>6643173</v>
    <v>17543516</v>
    <v>8818726</v>
    <v>7254772</v>
    <v>2618700</v>
    <v>4975533</v>
    <v>7201890</v>
    <v>4713783</v>
    <v>4380343</v>
    <v>7182054</v>
    <v>9031377</v>
    <v>9576481</v>
    <v>8539847</v>
    <v>8762824</v>
    <v>6767560</v>
    <v>12223436</v>
    <v>9030241</v>
    <v>8329463</v>
    <v>5797798</v>
    <v>10313487</v>
    <v>9982823</v>
    <v>7679571</v>
    <v>8167356</v>
    <v>5870098</v>
    <v>6589570</v>
    <v>7114901</v>
    <v>5954075</v>
    <v>9062259</v>
    <v>12641264</v>
    <v>14660510</v>
    <v>19096432</v>
    <v>13322904</v>
    <v>11038833</v>
    <v>10960439</v>
    <v>10316236</v>
    <v>10352922</v>
    <v>6733819</v>
  </a>
</arrayData>
</file>

<file path=xl/richData/rdrichvalue.xml><?xml version="1.0" encoding="utf-8"?>
<rvData xmlns="http://schemas.microsoft.com/office/spreadsheetml/2017/richdata" count="745">
  <rv s="0">
    <fb>45699</fb>
    <v>0</v>
  </rv>
  <rv s="0">
    <fb>145.63999999999999</fb>
    <v>1</v>
  </rv>
  <rv s="0">
    <fb>6353965</fb>
    <v>2</v>
  </rv>
  <rv s="0">
    <fb>45700</fb>
    <v>0</v>
  </rv>
  <rv s="0">
    <fb>143.99</fb>
    <v>1</v>
  </rv>
  <rv s="0">
    <fb>6658177</fb>
    <v>2</v>
  </rv>
  <rv s="0">
    <fb>45701</fb>
    <v>0</v>
  </rv>
  <rv s="0">
    <fb>144.58000000000001</fb>
    <v>1</v>
  </rv>
  <rv s="0">
    <fb>7175276</fb>
    <v>2</v>
  </rv>
  <rv s="0">
    <fb>45702</fb>
    <v>0</v>
  </rv>
  <rv s="0">
    <fb>143.38999999999999</fb>
    <v>1</v>
  </rv>
  <rv s="0">
    <fb>5001806</fb>
    <v>2</v>
  </rv>
  <rv s="0">
    <fb>45706</fb>
    <v>0</v>
  </rv>
  <rv s="0">
    <fb>144.1</fb>
    <v>1</v>
  </rv>
  <rv s="0">
    <fb>8738725</fb>
    <v>2</v>
  </rv>
  <rv s="0">
    <fb>45707</fb>
    <v>0</v>
  </rv>
  <rv s="0">
    <fb>145.81</fb>
    <v>1</v>
  </rv>
  <rv s="0">
    <fb>5777273</fb>
    <v>2</v>
  </rv>
  <rv s="0">
    <fb>45708</fb>
    <v>0</v>
  </rv>
  <rv s="0">
    <fb>149.1</fb>
    <v>1</v>
  </rv>
  <rv s="0">
    <fb>6789805</fb>
    <v>2</v>
  </rv>
  <rv s="0">
    <fb>45709</fb>
    <v>0</v>
  </rv>
  <rv s="0">
    <fb>153.5</fb>
    <v>1</v>
  </rv>
  <rv s="0">
    <fb>10604404</fb>
    <v>2</v>
  </rv>
  <rv s="0">
    <fb>45712</fb>
    <v>0</v>
  </rv>
  <rv s="0">
    <fb>153.85</fb>
    <v>1</v>
  </rv>
  <rv s="0">
    <fb>7187038</fb>
    <v>2</v>
  </rv>
  <rv s="0">
    <fb>45713</fb>
    <v>0</v>
  </rv>
  <rv s="0">
    <fb>156.41999999999999</fb>
    <v>1</v>
  </rv>
  <rv s="0">
    <fb>9474619</fb>
    <v>2</v>
  </rv>
  <rv s="0">
    <fb>45714</fb>
    <v>0</v>
  </rv>
  <rv s="0">
    <fb>151.51</fb>
    <v>1</v>
  </rv>
  <rv s="0">
    <fb>9076519</fb>
    <v>2</v>
  </rv>
  <rv s="0">
    <fb>45715</fb>
    <v>0</v>
  </rv>
  <rv s="0">
    <fb>152.02000000000001</fb>
    <v>1</v>
  </rv>
  <rv s="0">
    <fb>6730985</fb>
    <v>2</v>
  </rv>
  <rv s="0">
    <fb>45716</fb>
    <v>0</v>
  </rv>
  <rv s="0">
    <fb>153.47</fb>
    <v>1</v>
  </rv>
  <rv s="0">
    <fb>8314044</fb>
    <v>2</v>
  </rv>
  <rv s="0">
    <fb>45719</fb>
    <v>0</v>
  </rv>
  <rv s="0">
    <fb>155.99</fb>
    <v>1</v>
  </rv>
  <rv s="0">
    <fb>8321674</fb>
    <v>2</v>
  </rv>
  <rv s="0">
    <fb>45720</fb>
    <v>0</v>
  </rv>
  <rv s="0">
    <fb>154.19</fb>
    <v>1</v>
  </rv>
  <rv s="0">
    <fb>10274235</fb>
    <v>2</v>
  </rv>
  <rv s="0">
    <fb>45721</fb>
    <v>0</v>
  </rv>
  <rv s="0">
    <fb>153.88</fb>
    <v>1</v>
  </rv>
  <rv s="0">
    <fb>5578701</fb>
    <v>2</v>
  </rv>
  <rv s="0">
    <fb>45722</fb>
    <v>0</v>
  </rv>
  <rv s="0">
    <fb>154.61000000000001</fb>
    <v>1</v>
  </rv>
  <rv s="0">
    <fb>8421031</fb>
    <v>2</v>
  </rv>
  <rv s="0">
    <fb>45723</fb>
    <v>0</v>
  </rv>
  <rv s="0">
    <fb>154.44</fb>
    <v>1</v>
  </rv>
  <rv s="0">
    <fb>8997748</fb>
    <v>2</v>
  </rv>
  <rv s="0">
    <fb>45726</fb>
    <v>0</v>
  </rv>
  <rv s="0">
    <fb>156.25</fb>
    <v>1</v>
  </rv>
  <rv s="0">
    <fb>11156892</fb>
    <v>2</v>
  </rv>
  <rv s="0">
    <fb>45727</fb>
    <v>0</v>
  </rv>
  <rv s="0">
    <fb>152.33000000000001</fb>
    <v>1</v>
  </rv>
  <rv s="0">
    <fb>7981566</fb>
    <v>2</v>
  </rv>
  <rv s="0">
    <fb>45728</fb>
    <v>0</v>
  </rv>
  <rv s="0">
    <fb>148.16999999999999</fb>
    <v>1</v>
  </rv>
  <rv s="0">
    <fb>8330241</fb>
    <v>2</v>
  </rv>
  <rv s="0">
    <fb>45729</fb>
    <v>0</v>
  </rv>
  <rv s="0">
    <fb>148.34</fb>
    <v>1</v>
  </rv>
  <rv s="0">
    <fb>5351093</fb>
    <v>2</v>
  </rv>
  <rv s="0">
    <fb>45730</fb>
    <v>0</v>
  </rv>
  <rv s="0">
    <fb>148.59</fb>
    <v>1</v>
  </rv>
  <rv s="0">
    <fb>5277544</fb>
    <v>2</v>
  </rv>
  <rv s="0">
    <fb>45733</fb>
    <v>0</v>
  </rv>
  <rv s="0">
    <fb>151.34</fb>
    <v>1</v>
  </rv>
  <rv s="0">
    <fb>5449712</fb>
    <v>2</v>
  </rv>
  <rv s="0">
    <fb>45734</fb>
    <v>0</v>
  </rv>
  <rv s="0">
    <fb>148.99</fb>
    <v>1</v>
  </rv>
  <rv s="0">
    <fb>8158556</fb>
    <v>2</v>
  </rv>
  <rv s="0">
    <fb>45735</fb>
    <v>0</v>
  </rv>
  <rv s="0">
    <fb>148.11000000000001</fb>
    <v>1</v>
  </rv>
  <rv s="0">
    <fb>6080054</fb>
    <v>2</v>
  </rv>
  <rv s="0">
    <fb>45736</fb>
    <v>0</v>
  </rv>
  <rv s="0">
    <fb>147.15</fb>
    <v>1</v>
  </rv>
  <rv s="0">
    <fb>4536367</fb>
    <v>2</v>
  </rv>
  <rv s="0">
    <fb>45737</fb>
    <v>0</v>
  </rv>
  <rv s="0">
    <fb>145.44999999999999</fb>
    <v>1</v>
  </rv>
  <rv s="0">
    <fb>11574777</fb>
    <v>2</v>
  </rv>
  <rv s="0">
    <fb>45740</fb>
    <v>0</v>
  </rv>
  <rv s="0">
    <fb>146.44999999999999</fb>
    <v>1</v>
  </rv>
  <rv s="0">
    <fb>5968852</fb>
    <v>2</v>
  </rv>
  <rv s="0">
    <fb>45741</fb>
    <v>0</v>
  </rv>
  <rv s="0">
    <fb>145.54</fb>
    <v>1</v>
  </rv>
  <rv s="0">
    <fb>4763277</fb>
    <v>2</v>
  </rv>
  <rv s="0">
    <fb>45742</fb>
    <v>0</v>
  </rv>
  <rv s="0">
    <fb>148.63999999999999</fb>
    <v>1</v>
  </rv>
  <rv s="0">
    <fb>5885290</fb>
    <v>2</v>
  </rv>
  <rv s="0">
    <fb>45743</fb>
    <v>0</v>
  </rv>
  <rv s="0">
    <fb>149.66999999999999</fb>
    <v>1</v>
  </rv>
  <rv s="0">
    <fb>5397532</fb>
    <v>2</v>
  </rv>
  <rv s="0">
    <fb>45744</fb>
    <v>0</v>
  </rv>
  <rv s="0">
    <fb>149.27000000000001</fb>
    <v>1</v>
  </rv>
  <rv s="0">
    <fb>8550883</fb>
    <v>2</v>
  </rv>
  <rv s="0">
    <fb>45747</fb>
    <v>0</v>
  </rv>
  <rv s="0">
    <fb>149.94</fb>
    <v>1</v>
  </rv>
  <rv s="0">
    <fb>9985702</fb>
    <v>2</v>
  </rv>
  <rv s="0">
    <fb>45748</fb>
    <v>0</v>
  </rv>
  <rv s="0">
    <fb>6072838</fb>
    <v>2</v>
  </rv>
  <rv s="0">
    <fb>45749</fb>
    <v>0</v>
  </rv>
  <rv s="0">
    <fb>149.12</fb>
    <v>1</v>
  </rv>
  <rv s="0">
    <fb>5866172</fb>
    <v>2</v>
  </rv>
  <rv s="0">
    <fb>45750</fb>
    <v>0</v>
  </rv>
  <rv s="0">
    <fb>151.37</fb>
    <v>1</v>
  </rv>
  <rv s="0">
    <fb>8216247</fb>
    <v>2</v>
  </rv>
  <rv s="0">
    <fb>45751</fb>
    <v>0</v>
  </rv>
  <rv s="0">
    <fb>146.61000000000001</fb>
    <v>1</v>
  </rv>
  <rv s="0">
    <fb>12911386</fb>
    <v>2</v>
  </rv>
  <rv s="0">
    <fb>45754</fb>
    <v>0</v>
  </rv>
  <rv s="0">
    <fb>143.19</fb>
    <v>1</v>
  </rv>
  <rv s="0">
    <fb>14423214</fb>
    <v>2</v>
  </rv>
  <rv s="0">
    <fb>45755</fb>
    <v>0</v>
  </rv>
  <rv s="0">
    <fb>140.30000000000001</fb>
    <v>1</v>
  </rv>
  <rv s="0">
    <fb>9488865</fb>
    <v>2</v>
  </rv>
  <rv s="0">
    <fb>45756</fb>
    <v>0</v>
  </rv>
  <rv s="0">
    <fb>145.59</fb>
    <v>1</v>
  </rv>
  <rv s="0">
    <fb>14067005</fb>
    <v>2</v>
  </rv>
  <rv s="0">
    <fb>45757</fb>
    <v>0</v>
  </rv>
  <rv s="0">
    <fb>144.13999999999999</fb>
    <v>1</v>
  </rv>
  <rv s="0">
    <fb>10980259</fb>
    <v>2</v>
  </rv>
  <rv s="0">
    <fb>45758</fb>
    <v>0</v>
  </rv>
  <rv s="0">
    <fb>144.43</fb>
    <v>1</v>
  </rv>
  <rv s="0">
    <fb>8563304</fb>
    <v>2</v>
  </rv>
  <rv s="0">
    <fb>45761</fb>
    <v>0</v>
  </rv>
  <rv s="0">
    <fb>146.75</fb>
    <v>1</v>
  </rv>
  <rv s="0">
    <fb>5393999</fb>
    <v>2</v>
  </rv>
  <rv s="0">
    <fb>45762</fb>
    <v>0</v>
  </rv>
  <rv s="0">
    <fb>142.84</fb>
    <v>1</v>
  </rv>
  <rv s="0">
    <fb>5459551</fb>
    <v>2</v>
  </rv>
  <rv s="0">
    <fb>45763</fb>
    <v>0</v>
  </rv>
  <rv s="0">
    <fb>140.09</fb>
    <v>1</v>
  </rv>
  <rv s="0">
    <fb>7878593</fb>
    <v>2</v>
  </rv>
  <rv s="0">
    <fb>45764</fb>
    <v>0</v>
  </rv>
  <rv s="0">
    <fb>6131364</fb>
    <v>2</v>
  </rv>
  <rv s="0">
    <fb>45768</fb>
    <v>0</v>
  </rv>
  <rv s="0">
    <fb>141.72999999999999</fb>
    <v>1</v>
  </rv>
  <rv s="0">
    <fb>7412800</fb>
    <v>2</v>
  </rv>
  <rv s="0">
    <fb>45769</fb>
    <v>0</v>
  </rv>
  <rv s="0">
    <fb>143.46</fb>
    <v>1</v>
  </rv>
  <rv s="0">
    <fb>7144709</fb>
    <v>2</v>
  </rv>
  <rv s="0">
    <fb>45770</fb>
    <v>0</v>
  </rv>
  <rv s="0">
    <fb>142.26</fb>
    <v>1</v>
  </rv>
  <rv s="0">
    <fb>7760035</fb>
    <v>2</v>
  </rv>
  <rv s="0">
    <fb>45771</fb>
    <v>0</v>
  </rv>
  <rv s="0">
    <fb>135.31</fb>
    <v>1</v>
  </rv>
  <rv s="0">
    <fb>15577256</fb>
    <v>2</v>
  </rv>
  <rv s="0">
    <fb>45772</fb>
    <v>0</v>
  </rv>
  <rv s="0">
    <fb>133.38</fb>
    <v>1</v>
  </rv>
  <rv s="0">
    <fb>11544686</fb>
    <v>2</v>
  </rv>
  <rv s="0">
    <fb>45775</fb>
    <v>0</v>
  </rv>
  <rv s="0">
    <fb>133.76</fb>
    <v>1</v>
  </rv>
  <rv s="0">
    <fb>8498608</fb>
    <v>2</v>
  </rv>
  <rv s="0">
    <fb>45776</fb>
    <v>0</v>
  </rv>
  <rv s="0">
    <fb>134.31</fb>
    <v>1</v>
  </rv>
  <rv s="0">
    <fb>7010733</fb>
    <v>2</v>
  </rv>
  <rv s="0">
    <fb>45777</fb>
    <v>0</v>
  </rv>
  <rv s="0">
    <fb>135.58000000000001</fb>
    <v>1</v>
  </rv>
  <rv s="0">
    <fb>7923472</fb>
    <v>2</v>
  </rv>
  <rv s="0">
    <fb>45778</fb>
    <v>0</v>
  </rv>
  <rv s="0">
    <fb>133.55000000000001</fb>
    <v>1</v>
  </rv>
  <rv s="0">
    <fb>6807019</fb>
    <v>2</v>
  </rv>
  <rv s="0">
    <fb>45779</fb>
    <v>0</v>
  </rv>
  <rv s="0">
    <fb>133.75</fb>
    <v>1</v>
  </rv>
  <rv s="0">
    <fb>7169731</fb>
    <v>2</v>
  </rv>
  <rv s="0">
    <fb>45782</fb>
    <v>0</v>
  </rv>
  <rv s="0">
    <fb>131.99</fb>
    <v>1</v>
  </rv>
  <rv s="0">
    <fb>8972159</fb>
    <v>2</v>
  </rv>
  <rv s="0">
    <fb>45783</fb>
    <v>0</v>
  </rv>
  <rv s="0">
    <fb>130.74</fb>
    <v>1</v>
  </rv>
  <rv s="0">
    <fb>6889893</fb>
    <v>2</v>
  </rv>
  <rv s="0">
    <fb>45784</fb>
    <v>0</v>
  </rv>
  <rv s="0">
    <fb>131.91499999999999</fb>
    <v>1</v>
  </rv>
  <rv s="0">
    <fb>6313815</fb>
    <v>2</v>
  </rv>
  <rv s="0">
    <fb>45785</fb>
    <v>0</v>
  </rv>
  <rv s="0">
    <fb>131.43</fb>
    <v>1</v>
  </rv>
  <rv s="0">
    <fb>6392355</fb>
    <v>2</v>
  </rv>
  <rv s="0">
    <fb>45786</fb>
    <v>0</v>
  </rv>
  <rv s="0">
    <fb>130.44</fb>
    <v>1</v>
  </rv>
  <rv s="0">
    <fb>4770504</fb>
    <v>2</v>
  </rv>
  <rv s="0">
    <fb>45789</fb>
    <v>0</v>
  </rv>
  <rv s="0">
    <fb>131.68</fb>
    <v>1</v>
  </rv>
  <rv s="0">
    <fb>8392720</fb>
    <v>2</v>
  </rv>
  <rv s="0">
    <fb>45790</fb>
    <v>0</v>
  </rv>
  <rv s="0">
    <fb>130.31</fb>
    <v>1</v>
  </rv>
  <rv s="0">
    <fb>8650220</fb>
    <v>2</v>
  </rv>
  <rv s="0">
    <fb>45791</fb>
    <v>0</v>
  </rv>
  <rv s="0">
    <fb>128.44999999999999</fb>
    <v>1</v>
  </rv>
  <rv s="0">
    <fb>10463015</fb>
    <v>2</v>
  </rv>
  <rv s="0">
    <fb>45792</fb>
    <v>0</v>
  </rv>
  <rv s="0">
    <fb>131.5</fb>
    <v>1</v>
  </rv>
  <rv s="0">
    <fb>9165089</fb>
    <v>2</v>
  </rv>
  <rv s="0">
    <fb>45793</fb>
    <v>0</v>
  </rv>
  <rv s="0">
    <fb>131.97999999999999</fb>
    <v>1</v>
  </rv>
  <rv s="0">
    <fb>8896370</fb>
    <v>2</v>
  </rv>
  <rv s="0">
    <fb>45796</fb>
    <v>0</v>
  </rv>
  <rv s="0">
    <fb>131.79</fb>
    <v>1</v>
  </rv>
  <rv s="0">
    <fb>9406194</fb>
    <v>2</v>
  </rv>
  <rv s="0">
    <fb>45797</fb>
    <v>0</v>
  </rv>
  <rv s="0">
    <fb>131.80000000000001</fb>
    <v>1</v>
  </rv>
  <rv s="0">
    <fb>7624244</fb>
    <v>2</v>
  </rv>
  <rv s="0">
    <fb>45798</fb>
    <v>0</v>
  </rv>
  <rv s="0">
    <fb>130.15</fb>
    <v>1</v>
  </rv>
  <rv s="0">
    <fb>9243724</fb>
    <v>2</v>
  </rv>
  <rv s="0">
    <fb>45799</fb>
    <v>0</v>
  </rv>
  <rv s="0">
    <fb>130.12</fb>
    <v>1</v>
  </rv>
  <rv s="0">
    <fb>7140231</fb>
    <v>2</v>
  </rv>
  <rv s="0">
    <fb>45800</fb>
    <v>0</v>
  </rv>
  <rv s="0">
    <fb>129.34</fb>
    <v>1</v>
  </rv>
  <rv s="0">
    <fb>8122494</fb>
    <v>2</v>
  </rv>
  <rv s="0">
    <fb>45804</fb>
    <v>0</v>
  </rv>
  <rv s="0">
    <fb>131.37</fb>
    <v>1</v>
  </rv>
  <rv s="0">
    <fb>13974764</fb>
    <v>2</v>
  </rv>
  <rv s="0">
    <fb>45805</fb>
    <v>0</v>
  </rv>
  <rv s="0">
    <fb>130.66999999999999</fb>
    <v>1</v>
  </rv>
  <rv s="0">
    <fb>9431450</fb>
    <v>2</v>
  </rv>
  <rv s="0">
    <fb>45806</fb>
    <v>0</v>
  </rv>
  <rv s="0">
    <fb>131.91999999999999</fb>
    <v>1</v>
  </rv>
  <rv s="0">
    <fb>6659069</fb>
    <v>2</v>
  </rv>
  <rv s="0">
    <fb>45807</fb>
    <v>0</v>
  </rv>
  <rv s="0">
    <fb>131.44999999999999</fb>
    <v>1</v>
  </rv>
  <rv s="0">
    <fb>12992075</fb>
    <v>2</v>
  </rv>
  <rv s="0">
    <fb>45810</fb>
    <v>0</v>
  </rv>
  <rv s="0">
    <fb>130.91</fb>
    <v>1</v>
  </rv>
  <rv s="0">
    <fb>6723720</fb>
    <v>2</v>
  </rv>
  <rv s="0">
    <fb>45811</fb>
    <v>0</v>
  </rv>
  <rv s="0">
    <fb>131.85</fb>
    <v>1</v>
  </rv>
  <rv s="0">
    <fb>7339524</fb>
    <v>2</v>
  </rv>
  <rv s="0">
    <fb>45812</fb>
    <v>0</v>
  </rv>
  <rv s="0">
    <fb>131.74</fb>
    <v>1</v>
  </rv>
  <rv s="0">
    <fb>6519728</fb>
    <v>2</v>
  </rv>
  <rv s="0">
    <fb>45813</fb>
    <v>0</v>
  </rv>
  <rv s="0">
    <fb>131.11000000000001</fb>
    <v>1</v>
  </rv>
  <rv s="0">
    <fb>9566619</fb>
    <v>2</v>
  </rv>
  <rv s="0">
    <fb>45814</fb>
    <v>0</v>
  </rv>
  <rv s="0">
    <fb>130.03</fb>
    <v>1</v>
  </rv>
  <rv s="0">
    <fb>7628224</fb>
    <v>2</v>
  </rv>
  <rv s="0">
    <fb>45817</fb>
    <v>0</v>
  </rv>
  <rv s="0">
    <fb>129.96</fb>
    <v>1</v>
  </rv>
  <rv s="0">
    <fb>8453146</fb>
    <v>2</v>
  </rv>
  <rv s="0">
    <fb>45818</fb>
    <v>0</v>
  </rv>
  <rv s="0">
    <fb>131.83000000000001</fb>
    <v>1</v>
  </rv>
  <rv s="0">
    <fb>11852874</fb>
    <v>2</v>
  </rv>
  <rv s="0">
    <fb>45819</fb>
    <v>0</v>
  </rv>
  <rv s="0">
    <fb>129.9</fb>
    <v>1</v>
  </rv>
  <rv s="0">
    <fb>9168356</fb>
    <v>2</v>
  </rv>
  <rv s="0">
    <fb>45820</fb>
    <v>0</v>
  </rv>
  <rv s="0">
    <fb>132.30000000000001</fb>
    <v>1</v>
  </rv>
  <rv s="0">
    <fb>11444911</fb>
    <v>2</v>
  </rv>
  <rv s="0">
    <fb>45821</fb>
    <v>0</v>
  </rv>
  <rv s="0">
    <fb>130.85</fb>
    <v>1</v>
  </rv>
  <rv s="0">
    <fb>9581034</fb>
    <v>2</v>
  </rv>
  <rv s="0">
    <fb>45824</fb>
    <v>0</v>
  </rv>
  <rv s="0">
    <fb>131.41</fb>
    <v>1</v>
  </rv>
  <rv s="0">
    <fb>11183692</fb>
    <v>2</v>
  </rv>
  <rv s="0">
    <fb>45825</fb>
    <v>0</v>
  </rv>
  <rv s="0">
    <fb>129.29</fb>
    <v>1</v>
  </rv>
  <rv s="0">
    <fb>10235225</fb>
    <v>2</v>
  </rv>
  <rv s="0">
    <fb>45826</fb>
    <v>0</v>
  </rv>
  <rv s="0">
    <fb>129.07</fb>
    <v>1</v>
  </rv>
  <rv s="0">
    <fb>8785766</fb>
    <v>2</v>
  </rv>
  <rv s="0">
    <fb>45828</fb>
    <v>0</v>
  </rv>
  <rv s="0">
    <fb>23000967</fb>
    <v>2</v>
  </rv>
  <rv s="0">
    <fb>45831</fb>
    <v>0</v>
  </rv>
  <rv s="0">
    <fb>129.09</fb>
    <v>1</v>
  </rv>
  <rv s="0">
    <fb>12840356</fb>
    <v>2</v>
  </rv>
  <rv s="0">
    <fb>45832</fb>
    <v>0</v>
  </rv>
  <rv s="0">
    <fb>131.05000000000001</fb>
    <v>1</v>
  </rv>
  <rv s="0">
    <fb>9226773</fb>
    <v>2</v>
  </rv>
  <rv s="0">
    <fb>45833</fb>
    <v>0</v>
  </rv>
  <rv s="0">
    <fb>128.02000000000001</fb>
    <v>1</v>
  </rv>
  <rv s="0">
    <fb>10922565</fb>
    <v>2</v>
  </rv>
  <rv s="0">
    <fb>45834</fb>
    <v>0</v>
  </rv>
  <rv s="0">
    <fb>128.22</fb>
    <v>1</v>
  </rv>
  <rv s="0">
    <fb>11538069</fb>
    <v>2</v>
  </rv>
  <rv s="0">
    <fb>45835</fb>
    <v>0</v>
  </rv>
  <rv s="0">
    <fb>131.04</fb>
    <v>1</v>
  </rv>
  <rv s="0">
    <fb>26536478</fb>
    <v>2</v>
  </rv>
  <rv s="0">
    <fb>45838</fb>
    <v>0</v>
  </rv>
  <rv s="0">
    <fb>132.04</fb>
    <v>1</v>
  </rv>
  <rv s="0">
    <fb>11402443</fb>
    <v>2</v>
  </rv>
  <rv s="0">
    <fb>45839</fb>
    <v>0</v>
  </rv>
  <rv s="0">
    <fb>135.26</fb>
    <v>1</v>
  </rv>
  <rv s="0">
    <fb>12846685</fb>
    <v>2</v>
  </rv>
  <rv s="0">
    <fb>45840</fb>
    <v>0</v>
  </rv>
  <rv s="0">
    <fb>136.47999999999999</fb>
    <v>1</v>
  </rv>
  <rv s="0">
    <fb>9388667</fb>
    <v>2</v>
  </rv>
  <rv s="0">
    <fb>45841</fb>
    <v>0</v>
  </rv>
  <rv s="0">
    <fb>135.38</fb>
    <v>1</v>
  </rv>
  <rv s="0">
    <fb>4941378</fb>
    <v>2</v>
  </rv>
  <rv s="0">
    <fb>45845</fb>
    <v>0</v>
  </rv>
  <rv s="0">
    <fb>134.44999999999999</fb>
    <v>1</v>
  </rv>
  <rv s="0">
    <fb>7773744</fb>
    <v>2</v>
  </rv>
  <rv s="0">
    <fb>45846</fb>
    <v>0</v>
  </rv>
  <rv s="0">
    <fb>135.04</fb>
    <v>1</v>
  </rv>
  <rv s="0">
    <fb>7718265</fb>
    <v>2</v>
  </rv>
  <rv s="0">
    <fb>45847</fb>
    <v>0</v>
  </rv>
  <rv s="0">
    <fb>134.47999999999999</fb>
    <v>1</v>
  </rv>
  <rv s="0">
    <fb>7762618</fb>
    <v>2</v>
  </rv>
  <rv s="0">
    <fb>45848</fb>
    <v>0</v>
  </rv>
  <rv s="0">
    <fb>136.08000000000001</fb>
    <v>1</v>
  </rv>
  <rv s="0">
    <fb>8870905</fb>
    <v>2</v>
  </rv>
  <rv s="0">
    <fb>45849</fb>
    <v>0</v>
  </rv>
  <rv s="0">
    <fb>7963646</fb>
    <v>2</v>
  </rv>
  <rv s="0">
    <fb>45852</fb>
    <v>0</v>
  </rv>
  <rv s="0">
    <fb>135.57</fb>
    <v>1</v>
  </rv>
  <rv s="0">
    <fb>8480302</fb>
    <v>2</v>
  </rv>
  <rv s="0">
    <fb>45853</fb>
    <v>0</v>
  </rv>
  <rv s="0">
    <fb>133.81</fb>
    <v>1</v>
  </rv>
  <rv s="0">
    <fb>8933520</fb>
    <v>2</v>
  </rv>
  <rv s="0">
    <fb>45854</fb>
    <v>0</v>
  </rv>
  <rv s="0">
    <fb>135.35</fb>
    <v>1</v>
  </rv>
  <rv s="0">
    <fb>10941629</fb>
    <v>2</v>
  </rv>
  <rv s="0">
    <fb>45855</fb>
    <v>0</v>
  </rv>
  <rv s="0">
    <fb>145.44</fb>
    <v>1</v>
  </rv>
  <rv s="0">
    <fb>26161000</fb>
    <v>2</v>
  </rv>
  <rv s="0">
    <fb>45856</fb>
    <v>0</v>
  </rv>
  <rv s="0">
    <fb>143.24</fb>
    <v>1</v>
  </rv>
  <rv s="0">
    <fb>13752825</fb>
    <v>2</v>
  </rv>
  <rv s="0">
    <fb>45859</fb>
    <v>0</v>
  </rv>
  <rv s="0">
    <fb>141.69999999999999</fb>
    <v>1</v>
  </rv>
  <rv s="0">
    <fb>9025630</fb>
    <v>2</v>
  </rv>
  <rv s="0">
    <fb>45860</fb>
    <v>0</v>
  </rv>
  <rv s="0">
    <fb>146.04</fb>
    <v>1</v>
  </rv>
  <rv s="0">
    <fb>8281528</fb>
    <v>2</v>
  </rv>
  <rv s="0">
    <fb>45861</fb>
    <v>0</v>
  </rv>
  <rv s="0">
    <fb>145.66</fb>
    <v>1</v>
  </rv>
  <rv s="0">
    <fb>6165951</fb>
    <v>2</v>
  </rv>
  <rv s="0">
    <fb>45862</fb>
    <v>0</v>
  </rv>
  <rv s="0">
    <fb>144.51</fb>
    <v>1</v>
  </rv>
  <rv s="0">
    <fb>9749426</fb>
    <v>2</v>
  </rv>
  <rv s="0">
    <fb>45863</fb>
    <v>0</v>
  </rv>
  <rv s="0">
    <fb>143.44999999999999</fb>
    <v>1</v>
  </rv>
  <rv s="0">
    <fb>7021594</fb>
    <v>2</v>
  </rv>
  <rv s="0">
    <fb>45866</fb>
    <v>0</v>
  </rv>
  <rv s="0">
    <fb>141.57</fb>
    <v>1</v>
  </rv>
  <rv s="0">
    <fb>10639129</fb>
    <v>2</v>
  </rv>
  <rv s="0">
    <fb>45867</fb>
    <v>0</v>
  </rv>
  <rv s="0">
    <fb>143.88999999999999</fb>
    <v>1</v>
  </rv>
  <rv s="0">
    <fb>6282944</fb>
    <v>2</v>
  </rv>
  <rv s="0">
    <fb>45868</fb>
    <v>0</v>
  </rv>
  <rv s="0">
    <fb>142.86000000000001</fb>
    <v>1</v>
  </rv>
  <rv s="0">
    <fb>9738383</fb>
    <v>2</v>
  </rv>
  <rv s="0">
    <fb>45869</fb>
    <v>0</v>
  </rv>
  <rv s="0">
    <fb>137.91999999999999</fb>
    <v>1</v>
  </rv>
  <rv s="0">
    <fb>11689674</fb>
    <v>2</v>
  </rv>
  <rv s="0">
    <fb>45870</fb>
    <v>0</v>
  </rv>
  <rv s="0">
    <fb>139.28</fb>
    <v>1</v>
  </rv>
  <rv s="0">
    <fb>7630810</fb>
    <v>2</v>
  </rv>
  <rv s="0">
    <fb>45873</fb>
    <v>0</v>
  </rv>
  <rv s="0">
    <fb>139.56</fb>
    <v>1</v>
  </rv>
  <rv s="0">
    <fb>8384672</fb>
    <v>2</v>
  </rv>
  <rv s="0">
    <fb>45874</fb>
    <v>0</v>
  </rv>
  <rv s="0">
    <fb>139.44999999999999</fb>
    <v>1</v>
  </rv>
  <rv s="0">
    <fb>5535084</fb>
    <v>2</v>
  </rv>
  <rv s="0">
    <fb>45875</fb>
    <v>0</v>
  </rv>
  <rv s="0">
    <fb>140.80000000000001</fb>
    <v>1</v>
  </rv>
  <rv s="0">
    <fb>6747448</fb>
    <v>2</v>
  </rv>
  <rv s="0">
    <fb>45876</fb>
    <v>0</v>
  </rv>
  <rv s="0">
    <fb>143.91999999999999</fb>
    <v>1</v>
  </rv>
  <rv s="0">
    <fb>7674642</fb>
    <v>2</v>
  </rv>
  <rv s="0">
    <fb>45877</fb>
    <v>0</v>
  </rv>
  <rv s="0">
    <fb>145.21</fb>
    <v>1</v>
  </rv>
  <rv s="0">
    <fb>5315087</fb>
    <v>2</v>
  </rv>
  <rv s="0">
    <fb>45880</fb>
    <v>0</v>
  </rv>
  <rv s="0">
    <fb>144.87</fb>
    <v>1</v>
  </rv>
  <rv s="0">
    <fb>5773384</fb>
    <v>2</v>
  </rv>
  <rv s="0">
    <fb>45881</fb>
    <v>0</v>
  </rv>
  <rv s="0">
    <fb>146.87</fb>
    <v>1</v>
  </rv>
  <rv s="0">
    <fb>7670149</fb>
    <v>2</v>
  </rv>
  <rv s="0">
    <fb>45882</fb>
    <v>0</v>
  </rv>
  <rv s="0">
    <fb>149.35</fb>
    <v>1</v>
  </rv>
  <rv s="0">
    <fb>6147005</fb>
    <v>2</v>
  </rv>
  <rv s="0">
    <fb>45883</fb>
    <v>0</v>
  </rv>
  <rv s="0">
    <fb>148.62</fb>
    <v>1</v>
  </rv>
  <rv s="0">
    <fb>6892466</fb>
    <v>2</v>
  </rv>
  <rv s="0">
    <fb>45884</fb>
    <v>0</v>
  </rv>
  <rv s="0">
    <fb>150.4</fb>
    <v>1</v>
  </rv>
  <rv s="0">
    <fb>9162178</fb>
    <v>2</v>
  </rv>
  <rv s="0">
    <fb>45887</fb>
    <v>0</v>
  </rv>
  <rv s="0">
    <fb>149.55000000000001</fb>
    <v>1</v>
  </rv>
  <rv s="0">
    <fb>9900999</fb>
    <v>2</v>
  </rv>
  <rv s="0">
    <fb>45888</fb>
    <v>0</v>
  </rv>
  <rv s="0">
    <fb>152.16</fb>
    <v>1</v>
  </rv>
  <rv s="0">
    <fb>8596943</fb>
    <v>2</v>
  </rv>
  <rv s="0">
    <fb>45889</fb>
    <v>0</v>
  </rv>
  <rv s="0">
    <fb>150.72999999999999</fb>
    <v>1</v>
  </rv>
  <rv s="0">
    <fb>10023466</fb>
    <v>2</v>
  </rv>
  <rv s="0">
    <fb>45890</fb>
    <v>0</v>
  </rv>
  <rv s="0">
    <fb>148.97999999999999</fb>
    <v>1</v>
  </rv>
  <rv s="0">
    <fb>8153618</fb>
    <v>2</v>
  </rv>
  <rv s="0">
    <fb>45891</fb>
    <v>0</v>
  </rv>
  <rv s="0">
    <fb>149.63999999999999</fb>
    <v>1</v>
  </rv>
  <rv s="0">
    <fb>5218019</fb>
    <v>2</v>
  </rv>
  <rv s="0">
    <fb>45894</fb>
    <v>0</v>
  </rv>
  <rv s="0">
    <fb>148.19999999999999</fb>
    <v>1</v>
  </rv>
  <rv s="0">
    <fb>6624298</fb>
    <v>2</v>
  </rv>
  <rv s="0">
    <fb>45895</fb>
    <v>0</v>
  </rv>
  <rv s="0">
    <fb>147</fb>
    <v>1</v>
  </rv>
  <rv s="0">
    <fb>11208146</fb>
    <v>2</v>
  </rv>
  <rv s="0">
    <fb>45896</fb>
    <v>0</v>
  </rv>
  <rv s="0">
    <fb>147.63999999999999</fb>
    <v>1</v>
  </rv>
  <rv s="0">
    <fb>8092909</fb>
    <v>2</v>
  </rv>
  <rv s="0">
    <fb>45897</fb>
    <v>0</v>
  </rv>
  <rv s="0">
    <fb>146.97999999999999</fb>
    <v>1</v>
  </rv>
  <rv s="0">
    <fb>9265077</fb>
    <v>2</v>
  </rv>
  <rv s="0">
    <fb>45898</fb>
    <v>0</v>
  </rv>
  <rv s="0">
    <fb>148.65</fb>
    <v>1</v>
  </rv>
  <rv s="0">
    <fb>7760710</fb>
    <v>2</v>
  </rv>
  <rv s="0">
    <fb>45902</fb>
    <v>0</v>
  </rv>
  <rv s="0">
    <fb>150.28</fb>
    <v>1</v>
  </rv>
  <rv s="0">
    <fb>17348611</fb>
    <v>2</v>
  </rv>
  <rv s="0">
    <fb>45903</fb>
    <v>0</v>
  </rv>
  <rv s="0">
    <fb>11259203</fb>
    <v>2</v>
  </rv>
  <rv s="0">
    <fb>45904</fb>
    <v>0</v>
  </rv>
  <rv s="0">
    <fb>146.88999999999999</fb>
    <v>1</v>
  </rv>
  <rv s="0">
    <fb>6342232</fb>
    <v>2</v>
  </rv>
  <rv s="0">
    <fb>45905</fb>
    <v>0</v>
  </rv>
  <rv s="0">
    <fb>146.38999999999999</fb>
    <v>1</v>
  </rv>
  <rv s="0">
    <fb>7186260</fb>
    <v>2</v>
  </rv>
  <rv s="0">
    <fb>45908</fb>
    <v>0</v>
  </rv>
  <rv s="0">
    <fb>141.71</fb>
    <v>1</v>
  </rv>
  <rv s="0">
    <fb>11127619</fb>
    <v>2</v>
  </rv>
  <rv s="0">
    <fb>45909</fb>
    <v>0</v>
  </rv>
  <rv s="0">
    <fb>143.1</fb>
    <v>1</v>
  </rv>
  <rv s="0">
    <fb>5866442</fb>
    <v>2</v>
  </rv>
  <rv s="0">
    <fb>45910</fb>
    <v>0</v>
  </rv>
  <rv s="0">
    <fb>142.66</fb>
    <v>1</v>
  </rv>
  <rv s="0">
    <fb>6015122</fb>
    <v>2</v>
  </rv>
  <rv s="0">
    <fb>45911</fb>
    <v>0</v>
  </rv>
  <rv s="0">
    <fb>144.22999999999999</fb>
    <v>1</v>
  </rv>
  <rv s="0">
    <fb>6144363</fb>
    <v>2</v>
  </rv>
  <rv s="0">
    <fb>45912</fb>
    <v>0</v>
  </rv>
  <rv s="0">
    <fb>143.53</fb>
    <v>1</v>
  </rv>
  <rv s="0">
    <fb>5714114</fb>
    <v>2</v>
  </rv>
  <rv s="0">
    <fb>45915</fb>
    <v>0</v>
  </rv>
  <rv s="0">
    <fb>140.63999999999999</fb>
    <v>1</v>
  </rv>
  <rv s="0">
    <fb>7279639</fb>
    <v>2</v>
  </rv>
  <rv s="0">
    <fb>45916</fb>
    <v>0</v>
  </rv>
  <rv s="0">
    <fb>140.03</fb>
    <v>1</v>
  </rv>
  <rv s="0">
    <fb>9283480</fb>
    <v>2</v>
  </rv>
  <rv s="0">
    <fb>45917</fb>
    <v>0</v>
  </rv>
  <rv s="0">
    <fb>141.22999999999999</fb>
    <v>1</v>
  </rv>
  <rv s="0">
    <fb>6092884</fb>
    <v>2</v>
  </rv>
  <rv s="0">
    <fb>45918</fb>
    <v>0</v>
  </rv>
  <rv s="0">
    <fb>140.72999999999999</fb>
    <v>1</v>
  </rv>
  <rv s="0">
    <fb>6106557</fb>
    <v>2</v>
  </rv>
  <rv s="0">
    <fb>45919</fb>
    <v>0</v>
  </rv>
  <rv s="0">
    <fb>141.76</fb>
    <v>1</v>
  </rv>
  <rv s="0">
    <fb>12365531</fb>
    <v>2</v>
  </rv>
  <rv s="0">
    <fb>45922</fb>
    <v>0</v>
  </rv>
  <rv s="0">
    <fb>141.03</fb>
    <v>1</v>
  </rv>
  <rv s="0">
    <fb>5797558</fb>
    <v>2</v>
  </rv>
  <rv s="0">
    <fb>45923</fb>
    <v>0</v>
  </rv>
  <rv s="0">
    <fb>141.9</fb>
    <v>1</v>
  </rv>
  <rv s="0">
    <fb>6356489</fb>
    <v>2</v>
  </rv>
  <rv s="0">
    <fb>45924</fb>
    <v>0</v>
  </rv>
  <rv s="0">
    <fb>142.16999999999999</fb>
    <v>1</v>
  </rv>
  <rv s="0">
    <fb>5949145</fb>
    <v>2</v>
  </rv>
  <rv s="0">
    <fb>45925</fb>
    <v>0</v>
  </rv>
  <rv s="0">
    <fb>139.91999999999999</fb>
    <v>1</v>
  </rv>
  <rv s="0">
    <fb>7101666</fb>
    <v>2</v>
  </rv>
  <rv s="0">
    <fb>45926</fb>
    <v>0</v>
  </rv>
  <rv s="0">
    <fb>140.44</fb>
    <v>1</v>
  </rv>
  <rv s="0">
    <fb>6224693</fb>
    <v>2</v>
  </rv>
  <rv s="0">
    <fb>45929</fb>
    <v>0</v>
  </rv>
  <rv s="0">
    <fb>140.16999999999999</fb>
    <v>1</v>
  </rv>
  <rv s="0">
    <fb>11930247</fb>
    <v>2</v>
  </rv>
  <rv s="0">
    <fb>45930</fb>
    <v>0</v>
  </rv>
  <rv s="0">
    <fb>7583411</fb>
    <v>2</v>
  </rv>
  <rv s="0">
    <fb>45931</fb>
    <v>0</v>
  </rv>
  <rv s="0">
    <fb>143.13999999999999</fb>
    <v>1</v>
  </rv>
  <rv s="0">
    <fb>5880796</fb>
    <v>2</v>
  </rv>
  <rv s="0">
    <fb>45932</fb>
    <v>0</v>
  </rv>
  <rv s="0">
    <fb>142.31</fb>
    <v>1</v>
  </rv>
  <rv s="0">
    <fb>4497315</fb>
    <v>2</v>
  </rv>
  <rv s="0">
    <fb>45933</fb>
    <v>0</v>
  </rv>
  <rv s="0">
    <fb>141.97999999999999</fb>
    <v>1</v>
  </rv>
  <rv s="0">
    <fb>5425725</fb>
    <v>2</v>
  </rv>
  <rv s="0">
    <fb>45936</fb>
    <v>0</v>
  </rv>
  <rv s="0">
    <fb>139.69999999999999</fb>
    <v>1</v>
  </rv>
  <rv s="0">
    <fb>6750712</fb>
    <v>2</v>
  </rv>
  <rv s="0">
    <fb>45937</fb>
    <v>0</v>
  </rv>
  <rv s="0">
    <fb>140.79</fb>
    <v>1</v>
  </rv>
  <rv s="0">
    <fb>6110309</fb>
    <v>2</v>
  </rv>
  <rv s="0">
    <fb>45938</fb>
    <v>0</v>
  </rv>
  <rv s="0">
    <fb>138.84</fb>
    <v>1</v>
  </rv>
  <rv s="0">
    <fb>8256741</fb>
    <v>2</v>
  </rv>
  <rv s="0">
    <fb>45939</fb>
    <v>0</v>
  </rv>
  <rv s="0">
    <fb>144.71</fb>
    <v>1</v>
  </rv>
  <rv s="0">
    <fb>13706629</fb>
    <v>2</v>
  </rv>
  <rv s="0">
    <fb>45940</fb>
    <v>0</v>
  </rv>
  <rv s="0">
    <fb>150.08000000000001</fb>
    <v>1</v>
  </rv>
  <rv s="0">
    <fb>17545164</fb>
    <v>2</v>
  </rv>
  <rv s="0">
    <fb>45943</fb>
    <v>0</v>
  </rv>
  <rv s="0">
    <fb>148.88999999999999</fb>
    <v>1</v>
  </rv>
  <rv s="0">
    <fb>7271983</fb>
    <v>2</v>
  </rv>
  <rv s="0">
    <fb>45944</fb>
    <v>0</v>
  </rv>
  <rv s="0">
    <fb>151.54</fb>
    <v>1</v>
  </rv>
  <rv s="0">
    <fb>8371136</fb>
    <v>2</v>
  </rv>
  <rv s="0">
    <fb>45945</fb>
    <v>0</v>
  </rv>
  <rv s="0">
    <fb>151.16</fb>
    <v>1</v>
  </rv>
  <rv s="0">
    <fb>6101096</fb>
    <v>2</v>
  </rv>
  <rv s="0">
    <fb>45946</fb>
    <v>0</v>
  </rv>
  <rv s="0">
    <fb>152.66999999999999</fb>
    <v>1</v>
  </rv>
  <rv s="0">
    <fb>8532889</fb>
    <v>2</v>
  </rv>
  <rv s="0">
    <fb>45947</fb>
    <v>0</v>
  </rv>
  <rv s="0">
    <fb>153.71</fb>
    <v>1</v>
  </rv>
  <rv s="0">
    <fb>6710141</fb>
    <v>2</v>
  </rv>
  <rv s="0">
    <fb>45950</fb>
    <v>0</v>
  </rv>
  <rv s="0">
    <fb>153.63999999999999</fb>
    <v>1</v>
  </rv>
  <rv s="0">
    <fb>4810592</fb>
    <v>2</v>
  </rv>
  <rv s="0">
    <fb>45951</fb>
    <v>0</v>
  </rv>
  <rv s="0">
    <fb>153.18</fb>
    <v>1</v>
  </rv>
  <rv s="0">
    <fb>5614266</fb>
    <v>2</v>
  </rv>
  <rv s="0">
    <fb>45952</fb>
    <v>0</v>
  </rv>
  <rv s="0">
    <fb>153.03</fb>
    <v>1</v>
  </rv>
  <rv s="0">
    <fb>6485959</fb>
    <v>2</v>
  </rv>
  <rv s="0">
    <fb>45953</fb>
    <v>0</v>
  </rv>
  <rv s="0">
    <fb>6091762</fb>
    <v>2</v>
  </rv>
  <rv s="0">
    <fb>45954</fb>
    <v>0</v>
  </rv>
  <rv s="0">
    <fb>151.55000000000001</fb>
    <v>1</v>
  </rv>
  <rv s="0">
    <fb>3580182</fb>
    <v>2</v>
  </rv>
  <rv s="0">
    <fb>45957</fb>
    <v>0</v>
  </rv>
  <rv s="0">
    <fb>152.63</fb>
    <v>1</v>
  </rv>
  <rv s="0">
    <fb>4744578</fb>
    <v>2</v>
  </rv>
  <rv s="0">
    <fb>45958</fb>
    <v>0</v>
  </rv>
  <rv s="0">
    <fb>150.12</fb>
    <v>1</v>
  </rv>
  <rv s="0">
    <fb>5626528</fb>
    <v>2</v>
  </rv>
  <rv s="0">
    <fb>45959</fb>
    <v>0</v>
  </rv>
  <rv s="0">
    <fb>146.16</fb>
    <v>1</v>
  </rv>
  <rv s="0">
    <fb>7767556</fb>
    <v>2</v>
  </rv>
  <rv s="0">
    <fb>45960</fb>
    <v>0</v>
  </rv>
  <rv s="0">
    <fb>147.55000000000001</fb>
    <v>1</v>
  </rv>
  <rv s="0">
    <fb>5752708</fb>
    <v>2</v>
  </rv>
  <rv s="0">
    <fb>45961</fb>
    <v>0</v>
  </rv>
  <rv s="0">
    <fb>146.09</fb>
    <v>1</v>
  </rv>
  <rv s="0">
    <fb>6313592</fb>
    <v>2</v>
  </rv>
  <rv s="0">
    <fb>45964</fb>
    <v>0</v>
  </rv>
  <rv s="0">
    <fb>143.6</fb>
    <v>1</v>
  </rv>
  <rv s="0">
    <fb>8331545</fb>
    <v>2</v>
  </rv>
  <rv s="0">
    <fb>45965</fb>
    <v>0</v>
  </rv>
  <rv s="0">
    <fb>142.9</fb>
    <v>1</v>
  </rv>
  <rv s="0">
    <fb>8302941</fb>
    <v>2</v>
  </rv>
  <rv s="0">
    <fb>45966</fb>
    <v>0</v>
  </rv>
  <rv s="0">
    <fb>7136424</fb>
    <v>2</v>
  </rv>
  <rv s="0">
    <fb>45967</fb>
    <v>0</v>
  </rv>
  <rv s="0">
    <fb>141.58000000000001</fb>
    <v>1</v>
  </rv>
  <rv s="0">
    <fb>6449386</fb>
    <v>2</v>
  </rv>
  <rv s="0">
    <fb>45968</fb>
    <v>0</v>
  </rv>
  <rv s="0">
    <fb>142.94999999999999</fb>
    <v>1</v>
  </rv>
  <rv s="0">
    <fb>7592652</fb>
    <v>2</v>
  </rv>
  <rv s="0">
    <fb>45971</fb>
    <v>0</v>
  </rv>
  <rv s="0">
    <fb>142.62</fb>
    <v>1</v>
  </rv>
  <rv s="0">
    <fb>6617494</fb>
    <v>2</v>
  </rv>
  <rv s="0">
    <fb>45972</fb>
    <v>0</v>
  </rv>
  <rv s="0">
    <fb>145.08000000000001</fb>
    <v>1</v>
  </rv>
  <rv s="0">
    <fb>7683573</fb>
    <v>2</v>
  </rv>
  <rv s="0">
    <fb>45973</fb>
    <v>0</v>
  </rv>
  <rv s="0">
    <fb>144.38999999999999</fb>
    <v>1</v>
  </rv>
  <rv s="0">
    <fb>5790488</fb>
    <v>2</v>
  </rv>
  <rv s="0">
    <fb>45974</fb>
    <v>0</v>
  </rv>
  <rv s="0">
    <fb>145.02000000000001</fb>
    <v>1</v>
  </rv>
  <rv s="0">
    <fb>6663264</fb>
    <v>2</v>
  </rv>
  <rv s="0">
    <fb>45975</fb>
    <v>0</v>
  </rv>
  <rv s="0">
    <fb>145.85</fb>
    <v>1</v>
  </rv>
  <rv s="0">
    <fb>5770478</fb>
    <v>2</v>
  </rv>
  <rv s="0">
    <fb>45978</fb>
    <v>0</v>
  </rv>
  <rv s="0">
    <fb>147.83000000000001</fb>
    <v>1</v>
  </rv>
  <rv s="0">
    <fb>7320150</fb>
    <v>2</v>
  </rv>
  <rv s="0">
    <fb>45979</fb>
    <v>0</v>
  </rv>
  <rv s="0">
    <fb>148.77000000000001</fb>
    <v>1</v>
  </rv>
  <rv s="0">
    <fb>10821528</fb>
    <v>2</v>
  </rv>
  <rv s="0">
    <fb>45980</fb>
    <v>0</v>
  </rv>
  <rv s="0">
    <fb>147.11000000000001</fb>
    <v>1</v>
  </rv>
  <rv s="0">
    <fb>8123236</fb>
    <v>2</v>
  </rv>
  <rv s="0">
    <fb>45981</fb>
    <v>0</v>
  </rv>
  <rv s="0">
    <fb>146.1</fb>
    <v>1</v>
  </rv>
  <rv s="0">
    <fb>6878914</fb>
    <v>2</v>
  </rv>
  <rv s="0">
    <fb>45982</fb>
    <v>0</v>
  </rv>
  <rv s="0">
    <fb>146.33000000000001</fb>
    <v>1</v>
  </rv>
  <rv s="0">
    <fb>7911761</fb>
    <v>2</v>
  </rv>
  <rv s="0">
    <fb>45985</fb>
    <v>0</v>
  </rv>
  <rv s="0">
    <fb>145.5</fb>
    <v>1</v>
  </rv>
  <rv s="0">
    <fb>9391443</fb>
    <v>2</v>
  </rv>
  <rv s="0">
    <fb>45986</fb>
    <v>0</v>
  </rv>
  <rv s="0">
    <fb>146.11000000000001</fb>
    <v>1</v>
  </rv>
  <rv s="0">
    <fb>8953952</fb>
    <v>2</v>
  </rv>
  <rv s="0">
    <fb>45987</fb>
    <v>0</v>
  </rv>
  <rv s="0">
    <fb>147.97999999999999</fb>
    <v>1</v>
  </rv>
  <rv s="0">
    <fb>5180946</fb>
    <v>2</v>
  </rv>
  <rv s="0">
    <fb>45989</fb>
    <v>0</v>
  </rv>
  <rv s="0">
    <fb>148.74</fb>
    <v>1</v>
  </rv>
  <rv s="0">
    <fb>2969300</fb>
    <v>2</v>
  </rv>
  <rv s="0">
    <fb>45992</fb>
    <v>0</v>
  </rv>
  <rv s="0">
    <fb>149.51</fb>
    <v>1</v>
  </rv>
  <rv s="0">
    <fb>7623275</fb>
    <v>2</v>
  </rv>
  <rv s="0">
    <fb>45993</fb>
    <v>0</v>
  </rv>
  <rv s="0">
    <fb>148.61000000000001</fb>
    <v>1</v>
  </rv>
  <rv s="0">
    <fb>6830290</fb>
    <v>2</v>
  </rv>
  <rv s="0">
    <fb>45994</fb>
    <v>0</v>
  </rv>
  <rv s="0">
    <fb>148.06</fb>
    <v>1</v>
  </rv>
  <rv s="0">
    <fb>5109218</fb>
    <v>2</v>
  </rv>
  <rv s="0">
    <fb>45995</fb>
    <v>0</v>
  </rv>
  <rv s="0">
    <fb>146.91</fb>
    <v>1</v>
  </rv>
  <rv s="0">
    <fb>6802969</fb>
    <v>2</v>
  </rv>
  <rv s="0">
    <fb>45996</fb>
    <v>0</v>
  </rv>
  <rv s="0">
    <fb>5971510</fb>
    <v>2</v>
  </rv>
  <rv s="0">
    <fb>45999</fb>
    <v>0</v>
  </rv>
  <rv s="0">
    <fb>145.63</fb>
    <v>1</v>
  </rv>
  <rv s="0">
    <fb>6327412</fb>
    <v>2</v>
  </rv>
  <rv s="0">
    <fb>46000</fb>
    <v>0</v>
  </rv>
  <rv s="0">
    <fb>144.63999999999999</fb>
    <v>1</v>
  </rv>
  <rv s="0">
    <fb>10035178</fb>
    <v>2</v>
  </rv>
  <rv s="0">
    <fb>46001</fb>
    <v>0</v>
  </rv>
  <rv s="0">
    <fb>149.69999999999999</fb>
    <v>1</v>
  </rv>
  <rv s="0">
    <fb>18526426</fb>
    <v>2</v>
  </rv>
  <rv s="0">
    <fb>46002</fb>
    <v>0</v>
  </rv>
  <rv s="0">
    <fb>149.04</fb>
    <v>1</v>
  </rv>
  <rv s="0">
    <fb>7854008</fb>
    <v>2</v>
  </rv>
  <rv s="0">
    <fb>46003</fb>
    <v>0</v>
  </rv>
  <rv s="0">
    <fb>150.65</fb>
    <v>1</v>
  </rv>
  <rv s="0">
    <fb>8143100</fb>
    <v>2</v>
  </rv>
  <rv s="0">
    <fb>46006</fb>
    <v>0</v>
  </rv>
  <rv s="0">
    <fb>151.22</fb>
    <v>1</v>
  </rv>
  <rv s="0">
    <fb>8409625</fb>
    <v>2</v>
  </rv>
  <rv s="0">
    <fb>46007</fb>
    <v>0</v>
  </rv>
  <rv s="0">
    <fb>150.37</fb>
    <v>1</v>
  </rv>
  <rv s="0">
    <fb>7520334</fb>
    <v>2</v>
  </rv>
  <rv s="0">
    <fb>46008</fb>
    <v>0</v>
  </rv>
  <rv s="0">
    <fb>8067133</fb>
    <v>2</v>
  </rv>
  <rv s="0">
    <fb>46009</fb>
    <v>0</v>
  </rv>
  <rv s="0">
    <fb>149.37</fb>
    <v>1</v>
  </rv>
  <rv s="0">
    <fb>6643173</fb>
    <v>2</v>
  </rv>
  <rv s="0">
    <fb>46010</fb>
    <v>0</v>
  </rv>
  <rv s="0">
    <fb>148.16</fb>
    <v>1</v>
  </rv>
  <rv s="0">
    <fb>17543516</fb>
    <v>2</v>
  </rv>
  <rv s="0">
    <fb>46013</fb>
    <v>0</v>
  </rv>
  <rv s="0">
    <fb>147.05000000000001</fb>
    <v>1</v>
  </rv>
  <rv s="0">
    <fb>8818726</fb>
    <v>2</v>
  </rv>
  <rv s="0">
    <fb>46014</fb>
    <v>0</v>
  </rv>
  <rv s="0">
    <fb>143.68</fb>
    <v>1</v>
  </rv>
  <rv s="0">
    <fb>7254772</fb>
    <v>2</v>
  </rv>
  <rv s="0">
    <fb>46015</fb>
    <v>0</v>
  </rv>
  <rv s="0">
    <fb>143.74</fb>
    <v>1</v>
  </rv>
  <rv s="0">
    <fb>2618700</fb>
    <v>2</v>
  </rv>
  <rv s="0">
    <fb>46017</fb>
    <v>0</v>
  </rv>
  <rv s="0">
    <fb>143.78</fb>
    <v>1</v>
  </rv>
  <rv s="0">
    <fb>4975533</fb>
    <v>2</v>
  </rv>
  <rv s="0">
    <fb>46020</fb>
    <v>0</v>
  </rv>
  <rv s="0">
    <fb>144.24</fb>
    <v>1</v>
  </rv>
  <rv s="0">
    <fb>7201890</fb>
    <v>2</v>
  </rv>
  <rv s="0">
    <fb>46021</fb>
    <v>0</v>
  </rv>
  <rv s="0">
    <fb>144.16</fb>
    <v>1</v>
  </rv>
  <rv s="0">
    <fb>4713783</fb>
    <v>2</v>
  </rv>
  <rv s="0">
    <fb>46022</fb>
    <v>0</v>
  </rv>
  <rv s="0">
    <fb>143.52000000000001</fb>
    <v>1</v>
  </rv>
  <rv s="0">
    <fb>4380343</fb>
    <v>2</v>
  </rv>
  <rv s="0">
    <fb>46024</fb>
    <v>0</v>
  </rv>
  <rv s="0">
    <fb>142.22999999999999</fb>
    <v>1</v>
  </rv>
  <rv s="0">
    <fb>7182054</fb>
    <v>2</v>
  </rv>
  <rv s="0">
    <fb>46027</fb>
    <v>0</v>
  </rv>
  <rv s="0">
    <fb>9031377</fb>
    <v>2</v>
  </rv>
  <rv s="0">
    <fb>46028</fb>
    <v>0</v>
  </rv>
  <rv s="0">
    <fb>138.96</fb>
    <v>1</v>
  </rv>
  <rv s="0">
    <fb>9576481</fb>
    <v>2</v>
  </rv>
  <rv s="0">
    <fb>46029</fb>
    <v>0</v>
  </rv>
  <rv s="0">
    <fb>137.01</fb>
    <v>1</v>
  </rv>
  <rv s="0">
    <fb>8539847</fb>
    <v>2</v>
  </rv>
  <rv s="0">
    <fb>46030</fb>
    <v>0</v>
  </rv>
  <rv s="0">
    <fb>139.37</fb>
    <v>1</v>
  </rv>
  <rv s="0">
    <fb>8762824</fb>
    <v>2</v>
  </rv>
  <rv s="0">
    <fb>46031</fb>
    <v>0</v>
  </rv>
  <rv s="0">
    <fb>139.91</fb>
    <v>1</v>
  </rv>
  <rv s="0">
    <fb>6767560</fb>
    <v>2</v>
  </rv>
  <rv s="0">
    <fb>46034</fb>
    <v>0</v>
  </rv>
  <rv s="0">
    <fb>141.36000000000001</fb>
    <v>1</v>
  </rv>
  <rv s="0">
    <fb>12223436</fb>
    <v>2</v>
  </rv>
  <rv s="0">
    <fb>46035</fb>
    <v>0</v>
  </rv>
  <rv s="0">
    <fb>143.47999999999999</fb>
    <v>1</v>
  </rv>
  <rv s="0">
    <fb>9030241</fb>
    <v>2</v>
  </rv>
  <rv s="0">
    <fb>46036</fb>
    <v>0</v>
  </rv>
  <rv s="0">
    <fb>145.91999999999999</fb>
    <v>1</v>
  </rv>
  <rv s="0">
    <fb>8329463</fb>
    <v>2</v>
  </rv>
  <rv s="0">
    <fb>46037</fb>
    <v>0</v>
  </rv>
  <rv s="0">
    <fb>146.57</fb>
    <v>1</v>
  </rv>
  <rv s="0">
    <fb>5797798</fb>
    <v>2</v>
  </rv>
  <rv s="0">
    <fb>46038</fb>
    <v>0</v>
  </rv>
  <rv s="0">
    <fb>146.32</fb>
    <v>1</v>
  </rv>
  <rv s="0">
    <fb>10313487</fb>
    <v>2</v>
  </rv>
  <rv s="0">
    <fb>46042</fb>
    <v>0</v>
  </rv>
  <rv s="0">
    <fb>147.66</fb>
    <v>1</v>
  </rv>
  <rv s="0">
    <fb>9982823</fb>
    <v>2</v>
  </rv>
  <rv s="0">
    <fb>46043</fb>
    <v>0</v>
  </rv>
  <rv s="0">
    <fb>146.74</fb>
    <v>1</v>
  </rv>
  <rv s="0">
    <fb>7679571</fb>
    <v>2</v>
  </rv>
  <rv s="0">
    <fb>46044</fb>
    <v>0</v>
  </rv>
  <rv s="0">
    <fb>144.4</fb>
    <v>1</v>
  </rv>
  <rv s="0">
    <fb>8167356</fb>
    <v>2</v>
  </rv>
  <rv s="0">
    <fb>46045</fb>
    <v>0</v>
  </rv>
  <rv s="0">
    <fb>5870098</fb>
    <v>2</v>
  </rv>
  <rv s="0">
    <fb>46048</fb>
    <v>0</v>
  </rv>
  <rv s="0">
    <fb>145.87</fb>
    <v>1</v>
  </rv>
  <rv s="0">
    <fb>6589570</fb>
    <v>2</v>
  </rv>
  <rv s="0">
    <fb>46049</fb>
    <v>0</v>
  </rv>
  <rv s="0">
    <fb>148.78</fb>
    <v>1</v>
  </rv>
  <rv s="0">
    <fb>7114901</fb>
    <v>2</v>
  </rv>
  <rv s="0">
    <fb>46050</fb>
    <v>0</v>
  </rv>
  <rv s="0">
    <fb>148.5</fb>
    <v>1</v>
  </rv>
  <rv s="0">
    <fb>5954075</fb>
    <v>2</v>
  </rv>
  <rv s="0">
    <fb>46051</fb>
    <v>0</v>
  </rv>
  <rv s="0">
    <fb>148.69</fb>
    <v>1</v>
  </rv>
  <rv s="0">
    <fb>9062259</fb>
    <v>2</v>
  </rv>
  <rv s="0">
    <fb>46052</fb>
    <v>0</v>
  </rv>
  <rv s="0">
    <fb>153.63</fb>
    <v>1</v>
  </rv>
  <rv s="0">
    <fb>12641264</fb>
    <v>2</v>
  </rv>
  <rv s="0">
    <fb>46055</fb>
    <v>0</v>
  </rv>
  <rv s="0">
    <fb>155.19999999999999</fb>
    <v>1</v>
  </rv>
  <rv s="0">
    <fb>14660510</fb>
    <v>2</v>
  </rv>
  <rv s="0">
    <fb>46056</fb>
    <v>0</v>
  </rv>
  <rv s="0">
    <fb>162.85</fb>
    <v>1</v>
  </rv>
  <rv s="0">
    <fb>19096432</fb>
    <v>2</v>
  </rv>
  <rv s="0">
    <fb>46057</fb>
    <v>0</v>
  </rv>
  <rv s="0">
    <fb>166.18</fb>
    <v>1</v>
  </rv>
  <rv s="0">
    <fb>13322904</fb>
    <v>2</v>
  </rv>
  <rv s="0">
    <fb>46058</fb>
    <v>0</v>
  </rv>
  <rv s="0">
    <fb>167.53</fb>
    <v>1</v>
  </rv>
  <rv s="0">
    <fb>11038833</fb>
    <v>2</v>
  </rv>
  <rv s="0">
    <fb>46059</fb>
    <v>0</v>
  </rv>
  <rv s="0">
    <fb>170.49</fb>
    <v>1</v>
  </rv>
  <rv s="0">
    <fb>10960439</fb>
    <v>2</v>
  </rv>
  <rv s="0">
    <fb>46062</fb>
    <v>0</v>
  </rv>
  <rv s="0">
    <fb>166.47</fb>
    <v>1</v>
  </rv>
  <rv s="0">
    <fb>10316236</fb>
    <v>2</v>
  </rv>
  <rv s="0">
    <fb>46063</fb>
    <v>0</v>
  </rv>
  <rv s="0">
    <fb>166.97</fb>
    <v>1</v>
  </rv>
  <rv s="0">
    <fb>10352922</fb>
    <v>2</v>
  </rv>
  <rv s="0">
    <fb>46064</fb>
    <v>0</v>
  </rv>
  <rv s="0">
    <fb>169.15</fb>
    <v>1</v>
  </rv>
  <rv s="0">
    <fb>6733819</fb>
    <v>2</v>
  </rv>
  <rv s="1">
    <v>3</v>
    <v>pep</v>
    <v>Daily</v>
    <v>45699</v>
    <v>46064</v>
    <v>0</v>
    <v>1</v>
    <v>639063648000000000,639064594559692709,0</v>
    <v>0</v>
    <v>axyhnm</v>
    <v>XNAS:PEP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0" formatCode="General"/>
    </x:dxf>
    <x:dxf>
      <x:numFmt numFmtId="19" formatCode="m/d/yyyy"/>
    </x:dxf>
    <x:dxf>
      <x:numFmt numFmtId="3" formatCode="#,##0"/>
    </x:dxf>
  </dxfs>
  <richProperties>
    <rPr n="NumberFormat" t="s"/>
  </richProperties>
  <richStyles>
    <rSty dxfid="1"/>
    <rSty dxfid="0">
      <rpv i="0">_([$$-en-US]* #,##0.00_);_([$$-en-US]* (#,##0.00);_([$$-en-US]* "-"??_);_(@_)</rpv>
    </rSty>
    <rSty dxfid="2">
      <rpv i="0">#,##0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8E8A1E-7939-4D1E-B568-E123736624D1}" name="Table5" displayName="Table5" ref="A1:E62" totalsRowShown="0">
  <autoFilter ref="A1:E62" xr:uid="{878E8A1E-7939-4D1E-B568-E123736624D1}"/>
  <tableColumns count="5">
    <tableColumn id="1" xr3:uid="{F8F39469-0CAE-4026-BDF6-10EC9646B854}" name="Week" dataDxfId="1"/>
    <tableColumn id="2" xr3:uid="{E2264B30-2CBB-4ECF-90B8-274CBF138317}" name="Average"/>
    <tableColumn id="3" xr3:uid="{F2446C32-F9A6-418E-A494-BBB57FCC32EA}" name="XL Forecast">
      <calculatedColumnFormula>_xlfn.FORECAST.ETS(A2,$B$2:$B$54,$A$2:$A$54,1,1)</calculatedColumnFormula>
    </tableColumn>
    <tableColumn id="4" xr3:uid="{B6F2E2E7-ABBE-42E3-8806-AAE786290A57}" name="Calc Forecast"/>
    <tableColumn id="5" xr3:uid="{BB6BCF7D-5A52-480C-BCBE-E7B0BADCDD3D}" name="GS Simple M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52A96E-DB0E-486F-9348-B410B790C47C}" name="Table3" displayName="Table3" ref="A1:B252" totalsRowShown="0">
  <autoFilter ref="A1:B252" xr:uid="{6E52A96E-DB0E-486F-9348-B410B790C47C}"/>
  <tableColumns count="2">
    <tableColumn id="1" xr3:uid="{518A2A44-2F3B-49C8-A806-753C9C322A64}" name="Week" dataDxfId="0"/>
    <tableColumn id="2" xr3:uid="{5FF8CC2E-4FEF-4C30-A154-A5892C1DF22C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C63" workbookViewId="0">
      <selection activeCell="Q86" sqref="Q86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253"/>
  <sheetViews>
    <sheetView zoomScale="70" zoomScaleNormal="70" workbookViewId="0">
      <selection activeCell="F101" sqref="A101:XFD101"/>
    </sheetView>
  </sheetViews>
  <sheetFormatPr defaultRowHeight="15" x14ac:dyDescent="0.25"/>
  <cols>
    <col min="1" max="1" width="13.28515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253" ca="1">_xlfn.STOCKHISTORY("pep",TODAY()-365,TODAY(),0,1,0,1,5)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45698</v>
      </c>
      <c r="B2" vm="1">
        <f ca="1"/>
        <v>45699</v>
      </c>
      <c r="C2" vm="2">
        <f ca="1"/>
        <v>145.63999999999999</v>
      </c>
      <c r="D2" vm="3">
        <f ca="1"/>
        <v>6353965</v>
      </c>
      <c r="E2">
        <f ca="1">C2*D2</f>
        <v>925391462.5999999</v>
      </c>
      <c r="F2">
        <f ca="1">SUM($E$2:E2)/SUM($D$2:D2)</f>
        <v>145.63999999999999</v>
      </c>
      <c r="G2">
        <f ca="1">_xlfn.STDEV.P($C$2:C2)</f>
        <v>0</v>
      </c>
      <c r="H2">
        <f ca="1">F2 + G2</f>
        <v>145.63999999999999</v>
      </c>
      <c r="I2">
        <f ca="1">F2 - G2</f>
        <v>145.63999999999999</v>
      </c>
      <c r="AC2" t="s">
        <v>39</v>
      </c>
      <c r="AD2">
        <f ca="1">MIN(C:C)</f>
        <v>128.02000000000001</v>
      </c>
      <c r="AE2" s="18">
        <f ca="1">MIN(D:D)</f>
        <v>2618700</v>
      </c>
    </row>
    <row r="3" spans="1:31" x14ac:dyDescent="0.25">
      <c r="A3" s="20">
        <f t="shared" ref="A3:A66" ca="1" si="0">B3 - WEEKDAY(B3, 2) + 1</f>
        <v>45698</v>
      </c>
      <c r="B3" vm="4">
        <f ca="1"/>
        <v>45700</v>
      </c>
      <c r="C3" vm="5">
        <f ca="1"/>
        <v>143.99</v>
      </c>
      <c r="D3" vm="6">
        <f ca="1"/>
        <v>6658177</v>
      </c>
      <c r="E3">
        <f t="shared" ref="E3:E66" ca="1" si="1">C3*D3</f>
        <v>958710906.23000002</v>
      </c>
      <c r="F3">
        <f ca="1">SUM($E$2:E3)/SUM($D$2:D3)</f>
        <v>144.79571225321703</v>
      </c>
      <c r="G3">
        <f ca="1">_xlfn.STDEV.P($C$2:C3)</f>
        <v>0.82499999999998863</v>
      </c>
      <c r="H3">
        <f t="shared" ref="H3:H66" ca="1" si="2">F3 + G3</f>
        <v>145.62071225321702</v>
      </c>
      <c r="I3">
        <f t="shared" ref="I3:I66" ca="1" si="3">F3 - G3</f>
        <v>143.97071225321704</v>
      </c>
      <c r="N3">
        <f ca="1">C3-C2</f>
        <v>-1.6499999999999773</v>
      </c>
      <c r="O3">
        <f ca="1">MAX(N3,0)</f>
        <v>0</v>
      </c>
      <c r="P3">
        <f ca="1">MAX(-N3,0)</f>
        <v>1.6499999999999773</v>
      </c>
      <c r="AC3" t="s">
        <v>40</v>
      </c>
      <c r="AD3">
        <f ca="1">MAX(C:C)</f>
        <v>170.49</v>
      </c>
      <c r="AE3" s="18">
        <f ca="1">MAX(D:D)</f>
        <v>26536478</v>
      </c>
    </row>
    <row r="4" spans="1:31" x14ac:dyDescent="0.25">
      <c r="A4" s="20">
        <f t="shared" ca="1" si="0"/>
        <v>45698</v>
      </c>
      <c r="B4" vm="7">
        <f ca="1"/>
        <v>45701</v>
      </c>
      <c r="C4" vm="8">
        <f ca="1"/>
        <v>144.58000000000001</v>
      </c>
      <c r="D4" vm="9">
        <f ca="1"/>
        <v>7175276</v>
      </c>
      <c r="E4">
        <f t="shared" ca="1" si="1"/>
        <v>1037401404.08</v>
      </c>
      <c r="F4">
        <f ca="1">SUM($E$2:E4)/SUM($D$2:D4)</f>
        <v>144.71904098433984</v>
      </c>
      <c r="G4">
        <f ca="1">_xlfn.STDEV.P($C$2:C4)</f>
        <v>0.68265820307252456</v>
      </c>
      <c r="H4">
        <f t="shared" ca="1" si="2"/>
        <v>145.40169918741236</v>
      </c>
      <c r="I4">
        <f t="shared" ca="1" si="3"/>
        <v>144.03638278126732</v>
      </c>
      <c r="N4">
        <f t="shared" ref="N4:N67" ca="1" si="4">C4-C3</f>
        <v>0.59000000000000341</v>
      </c>
      <c r="O4">
        <f t="shared" ref="O4:O67" ca="1" si="5">MAX(N4,0)</f>
        <v>0.59000000000000341</v>
      </c>
      <c r="P4">
        <f t="shared" ref="P4:P67" ca="1" si="6">MAX(-N4,0)</f>
        <v>0</v>
      </c>
      <c r="AC4" t="s">
        <v>41</v>
      </c>
      <c r="AD4">
        <f ca="1">MEDIAN(C:C)</f>
        <v>144.41500000000002</v>
      </c>
      <c r="AE4" s="18">
        <f ca="1">MEDIAN(D:D)</f>
        <v>7770650</v>
      </c>
    </row>
    <row r="5" spans="1:31" x14ac:dyDescent="0.25">
      <c r="A5" s="20">
        <f t="shared" ca="1" si="0"/>
        <v>45698</v>
      </c>
      <c r="B5" vm="10">
        <f ca="1"/>
        <v>45702</v>
      </c>
      <c r="C5" vm="11">
        <f ca="1"/>
        <v>143.38999999999999</v>
      </c>
      <c r="D5" vm="12">
        <f ca="1"/>
        <v>5001806</v>
      </c>
      <c r="E5">
        <f t="shared" ca="1" si="1"/>
        <v>717208962.33999991</v>
      </c>
      <c r="F5">
        <f ca="1">SUM($E$2:E5)/SUM($D$2:D5)</f>
        <v>144.45513427686379</v>
      </c>
      <c r="G5">
        <f ca="1">_xlfn.STDEV.P($C$2:C5)</f>
        <v>0.83039147394466761</v>
      </c>
      <c r="H5">
        <f t="shared" ca="1" si="2"/>
        <v>145.28552575080846</v>
      </c>
      <c r="I5">
        <f t="shared" ca="1" si="3"/>
        <v>143.62474280291912</v>
      </c>
      <c r="N5">
        <f t="shared" ca="1" si="4"/>
        <v>-1.1900000000000261</v>
      </c>
      <c r="O5">
        <f t="shared" ca="1" si="5"/>
        <v>0</v>
      </c>
      <c r="P5">
        <f t="shared" ca="1" si="6"/>
        <v>1.1900000000000261</v>
      </c>
      <c r="AC5" t="s">
        <v>42</v>
      </c>
      <c r="AD5">
        <f ca="1">AVERAGE(C:C)</f>
        <v>143.66644841269837</v>
      </c>
      <c r="AE5" s="18">
        <f ca="1">AVERAGE(D:D)</f>
        <v>8432405.5992063489</v>
      </c>
    </row>
    <row r="6" spans="1:31" x14ac:dyDescent="0.25">
      <c r="A6" s="20">
        <f t="shared" ca="1" si="0"/>
        <v>45705</v>
      </c>
      <c r="B6" vm="13">
        <f ca="1"/>
        <v>45706</v>
      </c>
      <c r="C6" vm="14">
        <f ca="1"/>
        <v>144.1</v>
      </c>
      <c r="D6" vm="15">
        <f ca="1"/>
        <v>8738725</v>
      </c>
      <c r="E6">
        <f t="shared" ca="1" si="1"/>
        <v>1259250272.5</v>
      </c>
      <c r="F6">
        <f ca="1">SUM($E$2:E6)/SUM($D$2:D6)</f>
        <v>144.36366335465783</v>
      </c>
      <c r="G6">
        <f ca="1">_xlfn.STDEV.P($C$2:C6)</f>
        <v>0.75235629857136077</v>
      </c>
      <c r="H6">
        <f t="shared" ca="1" si="2"/>
        <v>145.11601965322919</v>
      </c>
      <c r="I6">
        <f t="shared" ca="1" si="3"/>
        <v>143.61130705608647</v>
      </c>
      <c r="N6">
        <f t="shared" ca="1" si="4"/>
        <v>0.71000000000000796</v>
      </c>
      <c r="O6">
        <f t="shared" ca="1" si="5"/>
        <v>0.71000000000000796</v>
      </c>
      <c r="P6">
        <f t="shared" ca="1" si="6"/>
        <v>0</v>
      </c>
    </row>
    <row r="7" spans="1:31" x14ac:dyDescent="0.25">
      <c r="A7" s="20">
        <f t="shared" ca="1" si="0"/>
        <v>45705</v>
      </c>
      <c r="B7" vm="16">
        <f ca="1"/>
        <v>45707</v>
      </c>
      <c r="C7" vm="17">
        <f ca="1"/>
        <v>145.81</v>
      </c>
      <c r="D7" vm="18">
        <f ca="1"/>
        <v>5777273</v>
      </c>
      <c r="E7">
        <f t="shared" ca="1" si="1"/>
        <v>842384176.13</v>
      </c>
      <c r="F7">
        <f ca="1">SUM($E$2:E7)/SUM($D$2:D7)</f>
        <v>144.57411128138259</v>
      </c>
      <c r="G7">
        <f ca="1">_xlfn.STDEV.P($C$2:C7)</f>
        <v>0.87853571355978499</v>
      </c>
      <c r="H7">
        <f t="shared" ca="1" si="2"/>
        <v>145.45264699494237</v>
      </c>
      <c r="I7">
        <f t="shared" ca="1" si="3"/>
        <v>143.6955755678228</v>
      </c>
      <c r="N7">
        <f t="shared" ca="1" si="4"/>
        <v>1.710000000000008</v>
      </c>
      <c r="O7">
        <f t="shared" ca="1" si="5"/>
        <v>1.710000000000008</v>
      </c>
      <c r="P7">
        <f t="shared" ca="1" si="6"/>
        <v>0</v>
      </c>
    </row>
    <row r="8" spans="1:31" x14ac:dyDescent="0.25">
      <c r="A8" s="20">
        <f t="shared" ca="1" si="0"/>
        <v>45705</v>
      </c>
      <c r="B8" vm="19">
        <f ca="1"/>
        <v>45708</v>
      </c>
      <c r="C8" vm="20">
        <f ca="1"/>
        <v>149.1</v>
      </c>
      <c r="D8" vm="21">
        <f ca="1"/>
        <v>6789805</v>
      </c>
      <c r="E8">
        <f t="shared" ca="1" si="1"/>
        <v>1012359925.5</v>
      </c>
      <c r="F8">
        <f ca="1">SUM($E$2:E8)/SUM($D$2:D8)</f>
        <v>145.23504006955412</v>
      </c>
      <c r="G8">
        <f ca="1">_xlfn.STDEV.P($C$2:C8)</f>
        <v>1.7769958597909792</v>
      </c>
      <c r="H8">
        <f t="shared" ca="1" si="2"/>
        <v>147.0120359293451</v>
      </c>
      <c r="I8">
        <f t="shared" ca="1" si="3"/>
        <v>143.45804420976313</v>
      </c>
      <c r="N8">
        <f t="shared" ca="1" si="4"/>
        <v>3.289999999999992</v>
      </c>
      <c r="O8">
        <f t="shared" ca="1" si="5"/>
        <v>3.289999999999992</v>
      </c>
      <c r="P8">
        <f t="shared" ca="1" si="6"/>
        <v>0</v>
      </c>
    </row>
    <row r="9" spans="1:31" x14ac:dyDescent="0.25">
      <c r="A9" s="20">
        <f t="shared" ca="1" si="0"/>
        <v>45705</v>
      </c>
      <c r="B9" vm="22">
        <f ca="1"/>
        <v>45709</v>
      </c>
      <c r="C9" vm="23">
        <f ca="1"/>
        <v>153.5</v>
      </c>
      <c r="D9" vm="24">
        <f ca="1"/>
        <v>10604404</v>
      </c>
      <c r="E9">
        <f t="shared" ca="1" si="1"/>
        <v>1627776014</v>
      </c>
      <c r="F9">
        <f ca="1">SUM($E$2:E9)/SUM($D$2:D9)</f>
        <v>146.76999361657386</v>
      </c>
      <c r="G9">
        <f ca="1">_xlfn.STDEV.P($C$2:C9)</f>
        <v>3.2005426785937412</v>
      </c>
      <c r="H9">
        <f t="shared" ca="1" si="2"/>
        <v>149.97053629516759</v>
      </c>
      <c r="I9">
        <f t="shared" ca="1" si="3"/>
        <v>143.56945093798012</v>
      </c>
      <c r="N9">
        <f t="shared" ca="1" si="4"/>
        <v>4.4000000000000057</v>
      </c>
      <c r="O9">
        <f t="shared" ca="1" si="5"/>
        <v>4.4000000000000057</v>
      </c>
      <c r="P9">
        <f t="shared" ca="1" si="6"/>
        <v>0</v>
      </c>
    </row>
    <row r="10" spans="1:31" x14ac:dyDescent="0.25">
      <c r="A10" s="20">
        <f t="shared" ca="1" si="0"/>
        <v>45712</v>
      </c>
      <c r="B10" vm="25">
        <f ca="1"/>
        <v>45712</v>
      </c>
      <c r="C10" vm="26">
        <f ca="1"/>
        <v>153.85</v>
      </c>
      <c r="D10" vm="27">
        <f ca="1"/>
        <v>7187038</v>
      </c>
      <c r="E10">
        <f t="shared" ca="1" si="1"/>
        <v>1105725796.3</v>
      </c>
      <c r="F10">
        <f ca="1">SUM($E$2:E10)/SUM($D$2:D10)</f>
        <v>147.56151748947357</v>
      </c>
      <c r="G10">
        <f ca="1">_xlfn.STDEV.P($C$2:C10)</f>
        <v>3.8456960069378567</v>
      </c>
      <c r="H10">
        <f t="shared" ca="1" si="2"/>
        <v>151.40721349641143</v>
      </c>
      <c r="I10">
        <f t="shared" ca="1" si="3"/>
        <v>143.71582148253572</v>
      </c>
      <c r="N10">
        <f t="shared" ca="1" si="4"/>
        <v>0.34999999999999432</v>
      </c>
      <c r="O10">
        <f t="shared" ca="1" si="5"/>
        <v>0.34999999999999432</v>
      </c>
      <c r="P10">
        <f t="shared" ca="1" si="6"/>
        <v>0</v>
      </c>
    </row>
    <row r="11" spans="1:31" x14ac:dyDescent="0.25">
      <c r="A11" s="20">
        <f t="shared" ca="1" si="0"/>
        <v>45712</v>
      </c>
      <c r="B11" vm="28">
        <f ca="1"/>
        <v>45713</v>
      </c>
      <c r="C11" vm="29">
        <f ca="1"/>
        <v>156.41999999999999</v>
      </c>
      <c r="D11" vm="30">
        <f ca="1"/>
        <v>9474619</v>
      </c>
      <c r="E11">
        <f t="shared" ca="1" si="1"/>
        <v>1482019903.9799998</v>
      </c>
      <c r="F11">
        <f ca="1">SUM($E$2:E11)/SUM($D$2:D11)</f>
        <v>148.69939043822129</v>
      </c>
      <c r="G11">
        <f ca="1">_xlfn.STDEV.P($C$2:C11)</f>
        <v>4.5953102180375129</v>
      </c>
      <c r="H11">
        <f t="shared" ca="1" si="2"/>
        <v>153.29470065625881</v>
      </c>
      <c r="I11">
        <f t="shared" ca="1" si="3"/>
        <v>144.10408022018376</v>
      </c>
      <c r="N11">
        <f t="shared" ca="1" si="4"/>
        <v>2.5699999999999932</v>
      </c>
      <c r="O11">
        <f t="shared" ca="1" si="5"/>
        <v>2.5699999999999932</v>
      </c>
      <c r="P11">
        <f t="shared" ca="1" si="6"/>
        <v>0</v>
      </c>
    </row>
    <row r="12" spans="1:31" x14ac:dyDescent="0.25">
      <c r="A12" s="20">
        <f t="shared" ca="1" si="0"/>
        <v>45712</v>
      </c>
      <c r="B12" vm="31">
        <f ca="1"/>
        <v>45714</v>
      </c>
      <c r="C12" vm="32">
        <f ca="1"/>
        <v>151.51</v>
      </c>
      <c r="D12" vm="33">
        <f ca="1"/>
        <v>9076519</v>
      </c>
      <c r="E12">
        <f t="shared" ca="1" si="1"/>
        <v>1375183393.6899998</v>
      </c>
      <c r="F12">
        <f ca="1">SUM($E$2:E12)/SUM($D$2:D12)</f>
        <v>149.00734900936962</v>
      </c>
      <c r="G12">
        <f ca="1">_xlfn.STDEV.P($C$2:C12)</f>
        <v>4.4937092852671103</v>
      </c>
      <c r="H12">
        <f t="shared" ca="1" si="2"/>
        <v>153.50105829463672</v>
      </c>
      <c r="I12">
        <f t="shared" ca="1" si="3"/>
        <v>144.51363972410252</v>
      </c>
      <c r="N12">
        <f t="shared" ca="1" si="4"/>
        <v>-4.9099999999999966</v>
      </c>
      <c r="O12">
        <f t="shared" ca="1" si="5"/>
        <v>0</v>
      </c>
      <c r="P12">
        <f t="shared" ca="1" si="6"/>
        <v>4.9099999999999966</v>
      </c>
    </row>
    <row r="13" spans="1:31" x14ac:dyDescent="0.25">
      <c r="A13" s="20">
        <f t="shared" ca="1" si="0"/>
        <v>45712</v>
      </c>
      <c r="B13" vm="34">
        <f ca="1"/>
        <v>45715</v>
      </c>
      <c r="C13" vm="35">
        <f ca="1"/>
        <v>152.02000000000001</v>
      </c>
      <c r="D13" vm="36">
        <f ca="1"/>
        <v>6730985</v>
      </c>
      <c r="E13">
        <f t="shared" ca="1" si="1"/>
        <v>1023244339.7</v>
      </c>
      <c r="F13">
        <f ca="1">SUM($E$2:E13)/SUM($D$2:D13)</f>
        <v>149.23374654644567</v>
      </c>
      <c r="G13">
        <f ca="1">_xlfn.STDEV.P($C$2:C13)</f>
        <v>4.4201215261071205</v>
      </c>
      <c r="H13">
        <f t="shared" ca="1" si="2"/>
        <v>153.6538680725528</v>
      </c>
      <c r="I13">
        <f t="shared" ca="1" si="3"/>
        <v>144.81362502033855</v>
      </c>
      <c r="N13">
        <f t="shared" ca="1" si="4"/>
        <v>0.51000000000001933</v>
      </c>
      <c r="O13">
        <f t="shared" ca="1" si="5"/>
        <v>0.51000000000001933</v>
      </c>
      <c r="P13">
        <f t="shared" ca="1" si="6"/>
        <v>0</v>
      </c>
      <c r="W13" s="9">
        <f ca="1">AVERAGE(C2:C13)</f>
        <v>148.65916666666666</v>
      </c>
    </row>
    <row r="14" spans="1:31" x14ac:dyDescent="0.25">
      <c r="A14" s="20">
        <f t="shared" ca="1" si="0"/>
        <v>45712</v>
      </c>
      <c r="B14" vm="37">
        <f ca="1"/>
        <v>45716</v>
      </c>
      <c r="C14" vm="38">
        <f ca="1"/>
        <v>153.47</v>
      </c>
      <c r="D14" vm="39">
        <f ca="1"/>
        <v>8314044</v>
      </c>
      <c r="E14">
        <f t="shared" ca="1" si="1"/>
        <v>1275956332.6800001</v>
      </c>
      <c r="F14">
        <f ca="1">SUM($E$2:E14)/SUM($D$2:D14)</f>
        <v>149.59356927954005</v>
      </c>
      <c r="G14">
        <f ca="1">_xlfn.STDEV.P($C$2:C14)</f>
        <v>4.4359847775601704</v>
      </c>
      <c r="H14">
        <f t="shared" ca="1" si="2"/>
        <v>154.02955405710023</v>
      </c>
      <c r="I14">
        <f t="shared" ca="1" si="3"/>
        <v>145.15758450197987</v>
      </c>
      <c r="N14">
        <f t="shared" ca="1" si="4"/>
        <v>1.4499999999999886</v>
      </c>
      <c r="O14">
        <f t="shared" ca="1" si="5"/>
        <v>1.4499999999999886</v>
      </c>
      <c r="P14">
        <f t="shared" ca="1" si="6"/>
        <v>0</v>
      </c>
      <c r="W14">
        <f ca="1">C14*(2/(12+1)) + W13*(1-(2/(12+1)))</f>
        <v>149.39929487179487</v>
      </c>
    </row>
    <row r="15" spans="1:31" x14ac:dyDescent="0.25">
      <c r="A15" s="20">
        <f t="shared" ca="1" si="0"/>
        <v>45719</v>
      </c>
      <c r="B15" vm="40">
        <f ca="1"/>
        <v>45719</v>
      </c>
      <c r="C15" vm="41">
        <f ca="1"/>
        <v>155.99</v>
      </c>
      <c r="D15" vm="42">
        <f ca="1"/>
        <v>8321674</v>
      </c>
      <c r="E15">
        <f t="shared" ca="1" si="1"/>
        <v>1298097927.26</v>
      </c>
      <c r="F15">
        <f ca="1">SUM($E$2:E15)/SUM($D$2:D15)</f>
        <v>150.09476373407068</v>
      </c>
      <c r="G15">
        <f ca="1">_xlfn.STDEV.P($C$2:C15)</f>
        <v>4.6353064425479493</v>
      </c>
      <c r="H15">
        <f t="shared" ca="1" si="2"/>
        <v>154.73007017661863</v>
      </c>
      <c r="I15">
        <f t="shared" ca="1" si="3"/>
        <v>145.45945729152274</v>
      </c>
      <c r="N15">
        <f t="shared" ca="1" si="4"/>
        <v>2.5200000000000102</v>
      </c>
      <c r="O15">
        <f t="shared" ca="1" si="5"/>
        <v>2.5200000000000102</v>
      </c>
      <c r="P15">
        <f t="shared" ca="1" si="6"/>
        <v>0</v>
      </c>
      <c r="Q15" s="2">
        <f ca="1">AVERAGE(O3:O16)</f>
        <v>1.2928571428571445</v>
      </c>
      <c r="R15" s="2">
        <f ca="1">AVERAGE(P3:P16)</f>
        <v>0.68214285714285794</v>
      </c>
      <c r="S15">
        <f ca="1">IF(R15=0,NA(),Q15/R15)</f>
        <v>1.8952879581151834</v>
      </c>
      <c r="T15">
        <f ca="1">100-(100/(1+S15))</f>
        <v>65.461121157323689</v>
      </c>
      <c r="U15">
        <f>70</f>
        <v>70</v>
      </c>
      <c r="V15">
        <f>30</f>
        <v>30</v>
      </c>
      <c r="W15">
        <f t="shared" ref="W15:W78" ca="1" si="7">C15*(2/(12+1)) + W14*(1-(2/(12+1)))</f>
        <v>150.41324950690336</v>
      </c>
    </row>
    <row r="16" spans="1:31" x14ac:dyDescent="0.25">
      <c r="A16" s="20">
        <f t="shared" ca="1" si="0"/>
        <v>45719</v>
      </c>
      <c r="B16" vm="43">
        <f ca="1"/>
        <v>45720</v>
      </c>
      <c r="C16" vm="44">
        <f ca="1"/>
        <v>154.19</v>
      </c>
      <c r="D16" vm="45">
        <f ca="1"/>
        <v>10274235</v>
      </c>
      <c r="E16">
        <f t="shared" ca="1" si="1"/>
        <v>1584184294.6500001</v>
      </c>
      <c r="F16">
        <f ca="1">SUM($E$2:E16)/SUM($D$2:D16)</f>
        <v>150.45599266062263</v>
      </c>
      <c r="G16">
        <f ca="1">_xlfn.STDEV.P($C$2:C16)</f>
        <v>4.6267619586728497</v>
      </c>
      <c r="H16">
        <f t="shared" ca="1" si="2"/>
        <v>155.08275461929549</v>
      </c>
      <c r="I16">
        <f t="shared" ca="1" si="3"/>
        <v>145.82923070194977</v>
      </c>
      <c r="N16">
        <f t="shared" ca="1" si="4"/>
        <v>-1.8000000000000114</v>
      </c>
      <c r="O16">
        <f t="shared" ca="1" si="5"/>
        <v>0</v>
      </c>
      <c r="P16">
        <f t="shared" ca="1" si="6"/>
        <v>1.8000000000000114</v>
      </c>
      <c r="Q16">
        <f ca="1">(Q15*13+O16)/14</f>
        <v>1.2005102040816342</v>
      </c>
      <c r="R16">
        <f ca="1">(R15*13+P16)/14</f>
        <v>0.76198979591836891</v>
      </c>
      <c r="S16">
        <f t="shared" ref="S16:S79" ca="1" si="8">IF(R16=0,NA(),Q16/R16)</f>
        <v>1.5754938064948096</v>
      </c>
      <c r="T16">
        <f t="shared" ref="T16:T79" ca="1" si="9">100-(100/(1+S16))</f>
        <v>61.172494475497182</v>
      </c>
      <c r="U16">
        <f>70</f>
        <v>70</v>
      </c>
      <c r="V16">
        <f>30</f>
        <v>30</v>
      </c>
      <c r="W16">
        <f t="shared" ca="1" si="7"/>
        <v>150.99428804430283</v>
      </c>
    </row>
    <row r="17" spans="1:25" x14ac:dyDescent="0.25">
      <c r="A17" s="20">
        <f t="shared" ca="1" si="0"/>
        <v>45719</v>
      </c>
      <c r="B17" vm="46">
        <f ca="1"/>
        <v>45721</v>
      </c>
      <c r="C17" vm="47">
        <f ca="1"/>
        <v>153.88</v>
      </c>
      <c r="D17" vm="48">
        <f ca="1"/>
        <v>5578701</v>
      </c>
      <c r="E17">
        <f t="shared" ca="1" si="1"/>
        <v>858450509.88</v>
      </c>
      <c r="F17">
        <f ca="1">SUM($E$2:E17)/SUM($D$2:D17)</f>
        <v>150.61248900798569</v>
      </c>
      <c r="G17">
        <f ca="1">_xlfn.STDEV.P($C$2:C17)</f>
        <v>4.585477074416576</v>
      </c>
      <c r="H17">
        <f t="shared" ca="1" si="2"/>
        <v>155.19796608240227</v>
      </c>
      <c r="I17">
        <f t="shared" ca="1" si="3"/>
        <v>146.0270119335691</v>
      </c>
      <c r="N17">
        <f t="shared" ca="1" si="4"/>
        <v>-0.31000000000000227</v>
      </c>
      <c r="O17">
        <f t="shared" ca="1" si="5"/>
        <v>0</v>
      </c>
      <c r="P17">
        <f t="shared" ca="1" si="6"/>
        <v>0.31000000000000227</v>
      </c>
      <c r="Q17">
        <f t="shared" ref="Q17:Q80" ca="1" si="10">(Q16*13+O17)/14</f>
        <v>1.1147594752186605</v>
      </c>
      <c r="R17">
        <f t="shared" ref="R17:R80" ca="1" si="11">(R16*13+P17)/14</f>
        <v>0.72970481049562852</v>
      </c>
      <c r="S17">
        <f t="shared" ca="1" si="8"/>
        <v>1.5276855232206787</v>
      </c>
      <c r="T17">
        <f t="shared" ca="1" si="9"/>
        <v>60.438116576865987</v>
      </c>
      <c r="U17">
        <f>70</f>
        <v>70</v>
      </c>
      <c r="V17">
        <f>30</f>
        <v>30</v>
      </c>
      <c r="W17">
        <f t="shared" ca="1" si="7"/>
        <v>151.43824372979469</v>
      </c>
    </row>
    <row r="18" spans="1:25" x14ac:dyDescent="0.25">
      <c r="A18" s="20">
        <f t="shared" ca="1" si="0"/>
        <v>45719</v>
      </c>
      <c r="B18" vm="49">
        <f ca="1"/>
        <v>45722</v>
      </c>
      <c r="C18" vm="50">
        <f ca="1"/>
        <v>154.61000000000001</v>
      </c>
      <c r="D18" vm="51">
        <f ca="1"/>
        <v>8421031</v>
      </c>
      <c r="E18">
        <f t="shared" ca="1" si="1"/>
        <v>1301975602.9100001</v>
      </c>
      <c r="F18">
        <f ca="1">SUM($E$2:E18)/SUM($D$2:D18)</f>
        <v>150.8704872339018</v>
      </c>
      <c r="G18">
        <f ca="1">_xlfn.STDEV.P($C$2:C18)</f>
        <v>4.5739300373048097</v>
      </c>
      <c r="H18">
        <f t="shared" ca="1" si="2"/>
        <v>155.44441727120662</v>
      </c>
      <c r="I18">
        <f t="shared" ca="1" si="3"/>
        <v>146.29655719659698</v>
      </c>
      <c r="N18">
        <f t="shared" ca="1" si="4"/>
        <v>0.73000000000001819</v>
      </c>
      <c r="O18">
        <f t="shared" ca="1" si="5"/>
        <v>0.73000000000001819</v>
      </c>
      <c r="P18">
        <f t="shared" ca="1" si="6"/>
        <v>0</v>
      </c>
      <c r="Q18">
        <f t="shared" ca="1" si="10"/>
        <v>1.087276655560186</v>
      </c>
      <c r="R18">
        <f t="shared" ca="1" si="11"/>
        <v>0.67758303831736932</v>
      </c>
      <c r="S18">
        <f t="shared" ca="1" si="8"/>
        <v>1.6046397180487311</v>
      </c>
      <c r="T18">
        <f t="shared" ca="1" si="9"/>
        <v>61.606974159591211</v>
      </c>
      <c r="U18">
        <f>70</f>
        <v>70</v>
      </c>
      <c r="V18">
        <f>30</f>
        <v>30</v>
      </c>
      <c r="W18">
        <f t="shared" ca="1" si="7"/>
        <v>151.92620623290318</v>
      </c>
    </row>
    <row r="19" spans="1:25" x14ac:dyDescent="0.25">
      <c r="A19" s="20">
        <f t="shared" ca="1" si="0"/>
        <v>45719</v>
      </c>
      <c r="B19" vm="52">
        <f ca="1"/>
        <v>45723</v>
      </c>
      <c r="C19" vm="53">
        <f ca="1"/>
        <v>154.44</v>
      </c>
      <c r="D19" vm="54">
        <f ca="1"/>
        <v>8997748</v>
      </c>
      <c r="E19">
        <f t="shared" ca="1" si="1"/>
        <v>1389612201.1199999</v>
      </c>
      <c r="F19">
        <f ca="1">SUM($E$2:E19)/SUM($D$2:D19)</f>
        <v>151.1007603317488</v>
      </c>
      <c r="G19">
        <f ca="1">_xlfn.STDEV.P($C$2:C19)</f>
        <v>4.5424391459943338</v>
      </c>
      <c r="H19">
        <f t="shared" ca="1" si="2"/>
        <v>155.64319947774314</v>
      </c>
      <c r="I19">
        <f t="shared" ca="1" si="3"/>
        <v>146.55832118575447</v>
      </c>
      <c r="N19">
        <f t="shared" ca="1" si="4"/>
        <v>-0.17000000000001592</v>
      </c>
      <c r="O19">
        <f t="shared" ca="1" si="5"/>
        <v>0</v>
      </c>
      <c r="P19">
        <f t="shared" ca="1" si="6"/>
        <v>0.17000000000001592</v>
      </c>
      <c r="Q19">
        <f t="shared" ca="1" si="10"/>
        <v>1.0096140373058871</v>
      </c>
      <c r="R19">
        <f t="shared" ca="1" si="11"/>
        <v>0.64132710700898699</v>
      </c>
      <c r="S19">
        <f t="shared" ca="1" si="8"/>
        <v>1.5742575454427801</v>
      </c>
      <c r="T19">
        <f t="shared" ca="1" si="9"/>
        <v>61.153847960150507</v>
      </c>
      <c r="U19">
        <f>70</f>
        <v>70</v>
      </c>
      <c r="V19">
        <f>30</f>
        <v>30</v>
      </c>
      <c r="W19">
        <f t="shared" ca="1" si="7"/>
        <v>152.31294373553345</v>
      </c>
    </row>
    <row r="20" spans="1:25" x14ac:dyDescent="0.25">
      <c r="A20" s="20">
        <f t="shared" ca="1" si="0"/>
        <v>45726</v>
      </c>
      <c r="B20" vm="55">
        <f ca="1"/>
        <v>45726</v>
      </c>
      <c r="C20" vm="56">
        <f ca="1"/>
        <v>156.25</v>
      </c>
      <c r="D20" vm="57">
        <f ca="1"/>
        <v>11156892</v>
      </c>
      <c r="E20">
        <f t="shared" ca="1" si="1"/>
        <v>1743264375</v>
      </c>
      <c r="F20">
        <f ca="1">SUM($E$2:E20)/SUM($D$2:D20)</f>
        <v>151.4821478266268</v>
      </c>
      <c r="G20">
        <f ca="1">_xlfn.STDEV.P($C$2:C20)</f>
        <v>4.5988246722016894</v>
      </c>
      <c r="H20">
        <f t="shared" ca="1" si="2"/>
        <v>156.08097249882849</v>
      </c>
      <c r="I20">
        <f t="shared" ca="1" si="3"/>
        <v>146.88332315442511</v>
      </c>
      <c r="N20">
        <f t="shared" ca="1" si="4"/>
        <v>1.8100000000000023</v>
      </c>
      <c r="O20">
        <f t="shared" ca="1" si="5"/>
        <v>1.8100000000000023</v>
      </c>
      <c r="P20">
        <f t="shared" ca="1" si="6"/>
        <v>0</v>
      </c>
      <c r="Q20">
        <f t="shared" ca="1" si="10"/>
        <v>1.0667844632126096</v>
      </c>
      <c r="R20">
        <f t="shared" ca="1" si="11"/>
        <v>0.59551802793691644</v>
      </c>
      <c r="S20">
        <f t="shared" ca="1" si="8"/>
        <v>1.791355447136211</v>
      </c>
      <c r="T20">
        <f t="shared" ca="1" si="9"/>
        <v>64.175110660809992</v>
      </c>
      <c r="U20">
        <f>70</f>
        <v>70</v>
      </c>
      <c r="V20">
        <f>30</f>
        <v>30</v>
      </c>
      <c r="W20">
        <f t="shared" ca="1" si="7"/>
        <v>152.91864469929754</v>
      </c>
    </row>
    <row r="21" spans="1:25" x14ac:dyDescent="0.25">
      <c r="A21" s="20">
        <f t="shared" ca="1" si="0"/>
        <v>45726</v>
      </c>
      <c r="B21" vm="58">
        <f ca="1"/>
        <v>45727</v>
      </c>
      <c r="C21" vm="59">
        <f ca="1"/>
        <v>152.33000000000001</v>
      </c>
      <c r="D21" vm="60">
        <f ca="1"/>
        <v>7981566</v>
      </c>
      <c r="E21">
        <f t="shared" ca="1" si="1"/>
        <v>1215831948.7800002</v>
      </c>
      <c r="F21">
        <f ca="1">SUM($E$2:E21)/SUM($D$2:D21)</f>
        <v>151.52481220349847</v>
      </c>
      <c r="G21">
        <f ca="1">_xlfn.STDEV.P($C$2:C21)</f>
        <v>4.4934900411595446</v>
      </c>
      <c r="H21">
        <f t="shared" ca="1" si="2"/>
        <v>156.018302244658</v>
      </c>
      <c r="I21">
        <f t="shared" ca="1" si="3"/>
        <v>147.03132216233894</v>
      </c>
      <c r="J21">
        <f ca="1">AVERAGE(C2:C21)</f>
        <v>150.95350000000002</v>
      </c>
      <c r="K21">
        <f ca="1">_xlfn.STDEV.S(C2:C21)</f>
        <v>4.6102235075399207</v>
      </c>
      <c r="L21">
        <f ca="1">J21 + 2*K21</f>
        <v>160.17394701507988</v>
      </c>
      <c r="M21">
        <f ca="1">J21-2*K21</f>
        <v>141.73305298492016</v>
      </c>
      <c r="N21">
        <f t="shared" ca="1" si="4"/>
        <v>-3.9199999999999875</v>
      </c>
      <c r="O21">
        <f t="shared" ca="1" si="5"/>
        <v>0</v>
      </c>
      <c r="P21">
        <f t="shared" ca="1" si="6"/>
        <v>3.9199999999999875</v>
      </c>
      <c r="Q21">
        <f t="shared" ca="1" si="10"/>
        <v>0.99058557298313743</v>
      </c>
      <c r="R21">
        <f t="shared" ca="1" si="11"/>
        <v>0.83298102594142154</v>
      </c>
      <c r="S21">
        <f t="shared" ca="1" si="8"/>
        <v>1.1892054466229813</v>
      </c>
      <c r="T21">
        <f t="shared" ca="1" si="9"/>
        <v>54.321326874890744</v>
      </c>
      <c r="U21">
        <f>70</f>
        <v>70</v>
      </c>
      <c r="V21">
        <f>30</f>
        <v>30</v>
      </c>
      <c r="W21">
        <f t="shared" ca="1" si="7"/>
        <v>152.82808397632868</v>
      </c>
    </row>
    <row r="22" spans="1:25" x14ac:dyDescent="0.25">
      <c r="A22" s="20">
        <f t="shared" ca="1" si="0"/>
        <v>45726</v>
      </c>
      <c r="B22" vm="61">
        <f ca="1"/>
        <v>45728</v>
      </c>
      <c r="C22" vm="62">
        <f ca="1"/>
        <v>148.16999999999999</v>
      </c>
      <c r="D22" vm="63">
        <f ca="1"/>
        <v>8330241</v>
      </c>
      <c r="E22">
        <f t="shared" ca="1" si="1"/>
        <v>1234291808.9699998</v>
      </c>
      <c r="F22">
        <f ca="1">SUM($E$2:E22)/SUM($D$2:D22)</f>
        <v>151.35741311776945</v>
      </c>
      <c r="G22">
        <f ca="1">_xlfn.STDEV.P($C$2:C22)</f>
        <v>4.4250799344535983</v>
      </c>
      <c r="H22">
        <f t="shared" ca="1" si="2"/>
        <v>155.78249305222306</v>
      </c>
      <c r="I22">
        <f t="shared" ca="1" si="3"/>
        <v>146.93233318331585</v>
      </c>
      <c r="J22">
        <f t="shared" ref="J22:J85" ca="1" si="12">AVERAGE(C3:C22)</f>
        <v>151.08000000000001</v>
      </c>
      <c r="K22">
        <f t="shared" ref="K22:K85" ca="1" si="13">_xlfn.STDEV.S(C3:C22)</f>
        <v>4.4898927428286379</v>
      </c>
      <c r="L22">
        <f t="shared" ref="L22:L85" ca="1" si="14">J22 + 2*K22</f>
        <v>160.0597854856573</v>
      </c>
      <c r="M22">
        <f t="shared" ref="M22:M85" ca="1" si="15">J22-2*K22</f>
        <v>142.10021451434272</v>
      </c>
      <c r="N22">
        <f t="shared" ca="1" si="4"/>
        <v>-4.160000000000025</v>
      </c>
      <c r="O22">
        <f t="shared" ca="1" si="5"/>
        <v>0</v>
      </c>
      <c r="P22">
        <f t="shared" ca="1" si="6"/>
        <v>4.160000000000025</v>
      </c>
      <c r="Q22">
        <f t="shared" ca="1" si="10"/>
        <v>0.91982946062719895</v>
      </c>
      <c r="R22">
        <f t="shared" ca="1" si="11"/>
        <v>1.070625238374179</v>
      </c>
      <c r="S22">
        <f t="shared" ca="1" si="8"/>
        <v>0.85915166919101005</v>
      </c>
      <c r="T22">
        <f t="shared" ca="1" si="9"/>
        <v>46.212026884544642</v>
      </c>
      <c r="U22">
        <f>70</f>
        <v>70</v>
      </c>
      <c r="V22">
        <f>30</f>
        <v>30</v>
      </c>
      <c r="W22">
        <f t="shared" ca="1" si="7"/>
        <v>152.11145567227811</v>
      </c>
    </row>
    <row r="23" spans="1:25" x14ac:dyDescent="0.25">
      <c r="A23" s="20">
        <f t="shared" ca="1" si="0"/>
        <v>45726</v>
      </c>
      <c r="B23" vm="64">
        <f ca="1"/>
        <v>45729</v>
      </c>
      <c r="C23" vm="65">
        <f ca="1"/>
        <v>148.34</v>
      </c>
      <c r="D23" vm="66">
        <f ca="1"/>
        <v>5351093</v>
      </c>
      <c r="E23">
        <f t="shared" ca="1" si="1"/>
        <v>793781135.62</v>
      </c>
      <c r="F23">
        <f ca="1">SUM($E$2:E23)/SUM($D$2:D23)</f>
        <v>151.26369953554939</v>
      </c>
      <c r="G23">
        <f ca="1">_xlfn.STDEV.P($C$2:C23)</f>
        <v>4.3541167942363748</v>
      </c>
      <c r="H23">
        <f t="shared" ca="1" si="2"/>
        <v>155.61781632978577</v>
      </c>
      <c r="I23">
        <f t="shared" ca="1" si="3"/>
        <v>146.90958274131302</v>
      </c>
      <c r="J23">
        <f t="shared" ca="1" si="12"/>
        <v>151.29750000000004</v>
      </c>
      <c r="K23">
        <f t="shared" ca="1" si="13"/>
        <v>4.2259659437689212</v>
      </c>
      <c r="L23">
        <f t="shared" ca="1" si="14"/>
        <v>159.7494318875379</v>
      </c>
      <c r="M23">
        <f t="shared" ca="1" si="15"/>
        <v>142.84556811246219</v>
      </c>
      <c r="N23">
        <f t="shared" ca="1" si="4"/>
        <v>0.17000000000001592</v>
      </c>
      <c r="O23">
        <f t="shared" ca="1" si="5"/>
        <v>0.17000000000001592</v>
      </c>
      <c r="P23">
        <f t="shared" ca="1" si="6"/>
        <v>0</v>
      </c>
      <c r="Q23">
        <f t="shared" ca="1" si="10"/>
        <v>0.86627021343954291</v>
      </c>
      <c r="R23">
        <f t="shared" ca="1" si="11"/>
        <v>0.99415200706173767</v>
      </c>
      <c r="S23">
        <f t="shared" ca="1" si="8"/>
        <v>0.87136595539332529</v>
      </c>
      <c r="T23">
        <f t="shared" ca="1" si="9"/>
        <v>46.563097553529069</v>
      </c>
      <c r="U23">
        <f>70</f>
        <v>70</v>
      </c>
      <c r="V23">
        <f>30</f>
        <v>30</v>
      </c>
      <c r="W23">
        <f t="shared" ca="1" si="7"/>
        <v>151.53123172269687</v>
      </c>
    </row>
    <row r="24" spans="1:25" x14ac:dyDescent="0.25">
      <c r="A24" s="20">
        <f t="shared" ca="1" si="0"/>
        <v>45726</v>
      </c>
      <c r="B24" vm="67">
        <f ca="1"/>
        <v>45730</v>
      </c>
      <c r="C24" vm="68">
        <f ca="1"/>
        <v>148.59</v>
      </c>
      <c r="D24" vm="69">
        <f ca="1"/>
        <v>5277544</v>
      </c>
      <c r="E24">
        <f t="shared" ca="1" si="1"/>
        <v>784190262.96000004</v>
      </c>
      <c r="F24">
        <f ca="1">SUM($E$2:E24)/SUM($D$2:D24)</f>
        <v>151.18423622606321</v>
      </c>
      <c r="G24">
        <f ca="1">_xlfn.STDEV.P($C$2:C24)</f>
        <v>4.2802628313553424</v>
      </c>
      <c r="H24">
        <f t="shared" ca="1" si="2"/>
        <v>155.46449905741855</v>
      </c>
      <c r="I24">
        <f t="shared" ca="1" si="3"/>
        <v>146.90397339470786</v>
      </c>
      <c r="J24">
        <f t="shared" ca="1" si="12"/>
        <v>151.49800000000002</v>
      </c>
      <c r="K24">
        <f t="shared" ca="1" si="13"/>
        <v>3.9783540632567638</v>
      </c>
      <c r="L24">
        <f t="shared" ca="1" si="14"/>
        <v>159.45470812651354</v>
      </c>
      <c r="M24">
        <f t="shared" ca="1" si="15"/>
        <v>143.5412918734865</v>
      </c>
      <c r="N24">
        <f t="shared" ca="1" si="4"/>
        <v>0.25</v>
      </c>
      <c r="O24">
        <f t="shared" ca="1" si="5"/>
        <v>0.25</v>
      </c>
      <c r="P24">
        <f t="shared" ca="1" si="6"/>
        <v>0</v>
      </c>
      <c r="Q24">
        <f t="shared" ca="1" si="10"/>
        <v>0.8222509124795756</v>
      </c>
      <c r="R24">
        <f t="shared" ca="1" si="11"/>
        <v>0.92314114941447067</v>
      </c>
      <c r="S24">
        <f t="shared" ca="1" si="8"/>
        <v>0.89070984756893601</v>
      </c>
      <c r="T24">
        <f t="shared" ca="1" si="9"/>
        <v>47.109811625205516</v>
      </c>
      <c r="U24">
        <f>70</f>
        <v>70</v>
      </c>
      <c r="V24">
        <f>30</f>
        <v>30</v>
      </c>
      <c r="W24">
        <f t="shared" ca="1" si="7"/>
        <v>151.07873453458967</v>
      </c>
    </row>
    <row r="25" spans="1:25" x14ac:dyDescent="0.25">
      <c r="A25" s="20">
        <f t="shared" ca="1" si="0"/>
        <v>45733</v>
      </c>
      <c r="B25" vm="70">
        <f ca="1"/>
        <v>45733</v>
      </c>
      <c r="C25" vm="71">
        <f ca="1"/>
        <v>151.34</v>
      </c>
      <c r="D25" vm="72">
        <f ca="1"/>
        <v>5449712</v>
      </c>
      <c r="E25">
        <f t="shared" ca="1" si="1"/>
        <v>824759414.08000004</v>
      </c>
      <c r="F25">
        <f ca="1">SUM($E$2:E25)/SUM($D$2:D25)</f>
        <v>151.18887426264558</v>
      </c>
      <c r="G25">
        <f ca="1">_xlfn.STDEV.P($C$2:C25)</f>
        <v>4.1926382033472285</v>
      </c>
      <c r="H25">
        <f t="shared" ca="1" si="2"/>
        <v>155.38151246599281</v>
      </c>
      <c r="I25">
        <f t="shared" ca="1" si="3"/>
        <v>146.99623605929835</v>
      </c>
      <c r="J25">
        <f t="shared" ca="1" si="12"/>
        <v>151.89550000000003</v>
      </c>
      <c r="K25">
        <f t="shared" ca="1" si="13"/>
        <v>3.4931805368686435</v>
      </c>
      <c r="L25">
        <f t="shared" ca="1" si="14"/>
        <v>158.88186107373733</v>
      </c>
      <c r="M25">
        <f t="shared" ca="1" si="15"/>
        <v>144.90913892626273</v>
      </c>
      <c r="N25">
        <f t="shared" ca="1" si="4"/>
        <v>2.75</v>
      </c>
      <c r="O25">
        <f t="shared" ca="1" si="5"/>
        <v>2.75</v>
      </c>
      <c r="P25">
        <f t="shared" ca="1" si="6"/>
        <v>0</v>
      </c>
      <c r="Q25">
        <f t="shared" ca="1" si="10"/>
        <v>0.95994727587389161</v>
      </c>
      <c r="R25">
        <f t="shared" ca="1" si="11"/>
        <v>0.85720249588486563</v>
      </c>
      <c r="S25">
        <f t="shared" ca="1" si="8"/>
        <v>1.119860570264632</v>
      </c>
      <c r="T25">
        <f t="shared" ca="1" si="9"/>
        <v>52.8270861759948</v>
      </c>
      <c r="U25">
        <f>70</f>
        <v>70</v>
      </c>
      <c r="V25">
        <f>30</f>
        <v>30</v>
      </c>
      <c r="W25">
        <f t="shared" ca="1" si="7"/>
        <v>151.11892922157588</v>
      </c>
    </row>
    <row r="26" spans="1:25" x14ac:dyDescent="0.25">
      <c r="A26" s="20">
        <f t="shared" ca="1" si="0"/>
        <v>45733</v>
      </c>
      <c r="B26" vm="73">
        <f ca="1"/>
        <v>45734</v>
      </c>
      <c r="C26" vm="74">
        <f ca="1"/>
        <v>148.99</v>
      </c>
      <c r="D26" vm="75">
        <f ca="1"/>
        <v>8158556</v>
      </c>
      <c r="E26">
        <f t="shared" ca="1" si="1"/>
        <v>1215543258.4400001</v>
      </c>
      <c r="F26">
        <f ca="1">SUM($E$2:E26)/SUM($D$2:D26)</f>
        <v>151.09503868386852</v>
      </c>
      <c r="G26">
        <f ca="1">_xlfn.STDEV.P($C$2:C26)</f>
        <v>4.1207310031109783</v>
      </c>
      <c r="H26">
        <f t="shared" ca="1" si="2"/>
        <v>155.21576968697951</v>
      </c>
      <c r="I26">
        <f t="shared" ca="1" si="3"/>
        <v>146.97430768075753</v>
      </c>
      <c r="J26">
        <f t="shared" ca="1" si="12"/>
        <v>152.14000000000004</v>
      </c>
      <c r="K26">
        <f t="shared" ca="1" si="13"/>
        <v>3.0635411227085423</v>
      </c>
      <c r="L26">
        <f t="shared" ca="1" si="14"/>
        <v>158.26708224541713</v>
      </c>
      <c r="M26">
        <f t="shared" ca="1" si="15"/>
        <v>146.01291775458296</v>
      </c>
      <c r="N26">
        <f t="shared" ca="1" si="4"/>
        <v>-2.3499999999999943</v>
      </c>
      <c r="O26">
        <f t="shared" ca="1" si="5"/>
        <v>0</v>
      </c>
      <c r="P26">
        <f t="shared" ca="1" si="6"/>
        <v>2.3499999999999943</v>
      </c>
      <c r="Q26">
        <f t="shared" ca="1" si="10"/>
        <v>0.89137961331147075</v>
      </c>
      <c r="R26">
        <f t="shared" ca="1" si="11"/>
        <v>0.96383088903594627</v>
      </c>
      <c r="S26">
        <f t="shared" ca="1" si="8"/>
        <v>0.92482988815917333</v>
      </c>
      <c r="T26">
        <f t="shared" ca="1" si="9"/>
        <v>48.047357007929769</v>
      </c>
      <c r="U26">
        <f>70</f>
        <v>70</v>
      </c>
      <c r="V26">
        <f>30</f>
        <v>30</v>
      </c>
      <c r="W26">
        <f t="shared" ca="1" si="7"/>
        <v>150.79140164902574</v>
      </c>
    </row>
    <row r="27" spans="1:25" x14ac:dyDescent="0.25">
      <c r="A27" s="20">
        <f t="shared" ca="1" si="0"/>
        <v>45733</v>
      </c>
      <c r="B27" vm="76">
        <f ca="1"/>
        <v>45735</v>
      </c>
      <c r="C27" vm="77">
        <f ca="1"/>
        <v>148.11000000000001</v>
      </c>
      <c r="D27" vm="78">
        <f ca="1"/>
        <v>6080054</v>
      </c>
      <c r="E27">
        <f t="shared" ca="1" si="1"/>
        <v>900516797.94000006</v>
      </c>
      <c r="F27">
        <f ca="1">SUM($E$2:E27)/SUM($D$2:D27)</f>
        <v>151.00303299825339</v>
      </c>
      <c r="G27">
        <f ca="1">_xlfn.STDEV.P($C$2:C27)</f>
        <v>4.0685323851765975</v>
      </c>
      <c r="H27">
        <f t="shared" ca="1" si="2"/>
        <v>155.07156538343</v>
      </c>
      <c r="I27">
        <f t="shared" ca="1" si="3"/>
        <v>146.93450061307678</v>
      </c>
      <c r="J27">
        <f t="shared" ca="1" si="12"/>
        <v>152.25500000000005</v>
      </c>
      <c r="K27">
        <f t="shared" ca="1" si="13"/>
        <v>2.8490801839781268</v>
      </c>
      <c r="L27">
        <f t="shared" ca="1" si="14"/>
        <v>157.95316036795631</v>
      </c>
      <c r="M27">
        <f t="shared" ca="1" si="15"/>
        <v>146.55683963204379</v>
      </c>
      <c r="N27">
        <f t="shared" ca="1" si="4"/>
        <v>-0.87999999999999545</v>
      </c>
      <c r="O27">
        <f t="shared" ca="1" si="5"/>
        <v>0</v>
      </c>
      <c r="P27">
        <f t="shared" ca="1" si="6"/>
        <v>0.87999999999999545</v>
      </c>
      <c r="Q27">
        <f t="shared" ca="1" si="10"/>
        <v>0.82770964093207999</v>
      </c>
      <c r="R27">
        <f t="shared" ca="1" si="11"/>
        <v>0.95784296839052119</v>
      </c>
      <c r="S27">
        <f t="shared" ca="1" si="8"/>
        <v>0.86413918381934118</v>
      </c>
      <c r="T27">
        <f t="shared" ca="1" si="9"/>
        <v>46.355936902138922</v>
      </c>
      <c r="U27">
        <f>70</f>
        <v>70</v>
      </c>
      <c r="V27">
        <f>30</f>
        <v>30</v>
      </c>
      <c r="W27">
        <f t="shared" ca="1" si="7"/>
        <v>150.37887831840641</v>
      </c>
      <c r="X27" s="9">
        <f ca="1">AVERAGE(C2:C27)</f>
        <v>150.48500000000004</v>
      </c>
      <c r="Y27">
        <f ca="1">W28-X28</f>
        <v>-0.35583515508065489</v>
      </c>
    </row>
    <row r="28" spans="1:25" x14ac:dyDescent="0.25">
      <c r="A28" s="20">
        <f t="shared" ca="1" si="0"/>
        <v>45733</v>
      </c>
      <c r="B28" vm="79">
        <f ca="1"/>
        <v>45736</v>
      </c>
      <c r="C28" vm="80">
        <f ca="1"/>
        <v>147.15</v>
      </c>
      <c r="D28" vm="81">
        <f ca="1"/>
        <v>4536367</v>
      </c>
      <c r="E28">
        <f t="shared" ca="1" si="1"/>
        <v>667526404.05000007</v>
      </c>
      <c r="F28">
        <f ca="1">SUM($E$2:E28)/SUM($D$2:D28)</f>
        <v>150.91641783154</v>
      </c>
      <c r="G28">
        <f ca="1">_xlfn.STDEV.P($C$2:C28)</f>
        <v>4.0418511561134443</v>
      </c>
      <c r="H28">
        <f t="shared" ca="1" si="2"/>
        <v>154.95826898765344</v>
      </c>
      <c r="I28">
        <f t="shared" ca="1" si="3"/>
        <v>146.87456667542656</v>
      </c>
      <c r="J28">
        <f t="shared" ca="1" si="12"/>
        <v>152.15750000000003</v>
      </c>
      <c r="K28">
        <f t="shared" ca="1" si="13"/>
        <v>2.9924886228513428</v>
      </c>
      <c r="L28">
        <f t="shared" ca="1" si="14"/>
        <v>158.14247724570271</v>
      </c>
      <c r="M28">
        <f t="shared" ca="1" si="15"/>
        <v>146.17252275429735</v>
      </c>
      <c r="N28">
        <f t="shared" ca="1" si="4"/>
        <v>-0.96000000000000796</v>
      </c>
      <c r="O28">
        <f t="shared" ca="1" si="5"/>
        <v>0</v>
      </c>
      <c r="P28">
        <f t="shared" ca="1" si="6"/>
        <v>0.96000000000000796</v>
      </c>
      <c r="Q28">
        <f t="shared" ca="1" si="10"/>
        <v>0.76858752372264572</v>
      </c>
      <c r="R28">
        <f t="shared" ca="1" si="11"/>
        <v>0.95799704207691316</v>
      </c>
      <c r="S28">
        <f t="shared" ca="1" si="8"/>
        <v>0.80228590482530882</v>
      </c>
      <c r="T28">
        <f t="shared" ca="1" si="9"/>
        <v>44.514907578055571</v>
      </c>
      <c r="U28">
        <f>70</f>
        <v>70</v>
      </c>
      <c r="V28">
        <f>30</f>
        <v>30</v>
      </c>
      <c r="W28">
        <f t="shared" ca="1" si="7"/>
        <v>149.88212780788234</v>
      </c>
      <c r="X28">
        <f ca="1">C28*(2/(26+1)) + X27*(1-(2/(26+1)))</f>
        <v>150.237962962963</v>
      </c>
      <c r="Y28">
        <f t="shared" ref="Y28:Y91" ca="1" si="16">W29-X29</f>
        <v>-0.68303704849549263</v>
      </c>
    </row>
    <row r="29" spans="1:25" x14ac:dyDescent="0.25">
      <c r="A29" s="20">
        <f t="shared" ca="1" si="0"/>
        <v>45733</v>
      </c>
      <c r="B29" vm="82">
        <f ca="1"/>
        <v>45737</v>
      </c>
      <c r="C29" vm="83">
        <f ca="1"/>
        <v>145.44999999999999</v>
      </c>
      <c r="D29" vm="84">
        <f ca="1"/>
        <v>11574777</v>
      </c>
      <c r="E29">
        <f t="shared" ca="1" si="1"/>
        <v>1683551314.6499999</v>
      </c>
      <c r="F29">
        <f ca="1">SUM($E$2:E29)/SUM($D$2:D29)</f>
        <v>150.61988256845845</v>
      </c>
      <c r="G29">
        <f ca="1">_xlfn.STDEV.P($C$2:C29)</f>
        <v>4.0723293959580031</v>
      </c>
      <c r="H29">
        <f t="shared" ca="1" si="2"/>
        <v>154.69221196441646</v>
      </c>
      <c r="I29">
        <f t="shared" ca="1" si="3"/>
        <v>146.54755317250044</v>
      </c>
      <c r="J29">
        <f t="shared" ca="1" si="12"/>
        <v>151.75500000000002</v>
      </c>
      <c r="K29">
        <f t="shared" ca="1" si="13"/>
        <v>3.3252851084728929</v>
      </c>
      <c r="L29">
        <f t="shared" ca="1" si="14"/>
        <v>158.40557021694582</v>
      </c>
      <c r="M29">
        <f t="shared" ca="1" si="15"/>
        <v>145.10442978305423</v>
      </c>
      <c r="N29">
        <f t="shared" ca="1" si="4"/>
        <v>-1.7000000000000171</v>
      </c>
      <c r="O29">
        <f t="shared" ca="1" si="5"/>
        <v>0</v>
      </c>
      <c r="P29">
        <f t="shared" ca="1" si="6"/>
        <v>1.7000000000000171</v>
      </c>
      <c r="Q29">
        <f t="shared" ca="1" si="10"/>
        <v>0.71368841488531387</v>
      </c>
      <c r="R29">
        <f t="shared" ca="1" si="11"/>
        <v>1.0109972533571348</v>
      </c>
      <c r="S29">
        <f t="shared" ca="1" si="8"/>
        <v>0.70592517686415857</v>
      </c>
      <c r="T29">
        <f t="shared" ca="1" si="9"/>
        <v>41.380781902861315</v>
      </c>
      <c r="U29">
        <f>70</f>
        <v>70</v>
      </c>
      <c r="V29">
        <f>30</f>
        <v>30</v>
      </c>
      <c r="W29">
        <f t="shared" ca="1" si="7"/>
        <v>149.20026199128506</v>
      </c>
      <c r="X29">
        <f t="shared" ref="X29:X92" ca="1" si="17">C29*(2/(26+1)) + X28*(1-(2/(26+1)))</f>
        <v>149.88329903978055</v>
      </c>
      <c r="Y29">
        <f t="shared" ca="1" si="16"/>
        <v>-0.85183583053279222</v>
      </c>
    </row>
    <row r="30" spans="1:25" x14ac:dyDescent="0.25">
      <c r="A30" s="20">
        <f t="shared" ca="1" si="0"/>
        <v>45740</v>
      </c>
      <c r="B30" vm="85">
        <f ca="1"/>
        <v>45740</v>
      </c>
      <c r="C30" vm="86">
        <f ca="1"/>
        <v>146.44999999999999</v>
      </c>
      <c r="D30" vm="87">
        <f ca="1"/>
        <v>5968852</v>
      </c>
      <c r="E30">
        <f t="shared" ca="1" si="1"/>
        <v>874138375.39999998</v>
      </c>
      <c r="F30">
        <f ca="1">SUM($E$2:E30)/SUM($D$2:D30)</f>
        <v>150.50640932423974</v>
      </c>
      <c r="G30">
        <f ca="1">_xlfn.STDEV.P($C$2:C30)</f>
        <v>4.0591538922596158</v>
      </c>
      <c r="H30">
        <f t="shared" ca="1" si="2"/>
        <v>154.56556321649936</v>
      </c>
      <c r="I30">
        <f t="shared" ca="1" si="3"/>
        <v>146.44725543198012</v>
      </c>
      <c r="J30">
        <f t="shared" ca="1" si="12"/>
        <v>151.38499999999999</v>
      </c>
      <c r="K30">
        <f t="shared" ca="1" si="13"/>
        <v>3.4876390747595258</v>
      </c>
      <c r="L30">
        <f t="shared" ca="1" si="14"/>
        <v>158.36027814951905</v>
      </c>
      <c r="M30">
        <f t="shared" ca="1" si="15"/>
        <v>144.40972185048093</v>
      </c>
      <c r="N30">
        <f t="shared" ca="1" si="4"/>
        <v>1</v>
      </c>
      <c r="O30">
        <f t="shared" ca="1" si="5"/>
        <v>1</v>
      </c>
      <c r="P30">
        <f t="shared" ca="1" si="6"/>
        <v>0</v>
      </c>
      <c r="Q30">
        <f t="shared" ca="1" si="10"/>
        <v>0.73413924239350581</v>
      </c>
      <c r="R30">
        <f t="shared" ca="1" si="11"/>
        <v>0.93878316383162519</v>
      </c>
      <c r="S30">
        <f t="shared" ca="1" si="8"/>
        <v>0.78201151307095329</v>
      </c>
      <c r="T30">
        <f t="shared" ca="1" si="9"/>
        <v>43.883639770840041</v>
      </c>
      <c r="U30">
        <f>70</f>
        <v>70</v>
      </c>
      <c r="V30">
        <f>30</f>
        <v>30</v>
      </c>
      <c r="W30">
        <f t="shared" ca="1" si="7"/>
        <v>148.77714476185659</v>
      </c>
      <c r="X30">
        <f t="shared" ca="1" si="17"/>
        <v>149.62898059238938</v>
      </c>
      <c r="Y30">
        <f t="shared" ca="1" si="16"/>
        <v>-1.0469706502995564</v>
      </c>
    </row>
    <row r="31" spans="1:25" x14ac:dyDescent="0.25">
      <c r="A31" s="20">
        <f t="shared" ca="1" si="0"/>
        <v>45740</v>
      </c>
      <c r="B31" vm="88">
        <f ca="1"/>
        <v>45741</v>
      </c>
      <c r="C31" vm="89">
        <f ca="1"/>
        <v>145.54</v>
      </c>
      <c r="D31" vm="90">
        <f ca="1"/>
        <v>4763277</v>
      </c>
      <c r="E31">
        <f t="shared" ca="1" si="1"/>
        <v>693247334.57999992</v>
      </c>
      <c r="F31">
        <f ca="1">SUM($E$2:E31)/SUM($D$2:D31)</f>
        <v>150.40084993042279</v>
      </c>
      <c r="G31">
        <f ca="1">_xlfn.STDEV.P($C$2:C31)</f>
        <v>4.0724704487025525</v>
      </c>
      <c r="H31">
        <f t="shared" ca="1" si="2"/>
        <v>154.47332037912534</v>
      </c>
      <c r="I31">
        <f t="shared" ca="1" si="3"/>
        <v>146.32837948172025</v>
      </c>
      <c r="J31">
        <f t="shared" ca="1" si="12"/>
        <v>150.84099999999998</v>
      </c>
      <c r="K31">
        <f t="shared" ca="1" si="13"/>
        <v>3.5094082572122463</v>
      </c>
      <c r="L31">
        <f t="shared" ca="1" si="14"/>
        <v>157.85981651442447</v>
      </c>
      <c r="M31">
        <f t="shared" ca="1" si="15"/>
        <v>143.82218348557549</v>
      </c>
      <c r="N31">
        <f t="shared" ca="1" si="4"/>
        <v>-0.90999999999999659</v>
      </c>
      <c r="O31">
        <f t="shared" ca="1" si="5"/>
        <v>0</v>
      </c>
      <c r="P31">
        <f t="shared" ca="1" si="6"/>
        <v>0.90999999999999659</v>
      </c>
      <c r="Q31">
        <f t="shared" ca="1" si="10"/>
        <v>0.68170072507968393</v>
      </c>
      <c r="R31">
        <f t="shared" ca="1" si="11"/>
        <v>0.93672722355793747</v>
      </c>
      <c r="S31">
        <f t="shared" ca="1" si="8"/>
        <v>0.72774731846738105</v>
      </c>
      <c r="T31">
        <f t="shared" ca="1" si="9"/>
        <v>42.12116613863062</v>
      </c>
      <c r="U31">
        <f>70</f>
        <v>70</v>
      </c>
      <c r="V31">
        <f>30</f>
        <v>30</v>
      </c>
      <c r="W31">
        <f t="shared" ca="1" si="7"/>
        <v>148.27912249080174</v>
      </c>
      <c r="X31">
        <f t="shared" ca="1" si="17"/>
        <v>149.3260931411013</v>
      </c>
      <c r="Y31">
        <f t="shared" ca="1" si="16"/>
        <v>-0.94062931934416838</v>
      </c>
    </row>
    <row r="32" spans="1:25" x14ac:dyDescent="0.25">
      <c r="A32" s="20">
        <f t="shared" ca="1" si="0"/>
        <v>45740</v>
      </c>
      <c r="B32" vm="91">
        <f ca="1"/>
        <v>45742</v>
      </c>
      <c r="C32" vm="92">
        <f ca="1"/>
        <v>148.63999999999999</v>
      </c>
      <c r="D32" vm="93">
        <f ca="1"/>
        <v>5885290</v>
      </c>
      <c r="E32">
        <f t="shared" ca="1" si="1"/>
        <v>874789505.5999999</v>
      </c>
      <c r="F32">
        <f ca="1">SUM($E$2:E32)/SUM($D$2:D32)</f>
        <v>150.35579100871956</v>
      </c>
      <c r="G32">
        <f ca="1">_xlfn.STDEV.P($C$2:C32)</f>
        <v>4.0124932110834344</v>
      </c>
      <c r="H32">
        <f t="shared" ca="1" si="2"/>
        <v>154.368284219803</v>
      </c>
      <c r="I32">
        <f t="shared" ca="1" si="3"/>
        <v>146.34329779763613</v>
      </c>
      <c r="J32">
        <f t="shared" ca="1" si="12"/>
        <v>150.69749999999996</v>
      </c>
      <c r="K32">
        <f t="shared" ca="1" si="13"/>
        <v>3.539164151990815</v>
      </c>
      <c r="L32">
        <f t="shared" ca="1" si="14"/>
        <v>157.7758283039816</v>
      </c>
      <c r="M32">
        <f t="shared" ca="1" si="15"/>
        <v>143.61917169601833</v>
      </c>
      <c r="N32">
        <f t="shared" ca="1" si="4"/>
        <v>3.0999999999999943</v>
      </c>
      <c r="O32">
        <f t="shared" ca="1" si="5"/>
        <v>3.0999999999999943</v>
      </c>
      <c r="P32">
        <f t="shared" ca="1" si="6"/>
        <v>0</v>
      </c>
      <c r="Q32">
        <f t="shared" ca="1" si="10"/>
        <v>0.85443638757399187</v>
      </c>
      <c r="R32">
        <f t="shared" ca="1" si="11"/>
        <v>0.86981813616094195</v>
      </c>
      <c r="S32">
        <f t="shared" ca="1" si="8"/>
        <v>0.98231613259429207</v>
      </c>
      <c r="T32">
        <f t="shared" ca="1" si="9"/>
        <v>49.553959453920072</v>
      </c>
      <c r="U32">
        <f>70</f>
        <v>70</v>
      </c>
      <c r="V32">
        <f>30</f>
        <v>30</v>
      </c>
      <c r="W32">
        <f t="shared" ca="1" si="7"/>
        <v>148.33464210760147</v>
      </c>
      <c r="X32">
        <f t="shared" ca="1" si="17"/>
        <v>149.27527142694564</v>
      </c>
      <c r="Y32">
        <f t="shared" ca="1" si="16"/>
        <v>-0.76442879715011713</v>
      </c>
    </row>
    <row r="33" spans="1:27" x14ac:dyDescent="0.25">
      <c r="A33" s="20">
        <f t="shared" ca="1" si="0"/>
        <v>45740</v>
      </c>
      <c r="B33" vm="94">
        <f ca="1"/>
        <v>45743</v>
      </c>
      <c r="C33" vm="95">
        <f ca="1"/>
        <v>149.66999999999999</v>
      </c>
      <c r="D33" vm="96">
        <f ca="1"/>
        <v>5397532</v>
      </c>
      <c r="E33">
        <f t="shared" ca="1" si="1"/>
        <v>807848614.43999994</v>
      </c>
      <c r="F33">
        <f ca="1">SUM($E$2:E33)/SUM($D$2:D33)</f>
        <v>150.34006555794926</v>
      </c>
      <c r="G33">
        <f ca="1">_xlfn.STDEV.P($C$2:C33)</f>
        <v>3.9494473382162929</v>
      </c>
      <c r="H33">
        <f t="shared" ca="1" si="2"/>
        <v>154.28951289616555</v>
      </c>
      <c r="I33">
        <f t="shared" ca="1" si="3"/>
        <v>146.39061821973297</v>
      </c>
      <c r="J33">
        <f t="shared" ca="1" si="12"/>
        <v>150.57999999999998</v>
      </c>
      <c r="K33">
        <f t="shared" ca="1" si="13"/>
        <v>3.5319489177923793</v>
      </c>
      <c r="L33">
        <f t="shared" ca="1" si="14"/>
        <v>157.64389783558474</v>
      </c>
      <c r="M33">
        <f t="shared" ca="1" si="15"/>
        <v>143.51610216441523</v>
      </c>
      <c r="N33">
        <f t="shared" ca="1" si="4"/>
        <v>1.0300000000000011</v>
      </c>
      <c r="O33">
        <f t="shared" ca="1" si="5"/>
        <v>1.0300000000000011</v>
      </c>
      <c r="P33">
        <f t="shared" ca="1" si="6"/>
        <v>0</v>
      </c>
      <c r="Q33">
        <f t="shared" ca="1" si="10"/>
        <v>0.86697664560442111</v>
      </c>
      <c r="R33">
        <f t="shared" ca="1" si="11"/>
        <v>0.8076882692923032</v>
      </c>
      <c r="S33">
        <f t="shared" ca="1" si="8"/>
        <v>1.0734050234059564</v>
      </c>
      <c r="T33">
        <f t="shared" ca="1" si="9"/>
        <v>51.770156399191485</v>
      </c>
      <c r="U33">
        <f>70</f>
        <v>70</v>
      </c>
      <c r="V33">
        <f>30</f>
        <v>30</v>
      </c>
      <c r="W33">
        <f t="shared" ca="1" si="7"/>
        <v>148.54008178335511</v>
      </c>
      <c r="X33">
        <f t="shared" ca="1" si="17"/>
        <v>149.30451058050522</v>
      </c>
      <c r="Y33">
        <f t="shared" ca="1" si="16"/>
        <v>-0.64957734760039898</v>
      </c>
    </row>
    <row r="34" spans="1:27" x14ac:dyDescent="0.25">
      <c r="A34" s="20">
        <f t="shared" ca="1" si="0"/>
        <v>45740</v>
      </c>
      <c r="B34" vm="97">
        <f ca="1"/>
        <v>45744</v>
      </c>
      <c r="C34" vm="98">
        <f ca="1"/>
        <v>149.27000000000001</v>
      </c>
      <c r="D34" vm="99">
        <f ca="1"/>
        <v>8550883</v>
      </c>
      <c r="E34">
        <f t="shared" ca="1" si="1"/>
        <v>1276390305.4100001</v>
      </c>
      <c r="F34">
        <f ca="1">SUM($E$2:E34)/SUM($D$2:D34)</f>
        <v>150.30255610638943</v>
      </c>
      <c r="G34">
        <f ca="1">_xlfn.STDEV.P($C$2:C34)</f>
        <v>3.8904603252956762</v>
      </c>
      <c r="H34">
        <f t="shared" ca="1" si="2"/>
        <v>154.19301643168509</v>
      </c>
      <c r="I34">
        <f t="shared" ca="1" si="3"/>
        <v>146.41209578109377</v>
      </c>
      <c r="J34">
        <f t="shared" ca="1" si="12"/>
        <v>150.36999999999998</v>
      </c>
      <c r="K34">
        <f t="shared" ca="1" si="13"/>
        <v>3.4754825488510863</v>
      </c>
      <c r="L34">
        <f t="shared" ca="1" si="14"/>
        <v>157.32096509770216</v>
      </c>
      <c r="M34">
        <f t="shared" ca="1" si="15"/>
        <v>143.4190349022978</v>
      </c>
      <c r="N34">
        <f t="shared" ca="1" si="4"/>
        <v>-0.39999999999997726</v>
      </c>
      <c r="O34">
        <f t="shared" ca="1" si="5"/>
        <v>0</v>
      </c>
      <c r="P34">
        <f t="shared" ca="1" si="6"/>
        <v>0.39999999999997726</v>
      </c>
      <c r="Q34">
        <f t="shared" ca="1" si="10"/>
        <v>0.80504974234696236</v>
      </c>
      <c r="R34">
        <f t="shared" ca="1" si="11"/>
        <v>0.77856767862856557</v>
      </c>
      <c r="S34">
        <f t="shared" ca="1" si="8"/>
        <v>1.0340138236473475</v>
      </c>
      <c r="T34">
        <f t="shared" ca="1" si="9"/>
        <v>50.836125675546164</v>
      </c>
      <c r="U34">
        <f>70</f>
        <v>70</v>
      </c>
      <c r="V34">
        <f>30</f>
        <v>30</v>
      </c>
      <c r="W34">
        <f t="shared" ca="1" si="7"/>
        <v>148.65237689360816</v>
      </c>
      <c r="X34">
        <f t="shared" ca="1" si="17"/>
        <v>149.30195424120856</v>
      </c>
      <c r="Y34">
        <f t="shared" ca="1" si="16"/>
        <v>-0.4987441338779206</v>
      </c>
    </row>
    <row r="35" spans="1:27" x14ac:dyDescent="0.25">
      <c r="A35" s="20">
        <f t="shared" ca="1" si="0"/>
        <v>45747</v>
      </c>
      <c r="B35" vm="100">
        <f ca="1"/>
        <v>45747</v>
      </c>
      <c r="C35" vm="101">
        <f ca="1"/>
        <v>149.94</v>
      </c>
      <c r="D35" vm="102">
        <f ca="1"/>
        <v>9985702</v>
      </c>
      <c r="E35">
        <f t="shared" ca="1" si="1"/>
        <v>1497256157.8799999</v>
      </c>
      <c r="F35">
        <f ca="1">SUM($E$2:E35)/SUM($D$2:D35)</f>
        <v>150.28829840699456</v>
      </c>
      <c r="G35">
        <f ca="1">_xlfn.STDEV.P($C$2:C35)</f>
        <v>3.8328565873741178</v>
      </c>
      <c r="H35">
        <f t="shared" ca="1" si="2"/>
        <v>154.12115499436868</v>
      </c>
      <c r="I35">
        <f t="shared" ca="1" si="3"/>
        <v>146.45544181962043</v>
      </c>
      <c r="J35">
        <f t="shared" ca="1" si="12"/>
        <v>150.06749999999997</v>
      </c>
      <c r="K35">
        <f t="shared" ca="1" si="13"/>
        <v>3.2140397190746555</v>
      </c>
      <c r="L35">
        <f t="shared" ca="1" si="14"/>
        <v>156.49557943814926</v>
      </c>
      <c r="M35">
        <f t="shared" ca="1" si="15"/>
        <v>143.63942056185067</v>
      </c>
      <c r="N35">
        <f t="shared" ca="1" si="4"/>
        <v>0.66999999999998749</v>
      </c>
      <c r="O35">
        <f t="shared" ca="1" si="5"/>
        <v>0.66999999999998749</v>
      </c>
      <c r="P35">
        <f t="shared" ca="1" si="6"/>
        <v>0</v>
      </c>
      <c r="Q35">
        <f t="shared" ca="1" si="10"/>
        <v>0.79540333217932135</v>
      </c>
      <c r="R35">
        <f t="shared" ca="1" si="11"/>
        <v>0.72295570158366806</v>
      </c>
      <c r="S35">
        <f t="shared" ca="1" si="8"/>
        <v>1.1002103316108489</v>
      </c>
      <c r="T35">
        <f t="shared" ca="1" si="9"/>
        <v>52.385721327586936</v>
      </c>
      <c r="U35">
        <f>70</f>
        <v>70</v>
      </c>
      <c r="V35">
        <f>30</f>
        <v>30</v>
      </c>
      <c r="W35">
        <f t="shared" ca="1" si="7"/>
        <v>148.85047275612999</v>
      </c>
      <c r="X35">
        <f t="shared" ca="1" si="17"/>
        <v>149.34921689000791</v>
      </c>
      <c r="Y35">
        <f t="shared" ca="1" si="16"/>
        <v>-0.39642473128765232</v>
      </c>
    </row>
    <row r="36" spans="1:27" x14ac:dyDescent="0.25">
      <c r="A36" s="20">
        <f t="shared" ca="1" si="0"/>
        <v>45747</v>
      </c>
      <c r="B36" vm="103">
        <f ca="1"/>
        <v>45748</v>
      </c>
      <c r="C36" vm="95">
        <f ca="1"/>
        <v>149.66999999999999</v>
      </c>
      <c r="D36" vm="104">
        <f ca="1"/>
        <v>6072838</v>
      </c>
      <c r="E36">
        <f t="shared" ca="1" si="1"/>
        <v>908921663.45999992</v>
      </c>
      <c r="F36">
        <f ca="1">SUM($E$2:E36)/SUM($D$2:D36)</f>
        <v>150.27385661282563</v>
      </c>
      <c r="G36">
        <f ca="1">_xlfn.STDEV.P($C$2:C36)</f>
        <v>3.7778168190593027</v>
      </c>
      <c r="H36">
        <f t="shared" ca="1" si="2"/>
        <v>154.05167343188492</v>
      </c>
      <c r="I36">
        <f t="shared" ca="1" si="3"/>
        <v>146.49603979376633</v>
      </c>
      <c r="J36">
        <f t="shared" ca="1" si="12"/>
        <v>149.8415</v>
      </c>
      <c r="K36">
        <f t="shared" ca="1" si="13"/>
        <v>3.0643317722672156</v>
      </c>
      <c r="L36">
        <f t="shared" ca="1" si="14"/>
        <v>155.97016354453442</v>
      </c>
      <c r="M36">
        <f t="shared" ca="1" si="15"/>
        <v>143.71283645546558</v>
      </c>
      <c r="N36">
        <f t="shared" ca="1" si="4"/>
        <v>-0.27000000000001023</v>
      </c>
      <c r="O36">
        <f t="shared" ca="1" si="5"/>
        <v>0</v>
      </c>
      <c r="P36">
        <f t="shared" ca="1" si="6"/>
        <v>0.27000000000001023</v>
      </c>
      <c r="Q36">
        <f t="shared" ca="1" si="10"/>
        <v>0.73858880845222696</v>
      </c>
      <c r="R36">
        <f t="shared" ca="1" si="11"/>
        <v>0.69060172289912103</v>
      </c>
      <c r="S36">
        <f t="shared" ca="1" si="8"/>
        <v>1.0694859047725191</v>
      </c>
      <c r="T36">
        <f t="shared" ca="1" si="9"/>
        <v>51.678820440677448</v>
      </c>
      <c r="U36">
        <f>70</f>
        <v>70</v>
      </c>
      <c r="V36">
        <f>30</f>
        <v>30</v>
      </c>
      <c r="W36">
        <f t="shared" ca="1" si="7"/>
        <v>148.97655387057154</v>
      </c>
      <c r="X36">
        <f t="shared" ca="1" si="17"/>
        <v>149.37297860185919</v>
      </c>
      <c r="Y36">
        <f t="shared" ca="1" si="16"/>
        <v>-0.35561694029769342</v>
      </c>
      <c r="Z36" s="9">
        <f ca="1">AVERAGE(Y28:Y36)</f>
        <v>-0.6874738665428658</v>
      </c>
    </row>
    <row r="37" spans="1:27" x14ac:dyDescent="0.25">
      <c r="A37" s="20">
        <f t="shared" ca="1" si="0"/>
        <v>45747</v>
      </c>
      <c r="B37" vm="105">
        <f ca="1"/>
        <v>45749</v>
      </c>
      <c r="C37" vm="106">
        <f ca="1"/>
        <v>149.12</v>
      </c>
      <c r="D37" vm="107">
        <f ca="1"/>
        <v>5866172</v>
      </c>
      <c r="E37">
        <f t="shared" ca="1" si="1"/>
        <v>874763568.63999999</v>
      </c>
      <c r="F37">
        <f ca="1">SUM($E$2:E37)/SUM($D$2:D37)</f>
        <v>150.24839721509892</v>
      </c>
      <c r="G37">
        <f ca="1">_xlfn.STDEV.P($C$2:C37)</f>
        <v>3.7268548596721263</v>
      </c>
      <c r="H37">
        <f t="shared" ca="1" si="2"/>
        <v>153.97525207477105</v>
      </c>
      <c r="I37">
        <f t="shared" ca="1" si="3"/>
        <v>146.52154235542679</v>
      </c>
      <c r="J37">
        <f t="shared" ca="1" si="12"/>
        <v>149.6035</v>
      </c>
      <c r="K37">
        <f t="shared" ca="1" si="13"/>
        <v>2.9153915959772467</v>
      </c>
      <c r="L37">
        <f t="shared" ca="1" si="14"/>
        <v>155.43428319195448</v>
      </c>
      <c r="M37">
        <f t="shared" ca="1" si="15"/>
        <v>143.77271680804552</v>
      </c>
      <c r="N37">
        <f t="shared" ca="1" si="4"/>
        <v>-0.54999999999998295</v>
      </c>
      <c r="O37">
        <f t="shared" ca="1" si="5"/>
        <v>0</v>
      </c>
      <c r="P37">
        <f t="shared" ca="1" si="6"/>
        <v>0.54999999999998295</v>
      </c>
      <c r="Q37">
        <f t="shared" ca="1" si="10"/>
        <v>0.68583246499135364</v>
      </c>
      <c r="R37">
        <f t="shared" ca="1" si="11"/>
        <v>0.68055874269203975</v>
      </c>
      <c r="S37">
        <f t="shared" ca="1" si="8"/>
        <v>1.0077491066802742</v>
      </c>
      <c r="T37">
        <f t="shared" ca="1" si="9"/>
        <v>50.192979955874236</v>
      </c>
      <c r="U37">
        <f>70</f>
        <v>70</v>
      </c>
      <c r="V37">
        <f>30</f>
        <v>30</v>
      </c>
      <c r="W37">
        <f t="shared" ca="1" si="7"/>
        <v>148.99862250586821</v>
      </c>
      <c r="X37">
        <f t="shared" ca="1" si="17"/>
        <v>149.35423944616591</v>
      </c>
      <c r="Y37">
        <f t="shared" ca="1" si="16"/>
        <v>-0.14010523008846576</v>
      </c>
      <c r="Z37">
        <f ca="1">Y37*(2/(9+1)) + Z36*(1-(2/(9+1)))</f>
        <v>-0.57800013925198579</v>
      </c>
      <c r="AA37">
        <f ca="1">Y37-Z37</f>
        <v>0.43789490916352003</v>
      </c>
    </row>
    <row r="38" spans="1:27" x14ac:dyDescent="0.25">
      <c r="A38" s="20">
        <f t="shared" ca="1" si="0"/>
        <v>45747</v>
      </c>
      <c r="B38" vm="108">
        <f ca="1"/>
        <v>45750</v>
      </c>
      <c r="C38" vm="109">
        <f ca="1"/>
        <v>151.37</v>
      </c>
      <c r="D38" vm="110">
        <f ca="1"/>
        <v>8216247</v>
      </c>
      <c r="E38">
        <f t="shared" ca="1" si="1"/>
        <v>1243693308.3900001</v>
      </c>
      <c r="F38">
        <f ca="1">SUM($E$2:E38)/SUM($D$2:D38)</f>
        <v>150.28202016567303</v>
      </c>
      <c r="G38">
        <f ca="1">_xlfn.STDEV.P($C$2:C38)</f>
        <v>3.684732938735559</v>
      </c>
      <c r="H38">
        <f t="shared" ca="1" si="2"/>
        <v>153.96675310440858</v>
      </c>
      <c r="I38">
        <f t="shared" ca="1" si="3"/>
        <v>146.59728722693748</v>
      </c>
      <c r="J38">
        <f t="shared" ca="1" si="12"/>
        <v>149.44149999999999</v>
      </c>
      <c r="K38">
        <f t="shared" ca="1" si="13"/>
        <v>2.7049784024821251</v>
      </c>
      <c r="L38">
        <f t="shared" ca="1" si="14"/>
        <v>154.85145680496424</v>
      </c>
      <c r="M38">
        <f t="shared" ca="1" si="15"/>
        <v>144.03154319503574</v>
      </c>
      <c r="N38">
        <f t="shared" ca="1" si="4"/>
        <v>2.25</v>
      </c>
      <c r="O38">
        <f t="shared" ca="1" si="5"/>
        <v>2.25</v>
      </c>
      <c r="P38">
        <f t="shared" ca="1" si="6"/>
        <v>0</v>
      </c>
      <c r="Q38">
        <f t="shared" ca="1" si="10"/>
        <v>0.79755871749197127</v>
      </c>
      <c r="R38">
        <f t="shared" ca="1" si="11"/>
        <v>0.63194740392832272</v>
      </c>
      <c r="S38">
        <f t="shared" ca="1" si="8"/>
        <v>1.2620650271433549</v>
      </c>
      <c r="T38">
        <f t="shared" ca="1" si="9"/>
        <v>55.792605959571006</v>
      </c>
      <c r="U38">
        <f>70</f>
        <v>70</v>
      </c>
      <c r="V38">
        <f>30</f>
        <v>30</v>
      </c>
      <c r="W38">
        <f t="shared" ca="1" si="7"/>
        <v>149.36344981265773</v>
      </c>
      <c r="X38">
        <f t="shared" ca="1" si="17"/>
        <v>149.5035550427462</v>
      </c>
      <c r="Y38">
        <f t="shared" ca="1" si="16"/>
        <v>-0.34937548300047183</v>
      </c>
      <c r="Z38">
        <f t="shared" ref="Z38:Z101" ca="1" si="18">Y38*(2/(9+1)) + Z37*(1-(2/(9+1)))</f>
        <v>-0.53227520800168304</v>
      </c>
      <c r="AA38">
        <f t="shared" ref="AA38:AA101" ca="1" si="19">Y38-Z38</f>
        <v>0.18289972500121121</v>
      </c>
    </row>
    <row r="39" spans="1:27" x14ac:dyDescent="0.25">
      <c r="A39" s="20">
        <f t="shared" ca="1" si="0"/>
        <v>45747</v>
      </c>
      <c r="B39" vm="111">
        <f ca="1"/>
        <v>45751</v>
      </c>
      <c r="C39" vm="112">
        <f ca="1"/>
        <v>146.61000000000001</v>
      </c>
      <c r="D39" vm="113">
        <f ca="1"/>
        <v>12911386</v>
      </c>
      <c r="E39">
        <f t="shared" ca="1" si="1"/>
        <v>1892938301.4600003</v>
      </c>
      <c r="F39">
        <f ca="1">SUM($E$2:E39)/SUM($D$2:D39)</f>
        <v>150.11682032049464</v>
      </c>
      <c r="G39">
        <f ca="1">_xlfn.STDEV.P($C$2:C39)</f>
        <v>3.6729928564517671</v>
      </c>
      <c r="H39">
        <f t="shared" ca="1" si="2"/>
        <v>153.78981317694641</v>
      </c>
      <c r="I39">
        <f t="shared" ca="1" si="3"/>
        <v>146.44382746404287</v>
      </c>
      <c r="J39">
        <f t="shared" ca="1" si="12"/>
        <v>149.05000000000001</v>
      </c>
      <c r="K39">
        <f t="shared" ca="1" si="13"/>
        <v>2.5025061123012815</v>
      </c>
      <c r="L39">
        <f t="shared" ca="1" si="14"/>
        <v>154.05501222460256</v>
      </c>
      <c r="M39">
        <f t="shared" ca="1" si="15"/>
        <v>144.04498777539746</v>
      </c>
      <c r="N39">
        <f t="shared" ca="1" si="4"/>
        <v>-4.7599999999999909</v>
      </c>
      <c r="O39">
        <f t="shared" ca="1" si="5"/>
        <v>0</v>
      </c>
      <c r="P39">
        <f t="shared" ca="1" si="6"/>
        <v>4.7599999999999909</v>
      </c>
      <c r="Q39">
        <f t="shared" ca="1" si="10"/>
        <v>0.74059023767111609</v>
      </c>
      <c r="R39">
        <f t="shared" ca="1" si="11"/>
        <v>0.92680830364772759</v>
      </c>
      <c r="S39">
        <f t="shared" ca="1" si="8"/>
        <v>0.79907596291088956</v>
      </c>
      <c r="T39">
        <f t="shared" ca="1" si="9"/>
        <v>44.41591013299913</v>
      </c>
      <c r="U39">
        <f>70</f>
        <v>70</v>
      </c>
      <c r="V39">
        <f>30</f>
        <v>30</v>
      </c>
      <c r="W39">
        <f t="shared" ca="1" si="7"/>
        <v>148.93984214917194</v>
      </c>
      <c r="X39">
        <f t="shared" ca="1" si="17"/>
        <v>149.28921763217241</v>
      </c>
      <c r="Y39">
        <f t="shared" ca="1" si="16"/>
        <v>-0.7821726841936254</v>
      </c>
      <c r="Z39">
        <f t="shared" ca="1" si="18"/>
        <v>-0.58225470324007156</v>
      </c>
      <c r="AA39">
        <f t="shared" ca="1" si="19"/>
        <v>-0.19991798095355384</v>
      </c>
    </row>
    <row r="40" spans="1:27" x14ac:dyDescent="0.25">
      <c r="A40" s="20">
        <f t="shared" ca="1" si="0"/>
        <v>45754</v>
      </c>
      <c r="B40" vm="114">
        <f ca="1"/>
        <v>45754</v>
      </c>
      <c r="C40" vm="115">
        <f ca="1"/>
        <v>143.19</v>
      </c>
      <c r="D40" vm="116">
        <f ca="1"/>
        <v>14423214</v>
      </c>
      <c r="E40">
        <f t="shared" ca="1" si="1"/>
        <v>2065260012.6600001</v>
      </c>
      <c r="F40">
        <f ca="1">SUM($E$2:E40)/SUM($D$2:D40)</f>
        <v>149.78535947627157</v>
      </c>
      <c r="G40">
        <f ca="1">_xlfn.STDEV.P($C$2:C40)</f>
        <v>3.7720877363684537</v>
      </c>
      <c r="H40">
        <f t="shared" ca="1" si="2"/>
        <v>153.55744721264003</v>
      </c>
      <c r="I40">
        <f t="shared" ca="1" si="3"/>
        <v>146.0132717399031</v>
      </c>
      <c r="J40">
        <f t="shared" ca="1" si="12"/>
        <v>148.39700000000002</v>
      </c>
      <c r="K40">
        <f t="shared" ca="1" si="13"/>
        <v>2.2119248583411188</v>
      </c>
      <c r="L40">
        <f t="shared" ca="1" si="14"/>
        <v>152.82084971668226</v>
      </c>
      <c r="M40">
        <f t="shared" ca="1" si="15"/>
        <v>143.97315028331778</v>
      </c>
      <c r="N40">
        <f t="shared" ca="1" si="4"/>
        <v>-3.4200000000000159</v>
      </c>
      <c r="O40">
        <f t="shared" ca="1" si="5"/>
        <v>0</v>
      </c>
      <c r="P40">
        <f t="shared" ca="1" si="6"/>
        <v>3.4200000000000159</v>
      </c>
      <c r="Q40">
        <f t="shared" ca="1" si="10"/>
        <v>0.68769093498032208</v>
      </c>
      <c r="R40">
        <f t="shared" ca="1" si="11"/>
        <v>1.1048934248157483</v>
      </c>
      <c r="S40">
        <f t="shared" ca="1" si="8"/>
        <v>0.6224047673150026</v>
      </c>
      <c r="T40">
        <f t="shared" ca="1" si="9"/>
        <v>38.36310024809967</v>
      </c>
      <c r="U40">
        <f>70</f>
        <v>70</v>
      </c>
      <c r="V40">
        <f>30</f>
        <v>30</v>
      </c>
      <c r="W40">
        <f t="shared" ca="1" si="7"/>
        <v>148.05525104929933</v>
      </c>
      <c r="X40">
        <f t="shared" ca="1" si="17"/>
        <v>148.83742373349295</v>
      </c>
      <c r="Y40">
        <f t="shared" ca="1" si="16"/>
        <v>-1.3428864722031619</v>
      </c>
      <c r="Z40">
        <f t="shared" ca="1" si="18"/>
        <v>-0.73438105703268963</v>
      </c>
      <c r="AA40">
        <f t="shared" ca="1" si="19"/>
        <v>-0.6085054151704723</v>
      </c>
    </row>
    <row r="41" spans="1:27" x14ac:dyDescent="0.25">
      <c r="A41" s="20">
        <f t="shared" ca="1" si="0"/>
        <v>45754</v>
      </c>
      <c r="B41" vm="117">
        <f ca="1"/>
        <v>45755</v>
      </c>
      <c r="C41" vm="118">
        <f ca="1"/>
        <v>140.30000000000001</v>
      </c>
      <c r="D41" vm="119">
        <f ca="1"/>
        <v>9488865</v>
      </c>
      <c r="E41">
        <f t="shared" ca="1" si="1"/>
        <v>1331287759.5</v>
      </c>
      <c r="F41">
        <f ca="1">SUM($E$2:E41)/SUM($D$2:D41)</f>
        <v>149.49586316732754</v>
      </c>
      <c r="G41">
        <f ca="1">_xlfn.STDEV.P($C$2:C41)</f>
        <v>3.9980469919699542</v>
      </c>
      <c r="H41">
        <f t="shared" ca="1" si="2"/>
        <v>153.49391015929749</v>
      </c>
      <c r="I41">
        <f t="shared" ca="1" si="3"/>
        <v>145.4978161753576</v>
      </c>
      <c r="J41">
        <f t="shared" ca="1" si="12"/>
        <v>147.7955</v>
      </c>
      <c r="K41">
        <f t="shared" ca="1" si="13"/>
        <v>2.6736186300494249</v>
      </c>
      <c r="L41">
        <f t="shared" ca="1" si="14"/>
        <v>153.14273726009884</v>
      </c>
      <c r="M41">
        <f t="shared" ca="1" si="15"/>
        <v>142.44826273990117</v>
      </c>
      <c r="N41">
        <f t="shared" ca="1" si="4"/>
        <v>-2.8899999999999864</v>
      </c>
      <c r="O41">
        <f t="shared" ca="1" si="5"/>
        <v>0</v>
      </c>
      <c r="P41">
        <f t="shared" ca="1" si="6"/>
        <v>2.8899999999999864</v>
      </c>
      <c r="Q41">
        <f t="shared" ca="1" si="10"/>
        <v>0.63857015391029914</v>
      </c>
      <c r="R41">
        <f t="shared" ca="1" si="11"/>
        <v>1.232401037328908</v>
      </c>
      <c r="S41">
        <f t="shared" ca="1" si="8"/>
        <v>0.51815126291546199</v>
      </c>
      <c r="T41">
        <f t="shared" ca="1" si="9"/>
        <v>34.130410820882418</v>
      </c>
      <c r="U41">
        <f>70</f>
        <v>70</v>
      </c>
      <c r="V41">
        <f>30</f>
        <v>30</v>
      </c>
      <c r="W41">
        <f t="shared" ca="1" si="7"/>
        <v>146.86213550325328</v>
      </c>
      <c r="X41">
        <f t="shared" ca="1" si="17"/>
        <v>148.20502197545645</v>
      </c>
      <c r="Y41">
        <f t="shared" ca="1" si="16"/>
        <v>-1.3448942950345213</v>
      </c>
      <c r="Z41">
        <f t="shared" ca="1" si="18"/>
        <v>-0.85648370463305601</v>
      </c>
      <c r="AA41">
        <f t="shared" ca="1" si="19"/>
        <v>-0.48841059040146528</v>
      </c>
    </row>
    <row r="42" spans="1:27" x14ac:dyDescent="0.25">
      <c r="A42" s="20">
        <f t="shared" ca="1" si="0"/>
        <v>45754</v>
      </c>
      <c r="B42" vm="120">
        <f ca="1"/>
        <v>45756</v>
      </c>
      <c r="C42" vm="121">
        <f ca="1"/>
        <v>145.59</v>
      </c>
      <c r="D42" vm="122">
        <f ca="1"/>
        <v>14067005</v>
      </c>
      <c r="E42">
        <f t="shared" ca="1" si="1"/>
        <v>2048015257.95</v>
      </c>
      <c r="F42">
        <f ca="1">SUM($E$2:E42)/SUM($D$2:D42)</f>
        <v>149.32678977136021</v>
      </c>
      <c r="G42">
        <f ca="1">_xlfn.STDEV.P($C$2:C42)</f>
        <v>3.991907369883763</v>
      </c>
      <c r="H42">
        <f t="shared" ca="1" si="2"/>
        <v>153.31869714124397</v>
      </c>
      <c r="I42">
        <f t="shared" ca="1" si="3"/>
        <v>145.33488240147645</v>
      </c>
      <c r="J42">
        <f t="shared" ca="1" si="12"/>
        <v>147.66650000000001</v>
      </c>
      <c r="K42">
        <f t="shared" ca="1" si="13"/>
        <v>2.7164959530906523</v>
      </c>
      <c r="L42">
        <f t="shared" ca="1" si="14"/>
        <v>153.09949190618133</v>
      </c>
      <c r="M42">
        <f t="shared" ca="1" si="15"/>
        <v>142.2335080938187</v>
      </c>
      <c r="N42">
        <f t="shared" ca="1" si="4"/>
        <v>5.289999999999992</v>
      </c>
      <c r="O42">
        <f t="shared" ca="1" si="5"/>
        <v>5.289999999999992</v>
      </c>
      <c r="P42">
        <f t="shared" ca="1" si="6"/>
        <v>0</v>
      </c>
      <c r="Q42">
        <f t="shared" ca="1" si="10"/>
        <v>0.97081514291670579</v>
      </c>
      <c r="R42">
        <f t="shared" ca="1" si="11"/>
        <v>1.1443723918054147</v>
      </c>
      <c r="S42">
        <f t="shared" ca="1" si="8"/>
        <v>0.84833848655253119</v>
      </c>
      <c r="T42">
        <f t="shared" ca="1" si="9"/>
        <v>45.897355529009637</v>
      </c>
      <c r="U42">
        <f>70</f>
        <v>70</v>
      </c>
      <c r="V42">
        <f>30</f>
        <v>30</v>
      </c>
      <c r="W42">
        <f t="shared" ca="1" si="7"/>
        <v>146.66642234890662</v>
      </c>
      <c r="X42">
        <f t="shared" ca="1" si="17"/>
        <v>148.01131664394114</v>
      </c>
      <c r="Y42">
        <f t="shared" ca="1" si="16"/>
        <v>-1.4468104605572591</v>
      </c>
      <c r="Z42">
        <f t="shared" ca="1" si="18"/>
        <v>-0.97454905581789664</v>
      </c>
      <c r="AA42">
        <f t="shared" ca="1" si="19"/>
        <v>-0.47226140473936251</v>
      </c>
    </row>
    <row r="43" spans="1:27" x14ac:dyDescent="0.25">
      <c r="A43" s="20">
        <f t="shared" ca="1" si="0"/>
        <v>45754</v>
      </c>
      <c r="B43" vm="123">
        <f ca="1"/>
        <v>45757</v>
      </c>
      <c r="C43" vm="124">
        <f ca="1"/>
        <v>144.13999999999999</v>
      </c>
      <c r="D43" vm="125">
        <f ca="1"/>
        <v>10980259</v>
      </c>
      <c r="E43">
        <f t="shared" ca="1" si="1"/>
        <v>1582694532.2599998</v>
      </c>
      <c r="F43">
        <f ca="1">SUM($E$2:E43)/SUM($D$2:D43)</f>
        <v>149.15726384219354</v>
      </c>
      <c r="G43">
        <f ca="1">_xlfn.STDEV.P($C$2:C43)</f>
        <v>4.0212557195928582</v>
      </c>
      <c r="H43">
        <f t="shared" ca="1" si="2"/>
        <v>153.1785195617864</v>
      </c>
      <c r="I43">
        <f t="shared" ca="1" si="3"/>
        <v>145.13600812260069</v>
      </c>
      <c r="J43">
        <f t="shared" ca="1" si="12"/>
        <v>147.45650000000001</v>
      </c>
      <c r="K43">
        <f t="shared" ca="1" si="13"/>
        <v>2.8219837647337829</v>
      </c>
      <c r="L43">
        <f t="shared" ca="1" si="14"/>
        <v>153.10046752946758</v>
      </c>
      <c r="M43">
        <f t="shared" ca="1" si="15"/>
        <v>141.81253247053243</v>
      </c>
      <c r="N43">
        <f t="shared" ca="1" si="4"/>
        <v>-1.4500000000000171</v>
      </c>
      <c r="O43">
        <f t="shared" ca="1" si="5"/>
        <v>0</v>
      </c>
      <c r="P43">
        <f t="shared" ca="1" si="6"/>
        <v>1.4500000000000171</v>
      </c>
      <c r="Q43">
        <f t="shared" ca="1" si="10"/>
        <v>0.90147120413694104</v>
      </c>
      <c r="R43">
        <f t="shared" ca="1" si="11"/>
        <v>1.1662029352478862</v>
      </c>
      <c r="S43">
        <f t="shared" ca="1" si="8"/>
        <v>0.77299685748546476</v>
      </c>
      <c r="T43">
        <f t="shared" ca="1" si="9"/>
        <v>43.598320787875508</v>
      </c>
      <c r="U43">
        <f>70</f>
        <v>70</v>
      </c>
      <c r="V43">
        <f>30</f>
        <v>30</v>
      </c>
      <c r="W43">
        <f t="shared" ca="1" si="7"/>
        <v>146.27774198753639</v>
      </c>
      <c r="X43">
        <f t="shared" ca="1" si="17"/>
        <v>147.72455244809365</v>
      </c>
      <c r="Y43">
        <f t="shared" ca="1" si="16"/>
        <v>-1.4870375365587734</v>
      </c>
      <c r="Z43">
        <f t="shared" ca="1" si="18"/>
        <v>-1.077046751966072</v>
      </c>
      <c r="AA43">
        <f t="shared" ca="1" si="19"/>
        <v>-0.40999078459270133</v>
      </c>
    </row>
    <row r="44" spans="1:27" x14ac:dyDescent="0.25">
      <c r="A44" s="20">
        <f t="shared" ca="1" si="0"/>
        <v>45754</v>
      </c>
      <c r="B44" vm="126">
        <f ca="1"/>
        <v>45758</v>
      </c>
      <c r="C44" vm="127">
        <f ca="1"/>
        <v>144.43</v>
      </c>
      <c r="D44" vm="128">
        <f ca="1"/>
        <v>8563304</v>
      </c>
      <c r="E44">
        <f t="shared" ca="1" si="1"/>
        <v>1236797996.72</v>
      </c>
      <c r="F44">
        <f ca="1">SUM($E$2:E44)/SUM($D$2:D44)</f>
        <v>149.0397619753839</v>
      </c>
      <c r="G44">
        <f ca="1">_xlfn.STDEV.P($C$2:C44)</f>
        <v>4.0376463834775995</v>
      </c>
      <c r="H44">
        <f t="shared" ca="1" si="2"/>
        <v>153.0774083588615</v>
      </c>
      <c r="I44">
        <f t="shared" ca="1" si="3"/>
        <v>145.00211559190629</v>
      </c>
      <c r="J44">
        <f t="shared" ca="1" si="12"/>
        <v>147.24850000000001</v>
      </c>
      <c r="K44">
        <f t="shared" ca="1" si="13"/>
        <v>2.8866102411324124</v>
      </c>
      <c r="L44">
        <f t="shared" ca="1" si="14"/>
        <v>153.02172048226484</v>
      </c>
      <c r="M44">
        <f t="shared" ca="1" si="15"/>
        <v>141.47527951773517</v>
      </c>
      <c r="N44">
        <f t="shared" ca="1" si="4"/>
        <v>0.29000000000002046</v>
      </c>
      <c r="O44">
        <f t="shared" ca="1" si="5"/>
        <v>0.29000000000002046</v>
      </c>
      <c r="P44">
        <f t="shared" ca="1" si="6"/>
        <v>0</v>
      </c>
      <c r="Q44">
        <f t="shared" ca="1" si="10"/>
        <v>0.85779468955573246</v>
      </c>
      <c r="R44">
        <f t="shared" ca="1" si="11"/>
        <v>1.0829027255873229</v>
      </c>
      <c r="S44">
        <f t="shared" ca="1" si="8"/>
        <v>0.7921253398734398</v>
      </c>
      <c r="T44">
        <f t="shared" ca="1" si="9"/>
        <v>44.20033143046679</v>
      </c>
      <c r="U44">
        <f>70</f>
        <v>70</v>
      </c>
      <c r="V44">
        <f>30</f>
        <v>30</v>
      </c>
      <c r="W44">
        <f t="shared" ca="1" si="7"/>
        <v>145.99347398945386</v>
      </c>
      <c r="X44">
        <f t="shared" ca="1" si="17"/>
        <v>147.48051152601263</v>
      </c>
      <c r="Y44">
        <f t="shared" ca="1" si="16"/>
        <v>-1.3165369546618706</v>
      </c>
      <c r="Z44">
        <f t="shared" ca="1" si="18"/>
        <v>-1.1249447925052318</v>
      </c>
      <c r="AA44">
        <f t="shared" ca="1" si="19"/>
        <v>-0.19159216215663877</v>
      </c>
    </row>
    <row r="45" spans="1:27" x14ac:dyDescent="0.25">
      <c r="A45" s="20">
        <f t="shared" ca="1" si="0"/>
        <v>45761</v>
      </c>
      <c r="B45" vm="129">
        <f ca="1"/>
        <v>45761</v>
      </c>
      <c r="C45" vm="130">
        <f ca="1"/>
        <v>146.75</v>
      </c>
      <c r="D45" vm="131">
        <f ca="1"/>
        <v>5393999</v>
      </c>
      <c r="E45">
        <f t="shared" ca="1" si="1"/>
        <v>791569353.25</v>
      </c>
      <c r="F45">
        <f ca="1">SUM($E$2:E45)/SUM($D$2:D45)</f>
        <v>149.00446416541931</v>
      </c>
      <c r="G45">
        <f ca="1">_xlfn.STDEV.P($C$2:C45)</f>
        <v>4.00618846570244</v>
      </c>
      <c r="H45">
        <f t="shared" ca="1" si="2"/>
        <v>153.01065263112176</v>
      </c>
      <c r="I45">
        <f t="shared" ca="1" si="3"/>
        <v>144.99827569971686</v>
      </c>
      <c r="J45">
        <f t="shared" ca="1" si="12"/>
        <v>147.01900000000001</v>
      </c>
      <c r="K45">
        <f t="shared" ca="1" si="13"/>
        <v>2.7219631073720918</v>
      </c>
      <c r="L45">
        <f t="shared" ca="1" si="14"/>
        <v>152.46292621474419</v>
      </c>
      <c r="M45">
        <f t="shared" ca="1" si="15"/>
        <v>141.57507378525582</v>
      </c>
      <c r="N45">
        <f t="shared" ca="1" si="4"/>
        <v>2.3199999999999932</v>
      </c>
      <c r="O45">
        <f t="shared" ca="1" si="5"/>
        <v>2.3199999999999932</v>
      </c>
      <c r="P45">
        <f t="shared" ca="1" si="6"/>
        <v>0</v>
      </c>
      <c r="Q45">
        <f t="shared" ca="1" si="10"/>
        <v>0.96223792601603686</v>
      </c>
      <c r="R45">
        <f t="shared" ca="1" si="11"/>
        <v>1.0055525309025142</v>
      </c>
      <c r="S45">
        <f t="shared" ca="1" si="8"/>
        <v>0.95692457275444265</v>
      </c>
      <c r="T45">
        <f t="shared" ca="1" si="9"/>
        <v>48.899410129412217</v>
      </c>
      <c r="U45">
        <f>70</f>
        <v>70</v>
      </c>
      <c r="V45">
        <f>30</f>
        <v>30</v>
      </c>
      <c r="W45">
        <f t="shared" ca="1" si="7"/>
        <v>146.10986260646095</v>
      </c>
      <c r="X45">
        <f t="shared" ca="1" si="17"/>
        <v>147.42639956112282</v>
      </c>
      <c r="Y45">
        <f t="shared" ca="1" si="16"/>
        <v>-1.4798594394473241</v>
      </c>
      <c r="Z45">
        <f t="shared" ca="1" si="18"/>
        <v>-1.1959277218936504</v>
      </c>
      <c r="AA45">
        <f t="shared" ca="1" si="19"/>
        <v>-0.28393171755367375</v>
      </c>
    </row>
    <row r="46" spans="1:27" x14ac:dyDescent="0.25">
      <c r="A46" s="20">
        <f t="shared" ca="1" si="0"/>
        <v>45761</v>
      </c>
      <c r="B46" vm="132">
        <f ca="1"/>
        <v>45762</v>
      </c>
      <c r="C46" vm="133">
        <f ca="1"/>
        <v>142.84</v>
      </c>
      <c r="D46" vm="134">
        <f ca="1"/>
        <v>5459551</v>
      </c>
      <c r="E46">
        <f t="shared" ca="1" si="1"/>
        <v>779842264.84000003</v>
      </c>
      <c r="F46">
        <f ca="1">SUM($E$2:E46)/SUM($D$2:D46)</f>
        <v>148.90975872773492</v>
      </c>
      <c r="G46">
        <f ca="1">_xlfn.STDEV.P($C$2:C46)</f>
        <v>4.0640764428506184</v>
      </c>
      <c r="H46">
        <f t="shared" ca="1" si="2"/>
        <v>152.97383517058555</v>
      </c>
      <c r="I46">
        <f t="shared" ca="1" si="3"/>
        <v>144.8456822848843</v>
      </c>
      <c r="J46">
        <f t="shared" ca="1" si="12"/>
        <v>146.71150000000003</v>
      </c>
      <c r="K46">
        <f t="shared" ca="1" si="13"/>
        <v>2.8327098333574505</v>
      </c>
      <c r="L46">
        <f t="shared" ca="1" si="14"/>
        <v>152.37691966671494</v>
      </c>
      <c r="M46">
        <f t="shared" ca="1" si="15"/>
        <v>141.04608033328512</v>
      </c>
      <c r="N46">
        <f t="shared" ca="1" si="4"/>
        <v>-3.9099999999999966</v>
      </c>
      <c r="O46">
        <f t="shared" ca="1" si="5"/>
        <v>0</v>
      </c>
      <c r="P46">
        <f t="shared" ca="1" si="6"/>
        <v>3.9099999999999966</v>
      </c>
      <c r="Q46">
        <f t="shared" ca="1" si="10"/>
        <v>0.89350664558631998</v>
      </c>
      <c r="R46">
        <f t="shared" ca="1" si="11"/>
        <v>1.2130130644094772</v>
      </c>
      <c r="S46">
        <f t="shared" ca="1" si="8"/>
        <v>0.73660100769095971</v>
      </c>
      <c r="T46">
        <f t="shared" ca="1" si="9"/>
        <v>42.416249007615626</v>
      </c>
      <c r="U46">
        <f>70</f>
        <v>70</v>
      </c>
      <c r="V46">
        <f>30</f>
        <v>30</v>
      </c>
      <c r="W46">
        <f t="shared" ca="1" si="7"/>
        <v>145.60680682085157</v>
      </c>
      <c r="X46">
        <f t="shared" ca="1" si="17"/>
        <v>147.0866662602989</v>
      </c>
      <c r="Y46">
        <f t="shared" ca="1" si="16"/>
        <v>-1.8103273755106102</v>
      </c>
      <c r="Z46">
        <f t="shared" ca="1" si="18"/>
        <v>-1.3188076526170422</v>
      </c>
      <c r="AA46">
        <f t="shared" ca="1" si="19"/>
        <v>-0.49151972289356793</v>
      </c>
    </row>
    <row r="47" spans="1:27" x14ac:dyDescent="0.25">
      <c r="A47" s="20">
        <f t="shared" ca="1" si="0"/>
        <v>45761</v>
      </c>
      <c r="B47" vm="135">
        <f ca="1"/>
        <v>45763</v>
      </c>
      <c r="C47" vm="136">
        <f ca="1"/>
        <v>140.09</v>
      </c>
      <c r="D47" vm="137">
        <f ca="1"/>
        <v>7878593</v>
      </c>
      <c r="E47">
        <f t="shared" ca="1" si="1"/>
        <v>1103712093.3700001</v>
      </c>
      <c r="F47">
        <f ca="1">SUM($E$2:E47)/SUM($D$2:D47)</f>
        <v>148.71846321891087</v>
      </c>
      <c r="G47">
        <f ca="1">_xlfn.STDEV.P($C$2:C47)</f>
        <v>4.2182435042170772</v>
      </c>
      <c r="H47">
        <f t="shared" ca="1" si="2"/>
        <v>152.93670672312794</v>
      </c>
      <c r="I47">
        <f t="shared" ca="1" si="3"/>
        <v>144.5002197146938</v>
      </c>
      <c r="J47">
        <f t="shared" ca="1" si="12"/>
        <v>146.31050000000002</v>
      </c>
      <c r="K47">
        <f t="shared" ca="1" si="13"/>
        <v>3.1716930146133873</v>
      </c>
      <c r="L47">
        <f t="shared" ca="1" si="14"/>
        <v>152.65388602922678</v>
      </c>
      <c r="M47">
        <f t="shared" ca="1" si="15"/>
        <v>139.96711397077326</v>
      </c>
      <c r="N47">
        <f t="shared" ca="1" si="4"/>
        <v>-2.75</v>
      </c>
      <c r="O47">
        <f t="shared" ca="1" si="5"/>
        <v>0</v>
      </c>
      <c r="P47">
        <f t="shared" ca="1" si="6"/>
        <v>2.75</v>
      </c>
      <c r="Q47">
        <f t="shared" ca="1" si="10"/>
        <v>0.82968474233015421</v>
      </c>
      <c r="R47">
        <f t="shared" ca="1" si="11"/>
        <v>1.322797845523086</v>
      </c>
      <c r="S47">
        <f t="shared" ca="1" si="8"/>
        <v>0.62721960512572839</v>
      </c>
      <c r="T47">
        <f t="shared" ca="1" si="9"/>
        <v>38.545479857174271</v>
      </c>
      <c r="U47">
        <f>70</f>
        <v>70</v>
      </c>
      <c r="V47">
        <f>30</f>
        <v>30</v>
      </c>
      <c r="W47">
        <f t="shared" ca="1" si="7"/>
        <v>144.75806730995134</v>
      </c>
      <c r="X47">
        <f t="shared" ca="1" si="17"/>
        <v>146.56839468546195</v>
      </c>
      <c r="Y47">
        <f t="shared" ca="1" si="16"/>
        <v>-1.8292372698563497</v>
      </c>
      <c r="Z47">
        <f t="shared" ca="1" si="18"/>
        <v>-1.4208935760649037</v>
      </c>
      <c r="AA47">
        <f t="shared" ca="1" si="19"/>
        <v>-0.40834369379144597</v>
      </c>
    </row>
    <row r="48" spans="1:27" x14ac:dyDescent="0.25">
      <c r="A48" s="20">
        <f t="shared" ca="1" si="0"/>
        <v>45761</v>
      </c>
      <c r="B48" vm="138">
        <f ca="1"/>
        <v>45764</v>
      </c>
      <c r="C48" vm="133">
        <f ca="1"/>
        <v>142.84</v>
      </c>
      <c r="D48" vm="139">
        <f ca="1"/>
        <v>6131364</v>
      </c>
      <c r="E48">
        <f t="shared" ca="1" si="1"/>
        <v>875804033.75999999</v>
      </c>
      <c r="F48">
        <f ca="1">SUM($E$2:E48)/SUM($D$2:D48)</f>
        <v>148.62088545380016</v>
      </c>
      <c r="G48">
        <f ca="1">_xlfn.STDEV.P($C$2:C48)</f>
        <v>4.2570850378475908</v>
      </c>
      <c r="H48">
        <f t="shared" ca="1" si="2"/>
        <v>152.87797049164774</v>
      </c>
      <c r="I48">
        <f t="shared" ca="1" si="3"/>
        <v>144.36380041595257</v>
      </c>
      <c r="J48">
        <f t="shared" ca="1" si="12"/>
        <v>146.095</v>
      </c>
      <c r="K48">
        <f t="shared" ca="1" si="13"/>
        <v>3.2569270308391172</v>
      </c>
      <c r="L48">
        <f t="shared" ca="1" si="14"/>
        <v>152.60885406167824</v>
      </c>
      <c r="M48">
        <f t="shared" ca="1" si="15"/>
        <v>139.58114593832175</v>
      </c>
      <c r="N48">
        <f t="shared" ca="1" si="4"/>
        <v>2.75</v>
      </c>
      <c r="O48">
        <f t="shared" ca="1" si="5"/>
        <v>2.75</v>
      </c>
      <c r="P48">
        <f t="shared" ca="1" si="6"/>
        <v>0</v>
      </c>
      <c r="Q48">
        <f t="shared" ca="1" si="10"/>
        <v>0.96685011787800035</v>
      </c>
      <c r="R48">
        <f t="shared" ca="1" si="11"/>
        <v>1.2283122851285797</v>
      </c>
      <c r="S48">
        <f t="shared" ca="1" si="8"/>
        <v>0.78713705755763119</v>
      </c>
      <c r="T48">
        <f t="shared" ca="1" si="9"/>
        <v>44.044582603718275</v>
      </c>
      <c r="U48">
        <f>70</f>
        <v>70</v>
      </c>
      <c r="V48">
        <f>30</f>
        <v>30</v>
      </c>
      <c r="W48">
        <f t="shared" ca="1" si="7"/>
        <v>144.4629800314973</v>
      </c>
      <c r="X48">
        <f t="shared" ca="1" si="17"/>
        <v>146.29221730135365</v>
      </c>
      <c r="Y48">
        <f t="shared" ca="1" si="16"/>
        <v>-1.9117537139180456</v>
      </c>
      <c r="Z48">
        <f t="shared" ca="1" si="18"/>
        <v>-1.5190656036355321</v>
      </c>
      <c r="AA48">
        <f t="shared" ca="1" si="19"/>
        <v>-0.39268811028251349</v>
      </c>
    </row>
    <row r="49" spans="1:27" x14ac:dyDescent="0.25">
      <c r="A49" s="20">
        <f t="shared" ca="1" si="0"/>
        <v>45768</v>
      </c>
      <c r="B49" vm="140">
        <f ca="1"/>
        <v>45768</v>
      </c>
      <c r="C49" vm="141">
        <f ca="1"/>
        <v>141.72999999999999</v>
      </c>
      <c r="D49" vm="142">
        <f ca="1"/>
        <v>7412800</v>
      </c>
      <c r="E49">
        <f t="shared" ca="1" si="1"/>
        <v>1050616143.9999999</v>
      </c>
      <c r="F49">
        <f ca="1">SUM($E$2:E49)/SUM($D$2:D49)</f>
        <v>148.48531720327688</v>
      </c>
      <c r="G49">
        <f ca="1">_xlfn.STDEV.P($C$2:C49)</f>
        <v>4.3235299715545583</v>
      </c>
      <c r="H49">
        <f t="shared" ca="1" si="2"/>
        <v>152.80884717483144</v>
      </c>
      <c r="I49">
        <f t="shared" ca="1" si="3"/>
        <v>144.16178723172231</v>
      </c>
      <c r="J49">
        <f t="shared" ca="1" si="12"/>
        <v>145.90900000000002</v>
      </c>
      <c r="K49">
        <f t="shared" ca="1" si="13"/>
        <v>3.3988324620762271</v>
      </c>
      <c r="L49">
        <f t="shared" ca="1" si="14"/>
        <v>152.70666492415248</v>
      </c>
      <c r="M49">
        <f t="shared" ca="1" si="15"/>
        <v>139.11133507584756</v>
      </c>
      <c r="N49">
        <f t="shared" ca="1" si="4"/>
        <v>-1.1100000000000136</v>
      </c>
      <c r="O49">
        <f t="shared" ca="1" si="5"/>
        <v>0</v>
      </c>
      <c r="P49">
        <f t="shared" ca="1" si="6"/>
        <v>1.1100000000000136</v>
      </c>
      <c r="Q49">
        <f t="shared" ca="1" si="10"/>
        <v>0.89778939517242884</v>
      </c>
      <c r="R49">
        <f t="shared" ca="1" si="11"/>
        <v>1.2198614076193963</v>
      </c>
      <c r="S49">
        <f t="shared" ca="1" si="8"/>
        <v>0.73597655402878703</v>
      </c>
      <c r="T49">
        <f t="shared" ca="1" si="9"/>
        <v>42.395535372915099</v>
      </c>
      <c r="U49">
        <f>70</f>
        <v>70</v>
      </c>
      <c r="V49">
        <f>30</f>
        <v>30</v>
      </c>
      <c r="W49">
        <f t="shared" ca="1" si="7"/>
        <v>144.04252156511311</v>
      </c>
      <c r="X49">
        <f t="shared" ca="1" si="17"/>
        <v>145.95427527903115</v>
      </c>
      <c r="Y49">
        <f t="shared" ca="1" si="16"/>
        <v>-1.8166112844630504</v>
      </c>
      <c r="Z49">
        <f t="shared" ca="1" si="18"/>
        <v>-1.5785747398010357</v>
      </c>
      <c r="AA49">
        <f t="shared" ca="1" si="19"/>
        <v>-0.23803654466201474</v>
      </c>
    </row>
    <row r="50" spans="1:27" x14ac:dyDescent="0.25">
      <c r="A50" s="20">
        <f t="shared" ca="1" si="0"/>
        <v>45768</v>
      </c>
      <c r="B50" vm="143">
        <f ca="1"/>
        <v>45769</v>
      </c>
      <c r="C50" vm="144">
        <f ca="1"/>
        <v>143.46</v>
      </c>
      <c r="D50" vm="145">
        <f ca="1"/>
        <v>7144709</v>
      </c>
      <c r="E50">
        <f t="shared" ca="1" si="1"/>
        <v>1024979953.1400001</v>
      </c>
      <c r="F50">
        <f ca="1">SUM($E$2:E50)/SUM($D$2:D50)</f>
        <v>148.39180017564397</v>
      </c>
      <c r="G50">
        <f ca="1">_xlfn.STDEV.P($C$2:C50)</f>
        <v>4.3359052460096503</v>
      </c>
      <c r="H50">
        <f t="shared" ca="1" si="2"/>
        <v>152.72770542165361</v>
      </c>
      <c r="I50">
        <f t="shared" ca="1" si="3"/>
        <v>144.05589492963432</v>
      </c>
      <c r="J50">
        <f t="shared" ca="1" si="12"/>
        <v>145.7595</v>
      </c>
      <c r="K50">
        <f t="shared" ca="1" si="13"/>
        <v>3.4393014514119287</v>
      </c>
      <c r="L50">
        <f t="shared" ca="1" si="14"/>
        <v>152.63810290282385</v>
      </c>
      <c r="M50">
        <f t="shared" ca="1" si="15"/>
        <v>138.88089709717616</v>
      </c>
      <c r="N50">
        <f t="shared" ca="1" si="4"/>
        <v>1.7300000000000182</v>
      </c>
      <c r="O50">
        <f t="shared" ca="1" si="5"/>
        <v>1.7300000000000182</v>
      </c>
      <c r="P50">
        <f t="shared" ca="1" si="6"/>
        <v>0</v>
      </c>
      <c r="Q50">
        <f t="shared" ca="1" si="10"/>
        <v>0.95723300980297099</v>
      </c>
      <c r="R50">
        <f t="shared" ca="1" si="11"/>
        <v>1.1327284499322965</v>
      </c>
      <c r="S50">
        <f t="shared" ca="1" si="8"/>
        <v>0.84506839204063877</v>
      </c>
      <c r="T50">
        <f t="shared" ca="1" si="9"/>
        <v>45.801467072231198</v>
      </c>
      <c r="U50">
        <f>70</f>
        <v>70</v>
      </c>
      <c r="V50">
        <f>30</f>
        <v>30</v>
      </c>
      <c r="W50">
        <f t="shared" ca="1" si="7"/>
        <v>143.95290286278802</v>
      </c>
      <c r="X50">
        <f t="shared" ca="1" si="17"/>
        <v>145.76951414725107</v>
      </c>
      <c r="Y50">
        <f t="shared" ca="1" si="16"/>
        <v>-1.8170938678306356</v>
      </c>
      <c r="Z50">
        <f t="shared" ca="1" si="18"/>
        <v>-1.6262785654069558</v>
      </c>
      <c r="AA50">
        <f t="shared" ca="1" si="19"/>
        <v>-0.19081530242367983</v>
      </c>
    </row>
    <row r="51" spans="1:27" x14ac:dyDescent="0.25">
      <c r="A51" s="20">
        <f t="shared" ca="1" si="0"/>
        <v>45768</v>
      </c>
      <c r="B51" vm="146">
        <f ca="1"/>
        <v>45770</v>
      </c>
      <c r="C51" vm="147">
        <f ca="1"/>
        <v>142.26</v>
      </c>
      <c r="D51" vm="148">
        <f ca="1"/>
        <v>7760035</v>
      </c>
      <c r="E51">
        <f t="shared" ca="1" si="1"/>
        <v>1103942579.0999999</v>
      </c>
      <c r="F51">
        <f ca="1">SUM($E$2:E51)/SUM($D$2:D51)</f>
        <v>148.27032040200882</v>
      </c>
      <c r="G51">
        <f ca="1">_xlfn.STDEV.P($C$2:C51)</f>
        <v>4.3749099602163248</v>
      </c>
      <c r="H51">
        <f t="shared" ca="1" si="2"/>
        <v>152.64523036222513</v>
      </c>
      <c r="I51">
        <f t="shared" ca="1" si="3"/>
        <v>143.89541044179251</v>
      </c>
      <c r="J51">
        <f t="shared" ca="1" si="12"/>
        <v>145.59549999999999</v>
      </c>
      <c r="K51">
        <f t="shared" ca="1" si="13"/>
        <v>3.5273927675894128</v>
      </c>
      <c r="L51">
        <f t="shared" ca="1" si="14"/>
        <v>152.65028553517882</v>
      </c>
      <c r="M51">
        <f t="shared" ca="1" si="15"/>
        <v>138.54071446482115</v>
      </c>
      <c r="N51">
        <f t="shared" ca="1" si="4"/>
        <v>-1.2000000000000171</v>
      </c>
      <c r="O51">
        <f t="shared" ca="1" si="5"/>
        <v>0</v>
      </c>
      <c r="P51">
        <f t="shared" ca="1" si="6"/>
        <v>1.2000000000000171</v>
      </c>
      <c r="Q51">
        <f t="shared" ca="1" si="10"/>
        <v>0.88885922338847312</v>
      </c>
      <c r="R51">
        <f t="shared" ca="1" si="11"/>
        <v>1.1375335606514194</v>
      </c>
      <c r="S51">
        <f t="shared" ca="1" si="8"/>
        <v>0.78139164780286519</v>
      </c>
      <c r="T51">
        <f t="shared" ca="1" si="9"/>
        <v>43.86411313686235</v>
      </c>
      <c r="U51">
        <f>70</f>
        <v>70</v>
      </c>
      <c r="V51">
        <f>30</f>
        <v>30</v>
      </c>
      <c r="W51">
        <f t="shared" ca="1" si="7"/>
        <v>143.69245626851296</v>
      </c>
      <c r="X51">
        <f t="shared" ca="1" si="17"/>
        <v>145.50955013634359</v>
      </c>
      <c r="Y51">
        <f t="shared" ca="1" si="16"/>
        <v>-2.3511802922031961</v>
      </c>
      <c r="Z51">
        <f t="shared" ca="1" si="18"/>
        <v>-1.771258910766204</v>
      </c>
      <c r="AA51">
        <f t="shared" ca="1" si="19"/>
        <v>-0.57992138143699212</v>
      </c>
    </row>
    <row r="52" spans="1:27" x14ac:dyDescent="0.25">
      <c r="A52" s="20">
        <f t="shared" ca="1" si="0"/>
        <v>45768</v>
      </c>
      <c r="B52" vm="149">
        <f ca="1"/>
        <v>45771</v>
      </c>
      <c r="C52" vm="150">
        <f ca="1"/>
        <v>135.31</v>
      </c>
      <c r="D52" vm="151">
        <f ca="1"/>
        <v>15577256</v>
      </c>
      <c r="E52">
        <f t="shared" ca="1" si="1"/>
        <v>2107758509.3600001</v>
      </c>
      <c r="F52">
        <f ca="1">SUM($E$2:E52)/SUM($D$2:D52)</f>
        <v>147.77461667434704</v>
      </c>
      <c r="G52">
        <f ca="1">_xlfn.STDEV.P($C$2:C52)</f>
        <v>4.6850544559984462</v>
      </c>
      <c r="H52">
        <f t="shared" ca="1" si="2"/>
        <v>152.4596711303455</v>
      </c>
      <c r="I52">
        <f t="shared" ca="1" si="3"/>
        <v>143.08956221834859</v>
      </c>
      <c r="J52">
        <f t="shared" ca="1" si="12"/>
        <v>144.92900000000003</v>
      </c>
      <c r="K52">
        <f t="shared" ca="1" si="13"/>
        <v>4.1297736652649357</v>
      </c>
      <c r="L52">
        <f t="shared" ca="1" si="14"/>
        <v>153.1885473305299</v>
      </c>
      <c r="M52">
        <f t="shared" ca="1" si="15"/>
        <v>136.66945266947016</v>
      </c>
      <c r="N52">
        <f t="shared" ca="1" si="4"/>
        <v>-6.9499999999999886</v>
      </c>
      <c r="O52">
        <f t="shared" ca="1" si="5"/>
        <v>0</v>
      </c>
      <c r="P52">
        <f t="shared" ca="1" si="6"/>
        <v>6.9499999999999886</v>
      </c>
      <c r="Q52">
        <f t="shared" ca="1" si="10"/>
        <v>0.82536927886072498</v>
      </c>
      <c r="R52">
        <f t="shared" ca="1" si="11"/>
        <v>1.5527097348906029</v>
      </c>
      <c r="S52">
        <f t="shared" ca="1" si="8"/>
        <v>0.53156701495072212</v>
      </c>
      <c r="T52">
        <f t="shared" ca="1" si="9"/>
        <v>34.707395090238691</v>
      </c>
      <c r="U52">
        <f>70</f>
        <v>70</v>
      </c>
      <c r="V52">
        <f>30</f>
        <v>30</v>
      </c>
      <c r="W52">
        <f t="shared" ca="1" si="7"/>
        <v>142.40284761181866</v>
      </c>
      <c r="X52">
        <f t="shared" ca="1" si="17"/>
        <v>144.75402790402185</v>
      </c>
      <c r="Y52">
        <f t="shared" ca="1" si="16"/>
        <v>-2.8967901085383403</v>
      </c>
      <c r="Z52">
        <f t="shared" ca="1" si="18"/>
        <v>-1.9963651503206314</v>
      </c>
      <c r="AA52">
        <f t="shared" ca="1" si="19"/>
        <v>-0.90042495821770885</v>
      </c>
    </row>
    <row r="53" spans="1:27" x14ac:dyDescent="0.25">
      <c r="A53" s="20">
        <f t="shared" ca="1" si="0"/>
        <v>45768</v>
      </c>
      <c r="B53" vm="152">
        <f ca="1"/>
        <v>45772</v>
      </c>
      <c r="C53" vm="153">
        <f ca="1"/>
        <v>133.38</v>
      </c>
      <c r="D53" vm="154">
        <f ca="1"/>
        <v>11544686</v>
      </c>
      <c r="E53">
        <f t="shared" ca="1" si="1"/>
        <v>1539830218.6799998</v>
      </c>
      <c r="F53">
        <f ca="1">SUM($E$2:E53)/SUM($D$2:D53)</f>
        <v>147.37782888861111</v>
      </c>
      <c r="G53">
        <f ca="1">_xlfn.STDEV.P($C$2:C53)</f>
        <v>5.0517746310654958</v>
      </c>
      <c r="H53">
        <f t="shared" ca="1" si="2"/>
        <v>152.42960351967659</v>
      </c>
      <c r="I53">
        <f t="shared" ca="1" si="3"/>
        <v>142.32605425754562</v>
      </c>
      <c r="J53">
        <f t="shared" ca="1" si="12"/>
        <v>144.11449999999996</v>
      </c>
      <c r="K53">
        <f t="shared" ca="1" si="13"/>
        <v>4.7110156185152627</v>
      </c>
      <c r="L53">
        <f t="shared" ca="1" si="14"/>
        <v>153.53653123703049</v>
      </c>
      <c r="M53">
        <f t="shared" ca="1" si="15"/>
        <v>134.69246876296944</v>
      </c>
      <c r="N53">
        <f t="shared" ca="1" si="4"/>
        <v>-1.9300000000000068</v>
      </c>
      <c r="O53">
        <f t="shared" ca="1" si="5"/>
        <v>0</v>
      </c>
      <c r="P53">
        <f t="shared" ca="1" si="6"/>
        <v>1.9300000000000068</v>
      </c>
      <c r="Q53">
        <f t="shared" ca="1" si="10"/>
        <v>0.76641433037067319</v>
      </c>
      <c r="R53">
        <f t="shared" ca="1" si="11"/>
        <v>1.5796590395412746</v>
      </c>
      <c r="S53">
        <f t="shared" ca="1" si="8"/>
        <v>0.4851770611164522</v>
      </c>
      <c r="T53">
        <f t="shared" ca="1" si="9"/>
        <v>32.667960866008116</v>
      </c>
      <c r="U53">
        <f>70</f>
        <v>70</v>
      </c>
      <c r="V53">
        <f>30</f>
        <v>30</v>
      </c>
      <c r="W53">
        <f t="shared" ca="1" si="7"/>
        <v>141.01471721000041</v>
      </c>
      <c r="X53">
        <f t="shared" ca="1" si="17"/>
        <v>143.91150731853875</v>
      </c>
      <c r="Y53">
        <f t="shared" ca="1" si="16"/>
        <v>-3.260936943461445</v>
      </c>
      <c r="Z53">
        <f t="shared" ca="1" si="18"/>
        <v>-2.2492795089487942</v>
      </c>
      <c r="AA53">
        <f t="shared" ca="1" si="19"/>
        <v>-1.0116574345126508</v>
      </c>
    </row>
    <row r="54" spans="1:27" x14ac:dyDescent="0.25">
      <c r="A54" s="20">
        <f t="shared" ca="1" si="0"/>
        <v>45775</v>
      </c>
      <c r="B54" vm="155">
        <f ca="1"/>
        <v>45775</v>
      </c>
      <c r="C54" vm="156">
        <f ca="1"/>
        <v>133.76</v>
      </c>
      <c r="D54" vm="157">
        <f ca="1"/>
        <v>8498608</v>
      </c>
      <c r="E54">
        <f t="shared" ca="1" si="1"/>
        <v>1136773806.0799999</v>
      </c>
      <c r="F54">
        <f ca="1">SUM($E$2:E54)/SUM($D$2:D54)</f>
        <v>147.10699233772266</v>
      </c>
      <c r="G54">
        <f ca="1">_xlfn.STDEV.P($C$2:C54)</f>
        <v>5.3488741042375709</v>
      </c>
      <c r="H54">
        <f t="shared" ca="1" si="2"/>
        <v>152.45586644196024</v>
      </c>
      <c r="I54">
        <f t="shared" ca="1" si="3"/>
        <v>141.75811823348508</v>
      </c>
      <c r="J54">
        <f t="shared" ca="1" si="12"/>
        <v>143.339</v>
      </c>
      <c r="K54">
        <f t="shared" ca="1" si="13"/>
        <v>5.0798268723088968</v>
      </c>
      <c r="L54">
        <f t="shared" ca="1" si="14"/>
        <v>153.4986537446178</v>
      </c>
      <c r="M54">
        <f t="shared" ca="1" si="15"/>
        <v>133.1793462553822</v>
      </c>
      <c r="N54">
        <f t="shared" ca="1" si="4"/>
        <v>0.37999999999999545</v>
      </c>
      <c r="O54">
        <f t="shared" ca="1" si="5"/>
        <v>0.37999999999999545</v>
      </c>
      <c r="P54">
        <f t="shared" ca="1" si="6"/>
        <v>0</v>
      </c>
      <c r="Q54">
        <f t="shared" ca="1" si="10"/>
        <v>0.73881330677276758</v>
      </c>
      <c r="R54">
        <f t="shared" ca="1" si="11"/>
        <v>1.4668262510026122</v>
      </c>
      <c r="S54">
        <f t="shared" ca="1" si="8"/>
        <v>0.50368154119669617</v>
      </c>
      <c r="T54">
        <f t="shared" ca="1" si="9"/>
        <v>33.496556777297684</v>
      </c>
      <c r="U54">
        <f>70</f>
        <v>70</v>
      </c>
      <c r="V54">
        <f>30</f>
        <v>30</v>
      </c>
      <c r="W54">
        <f t="shared" ca="1" si="7"/>
        <v>139.89860687000035</v>
      </c>
      <c r="X54">
        <f t="shared" ca="1" si="17"/>
        <v>143.1595438134618</v>
      </c>
      <c r="Y54">
        <f t="shared" ca="1" si="16"/>
        <v>-3.465200851809044</v>
      </c>
      <c r="Z54">
        <f t="shared" ca="1" si="18"/>
        <v>-2.4924637775208445</v>
      </c>
      <c r="AA54">
        <f t="shared" ca="1" si="19"/>
        <v>-0.97273707428819955</v>
      </c>
    </row>
    <row r="55" spans="1:27" x14ac:dyDescent="0.25">
      <c r="A55" s="20">
        <f t="shared" ca="1" si="0"/>
        <v>45775</v>
      </c>
      <c r="B55" vm="158">
        <f ca="1"/>
        <v>45776</v>
      </c>
      <c r="C55" vm="159">
        <f ca="1"/>
        <v>134.31</v>
      </c>
      <c r="D55" vm="160">
        <f ca="1"/>
        <v>7010733</v>
      </c>
      <c r="E55">
        <f t="shared" ca="1" si="1"/>
        <v>941611549.23000002</v>
      </c>
      <c r="F55">
        <f ca="1">SUM($E$2:E55)/SUM($D$2:D55)</f>
        <v>146.90042791567987</v>
      </c>
      <c r="G55">
        <f ca="1">_xlfn.STDEV.P($C$2:C55)</f>
        <v>5.5847326942404303</v>
      </c>
      <c r="H55">
        <f t="shared" ca="1" si="2"/>
        <v>152.48516060992031</v>
      </c>
      <c r="I55">
        <f t="shared" ca="1" si="3"/>
        <v>141.31569522143943</v>
      </c>
      <c r="J55">
        <f t="shared" ca="1" si="12"/>
        <v>142.55749999999995</v>
      </c>
      <c r="K55">
        <f t="shared" ca="1" si="13"/>
        <v>5.2114397192492241</v>
      </c>
      <c r="L55">
        <f t="shared" ca="1" si="14"/>
        <v>152.9803794384984</v>
      </c>
      <c r="M55">
        <f t="shared" ca="1" si="15"/>
        <v>132.13462056150149</v>
      </c>
      <c r="N55">
        <f t="shared" ca="1" si="4"/>
        <v>0.55000000000001137</v>
      </c>
      <c r="O55">
        <f t="shared" ca="1" si="5"/>
        <v>0.55000000000001137</v>
      </c>
      <c r="P55">
        <f t="shared" ca="1" si="6"/>
        <v>0</v>
      </c>
      <c r="Q55">
        <f t="shared" ca="1" si="10"/>
        <v>0.725326642003285</v>
      </c>
      <c r="R55">
        <f t="shared" ca="1" si="11"/>
        <v>1.3620529473595686</v>
      </c>
      <c r="S55">
        <f t="shared" ca="1" si="8"/>
        <v>0.5325245567063891</v>
      </c>
      <c r="T55">
        <f t="shared" ca="1" si="9"/>
        <v>34.748190779458653</v>
      </c>
      <c r="U55">
        <f>70</f>
        <v>70</v>
      </c>
      <c r="V55">
        <f>30</f>
        <v>30</v>
      </c>
      <c r="W55">
        <f t="shared" ca="1" si="7"/>
        <v>139.03882119769261</v>
      </c>
      <c r="X55">
        <f t="shared" ca="1" si="17"/>
        <v>142.50402204950166</v>
      </c>
      <c r="Y55">
        <f t="shared" ca="1" si="16"/>
        <v>-3.4844366677303071</v>
      </c>
      <c r="Z55">
        <f t="shared" ca="1" si="18"/>
        <v>-2.690858355562737</v>
      </c>
      <c r="AA55">
        <f t="shared" ca="1" si="19"/>
        <v>-0.79357831216757013</v>
      </c>
    </row>
    <row r="56" spans="1:27" x14ac:dyDescent="0.25">
      <c r="A56" s="20">
        <f t="shared" ca="1" si="0"/>
        <v>45775</v>
      </c>
      <c r="B56" vm="161">
        <f ca="1"/>
        <v>45777</v>
      </c>
      <c r="C56" vm="162">
        <f ca="1"/>
        <v>135.58000000000001</v>
      </c>
      <c r="D56" vm="163">
        <f ca="1"/>
        <v>7923472</v>
      </c>
      <c r="E56">
        <f t="shared" ca="1" si="1"/>
        <v>1074264333.76</v>
      </c>
      <c r="F56">
        <f ca="1">SUM($E$2:E56)/SUM($D$2:D56)</f>
        <v>146.69760778375539</v>
      </c>
      <c r="G56">
        <f ca="1">_xlfn.STDEV.P($C$2:C56)</f>
        <v>5.7454379746596489</v>
      </c>
      <c r="H56">
        <f t="shared" ca="1" si="2"/>
        <v>152.44304575841502</v>
      </c>
      <c r="I56">
        <f t="shared" ca="1" si="3"/>
        <v>140.95216980909575</v>
      </c>
      <c r="J56">
        <f t="shared" ca="1" si="12"/>
        <v>141.85300000000001</v>
      </c>
      <c r="K56">
        <f t="shared" ca="1" si="13"/>
        <v>5.1513637438112099</v>
      </c>
      <c r="L56">
        <f t="shared" ca="1" si="14"/>
        <v>152.15572748762241</v>
      </c>
      <c r="M56">
        <f t="shared" ca="1" si="15"/>
        <v>131.5502725123776</v>
      </c>
      <c r="N56">
        <f t="shared" ca="1" si="4"/>
        <v>1.2700000000000102</v>
      </c>
      <c r="O56">
        <f t="shared" ca="1" si="5"/>
        <v>1.2700000000000102</v>
      </c>
      <c r="P56">
        <f t="shared" ca="1" si="6"/>
        <v>0</v>
      </c>
      <c r="Q56">
        <f t="shared" ca="1" si="10"/>
        <v>0.76423188186019397</v>
      </c>
      <c r="R56">
        <f t="shared" ca="1" si="11"/>
        <v>1.2647634511195993</v>
      </c>
      <c r="S56">
        <f t="shared" ca="1" si="8"/>
        <v>0.6042488666032193</v>
      </c>
      <c r="T56">
        <f t="shared" ca="1" si="9"/>
        <v>37.665531775168702</v>
      </c>
      <c r="U56">
        <f>70</f>
        <v>70</v>
      </c>
      <c r="V56">
        <f>30</f>
        <v>30</v>
      </c>
      <c r="W56">
        <f t="shared" ca="1" si="7"/>
        <v>138.50669485958605</v>
      </c>
      <c r="X56">
        <f t="shared" ca="1" si="17"/>
        <v>141.99113152731636</v>
      </c>
      <c r="Y56">
        <f t="shared" ca="1" si="16"/>
        <v>-3.6217361056431798</v>
      </c>
      <c r="Z56">
        <f t="shared" ca="1" si="18"/>
        <v>-2.8770339055788257</v>
      </c>
      <c r="AA56">
        <f t="shared" ca="1" si="19"/>
        <v>-0.74470220006435417</v>
      </c>
    </row>
    <row r="57" spans="1:27" x14ac:dyDescent="0.25">
      <c r="A57" s="20">
        <f t="shared" ca="1" si="0"/>
        <v>45775</v>
      </c>
      <c r="B57" vm="164">
        <f ca="1"/>
        <v>45778</v>
      </c>
      <c r="C57" vm="165">
        <f ca="1"/>
        <v>133.55000000000001</v>
      </c>
      <c r="D57" vm="166">
        <f ca="1"/>
        <v>6807019</v>
      </c>
      <c r="E57">
        <f t="shared" ca="1" si="1"/>
        <v>909077387.45000005</v>
      </c>
      <c r="F57">
        <f ca="1">SUM($E$2:E57)/SUM($D$2:D57)</f>
        <v>146.49830987720438</v>
      </c>
      <c r="G57">
        <f ca="1">_xlfn.STDEV.P($C$2:C57)</f>
        <v>5.9634662824602955</v>
      </c>
      <c r="H57">
        <f t="shared" ca="1" si="2"/>
        <v>152.46177615966468</v>
      </c>
      <c r="I57">
        <f t="shared" ca="1" si="3"/>
        <v>140.53484359474407</v>
      </c>
      <c r="J57">
        <f t="shared" ca="1" si="12"/>
        <v>141.0745</v>
      </c>
      <c r="K57">
        <f t="shared" ca="1" si="13"/>
        <v>5.1718046071692276</v>
      </c>
      <c r="L57">
        <f t="shared" ca="1" si="14"/>
        <v>151.41810921433844</v>
      </c>
      <c r="M57">
        <f t="shared" ca="1" si="15"/>
        <v>130.73089078566156</v>
      </c>
      <c r="N57">
        <f t="shared" ca="1" si="4"/>
        <v>-2.0300000000000011</v>
      </c>
      <c r="O57">
        <f t="shared" ca="1" si="5"/>
        <v>0</v>
      </c>
      <c r="P57">
        <f t="shared" ca="1" si="6"/>
        <v>2.0300000000000011</v>
      </c>
      <c r="Q57">
        <f t="shared" ca="1" si="10"/>
        <v>0.70964389029875163</v>
      </c>
      <c r="R57">
        <f t="shared" ca="1" si="11"/>
        <v>1.3194232046110568</v>
      </c>
      <c r="S57">
        <f t="shared" ca="1" si="8"/>
        <v>0.53784402746497284</v>
      </c>
      <c r="T57">
        <f t="shared" ca="1" si="9"/>
        <v>34.973899684194279</v>
      </c>
      <c r="U57">
        <f>70</f>
        <v>70</v>
      </c>
      <c r="V57">
        <f>30</f>
        <v>30</v>
      </c>
      <c r="W57">
        <f t="shared" ca="1" si="7"/>
        <v>137.74412641964975</v>
      </c>
      <c r="X57">
        <f t="shared" ca="1" si="17"/>
        <v>141.36586252529293</v>
      </c>
      <c r="Y57">
        <f t="shared" ca="1" si="16"/>
        <v>-3.6720791284450911</v>
      </c>
      <c r="Z57">
        <f t="shared" ca="1" si="18"/>
        <v>-3.0360429501520789</v>
      </c>
      <c r="AA57">
        <f t="shared" ca="1" si="19"/>
        <v>-0.63603617829301218</v>
      </c>
    </row>
    <row r="58" spans="1:27" x14ac:dyDescent="0.25">
      <c r="A58" s="20">
        <f t="shared" ca="1" si="0"/>
        <v>45775</v>
      </c>
      <c r="B58" vm="167">
        <f ca="1"/>
        <v>45779</v>
      </c>
      <c r="C58" vm="168">
        <f ca="1"/>
        <v>133.75</v>
      </c>
      <c r="D58" vm="169">
        <f ca="1"/>
        <v>7169731</v>
      </c>
      <c r="E58">
        <f t="shared" ca="1" si="1"/>
        <v>958951521.25</v>
      </c>
      <c r="F58">
        <f ca="1">SUM($E$2:E58)/SUM($D$2:D58)</f>
        <v>146.29796638373315</v>
      </c>
      <c r="G58">
        <f ca="1">_xlfn.STDEV.P($C$2:C58)</f>
        <v>6.1504436752382032</v>
      </c>
      <c r="H58">
        <f t="shared" ca="1" si="2"/>
        <v>152.44841005897135</v>
      </c>
      <c r="I58">
        <f t="shared" ca="1" si="3"/>
        <v>140.14752270849496</v>
      </c>
      <c r="J58">
        <f t="shared" ca="1" si="12"/>
        <v>140.19349999999997</v>
      </c>
      <c r="K58">
        <f t="shared" ca="1" si="13"/>
        <v>4.8140772466633832</v>
      </c>
      <c r="L58">
        <f t="shared" ca="1" si="14"/>
        <v>149.82165449332675</v>
      </c>
      <c r="M58">
        <f t="shared" ca="1" si="15"/>
        <v>130.5653455066732</v>
      </c>
      <c r="N58">
        <f t="shared" ca="1" si="4"/>
        <v>0.19999999999998863</v>
      </c>
      <c r="O58">
        <f t="shared" ca="1" si="5"/>
        <v>0.19999999999998863</v>
      </c>
      <c r="P58">
        <f t="shared" ca="1" si="6"/>
        <v>0</v>
      </c>
      <c r="Q58">
        <f t="shared" ca="1" si="10"/>
        <v>0.67324075527741134</v>
      </c>
      <c r="R58">
        <f t="shared" ca="1" si="11"/>
        <v>1.2251786899959813</v>
      </c>
      <c r="S58">
        <f t="shared" ca="1" si="8"/>
        <v>0.54950413419255573</v>
      </c>
      <c r="T58">
        <f t="shared" ca="1" si="9"/>
        <v>35.463224786999461</v>
      </c>
      <c r="U58">
        <f>70</f>
        <v>70</v>
      </c>
      <c r="V58">
        <f>30</f>
        <v>30</v>
      </c>
      <c r="W58">
        <f t="shared" ca="1" si="7"/>
        <v>137.12964543201133</v>
      </c>
      <c r="X58">
        <f t="shared" ca="1" si="17"/>
        <v>140.80172456045642</v>
      </c>
      <c r="Y58">
        <f t="shared" ca="1" si="16"/>
        <v>-3.810073472481406</v>
      </c>
      <c r="Z58">
        <f t="shared" ca="1" si="18"/>
        <v>-3.1908490546179444</v>
      </c>
      <c r="AA58">
        <f t="shared" ca="1" si="19"/>
        <v>-0.61922441786346161</v>
      </c>
    </row>
    <row r="59" spans="1:27" x14ac:dyDescent="0.25">
      <c r="A59" s="20">
        <f t="shared" ca="1" si="0"/>
        <v>45782</v>
      </c>
      <c r="B59" vm="170">
        <f ca="1"/>
        <v>45782</v>
      </c>
      <c r="C59" vm="171">
        <f ca="1"/>
        <v>131.99</v>
      </c>
      <c r="D59" vm="172">
        <f ca="1"/>
        <v>8972159</v>
      </c>
      <c r="E59">
        <f t="shared" ca="1" si="1"/>
        <v>1184235266.4100001</v>
      </c>
      <c r="F59">
        <f ca="1">SUM($E$2:E59)/SUM($D$2:D59)</f>
        <v>146.02201238605809</v>
      </c>
      <c r="G59">
        <f ca="1">_xlfn.STDEV.P($C$2:C59)</f>
        <v>6.3818560065227476</v>
      </c>
      <c r="H59">
        <f t="shared" ca="1" si="2"/>
        <v>152.40386839258085</v>
      </c>
      <c r="I59">
        <f t="shared" ca="1" si="3"/>
        <v>139.64015637953534</v>
      </c>
      <c r="J59">
        <f t="shared" ca="1" si="12"/>
        <v>139.46250000000001</v>
      </c>
      <c r="K59">
        <f t="shared" ca="1" si="13"/>
        <v>4.8977447817713422</v>
      </c>
      <c r="L59">
        <f t="shared" ca="1" si="14"/>
        <v>149.25798956354268</v>
      </c>
      <c r="M59">
        <f t="shared" ca="1" si="15"/>
        <v>129.66701043645733</v>
      </c>
      <c r="N59">
        <f t="shared" ca="1" si="4"/>
        <v>-1.7599999999999909</v>
      </c>
      <c r="O59">
        <f t="shared" ca="1" si="5"/>
        <v>0</v>
      </c>
      <c r="P59">
        <f t="shared" ca="1" si="6"/>
        <v>1.7599999999999909</v>
      </c>
      <c r="Q59">
        <f t="shared" ca="1" si="10"/>
        <v>0.62515212990045332</v>
      </c>
      <c r="R59">
        <f t="shared" ca="1" si="11"/>
        <v>1.2633802121391251</v>
      </c>
      <c r="S59">
        <f t="shared" ca="1" si="8"/>
        <v>0.49482501300377402</v>
      </c>
      <c r="T59">
        <f t="shared" ca="1" si="9"/>
        <v>33.102537668235072</v>
      </c>
      <c r="U59">
        <f>70</f>
        <v>70</v>
      </c>
      <c r="V59">
        <f>30</f>
        <v>30</v>
      </c>
      <c r="W59">
        <f t="shared" ca="1" si="7"/>
        <v>136.33893075016343</v>
      </c>
      <c r="X59">
        <f t="shared" ca="1" si="17"/>
        <v>140.14900422264483</v>
      </c>
      <c r="Y59">
        <f t="shared" ca="1" si="16"/>
        <v>-3.9744841582935351</v>
      </c>
      <c r="Z59">
        <f t="shared" ca="1" si="18"/>
        <v>-3.3475760753530626</v>
      </c>
      <c r="AA59">
        <f t="shared" ca="1" si="19"/>
        <v>-0.62690808294047251</v>
      </c>
    </row>
    <row r="60" spans="1:27" x14ac:dyDescent="0.25">
      <c r="A60" s="20">
        <f t="shared" ca="1" si="0"/>
        <v>45782</v>
      </c>
      <c r="B60" vm="173">
        <f ca="1"/>
        <v>45783</v>
      </c>
      <c r="C60" vm="174">
        <f ca="1"/>
        <v>130.74</v>
      </c>
      <c r="D60" vm="175">
        <f ca="1"/>
        <v>6889893</v>
      </c>
      <c r="E60">
        <f t="shared" ca="1" si="1"/>
        <v>900784610.82000005</v>
      </c>
      <c r="F60">
        <f ca="1">SUM($E$2:E60)/SUM($D$2:D60)</f>
        <v>145.7989790279704</v>
      </c>
      <c r="G60">
        <f ca="1">_xlfn.STDEV.P($C$2:C60)</f>
        <v>6.6355327096403256</v>
      </c>
      <c r="H60">
        <f t="shared" ca="1" si="2"/>
        <v>152.43451173761073</v>
      </c>
      <c r="I60">
        <f t="shared" ca="1" si="3"/>
        <v>139.16344631833007</v>
      </c>
      <c r="J60">
        <f t="shared" ca="1" si="12"/>
        <v>138.84</v>
      </c>
      <c r="K60">
        <f t="shared" ca="1" si="13"/>
        <v>5.1819920981475009</v>
      </c>
      <c r="L60">
        <f t="shared" ca="1" si="14"/>
        <v>149.20398419629501</v>
      </c>
      <c r="M60">
        <f t="shared" ca="1" si="15"/>
        <v>128.476015803705</v>
      </c>
      <c r="N60">
        <f t="shared" ca="1" si="4"/>
        <v>-1.25</v>
      </c>
      <c r="O60">
        <f t="shared" ca="1" si="5"/>
        <v>0</v>
      </c>
      <c r="P60">
        <f t="shared" ca="1" si="6"/>
        <v>1.25</v>
      </c>
      <c r="Q60">
        <f t="shared" ca="1" si="10"/>
        <v>0.58049840633613514</v>
      </c>
      <c r="R60">
        <f t="shared" ca="1" si="11"/>
        <v>1.2624244827006161</v>
      </c>
      <c r="S60">
        <f t="shared" ca="1" si="8"/>
        <v>0.45982822282907221</v>
      </c>
      <c r="T60">
        <f t="shared" ca="1" si="9"/>
        <v>31.498789764315475</v>
      </c>
      <c r="U60">
        <f>70</f>
        <v>70</v>
      </c>
      <c r="V60">
        <f>30</f>
        <v>30</v>
      </c>
      <c r="W60">
        <f t="shared" ca="1" si="7"/>
        <v>135.47755678859983</v>
      </c>
      <c r="X60">
        <f t="shared" ca="1" si="17"/>
        <v>139.45204094689336</v>
      </c>
      <c r="Y60">
        <f t="shared" ca="1" si="16"/>
        <v>-3.9642704886786362</v>
      </c>
      <c r="Z60">
        <f t="shared" ca="1" si="18"/>
        <v>-3.4709149580181773</v>
      </c>
      <c r="AA60">
        <f t="shared" ca="1" si="19"/>
        <v>-0.4933555306604589</v>
      </c>
    </row>
    <row r="61" spans="1:27" x14ac:dyDescent="0.25">
      <c r="A61" s="20">
        <f t="shared" ca="1" si="0"/>
        <v>45782</v>
      </c>
      <c r="B61" vm="176">
        <f ca="1"/>
        <v>45784</v>
      </c>
      <c r="C61" vm="177">
        <f ca="1"/>
        <v>131.91499999999999</v>
      </c>
      <c r="D61" vm="178">
        <f ca="1"/>
        <v>6313815</v>
      </c>
      <c r="E61">
        <f t="shared" ca="1" si="1"/>
        <v>832886905.7249999</v>
      </c>
      <c r="F61">
        <f ca="1">SUM($E$2:E61)/SUM($D$2:D61)</f>
        <v>145.61574220805642</v>
      </c>
      <c r="G61">
        <f ca="1">_xlfn.STDEV.P($C$2:C61)</f>
        <v>6.8211518959410364</v>
      </c>
      <c r="H61">
        <f t="shared" ca="1" si="2"/>
        <v>152.43689410399745</v>
      </c>
      <c r="I61">
        <f t="shared" ca="1" si="3"/>
        <v>138.79459031211539</v>
      </c>
      <c r="J61">
        <f t="shared" ca="1" si="12"/>
        <v>138.42075</v>
      </c>
      <c r="K61">
        <f t="shared" ca="1" si="13"/>
        <v>5.3925700041816782</v>
      </c>
      <c r="L61">
        <f t="shared" ca="1" si="14"/>
        <v>149.20589000836335</v>
      </c>
      <c r="M61">
        <f t="shared" ca="1" si="15"/>
        <v>127.63560999163664</v>
      </c>
      <c r="N61">
        <f t="shared" ca="1" si="4"/>
        <v>1.1749999999999829</v>
      </c>
      <c r="O61">
        <f t="shared" ca="1" si="5"/>
        <v>1.1749999999999829</v>
      </c>
      <c r="P61">
        <f t="shared" ca="1" si="6"/>
        <v>0</v>
      </c>
      <c r="Q61">
        <f t="shared" ca="1" si="10"/>
        <v>0.62296280588355279</v>
      </c>
      <c r="R61">
        <f t="shared" ca="1" si="11"/>
        <v>1.1722513053648578</v>
      </c>
      <c r="S61">
        <f t="shared" ca="1" si="8"/>
        <v>0.5314242799581772</v>
      </c>
      <c r="T61">
        <f t="shared" ca="1" si="9"/>
        <v>34.7013095530058</v>
      </c>
      <c r="U61">
        <f>70</f>
        <v>70</v>
      </c>
      <c r="V61">
        <f>30</f>
        <v>30</v>
      </c>
      <c r="W61">
        <f t="shared" ca="1" si="7"/>
        <v>134.92947112881524</v>
      </c>
      <c r="X61">
        <f t="shared" ca="1" si="17"/>
        <v>138.89374161749387</v>
      </c>
      <c r="Y61">
        <f t="shared" ca="1" si="16"/>
        <v>-3.9497809128985182</v>
      </c>
      <c r="Z61">
        <f t="shared" ca="1" si="18"/>
        <v>-3.5666881489942455</v>
      </c>
      <c r="AA61">
        <f t="shared" ca="1" si="19"/>
        <v>-0.38309276390427272</v>
      </c>
    </row>
    <row r="62" spans="1:27" x14ac:dyDescent="0.25">
      <c r="A62" s="20">
        <f t="shared" ca="1" si="0"/>
        <v>45782</v>
      </c>
      <c r="B62" vm="179">
        <f ca="1"/>
        <v>45785</v>
      </c>
      <c r="C62" vm="180">
        <f ca="1"/>
        <v>131.43</v>
      </c>
      <c r="D62" vm="181">
        <f ca="1"/>
        <v>6392355</v>
      </c>
      <c r="E62">
        <f t="shared" ca="1" si="1"/>
        <v>840147217.6500001</v>
      </c>
      <c r="F62">
        <f ca="1">SUM($E$2:E62)/SUM($D$2:D62)</f>
        <v>145.42869323567996</v>
      </c>
      <c r="G62">
        <f ca="1">_xlfn.STDEV.P($C$2:C62)</f>
        <v>7.0042547441030614</v>
      </c>
      <c r="H62">
        <f t="shared" ca="1" si="2"/>
        <v>152.43294797978302</v>
      </c>
      <c r="I62">
        <f t="shared" ca="1" si="3"/>
        <v>138.42443849157689</v>
      </c>
      <c r="J62">
        <f t="shared" ca="1" si="12"/>
        <v>137.71274999999997</v>
      </c>
      <c r="K62">
        <f t="shared" ca="1" si="13"/>
        <v>5.3309600880635282</v>
      </c>
      <c r="L62">
        <f t="shared" ca="1" si="14"/>
        <v>148.37467017612704</v>
      </c>
      <c r="M62">
        <f t="shared" ca="1" si="15"/>
        <v>127.05082982387292</v>
      </c>
      <c r="N62">
        <f t="shared" ca="1" si="4"/>
        <v>-0.48499999999998522</v>
      </c>
      <c r="O62">
        <f t="shared" ca="1" si="5"/>
        <v>0</v>
      </c>
      <c r="P62">
        <f t="shared" ca="1" si="6"/>
        <v>0.48499999999998522</v>
      </c>
      <c r="Q62">
        <f t="shared" ca="1" si="10"/>
        <v>0.57846546260615617</v>
      </c>
      <c r="R62">
        <f t="shared" ca="1" si="11"/>
        <v>1.1231619264102239</v>
      </c>
      <c r="S62">
        <f t="shared" ca="1" si="8"/>
        <v>0.51503300548569098</v>
      </c>
      <c r="T62">
        <f t="shared" ca="1" si="9"/>
        <v>33.994837315150178</v>
      </c>
      <c r="U62">
        <f>70</f>
        <v>70</v>
      </c>
      <c r="V62">
        <f>30</f>
        <v>30</v>
      </c>
      <c r="W62">
        <f t="shared" ca="1" si="7"/>
        <v>134.39109095515136</v>
      </c>
      <c r="X62">
        <f t="shared" ca="1" si="17"/>
        <v>138.34087186804987</v>
      </c>
      <c r="Y62">
        <f t="shared" ca="1" si="16"/>
        <v>-3.9723912918412054</v>
      </c>
      <c r="Z62">
        <f t="shared" ca="1" si="18"/>
        <v>-3.647828777563638</v>
      </c>
      <c r="AA62">
        <f t="shared" ca="1" si="19"/>
        <v>-0.32456251427756744</v>
      </c>
    </row>
    <row r="63" spans="1:27" x14ac:dyDescent="0.25">
      <c r="A63" s="20">
        <f t="shared" ca="1" si="0"/>
        <v>45782</v>
      </c>
      <c r="B63" vm="182">
        <f ca="1"/>
        <v>45786</v>
      </c>
      <c r="C63" vm="183">
        <f ca="1"/>
        <v>130.44</v>
      </c>
      <c r="D63" vm="184">
        <f ca="1"/>
        <v>4770504</v>
      </c>
      <c r="E63">
        <f t="shared" ca="1" si="1"/>
        <v>622264541.75999999</v>
      </c>
      <c r="F63">
        <f ca="1">SUM($E$2:E63)/SUM($D$2:D63)</f>
        <v>145.28263779762946</v>
      </c>
      <c r="G63">
        <f ca="1">_xlfn.STDEV.P($C$2:C63)</f>
        <v>7.2015369487198564</v>
      </c>
      <c r="H63">
        <f t="shared" ca="1" si="2"/>
        <v>152.48417474634931</v>
      </c>
      <c r="I63">
        <f t="shared" ca="1" si="3"/>
        <v>138.08110084890961</v>
      </c>
      <c r="J63">
        <f t="shared" ca="1" si="12"/>
        <v>137.02774999999997</v>
      </c>
      <c r="K63">
        <f t="shared" ca="1" si="13"/>
        <v>5.3418034789661375</v>
      </c>
      <c r="L63">
        <f t="shared" ca="1" si="14"/>
        <v>147.71135695793225</v>
      </c>
      <c r="M63">
        <f t="shared" ca="1" si="15"/>
        <v>126.3441430420677</v>
      </c>
      <c r="N63">
        <f t="shared" ca="1" si="4"/>
        <v>-0.99000000000000909</v>
      </c>
      <c r="O63">
        <f t="shared" ca="1" si="5"/>
        <v>0</v>
      </c>
      <c r="P63">
        <f t="shared" ca="1" si="6"/>
        <v>0.99000000000000909</v>
      </c>
      <c r="Q63">
        <f t="shared" ca="1" si="10"/>
        <v>0.53714650099143069</v>
      </c>
      <c r="R63">
        <f t="shared" ca="1" si="11"/>
        <v>1.1136503602380656</v>
      </c>
      <c r="S63">
        <f t="shared" ca="1" si="8"/>
        <v>0.48232957144341476</v>
      </c>
      <c r="T63">
        <f t="shared" ca="1" si="9"/>
        <v>32.538618991035008</v>
      </c>
      <c r="U63">
        <f>70</f>
        <v>70</v>
      </c>
      <c r="V63">
        <f>30</f>
        <v>30</v>
      </c>
      <c r="W63">
        <f t="shared" ca="1" si="7"/>
        <v>133.78323080820499</v>
      </c>
      <c r="X63">
        <f t="shared" ca="1" si="17"/>
        <v>137.7556221000462</v>
      </c>
      <c r="Y63">
        <f t="shared" ca="1" si="16"/>
        <v>-3.8459191808493642</v>
      </c>
      <c r="Z63">
        <f t="shared" ca="1" si="18"/>
        <v>-3.6874468582207833</v>
      </c>
      <c r="AA63">
        <f t="shared" ca="1" si="19"/>
        <v>-0.15847232262858091</v>
      </c>
    </row>
    <row r="64" spans="1:27" x14ac:dyDescent="0.25">
      <c r="A64" s="20">
        <f t="shared" ca="1" si="0"/>
        <v>45789</v>
      </c>
      <c r="B64" vm="185">
        <f ca="1"/>
        <v>45789</v>
      </c>
      <c r="C64" vm="186">
        <f ca="1"/>
        <v>131.68</v>
      </c>
      <c r="D64" vm="187">
        <f ca="1"/>
        <v>8392720</v>
      </c>
      <c r="E64">
        <f t="shared" ca="1" si="1"/>
        <v>1105153369.6000001</v>
      </c>
      <c r="F64">
        <f ca="1">SUM($E$2:E64)/SUM($D$2:D64)</f>
        <v>145.05337506986416</v>
      </c>
      <c r="G64">
        <f ca="1">_xlfn.STDEV.P($C$2:C64)</f>
        <v>7.3426056931328816</v>
      </c>
      <c r="H64">
        <f t="shared" ca="1" si="2"/>
        <v>152.39598076299706</v>
      </c>
      <c r="I64">
        <f t="shared" ca="1" si="3"/>
        <v>137.71076937673126</v>
      </c>
      <c r="J64">
        <f t="shared" ca="1" si="12"/>
        <v>136.39024999999998</v>
      </c>
      <c r="K64">
        <f t="shared" ca="1" si="13"/>
        <v>5.1699507467367809</v>
      </c>
      <c r="L64">
        <f t="shared" ca="1" si="14"/>
        <v>146.73015149347356</v>
      </c>
      <c r="M64">
        <f t="shared" ca="1" si="15"/>
        <v>126.05034850652642</v>
      </c>
      <c r="N64">
        <f t="shared" ca="1" si="4"/>
        <v>1.2400000000000091</v>
      </c>
      <c r="O64">
        <f t="shared" ca="1" si="5"/>
        <v>1.2400000000000091</v>
      </c>
      <c r="P64">
        <f t="shared" ca="1" si="6"/>
        <v>0</v>
      </c>
      <c r="Q64">
        <f t="shared" ca="1" si="10"/>
        <v>0.58735032234918627</v>
      </c>
      <c r="R64">
        <f t="shared" ca="1" si="11"/>
        <v>1.0341039059353467</v>
      </c>
      <c r="S64">
        <f t="shared" ca="1" si="8"/>
        <v>0.5679799863224847</v>
      </c>
      <c r="T64">
        <f t="shared" ca="1" si="9"/>
        <v>36.223675766080149</v>
      </c>
      <c r="U64">
        <f>70</f>
        <v>70</v>
      </c>
      <c r="V64">
        <f>30</f>
        <v>30</v>
      </c>
      <c r="W64">
        <f t="shared" ca="1" si="7"/>
        <v>133.45965683771192</v>
      </c>
      <c r="X64">
        <f t="shared" ca="1" si="17"/>
        <v>137.30557601856128</v>
      </c>
      <c r="Y64">
        <f t="shared" ca="1" si="16"/>
        <v>-3.8122909550768611</v>
      </c>
      <c r="Z64">
        <f t="shared" ca="1" si="18"/>
        <v>-3.7124156775919994</v>
      </c>
      <c r="AA64">
        <f t="shared" ca="1" si="19"/>
        <v>-9.9875277484861691E-2</v>
      </c>
    </row>
    <row r="65" spans="1:27" x14ac:dyDescent="0.25">
      <c r="A65" s="20">
        <f t="shared" ca="1" si="0"/>
        <v>45789</v>
      </c>
      <c r="B65" vm="188">
        <f ca="1"/>
        <v>45790</v>
      </c>
      <c r="C65" vm="189">
        <f ca="1"/>
        <v>130.31</v>
      </c>
      <c r="D65" vm="190">
        <f ca="1"/>
        <v>8650220</v>
      </c>
      <c r="E65">
        <f t="shared" ca="1" si="1"/>
        <v>1127210168.2</v>
      </c>
      <c r="F65">
        <f ca="1">SUM($E$2:E65)/SUM($D$2:D65)</f>
        <v>144.80163512623054</v>
      </c>
      <c r="G65">
        <f ca="1">_xlfn.STDEV.P($C$2:C65)</f>
        <v>7.5102962426324842</v>
      </c>
      <c r="H65">
        <f t="shared" ca="1" si="2"/>
        <v>152.31193136886301</v>
      </c>
      <c r="I65">
        <f t="shared" ca="1" si="3"/>
        <v>137.29133888359806</v>
      </c>
      <c r="J65">
        <f t="shared" ca="1" si="12"/>
        <v>135.56824999999998</v>
      </c>
      <c r="K65">
        <f t="shared" ca="1" si="13"/>
        <v>4.7237962195340524</v>
      </c>
      <c r="L65">
        <f t="shared" ca="1" si="14"/>
        <v>145.01584243906808</v>
      </c>
      <c r="M65">
        <f t="shared" ca="1" si="15"/>
        <v>126.12065756093187</v>
      </c>
      <c r="N65">
        <f t="shared" ca="1" si="4"/>
        <v>-1.3700000000000045</v>
      </c>
      <c r="O65">
        <f t="shared" ca="1" si="5"/>
        <v>0</v>
      </c>
      <c r="P65">
        <f t="shared" ca="1" si="6"/>
        <v>1.3700000000000045</v>
      </c>
      <c r="Q65">
        <f t="shared" ca="1" si="10"/>
        <v>0.54539672789567295</v>
      </c>
      <c r="R65">
        <f t="shared" ca="1" si="11"/>
        <v>1.0580964840828222</v>
      </c>
      <c r="S65">
        <f t="shared" ca="1" si="8"/>
        <v>0.51545084602415348</v>
      </c>
      <c r="T65">
        <f t="shared" ca="1" si="9"/>
        <v>34.013036277386334</v>
      </c>
      <c r="U65">
        <f>70</f>
        <v>70</v>
      </c>
      <c r="V65">
        <f>30</f>
        <v>30</v>
      </c>
      <c r="W65">
        <f t="shared" ca="1" si="7"/>
        <v>132.97509424729469</v>
      </c>
      <c r="X65">
        <f t="shared" ca="1" si="17"/>
        <v>136.78738520237155</v>
      </c>
      <c r="Y65">
        <f t="shared" ca="1" si="16"/>
        <v>-3.8908752117499432</v>
      </c>
      <c r="Z65">
        <f t="shared" ca="1" si="18"/>
        <v>-3.7481075844235887</v>
      </c>
      <c r="AA65">
        <f t="shared" ca="1" si="19"/>
        <v>-0.14276762732635451</v>
      </c>
    </row>
    <row r="66" spans="1:27" x14ac:dyDescent="0.25">
      <c r="A66" s="20">
        <f t="shared" ca="1" si="0"/>
        <v>45789</v>
      </c>
      <c r="B66" vm="191">
        <f ca="1"/>
        <v>45791</v>
      </c>
      <c r="C66" vm="192">
        <f ca="1"/>
        <v>128.44999999999999</v>
      </c>
      <c r="D66" vm="193">
        <f ca="1"/>
        <v>10463015</v>
      </c>
      <c r="E66">
        <f t="shared" ca="1" si="1"/>
        <v>1343974276.75</v>
      </c>
      <c r="F66">
        <f ca="1">SUM($E$2:E66)/SUM($D$2:D66)</f>
        <v>144.47075708434295</v>
      </c>
      <c r="G66">
        <f ca="1">_xlfn.STDEV.P($C$2:C66)</f>
        <v>7.7192354083769734</v>
      </c>
      <c r="H66">
        <f t="shared" ca="1" si="2"/>
        <v>152.18999249271991</v>
      </c>
      <c r="I66">
        <f t="shared" ca="1" si="3"/>
        <v>136.75152167596599</v>
      </c>
      <c r="J66">
        <f t="shared" ca="1" si="12"/>
        <v>134.84874999999997</v>
      </c>
      <c r="K66">
        <f t="shared" ca="1" si="13"/>
        <v>4.6532857307611426</v>
      </c>
      <c r="L66">
        <f t="shared" ca="1" si="14"/>
        <v>144.15532146152225</v>
      </c>
      <c r="M66">
        <f t="shared" ca="1" si="15"/>
        <v>125.54217853847769</v>
      </c>
      <c r="N66">
        <f t="shared" ca="1" si="4"/>
        <v>-1.8600000000000136</v>
      </c>
      <c r="O66">
        <f t="shared" ca="1" si="5"/>
        <v>0</v>
      </c>
      <c r="P66">
        <f t="shared" ca="1" si="6"/>
        <v>1.8600000000000136</v>
      </c>
      <c r="Q66">
        <f t="shared" ca="1" si="10"/>
        <v>0.50643981876026778</v>
      </c>
      <c r="R66">
        <f t="shared" ca="1" si="11"/>
        <v>1.1153753066483358</v>
      </c>
      <c r="S66">
        <f t="shared" ca="1" si="8"/>
        <v>0.45405328210295592</v>
      </c>
      <c r="T66">
        <f t="shared" ca="1" si="9"/>
        <v>31.226729287820291</v>
      </c>
      <c r="U66">
        <f>70</f>
        <v>70</v>
      </c>
      <c r="V66">
        <f>30</f>
        <v>30</v>
      </c>
      <c r="W66">
        <f t="shared" ca="1" si="7"/>
        <v>132.27892590155705</v>
      </c>
      <c r="X66">
        <f t="shared" ca="1" si="17"/>
        <v>136.16980111330699</v>
      </c>
      <c r="Y66">
        <f t="shared" ca="1" si="16"/>
        <v>-3.6647987722573419</v>
      </c>
      <c r="Z66">
        <f t="shared" ca="1" si="18"/>
        <v>-3.7314458219903397</v>
      </c>
      <c r="AA66">
        <f t="shared" ca="1" si="19"/>
        <v>6.6647049732997843E-2</v>
      </c>
    </row>
    <row r="67" spans="1:27" x14ac:dyDescent="0.25">
      <c r="A67" s="20">
        <f t="shared" ref="A67:A130" ca="1" si="20">B67 - WEEKDAY(B67, 2) + 1</f>
        <v>45789</v>
      </c>
      <c r="B67" vm="194">
        <f ca="1"/>
        <v>45792</v>
      </c>
      <c r="C67" vm="195">
        <f ca="1"/>
        <v>131.5</v>
      </c>
      <c r="D67" vm="196">
        <f ca="1"/>
        <v>9165089</v>
      </c>
      <c r="E67">
        <f t="shared" ref="E67:E130" ca="1" si="21">C67*D67</f>
        <v>1205209203.5</v>
      </c>
      <c r="F67">
        <f ca="1">SUM($E$2:E67)/SUM($D$2:D67)</f>
        <v>144.24485435663269</v>
      </c>
      <c r="G67">
        <f ca="1">_xlfn.STDEV.P($C$2:C67)</f>
        <v>7.8246241636478366</v>
      </c>
      <c r="H67">
        <f t="shared" ref="H67:H130" ca="1" si="22">F67 + G67</f>
        <v>152.06947852028051</v>
      </c>
      <c r="I67">
        <f t="shared" ref="I67:I130" ca="1" si="23">F67 - G67</f>
        <v>136.42023019298486</v>
      </c>
      <c r="J67">
        <f t="shared" ca="1" si="12"/>
        <v>134.41924999999998</v>
      </c>
      <c r="K67">
        <f t="shared" ca="1" si="13"/>
        <v>4.5390835717193667</v>
      </c>
      <c r="L67">
        <f t="shared" ca="1" si="14"/>
        <v>143.49741714343872</v>
      </c>
      <c r="M67">
        <f t="shared" ca="1" si="15"/>
        <v>125.34108285656124</v>
      </c>
      <c r="N67">
        <f t="shared" ca="1" si="4"/>
        <v>3.0500000000000114</v>
      </c>
      <c r="O67">
        <f t="shared" ca="1" si="5"/>
        <v>3.0500000000000114</v>
      </c>
      <c r="P67">
        <f t="shared" ca="1" si="6"/>
        <v>0</v>
      </c>
      <c r="Q67">
        <f t="shared" ca="1" si="10"/>
        <v>0.68812268884882088</v>
      </c>
      <c r="R67">
        <f t="shared" ca="1" si="11"/>
        <v>1.0357056418877404</v>
      </c>
      <c r="S67">
        <f t="shared" ca="1" si="8"/>
        <v>0.66439986519201188</v>
      </c>
      <c r="T67">
        <f t="shared" ca="1" si="9"/>
        <v>39.918284006551751</v>
      </c>
      <c r="U67">
        <f>70</f>
        <v>70</v>
      </c>
      <c r="V67">
        <f>30</f>
        <v>30</v>
      </c>
      <c r="W67">
        <f t="shared" ca="1" si="7"/>
        <v>132.15909114747134</v>
      </c>
      <c r="X67">
        <f t="shared" ca="1" si="17"/>
        <v>135.82388991972869</v>
      </c>
      <c r="Y67">
        <f t="shared" ca="1" si="16"/>
        <v>-3.4076186698371487</v>
      </c>
      <c r="Z67">
        <f t="shared" ca="1" si="18"/>
        <v>-3.6666803915597019</v>
      </c>
      <c r="AA67">
        <f t="shared" ca="1" si="19"/>
        <v>0.25906172172255326</v>
      </c>
    </row>
    <row r="68" spans="1:27" x14ac:dyDescent="0.25">
      <c r="A68" s="20">
        <f t="shared" ca="1" si="20"/>
        <v>45789</v>
      </c>
      <c r="B68" vm="197">
        <f ca="1"/>
        <v>45793</v>
      </c>
      <c r="C68" vm="198">
        <f ca="1"/>
        <v>131.97999999999999</v>
      </c>
      <c r="D68" vm="199">
        <f ca="1"/>
        <v>8896370</v>
      </c>
      <c r="E68">
        <f t="shared" ca="1" si="21"/>
        <v>1174142912.5999999</v>
      </c>
      <c r="F68">
        <f ca="1">SUM($E$2:E68)/SUM($D$2:D68)</f>
        <v>144.04095585833295</v>
      </c>
      <c r="G68">
        <f ca="1">_xlfn.STDEV.P($C$2:C68)</f>
        <v>7.9095680748549153</v>
      </c>
      <c r="H68">
        <f t="shared" ca="1" si="22"/>
        <v>151.95052393318787</v>
      </c>
      <c r="I68">
        <f t="shared" ca="1" si="23"/>
        <v>136.13138778347803</v>
      </c>
      <c r="J68">
        <f t="shared" ca="1" si="12"/>
        <v>133.87624999999997</v>
      </c>
      <c r="K68">
        <f t="shared" ca="1" si="13"/>
        <v>4.1077990248973197</v>
      </c>
      <c r="L68">
        <f t="shared" ca="1" si="14"/>
        <v>142.09184804979461</v>
      </c>
      <c r="M68">
        <f t="shared" ca="1" si="15"/>
        <v>125.66065195020533</v>
      </c>
      <c r="N68">
        <f t="shared" ref="N68:N131" ca="1" si="24">C68-C67</f>
        <v>0.47999999999998977</v>
      </c>
      <c r="O68">
        <f t="shared" ref="O68:O131" ca="1" si="25">MAX(N68,0)</f>
        <v>0.47999999999998977</v>
      </c>
      <c r="P68">
        <f t="shared" ref="P68:P131" ca="1" si="26">MAX(-N68,0)</f>
        <v>0</v>
      </c>
      <c r="Q68">
        <f t="shared" ca="1" si="10"/>
        <v>0.67325678250247578</v>
      </c>
      <c r="R68">
        <f t="shared" ca="1" si="11"/>
        <v>0.9617266674671876</v>
      </c>
      <c r="S68">
        <f t="shared" ca="1" si="8"/>
        <v>0.70005003009386357</v>
      </c>
      <c r="T68">
        <f t="shared" ca="1" si="9"/>
        <v>41.178201682406495</v>
      </c>
      <c r="U68">
        <f>70</f>
        <v>70</v>
      </c>
      <c r="V68">
        <f>30</f>
        <v>30</v>
      </c>
      <c r="W68">
        <f t="shared" ca="1" si="7"/>
        <v>132.13153866324498</v>
      </c>
      <c r="X68">
        <f t="shared" ca="1" si="17"/>
        <v>135.53915733308213</v>
      </c>
      <c r="Y68">
        <f t="shared" ca="1" si="16"/>
        <v>-3.1824477215610329</v>
      </c>
      <c r="Z68">
        <f t="shared" ca="1" si="18"/>
        <v>-3.5698338575599684</v>
      </c>
      <c r="AA68">
        <f t="shared" ca="1" si="19"/>
        <v>0.38738613599893545</v>
      </c>
    </row>
    <row r="69" spans="1:27" x14ac:dyDescent="0.25">
      <c r="A69" s="20">
        <f t="shared" ca="1" si="20"/>
        <v>45796</v>
      </c>
      <c r="B69" vm="200">
        <f ca="1"/>
        <v>45796</v>
      </c>
      <c r="C69" vm="201">
        <f ca="1"/>
        <v>131.79</v>
      </c>
      <c r="D69" vm="202">
        <f ca="1"/>
        <v>9406194</v>
      </c>
      <c r="E69">
        <f t="shared" ca="1" si="21"/>
        <v>1239642307.26</v>
      </c>
      <c r="F69">
        <f ca="1">SUM($E$2:E69)/SUM($D$2:D69)</f>
        <v>143.82933655429972</v>
      </c>
      <c r="G69">
        <f ca="1">_xlfn.STDEV.P($C$2:C69)</f>
        <v>7.9913011296404921</v>
      </c>
      <c r="H69">
        <f t="shared" ca="1" si="22"/>
        <v>151.82063768394022</v>
      </c>
      <c r="I69">
        <f t="shared" ca="1" si="23"/>
        <v>135.83803542465921</v>
      </c>
      <c r="J69">
        <f t="shared" ca="1" si="12"/>
        <v>133.37925000000001</v>
      </c>
      <c r="K69">
        <f t="shared" ca="1" si="13"/>
        <v>3.6873690074860184</v>
      </c>
      <c r="L69">
        <f t="shared" ca="1" si="14"/>
        <v>140.75398801497204</v>
      </c>
      <c r="M69">
        <f t="shared" ca="1" si="15"/>
        <v>126.00451198502797</v>
      </c>
      <c r="N69">
        <f t="shared" ca="1" si="24"/>
        <v>-0.18999999999999773</v>
      </c>
      <c r="O69">
        <f t="shared" ca="1" si="25"/>
        <v>0</v>
      </c>
      <c r="P69">
        <f t="shared" ca="1" si="26"/>
        <v>0.18999999999999773</v>
      </c>
      <c r="Q69">
        <f t="shared" ca="1" si="10"/>
        <v>0.62516701232372751</v>
      </c>
      <c r="R69">
        <f t="shared" ca="1" si="11"/>
        <v>0.90660333407667404</v>
      </c>
      <c r="S69">
        <f t="shared" ca="1" si="8"/>
        <v>0.68957060803270254</v>
      </c>
      <c r="T69">
        <f t="shared" ca="1" si="9"/>
        <v>40.813364339690004</v>
      </c>
      <c r="U69">
        <f>70</f>
        <v>70</v>
      </c>
      <c r="V69">
        <f>30</f>
        <v>30</v>
      </c>
      <c r="W69">
        <f t="shared" ca="1" si="7"/>
        <v>132.07899425351499</v>
      </c>
      <c r="X69">
        <f t="shared" ca="1" si="17"/>
        <v>135.26144197507602</v>
      </c>
      <c r="Y69">
        <f t="shared" ca="1" si="16"/>
        <v>-2.9689668051446176</v>
      </c>
      <c r="Z69">
        <f t="shared" ca="1" si="18"/>
        <v>-3.4496604470768983</v>
      </c>
      <c r="AA69">
        <f t="shared" ca="1" si="19"/>
        <v>0.4806936419322807</v>
      </c>
    </row>
    <row r="70" spans="1:27" x14ac:dyDescent="0.25">
      <c r="A70" s="20">
        <f t="shared" ca="1" si="20"/>
        <v>45796</v>
      </c>
      <c r="B70" vm="203">
        <f ca="1"/>
        <v>45797</v>
      </c>
      <c r="C70" vm="204">
        <f ca="1"/>
        <v>131.80000000000001</v>
      </c>
      <c r="D70" vm="205">
        <f ca="1"/>
        <v>7624244</v>
      </c>
      <c r="E70">
        <f t="shared" ca="1" si="21"/>
        <v>1004875359.2</v>
      </c>
      <c r="F70">
        <f ca="1">SUM($E$2:E70)/SUM($D$2:D70)</f>
        <v>143.66323590570946</v>
      </c>
      <c r="G70">
        <f ca="1">_xlfn.STDEV.P($C$2:C70)</f>
        <v>8.0657276672307994</v>
      </c>
      <c r="H70">
        <f t="shared" ca="1" si="22"/>
        <v>151.72896357294024</v>
      </c>
      <c r="I70">
        <f t="shared" ca="1" si="23"/>
        <v>135.59750823847867</v>
      </c>
      <c r="J70">
        <f t="shared" ca="1" si="12"/>
        <v>132.79625000000001</v>
      </c>
      <c r="K70">
        <f t="shared" ca="1" si="13"/>
        <v>2.8322563420075704</v>
      </c>
      <c r="L70">
        <f t="shared" ca="1" si="14"/>
        <v>138.46076268401515</v>
      </c>
      <c r="M70">
        <f t="shared" ca="1" si="15"/>
        <v>127.13173731598488</v>
      </c>
      <c r="N70">
        <f t="shared" ca="1" si="24"/>
        <v>1.0000000000019327E-2</v>
      </c>
      <c r="O70">
        <f t="shared" ca="1" si="25"/>
        <v>1.0000000000019327E-2</v>
      </c>
      <c r="P70">
        <f t="shared" ca="1" si="26"/>
        <v>0</v>
      </c>
      <c r="Q70">
        <f t="shared" ca="1" si="10"/>
        <v>0.5812265114434626</v>
      </c>
      <c r="R70">
        <f t="shared" ca="1" si="11"/>
        <v>0.84184595307119736</v>
      </c>
      <c r="S70">
        <f t="shared" ca="1" si="8"/>
        <v>0.6904190835901145</v>
      </c>
      <c r="T70">
        <f t="shared" ca="1" si="9"/>
        <v>40.843072010510049</v>
      </c>
      <c r="U70">
        <f>70</f>
        <v>70</v>
      </c>
      <c r="V70">
        <f>30</f>
        <v>30</v>
      </c>
      <c r="W70">
        <f t="shared" ca="1" si="7"/>
        <v>132.03607206066653</v>
      </c>
      <c r="X70">
        <f t="shared" ca="1" si="17"/>
        <v>135.00503886581114</v>
      </c>
      <c r="Y70">
        <f t="shared" ca="1" si="16"/>
        <v>-2.899499228976282</v>
      </c>
      <c r="Z70">
        <f t="shared" ca="1" si="18"/>
        <v>-3.3396282034567752</v>
      </c>
      <c r="AA70">
        <f t="shared" ca="1" si="19"/>
        <v>0.44012897448049326</v>
      </c>
    </row>
    <row r="71" spans="1:27" x14ac:dyDescent="0.25">
      <c r="A71" s="20">
        <f t="shared" ca="1" si="20"/>
        <v>45796</v>
      </c>
      <c r="B71" vm="206">
        <f ca="1"/>
        <v>45798</v>
      </c>
      <c r="C71" vm="207">
        <f ca="1"/>
        <v>130.15</v>
      </c>
      <c r="D71" vm="208">
        <f ca="1"/>
        <v>9243724</v>
      </c>
      <c r="E71">
        <f t="shared" ca="1" si="21"/>
        <v>1203070678.6000001</v>
      </c>
      <c r="F71">
        <f ca="1">SUM($E$2:E71)/SUM($D$2:D71)</f>
        <v>143.44073648574948</v>
      </c>
      <c r="G71">
        <f ca="1">_xlfn.STDEV.P($C$2:C71)</f>
        <v>8.170282825831773</v>
      </c>
      <c r="H71">
        <f t="shared" ca="1" si="22"/>
        <v>151.61101931158126</v>
      </c>
      <c r="I71">
        <f t="shared" ca="1" si="23"/>
        <v>135.27045365991771</v>
      </c>
      <c r="J71">
        <f t="shared" ca="1" si="12"/>
        <v>132.19075000000004</v>
      </c>
      <c r="K71">
        <f t="shared" ca="1" si="13"/>
        <v>1.8139708369674599</v>
      </c>
      <c r="L71">
        <f t="shared" ca="1" si="14"/>
        <v>135.81869167393495</v>
      </c>
      <c r="M71">
        <f t="shared" ca="1" si="15"/>
        <v>128.56280832606512</v>
      </c>
      <c r="N71">
        <f t="shared" ca="1" si="24"/>
        <v>-1.6500000000000057</v>
      </c>
      <c r="O71">
        <f t="shared" ca="1" si="25"/>
        <v>0</v>
      </c>
      <c r="P71">
        <f t="shared" ca="1" si="26"/>
        <v>1.6500000000000057</v>
      </c>
      <c r="Q71">
        <f t="shared" ca="1" si="10"/>
        <v>0.5397103320546438</v>
      </c>
      <c r="R71">
        <f t="shared" ca="1" si="11"/>
        <v>0.89957124213754081</v>
      </c>
      <c r="S71">
        <f t="shared" ca="1" si="8"/>
        <v>0.59996396813686081</v>
      </c>
      <c r="T71">
        <f t="shared" ca="1" si="9"/>
        <v>37.498592473648749</v>
      </c>
      <c r="U71">
        <f>70</f>
        <v>70</v>
      </c>
      <c r="V71">
        <f>30</f>
        <v>30</v>
      </c>
      <c r="W71">
        <f t="shared" ca="1" si="7"/>
        <v>131.74590712825628</v>
      </c>
      <c r="X71">
        <f t="shared" ca="1" si="17"/>
        <v>134.64540635723256</v>
      </c>
      <c r="Y71">
        <f t="shared" ca="1" si="16"/>
        <v>-2.8144235014486298</v>
      </c>
      <c r="Z71">
        <f t="shared" ca="1" si="18"/>
        <v>-3.2345872630551464</v>
      </c>
      <c r="AA71">
        <f t="shared" ca="1" si="19"/>
        <v>0.42016376160651658</v>
      </c>
    </row>
    <row r="72" spans="1:27" x14ac:dyDescent="0.25">
      <c r="A72" s="20">
        <f t="shared" ca="1" si="20"/>
        <v>45796</v>
      </c>
      <c r="B72" vm="209">
        <f ca="1"/>
        <v>45799</v>
      </c>
      <c r="C72" vm="210">
        <f ca="1"/>
        <v>130.12</v>
      </c>
      <c r="D72" vm="211">
        <f ca="1"/>
        <v>7140231</v>
      </c>
      <c r="E72">
        <f t="shared" ca="1" si="21"/>
        <v>929086857.72000003</v>
      </c>
      <c r="F72">
        <f ca="1">SUM($E$2:E72)/SUM($D$2:D72)</f>
        <v>143.27344481283654</v>
      </c>
      <c r="G72">
        <f ca="1">_xlfn.STDEV.P($C$2:C72)</f>
        <v>8.2668939378635393</v>
      </c>
      <c r="H72">
        <f t="shared" ca="1" si="22"/>
        <v>151.54033875070007</v>
      </c>
      <c r="I72">
        <f t="shared" ca="1" si="23"/>
        <v>135.00655087497302</v>
      </c>
      <c r="J72">
        <f t="shared" ca="1" si="12"/>
        <v>131.93125000000001</v>
      </c>
      <c r="K72">
        <f t="shared" ca="1" si="13"/>
        <v>1.7126586557316776</v>
      </c>
      <c r="L72">
        <f t="shared" ca="1" si="14"/>
        <v>135.35656731146335</v>
      </c>
      <c r="M72">
        <f t="shared" ca="1" si="15"/>
        <v>128.50593268853666</v>
      </c>
      <c r="N72">
        <f t="shared" ca="1" si="24"/>
        <v>-3.0000000000001137E-2</v>
      </c>
      <c r="O72">
        <f t="shared" ca="1" si="25"/>
        <v>0</v>
      </c>
      <c r="P72">
        <f t="shared" ca="1" si="26"/>
        <v>3.0000000000001137E-2</v>
      </c>
      <c r="Q72">
        <f t="shared" ca="1" si="10"/>
        <v>0.50115959405074073</v>
      </c>
      <c r="R72">
        <f t="shared" ca="1" si="11"/>
        <v>0.83745901055628802</v>
      </c>
      <c r="S72">
        <f t="shared" ca="1" si="8"/>
        <v>0.59842880395763121</v>
      </c>
      <c r="T72">
        <f t="shared" ca="1" si="9"/>
        <v>37.438564825405486</v>
      </c>
      <c r="U72">
        <f>70</f>
        <v>70</v>
      </c>
      <c r="V72">
        <f>30</f>
        <v>30</v>
      </c>
      <c r="W72">
        <f t="shared" ca="1" si="7"/>
        <v>131.49576757006301</v>
      </c>
      <c r="X72">
        <f t="shared" ca="1" si="17"/>
        <v>134.31019107151164</v>
      </c>
      <c r="Y72">
        <f t="shared" ca="1" si="16"/>
        <v>-2.7779177490956215</v>
      </c>
      <c r="Z72">
        <f t="shared" ca="1" si="18"/>
        <v>-3.1432533602632415</v>
      </c>
      <c r="AA72">
        <f t="shared" ca="1" si="19"/>
        <v>0.36533561116762003</v>
      </c>
    </row>
    <row r="73" spans="1:27" x14ac:dyDescent="0.25">
      <c r="A73" s="20">
        <f t="shared" ca="1" si="20"/>
        <v>45796</v>
      </c>
      <c r="B73" vm="212">
        <f ca="1"/>
        <v>45800</v>
      </c>
      <c r="C73" vm="213">
        <f ca="1"/>
        <v>129.34</v>
      </c>
      <c r="D73" vm="214">
        <f ca="1"/>
        <v>8122494</v>
      </c>
      <c r="E73">
        <f t="shared" ca="1" si="21"/>
        <v>1050563373.96</v>
      </c>
      <c r="F73">
        <f ca="1">SUM($E$2:E73)/SUM($D$2:D73)</f>
        <v>143.07718963772678</v>
      </c>
      <c r="G73">
        <f ca="1">_xlfn.STDEV.P($C$2:C73)</f>
        <v>8.3730967983881257</v>
      </c>
      <c r="H73">
        <f t="shared" ca="1" si="22"/>
        <v>151.45028643611491</v>
      </c>
      <c r="I73">
        <f t="shared" ca="1" si="23"/>
        <v>134.70409283933864</v>
      </c>
      <c r="J73">
        <f t="shared" ca="1" si="12"/>
        <v>131.72925000000004</v>
      </c>
      <c r="K73">
        <f t="shared" ca="1" si="13"/>
        <v>1.770079001359159</v>
      </c>
      <c r="L73">
        <f t="shared" ca="1" si="14"/>
        <v>135.26940800271836</v>
      </c>
      <c r="M73">
        <f t="shared" ca="1" si="15"/>
        <v>128.18909199728171</v>
      </c>
      <c r="N73">
        <f t="shared" ca="1" si="24"/>
        <v>-0.78000000000000114</v>
      </c>
      <c r="O73">
        <f t="shared" ca="1" si="25"/>
        <v>0</v>
      </c>
      <c r="P73">
        <f t="shared" ca="1" si="26"/>
        <v>0.78000000000000114</v>
      </c>
      <c r="Q73">
        <f t="shared" ca="1" si="10"/>
        <v>0.4653624801899735</v>
      </c>
      <c r="R73">
        <f t="shared" ca="1" si="11"/>
        <v>0.83335479551655323</v>
      </c>
      <c r="S73">
        <f t="shared" ca="1" si="8"/>
        <v>0.55842059431783742</v>
      </c>
      <c r="T73">
        <f t="shared" ca="1" si="9"/>
        <v>35.832470153044483</v>
      </c>
      <c r="U73">
        <f>70</f>
        <v>70</v>
      </c>
      <c r="V73">
        <f>30</f>
        <v>30</v>
      </c>
      <c r="W73">
        <f t="shared" ca="1" si="7"/>
        <v>131.16411102082256</v>
      </c>
      <c r="X73">
        <f t="shared" ca="1" si="17"/>
        <v>133.94202876991818</v>
      </c>
      <c r="Y73">
        <f t="shared" ca="1" si="16"/>
        <v>-2.555721871906286</v>
      </c>
      <c r="Z73">
        <f t="shared" ca="1" si="18"/>
        <v>-3.0257470625918508</v>
      </c>
      <c r="AA73">
        <f t="shared" ca="1" si="19"/>
        <v>0.47002519068556481</v>
      </c>
    </row>
    <row r="74" spans="1:27" x14ac:dyDescent="0.25">
      <c r="A74" s="20">
        <f t="shared" ca="1" si="20"/>
        <v>45803</v>
      </c>
      <c r="B74" vm="215">
        <f ca="1"/>
        <v>45804</v>
      </c>
      <c r="C74" vm="216">
        <f ca="1"/>
        <v>131.37</v>
      </c>
      <c r="D74" vm="217">
        <f ca="1"/>
        <v>13974764</v>
      </c>
      <c r="E74">
        <f t="shared" ca="1" si="21"/>
        <v>1835864746.6800001</v>
      </c>
      <c r="F74">
        <f ca="1">SUM($E$2:E74)/SUM($D$2:D74)</f>
        <v>142.80019501441649</v>
      </c>
      <c r="G74">
        <f ca="1">_xlfn.STDEV.P($C$2:C74)</f>
        <v>8.4289991107267301</v>
      </c>
      <c r="H74">
        <f t="shared" ca="1" si="22"/>
        <v>151.22919412514321</v>
      </c>
      <c r="I74">
        <f t="shared" ca="1" si="23"/>
        <v>134.37119590368977</v>
      </c>
      <c r="J74">
        <f t="shared" ca="1" si="12"/>
        <v>131.60975000000002</v>
      </c>
      <c r="K74">
        <f t="shared" ca="1" si="13"/>
        <v>1.7052538590146098</v>
      </c>
      <c r="L74">
        <f t="shared" ca="1" si="14"/>
        <v>135.02025771802923</v>
      </c>
      <c r="M74">
        <f t="shared" ca="1" si="15"/>
        <v>128.19924228197081</v>
      </c>
      <c r="N74">
        <f t="shared" ca="1" si="24"/>
        <v>2.0300000000000011</v>
      </c>
      <c r="O74">
        <f t="shared" ca="1" si="25"/>
        <v>2.0300000000000011</v>
      </c>
      <c r="P74">
        <f t="shared" ca="1" si="26"/>
        <v>0</v>
      </c>
      <c r="Q74">
        <f t="shared" ca="1" si="10"/>
        <v>0.57712230303354695</v>
      </c>
      <c r="R74">
        <f t="shared" ca="1" si="11"/>
        <v>0.77382945297965655</v>
      </c>
      <c r="S74">
        <f t="shared" ca="1" si="8"/>
        <v>0.74580038380720448</v>
      </c>
      <c r="T74">
        <f t="shared" ca="1" si="9"/>
        <v>42.719682658150113</v>
      </c>
      <c r="U74">
        <f>70</f>
        <v>70</v>
      </c>
      <c r="V74">
        <f>30</f>
        <v>30</v>
      </c>
      <c r="W74">
        <f t="shared" ca="1" si="7"/>
        <v>131.19578624838832</v>
      </c>
      <c r="X74">
        <f t="shared" ca="1" si="17"/>
        <v>133.7515081202946</v>
      </c>
      <c r="Y74">
        <f t="shared" ca="1" si="16"/>
        <v>-2.4083522032034637</v>
      </c>
      <c r="Z74">
        <f t="shared" ca="1" si="18"/>
        <v>-2.9022680907141734</v>
      </c>
      <c r="AA74">
        <f t="shared" ca="1" si="19"/>
        <v>0.49391588751070969</v>
      </c>
    </row>
    <row r="75" spans="1:27" x14ac:dyDescent="0.25">
      <c r="A75" s="20">
        <f t="shared" ca="1" si="20"/>
        <v>45803</v>
      </c>
      <c r="B75" vm="218">
        <f ca="1"/>
        <v>45805</v>
      </c>
      <c r="C75" vm="219">
        <f ca="1"/>
        <v>130.66999999999999</v>
      </c>
      <c r="D75" vm="220">
        <f ca="1"/>
        <v>9431450</v>
      </c>
      <c r="E75">
        <f t="shared" ca="1" si="21"/>
        <v>1232407571.5</v>
      </c>
      <c r="F75">
        <f ca="1">SUM($E$2:E75)/SUM($D$2:D75)</f>
        <v>142.60954344257047</v>
      </c>
      <c r="G75">
        <f ca="1">_xlfn.STDEV.P($C$2:C75)</f>
        <v>8.493295536455582</v>
      </c>
      <c r="H75">
        <f t="shared" ca="1" si="22"/>
        <v>151.10283897902605</v>
      </c>
      <c r="I75">
        <f t="shared" ca="1" si="23"/>
        <v>134.11624790611489</v>
      </c>
      <c r="J75">
        <f t="shared" ca="1" si="12"/>
        <v>131.42775</v>
      </c>
      <c r="K75">
        <f t="shared" ca="1" si="13"/>
        <v>1.5924034094478268</v>
      </c>
      <c r="L75">
        <f t="shared" ca="1" si="14"/>
        <v>134.61255681889565</v>
      </c>
      <c r="M75">
        <f t="shared" ca="1" si="15"/>
        <v>128.24294318110435</v>
      </c>
      <c r="N75">
        <f t="shared" ca="1" si="24"/>
        <v>-0.70000000000001705</v>
      </c>
      <c r="O75">
        <f t="shared" ca="1" si="25"/>
        <v>0</v>
      </c>
      <c r="P75">
        <f t="shared" ca="1" si="26"/>
        <v>0.70000000000001705</v>
      </c>
      <c r="Q75">
        <f t="shared" ca="1" si="10"/>
        <v>0.53589928138829357</v>
      </c>
      <c r="R75">
        <f t="shared" ca="1" si="11"/>
        <v>0.76855592062396805</v>
      </c>
      <c r="S75">
        <f t="shared" ca="1" si="8"/>
        <v>0.69728079246753139</v>
      </c>
      <c r="T75">
        <f t="shared" ca="1" si="9"/>
        <v>41.082229620581188</v>
      </c>
      <c r="U75">
        <f>70</f>
        <v>70</v>
      </c>
      <c r="V75">
        <f>30</f>
        <v>30</v>
      </c>
      <c r="W75">
        <f t="shared" ca="1" si="7"/>
        <v>131.11489605632858</v>
      </c>
      <c r="X75">
        <f t="shared" ca="1" si="17"/>
        <v>133.52324825953204</v>
      </c>
      <c r="Y75">
        <f t="shared" ca="1" si="16"/>
        <v>-2.165730927687548</v>
      </c>
      <c r="Z75">
        <f t="shared" ca="1" si="18"/>
        <v>-2.7549606581088484</v>
      </c>
      <c r="AA75">
        <f t="shared" ca="1" si="19"/>
        <v>0.58922973042130034</v>
      </c>
    </row>
    <row r="76" spans="1:27" x14ac:dyDescent="0.25">
      <c r="A76" s="20">
        <f t="shared" ca="1" si="20"/>
        <v>45803</v>
      </c>
      <c r="B76" vm="221">
        <f ca="1"/>
        <v>45806</v>
      </c>
      <c r="C76" vm="222">
        <f ca="1"/>
        <v>131.91999999999999</v>
      </c>
      <c r="D76" vm="223">
        <f ca="1"/>
        <v>6659069</v>
      </c>
      <c r="E76">
        <f t="shared" ca="1" si="21"/>
        <v>878464382.4799999</v>
      </c>
      <c r="F76">
        <f ca="1">SUM($E$2:E76)/SUM($D$2:D76)</f>
        <v>142.49222292571591</v>
      </c>
      <c r="G76">
        <f ca="1">_xlfn.STDEV.P($C$2:C76)</f>
        <v>8.5299244269154517</v>
      </c>
      <c r="H76">
        <f t="shared" ca="1" si="22"/>
        <v>151.02214735263135</v>
      </c>
      <c r="I76">
        <f t="shared" ca="1" si="23"/>
        <v>133.96229849880046</v>
      </c>
      <c r="J76">
        <f t="shared" ca="1" si="12"/>
        <v>131.24475000000001</v>
      </c>
      <c r="K76">
        <f t="shared" ca="1" si="13"/>
        <v>1.267209403000402</v>
      </c>
      <c r="L76">
        <f t="shared" ca="1" si="14"/>
        <v>133.77916880600083</v>
      </c>
      <c r="M76">
        <f t="shared" ca="1" si="15"/>
        <v>128.7103311939992</v>
      </c>
      <c r="N76">
        <f t="shared" ca="1" si="24"/>
        <v>1.25</v>
      </c>
      <c r="O76">
        <f t="shared" ca="1" si="25"/>
        <v>1.25</v>
      </c>
      <c r="P76">
        <f t="shared" ca="1" si="26"/>
        <v>0</v>
      </c>
      <c r="Q76">
        <f t="shared" ca="1" si="10"/>
        <v>0.5869064755748441</v>
      </c>
      <c r="R76">
        <f t="shared" ca="1" si="11"/>
        <v>0.71365906915082744</v>
      </c>
      <c r="S76">
        <f t="shared" ca="1" si="8"/>
        <v>0.82239055165822472</v>
      </c>
      <c r="T76">
        <f t="shared" ca="1" si="9"/>
        <v>45.127020160959319</v>
      </c>
      <c r="U76">
        <f>70</f>
        <v>70</v>
      </c>
      <c r="V76">
        <f>30</f>
        <v>30</v>
      </c>
      <c r="W76">
        <f t="shared" ca="1" si="7"/>
        <v>131.2387582015088</v>
      </c>
      <c r="X76">
        <f t="shared" ca="1" si="17"/>
        <v>133.40448912919635</v>
      </c>
      <c r="Y76">
        <f t="shared" ca="1" si="16"/>
        <v>-1.9884552169250753</v>
      </c>
      <c r="Z76">
        <f t="shared" ca="1" si="18"/>
        <v>-2.6016595698720941</v>
      </c>
      <c r="AA76">
        <f t="shared" ca="1" si="19"/>
        <v>0.6132043529470188</v>
      </c>
    </row>
    <row r="77" spans="1:27" x14ac:dyDescent="0.25">
      <c r="A77" s="20">
        <f t="shared" ca="1" si="20"/>
        <v>45803</v>
      </c>
      <c r="B77" vm="224">
        <f ca="1"/>
        <v>45807</v>
      </c>
      <c r="C77" vm="225">
        <f ca="1"/>
        <v>131.44999999999999</v>
      </c>
      <c r="D77" vm="226">
        <f ca="1"/>
        <v>12992075</v>
      </c>
      <c r="E77">
        <f t="shared" ca="1" si="21"/>
        <v>1707808258.7499998</v>
      </c>
      <c r="F77">
        <f ca="1">SUM($E$2:E77)/SUM($D$2:D77)</f>
        <v>142.26073150707006</v>
      </c>
      <c r="G77">
        <f ca="1">_xlfn.STDEV.P($C$2:C77)</f>
        <v>8.5709184890344012</v>
      </c>
      <c r="H77">
        <f t="shared" ca="1" si="22"/>
        <v>150.83164999610446</v>
      </c>
      <c r="I77">
        <f t="shared" ca="1" si="23"/>
        <v>133.68981301803566</v>
      </c>
      <c r="J77">
        <f t="shared" ca="1" si="12"/>
        <v>131.13974999999999</v>
      </c>
      <c r="K77">
        <f t="shared" ca="1" si="13"/>
        <v>1.1474920880360193</v>
      </c>
      <c r="L77">
        <f t="shared" ca="1" si="14"/>
        <v>133.43473417607203</v>
      </c>
      <c r="M77">
        <f t="shared" ca="1" si="15"/>
        <v>128.84476582392796</v>
      </c>
      <c r="N77">
        <f t="shared" ca="1" si="24"/>
        <v>-0.46999999999999886</v>
      </c>
      <c r="O77">
        <f t="shared" ca="1" si="25"/>
        <v>0</v>
      </c>
      <c r="P77">
        <f t="shared" ca="1" si="26"/>
        <v>0.46999999999999886</v>
      </c>
      <c r="Q77">
        <f t="shared" ca="1" si="10"/>
        <v>0.5449845844623552</v>
      </c>
      <c r="R77">
        <f t="shared" ca="1" si="11"/>
        <v>0.69625484992576825</v>
      </c>
      <c r="S77">
        <f t="shared" ca="1" si="8"/>
        <v>0.78273721830513521</v>
      </c>
      <c r="T77">
        <f t="shared" ca="1" si="9"/>
        <v>43.90648325888943</v>
      </c>
      <c r="U77">
        <f>70</f>
        <v>70</v>
      </c>
      <c r="V77">
        <f>30</f>
        <v>30</v>
      </c>
      <c r="W77">
        <f t="shared" ca="1" si="7"/>
        <v>131.27125693973821</v>
      </c>
      <c r="X77">
        <f t="shared" ca="1" si="17"/>
        <v>133.25971215666328</v>
      </c>
      <c r="Y77">
        <f t="shared" ca="1" si="16"/>
        <v>-1.8699804553085926</v>
      </c>
      <c r="Z77">
        <f t="shared" ca="1" si="18"/>
        <v>-2.4553237469593938</v>
      </c>
      <c r="AA77">
        <f t="shared" ca="1" si="19"/>
        <v>0.58534329165080123</v>
      </c>
    </row>
    <row r="78" spans="1:27" x14ac:dyDescent="0.25">
      <c r="A78" s="20">
        <f t="shared" ca="1" si="20"/>
        <v>45810</v>
      </c>
      <c r="B78" vm="227">
        <f ca="1"/>
        <v>45810</v>
      </c>
      <c r="C78" vm="228">
        <f ca="1"/>
        <v>130.91</v>
      </c>
      <c r="D78" vm="229">
        <f ca="1"/>
        <v>6723720</v>
      </c>
      <c r="E78">
        <f t="shared" ca="1" si="21"/>
        <v>880202185.19999993</v>
      </c>
      <c r="F78">
        <f ca="1">SUM($E$2:E78)/SUM($D$2:D78)</f>
        <v>142.13890358433918</v>
      </c>
      <c r="G78">
        <f ca="1">_xlfn.STDEV.P($C$2:C78)</f>
        <v>8.6173710741766065</v>
      </c>
      <c r="H78">
        <f t="shared" ca="1" si="22"/>
        <v>150.75627465851579</v>
      </c>
      <c r="I78">
        <f t="shared" ca="1" si="23"/>
        <v>133.52153251016256</v>
      </c>
      <c r="J78">
        <f t="shared" ca="1" si="12"/>
        <v>130.99775</v>
      </c>
      <c r="K78">
        <f t="shared" ca="1" si="13"/>
        <v>0.96937646128024524</v>
      </c>
      <c r="L78">
        <f t="shared" ca="1" si="14"/>
        <v>132.93650292256049</v>
      </c>
      <c r="M78">
        <f t="shared" ca="1" si="15"/>
        <v>129.0589970774395</v>
      </c>
      <c r="N78">
        <f t="shared" ca="1" si="24"/>
        <v>-0.53999999999999204</v>
      </c>
      <c r="O78">
        <f t="shared" ca="1" si="25"/>
        <v>0</v>
      </c>
      <c r="P78">
        <f t="shared" ca="1" si="26"/>
        <v>0.53999999999999204</v>
      </c>
      <c r="Q78">
        <f t="shared" ca="1" si="10"/>
        <v>0.50605711414361554</v>
      </c>
      <c r="R78">
        <f t="shared" ca="1" si="11"/>
        <v>0.68509378921678432</v>
      </c>
      <c r="S78">
        <f t="shared" ca="1" si="8"/>
        <v>0.73866837228542415</v>
      </c>
      <c r="T78">
        <f t="shared" ca="1" si="9"/>
        <v>42.484718998739716</v>
      </c>
      <c r="U78">
        <f>70</f>
        <v>70</v>
      </c>
      <c r="V78">
        <f>30</f>
        <v>30</v>
      </c>
      <c r="W78">
        <f t="shared" ca="1" si="7"/>
        <v>131.21567894900926</v>
      </c>
      <c r="X78">
        <f t="shared" ca="1" si="17"/>
        <v>133.08565940431785</v>
      </c>
      <c r="Y78">
        <f t="shared" ca="1" si="16"/>
        <v>-1.6808622750642712</v>
      </c>
      <c r="Z78">
        <f t="shared" ca="1" si="18"/>
        <v>-2.3004314525803693</v>
      </c>
      <c r="AA78">
        <f t="shared" ca="1" si="19"/>
        <v>0.61956917751609808</v>
      </c>
    </row>
    <row r="79" spans="1:27" x14ac:dyDescent="0.25">
      <c r="A79" s="20">
        <f t="shared" ca="1" si="20"/>
        <v>45810</v>
      </c>
      <c r="B79" vm="230">
        <f ca="1"/>
        <v>45811</v>
      </c>
      <c r="C79" vm="231">
        <f ca="1"/>
        <v>131.85</v>
      </c>
      <c r="D79" vm="232">
        <f ca="1"/>
        <v>7339524</v>
      </c>
      <c r="E79">
        <f t="shared" ca="1" si="21"/>
        <v>967716239.39999998</v>
      </c>
      <c r="F79">
        <f ca="1">SUM($E$2:E79)/SUM($D$2:D79)</f>
        <v>142.01975422241622</v>
      </c>
      <c r="G79">
        <f ca="1">_xlfn.STDEV.P($C$2:C79)</f>
        <v>8.6446099421987395</v>
      </c>
      <c r="H79">
        <f t="shared" ca="1" si="22"/>
        <v>150.66436416461497</v>
      </c>
      <c r="I79">
        <f t="shared" ca="1" si="23"/>
        <v>133.37514428021748</v>
      </c>
      <c r="J79">
        <f t="shared" ca="1" si="12"/>
        <v>130.99074999999999</v>
      </c>
      <c r="K79">
        <f t="shared" ca="1" si="13"/>
        <v>0.96231392596452747</v>
      </c>
      <c r="L79">
        <f t="shared" ca="1" si="14"/>
        <v>132.91537785192904</v>
      </c>
      <c r="M79">
        <f t="shared" ca="1" si="15"/>
        <v>129.06612214807095</v>
      </c>
      <c r="N79">
        <f t="shared" ca="1" si="24"/>
        <v>0.93999999999999773</v>
      </c>
      <c r="O79">
        <f t="shared" ca="1" si="25"/>
        <v>0.93999999999999773</v>
      </c>
      <c r="P79">
        <f t="shared" ca="1" si="26"/>
        <v>0</v>
      </c>
      <c r="Q79">
        <f t="shared" ca="1" si="10"/>
        <v>0.53705303456192854</v>
      </c>
      <c r="R79">
        <f t="shared" ca="1" si="11"/>
        <v>0.63615851855844252</v>
      </c>
      <c r="S79">
        <f t="shared" ca="1" si="8"/>
        <v>0.84421259622351597</v>
      </c>
      <c r="T79">
        <f t="shared" ca="1" si="9"/>
        <v>45.776316567420224</v>
      </c>
      <c r="U79">
        <f>70</f>
        <v>70</v>
      </c>
      <c r="V79">
        <f>30</f>
        <v>30</v>
      </c>
      <c r="W79">
        <f t="shared" ref="W79:W142" ca="1" si="27">C79*(2/(12+1)) + W78*(1-(2/(12+1)))</f>
        <v>131.31326680300782</v>
      </c>
      <c r="X79">
        <f t="shared" ca="1" si="17"/>
        <v>132.99412907807209</v>
      </c>
      <c r="Y79">
        <f t="shared" ca="1" si="16"/>
        <v>-1.5223125637610053</v>
      </c>
      <c r="Z79">
        <f t="shared" ca="1" si="18"/>
        <v>-2.1448076748164966</v>
      </c>
      <c r="AA79">
        <f t="shared" ca="1" si="19"/>
        <v>0.62249511105549127</v>
      </c>
    </row>
    <row r="80" spans="1:27" x14ac:dyDescent="0.25">
      <c r="A80" s="20">
        <f t="shared" ca="1" si="20"/>
        <v>45810</v>
      </c>
      <c r="B80" vm="233">
        <f ca="1"/>
        <v>45812</v>
      </c>
      <c r="C80" vm="234">
        <f ca="1"/>
        <v>131.74</v>
      </c>
      <c r="D80" vm="235">
        <f ca="1"/>
        <v>6519728</v>
      </c>
      <c r="E80">
        <f t="shared" ca="1" si="21"/>
        <v>858908966.72000003</v>
      </c>
      <c r="F80">
        <f ca="1">SUM($E$2:E80)/SUM($D$2:D80)</f>
        <v>141.9150842237222</v>
      </c>
      <c r="G80">
        <f ca="1">_xlfn.STDEV.P($C$2:C80)</f>
        <v>8.6706948269585897</v>
      </c>
      <c r="H80">
        <f t="shared" ca="1" si="22"/>
        <v>150.5857790506808</v>
      </c>
      <c r="I80">
        <f t="shared" ca="1" si="23"/>
        <v>133.24438939676361</v>
      </c>
      <c r="J80">
        <f t="shared" ca="1" si="12"/>
        <v>131.04074999999997</v>
      </c>
      <c r="K80">
        <f t="shared" ca="1" si="13"/>
        <v>0.9745015932583988</v>
      </c>
      <c r="L80">
        <f t="shared" ca="1" si="14"/>
        <v>132.98975318651677</v>
      </c>
      <c r="M80">
        <f t="shared" ca="1" si="15"/>
        <v>129.09174681348318</v>
      </c>
      <c r="N80">
        <f t="shared" ca="1" si="24"/>
        <v>-0.10999999999998522</v>
      </c>
      <c r="O80">
        <f t="shared" ca="1" si="25"/>
        <v>0</v>
      </c>
      <c r="P80">
        <f t="shared" ca="1" si="26"/>
        <v>0.10999999999998522</v>
      </c>
      <c r="Q80">
        <f t="shared" ca="1" si="10"/>
        <v>0.49869210352179077</v>
      </c>
      <c r="R80">
        <f t="shared" ca="1" si="11"/>
        <v>0.59857576723283845</v>
      </c>
      <c r="S80">
        <f t="shared" ref="S80:S143" ca="1" si="28">IF(R80=0,NA(),Q80/R80)</f>
        <v>0.83313112695356717</v>
      </c>
      <c r="T80">
        <f t="shared" ref="T80:T143" ca="1" si="29">100-(100/(1+S80))</f>
        <v>45.448528733355047</v>
      </c>
      <c r="U80">
        <f>70</f>
        <v>70</v>
      </c>
      <c r="V80">
        <f>30</f>
        <v>30</v>
      </c>
      <c r="W80">
        <f t="shared" ca="1" si="27"/>
        <v>131.37891806408354</v>
      </c>
      <c r="X80">
        <f t="shared" ca="1" si="17"/>
        <v>132.90123062784454</v>
      </c>
      <c r="Y80">
        <f t="shared" ca="1" si="16"/>
        <v>-1.4310008234093061</v>
      </c>
      <c r="Z80">
        <f t="shared" ca="1" si="18"/>
        <v>-2.0020463045350585</v>
      </c>
      <c r="AA80">
        <f t="shared" ca="1" si="19"/>
        <v>0.57104548112575237</v>
      </c>
    </row>
    <row r="81" spans="1:27" x14ac:dyDescent="0.25">
      <c r="A81" s="20">
        <f t="shared" ca="1" si="20"/>
        <v>45810</v>
      </c>
      <c r="B81" vm="236">
        <f ca="1"/>
        <v>45813</v>
      </c>
      <c r="C81" vm="237">
        <f ca="1"/>
        <v>131.11000000000001</v>
      </c>
      <c r="D81" vm="238">
        <f ca="1"/>
        <v>9566619</v>
      </c>
      <c r="E81">
        <f t="shared" ca="1" si="21"/>
        <v>1254279417.0900002</v>
      </c>
      <c r="F81">
        <f ca="1">SUM($E$2:E81)/SUM($D$2:D81)</f>
        <v>141.75602604246069</v>
      </c>
      <c r="G81">
        <f ca="1">_xlfn.STDEV.P($C$2:C81)</f>
        <v>8.7036837026682985</v>
      </c>
      <c r="H81">
        <f t="shared" ca="1" si="22"/>
        <v>150.45970974512898</v>
      </c>
      <c r="I81">
        <f t="shared" ca="1" si="23"/>
        <v>133.0523423397924</v>
      </c>
      <c r="J81">
        <f t="shared" ca="1" si="12"/>
        <v>131.00049999999999</v>
      </c>
      <c r="K81">
        <f t="shared" ca="1" si="13"/>
        <v>0.9528763933756742</v>
      </c>
      <c r="L81">
        <f t="shared" ca="1" si="14"/>
        <v>132.90625278675134</v>
      </c>
      <c r="M81">
        <f t="shared" ca="1" si="15"/>
        <v>129.09474721324864</v>
      </c>
      <c r="N81">
        <f t="shared" ca="1" si="24"/>
        <v>-0.62999999999999545</v>
      </c>
      <c r="O81">
        <f t="shared" ca="1" si="25"/>
        <v>0</v>
      </c>
      <c r="P81">
        <f t="shared" ca="1" si="26"/>
        <v>0.62999999999999545</v>
      </c>
      <c r="Q81">
        <f t="shared" ref="Q81:Q144" ca="1" si="30">(Q80*13+O81)/14</f>
        <v>0.46307123898452002</v>
      </c>
      <c r="R81">
        <f t="shared" ref="R81:R144" ca="1" si="31">(R80*13+P81)/14</f>
        <v>0.60082035528763533</v>
      </c>
      <c r="S81">
        <f t="shared" ca="1" si="28"/>
        <v>0.7707316087232603</v>
      </c>
      <c r="T81">
        <f t="shared" ca="1" si="29"/>
        <v>43.526167654451946</v>
      </c>
      <c r="U81">
        <f>70</f>
        <v>70</v>
      </c>
      <c r="V81">
        <f>30</f>
        <v>30</v>
      </c>
      <c r="W81">
        <f t="shared" ca="1" si="27"/>
        <v>131.33754605422453</v>
      </c>
      <c r="X81">
        <f t="shared" ca="1" si="17"/>
        <v>132.76854687763384</v>
      </c>
      <c r="Y81">
        <f t="shared" ca="1" si="16"/>
        <v>-1.4293064305593077</v>
      </c>
      <c r="Z81">
        <f t="shared" ca="1" si="18"/>
        <v>-1.8874983297399086</v>
      </c>
      <c r="AA81">
        <f t="shared" ca="1" si="19"/>
        <v>0.45819189918060088</v>
      </c>
    </row>
    <row r="82" spans="1:27" x14ac:dyDescent="0.25">
      <c r="A82" s="20">
        <f t="shared" ca="1" si="20"/>
        <v>45810</v>
      </c>
      <c r="B82" vm="239">
        <f ca="1"/>
        <v>45814</v>
      </c>
      <c r="C82" vm="240">
        <f ca="1"/>
        <v>130.03</v>
      </c>
      <c r="D82" vm="241">
        <f ca="1"/>
        <v>7628224</v>
      </c>
      <c r="E82">
        <f t="shared" ca="1" si="21"/>
        <v>991897966.72000003</v>
      </c>
      <c r="F82">
        <f ca="1">SUM($E$2:E82)/SUM($D$2:D82)</f>
        <v>141.61998322349652</v>
      </c>
      <c r="G82">
        <f ca="1">_xlfn.STDEV.P($C$2:C82)</f>
        <v>8.7509075053592316</v>
      </c>
      <c r="H82">
        <f t="shared" ca="1" si="22"/>
        <v>150.37089072885576</v>
      </c>
      <c r="I82">
        <f t="shared" ca="1" si="23"/>
        <v>132.86907571813728</v>
      </c>
      <c r="J82">
        <f t="shared" ca="1" si="12"/>
        <v>130.93050000000002</v>
      </c>
      <c r="K82">
        <f t="shared" ca="1" si="13"/>
        <v>0.97091641463646428</v>
      </c>
      <c r="L82">
        <f t="shared" ca="1" si="14"/>
        <v>132.87233282927295</v>
      </c>
      <c r="M82">
        <f t="shared" ca="1" si="15"/>
        <v>128.9886671707271</v>
      </c>
      <c r="N82">
        <f t="shared" ca="1" si="24"/>
        <v>-1.0800000000000125</v>
      </c>
      <c r="O82">
        <f t="shared" ca="1" si="25"/>
        <v>0</v>
      </c>
      <c r="P82">
        <f t="shared" ca="1" si="26"/>
        <v>1.0800000000000125</v>
      </c>
      <c r="Q82">
        <f t="shared" ca="1" si="30"/>
        <v>0.42999472191419713</v>
      </c>
      <c r="R82">
        <f t="shared" ca="1" si="31"/>
        <v>0.63504747276709084</v>
      </c>
      <c r="S82">
        <f t="shared" ca="1" si="28"/>
        <v>0.67710642173030333</v>
      </c>
      <c r="T82">
        <f t="shared" ca="1" si="29"/>
        <v>40.373491685263446</v>
      </c>
      <c r="U82">
        <f>70</f>
        <v>70</v>
      </c>
      <c r="V82">
        <f>30</f>
        <v>30</v>
      </c>
      <c r="W82">
        <f t="shared" ca="1" si="27"/>
        <v>131.13638512280536</v>
      </c>
      <c r="X82">
        <f t="shared" ca="1" si="17"/>
        <v>132.56569155336467</v>
      </c>
      <c r="Y82">
        <f t="shared" ca="1" si="16"/>
        <v>-1.4172745680066328</v>
      </c>
      <c r="Z82">
        <f t="shared" ca="1" si="18"/>
        <v>-1.7934535773932536</v>
      </c>
      <c r="AA82">
        <f t="shared" ca="1" si="19"/>
        <v>0.37617900938662086</v>
      </c>
    </row>
    <row r="83" spans="1:27" x14ac:dyDescent="0.25">
      <c r="A83" s="20">
        <f t="shared" ca="1" si="20"/>
        <v>45817</v>
      </c>
      <c r="B83" vm="242">
        <f ca="1"/>
        <v>45817</v>
      </c>
      <c r="C83" vm="243">
        <f ca="1"/>
        <v>129.96</v>
      </c>
      <c r="D83" vm="244">
        <f ca="1"/>
        <v>8453146</v>
      </c>
      <c r="E83">
        <f t="shared" ca="1" si="21"/>
        <v>1098570854.1600001</v>
      </c>
      <c r="F83">
        <f ca="1">SUM($E$2:E83)/SUM($D$2:D83)</f>
        <v>141.47198048697715</v>
      </c>
      <c r="G83">
        <f ca="1">_xlfn.STDEV.P($C$2:C83)</f>
        <v>8.795466259045595</v>
      </c>
      <c r="H83">
        <f t="shared" ca="1" si="22"/>
        <v>150.26744674602273</v>
      </c>
      <c r="I83">
        <f t="shared" ca="1" si="23"/>
        <v>132.67651422793156</v>
      </c>
      <c r="J83">
        <f t="shared" ca="1" si="12"/>
        <v>130.90650000000005</v>
      </c>
      <c r="K83">
        <f t="shared" ca="1" si="13"/>
        <v>0.98943511263006145</v>
      </c>
      <c r="L83">
        <f t="shared" ca="1" si="14"/>
        <v>132.88537022526017</v>
      </c>
      <c r="M83">
        <f t="shared" ca="1" si="15"/>
        <v>128.92762977473993</v>
      </c>
      <c r="N83">
        <f t="shared" ca="1" si="24"/>
        <v>-6.9999999999993179E-2</v>
      </c>
      <c r="O83">
        <f t="shared" ca="1" si="25"/>
        <v>0</v>
      </c>
      <c r="P83">
        <f t="shared" ca="1" si="26"/>
        <v>6.9999999999993179E-2</v>
      </c>
      <c r="Q83">
        <f t="shared" ca="1" si="30"/>
        <v>0.3992808132060402</v>
      </c>
      <c r="R83">
        <f t="shared" ca="1" si="31"/>
        <v>0.59468693899801239</v>
      </c>
      <c r="S83">
        <f t="shared" ca="1" si="28"/>
        <v>0.67141345642934103</v>
      </c>
      <c r="T83">
        <f t="shared" ca="1" si="29"/>
        <v>40.170399122171062</v>
      </c>
      <c r="U83">
        <f>70</f>
        <v>70</v>
      </c>
      <c r="V83">
        <f>30</f>
        <v>30</v>
      </c>
      <c r="W83">
        <f t="shared" ca="1" si="27"/>
        <v>130.95540279621991</v>
      </c>
      <c r="X83">
        <f t="shared" ca="1" si="17"/>
        <v>132.37267736422655</v>
      </c>
      <c r="Y83">
        <f t="shared" ca="1" si="16"/>
        <v>-1.2425228287644359</v>
      </c>
      <c r="Z83">
        <f t="shared" ca="1" si="18"/>
        <v>-1.6832674276674902</v>
      </c>
      <c r="AA83">
        <f t="shared" ca="1" si="19"/>
        <v>0.44074459890305429</v>
      </c>
    </row>
    <row r="84" spans="1:27" x14ac:dyDescent="0.25">
      <c r="A84" s="20">
        <f t="shared" ca="1" si="20"/>
        <v>45817</v>
      </c>
      <c r="B84" vm="245">
        <f ca="1"/>
        <v>45818</v>
      </c>
      <c r="C84" vm="246">
        <f ca="1"/>
        <v>131.83000000000001</v>
      </c>
      <c r="D84" vm="247">
        <f ca="1"/>
        <v>11852874</v>
      </c>
      <c r="E84">
        <f t="shared" ca="1" si="21"/>
        <v>1562564379.4200001</v>
      </c>
      <c r="F84">
        <f ca="1">SUM($E$2:E84)/SUM($D$2:D84)</f>
        <v>141.3033711311264</v>
      </c>
      <c r="G84">
        <f ca="1">_xlfn.STDEV.P($C$2:C84)</f>
        <v>8.8090412714235367</v>
      </c>
      <c r="H84">
        <f t="shared" ca="1" si="22"/>
        <v>150.11241240254992</v>
      </c>
      <c r="I84">
        <f t="shared" ca="1" si="23"/>
        <v>132.49432985970287</v>
      </c>
      <c r="J84">
        <f t="shared" ca="1" si="12"/>
        <v>130.91400000000004</v>
      </c>
      <c r="K84">
        <f t="shared" ca="1" si="13"/>
        <v>0.99615259875181783</v>
      </c>
      <c r="L84">
        <f t="shared" ca="1" si="14"/>
        <v>132.90630519750368</v>
      </c>
      <c r="M84">
        <f t="shared" ca="1" si="15"/>
        <v>128.9216948024964</v>
      </c>
      <c r="N84">
        <f t="shared" ca="1" si="24"/>
        <v>1.8700000000000045</v>
      </c>
      <c r="O84">
        <f t="shared" ca="1" si="25"/>
        <v>1.8700000000000045</v>
      </c>
      <c r="P84">
        <f t="shared" ca="1" si="26"/>
        <v>0</v>
      </c>
      <c r="Q84">
        <f t="shared" ca="1" si="30"/>
        <v>0.50433218369132338</v>
      </c>
      <c r="R84">
        <f t="shared" ca="1" si="31"/>
        <v>0.55220930049815442</v>
      </c>
      <c r="S84">
        <f t="shared" ca="1" si="28"/>
        <v>0.91329896696118562</v>
      </c>
      <c r="T84">
        <f t="shared" ca="1" si="29"/>
        <v>47.734252865444283</v>
      </c>
      <c r="U84">
        <f>70</f>
        <v>70</v>
      </c>
      <c r="V84">
        <f>30</f>
        <v>30</v>
      </c>
      <c r="W84">
        <f t="shared" ca="1" si="27"/>
        <v>131.08995621218608</v>
      </c>
      <c r="X84">
        <f t="shared" ca="1" si="17"/>
        <v>132.33247904095052</v>
      </c>
      <c r="Y84">
        <f t="shared" ca="1" si="16"/>
        <v>-1.2454093825916175</v>
      </c>
      <c r="Z84">
        <f t="shared" ca="1" si="18"/>
        <v>-1.5956958186523158</v>
      </c>
      <c r="AA84">
        <f t="shared" ca="1" si="19"/>
        <v>0.35028643606069831</v>
      </c>
    </row>
    <row r="85" spans="1:27" x14ac:dyDescent="0.25">
      <c r="A85" s="20">
        <f t="shared" ca="1" si="20"/>
        <v>45817</v>
      </c>
      <c r="B85" vm="248">
        <f ca="1"/>
        <v>45819</v>
      </c>
      <c r="C85" vm="249">
        <f ca="1"/>
        <v>129.9</v>
      </c>
      <c r="D85" vm="250">
        <f ca="1"/>
        <v>9168356</v>
      </c>
      <c r="E85">
        <f t="shared" ca="1" si="21"/>
        <v>1190969444.4000001</v>
      </c>
      <c r="F85">
        <f ca="1">SUM($E$2:E85)/SUM($D$2:D85)</f>
        <v>141.15118278351929</v>
      </c>
      <c r="G85">
        <f ca="1">_xlfn.STDEV.P($C$2:C85)</f>
        <v>8.8483728733005105</v>
      </c>
      <c r="H85">
        <f t="shared" ca="1" si="22"/>
        <v>149.99955565681981</v>
      </c>
      <c r="I85">
        <f t="shared" ca="1" si="23"/>
        <v>132.30280991021877</v>
      </c>
      <c r="J85">
        <f t="shared" ca="1" si="12"/>
        <v>130.89350000000002</v>
      </c>
      <c r="K85">
        <f t="shared" ca="1" si="13"/>
        <v>1.0133076376012629</v>
      </c>
      <c r="L85">
        <f t="shared" ca="1" si="14"/>
        <v>132.92011527520253</v>
      </c>
      <c r="M85">
        <f t="shared" ca="1" si="15"/>
        <v>128.8668847247975</v>
      </c>
      <c r="N85">
        <f t="shared" ca="1" si="24"/>
        <v>-1.9300000000000068</v>
      </c>
      <c r="O85">
        <f t="shared" ca="1" si="25"/>
        <v>0</v>
      </c>
      <c r="P85">
        <f t="shared" ca="1" si="26"/>
        <v>1.9300000000000068</v>
      </c>
      <c r="Q85">
        <f t="shared" ca="1" si="30"/>
        <v>0.46830845628480028</v>
      </c>
      <c r="R85">
        <f t="shared" ca="1" si="31"/>
        <v>0.6506229218911439</v>
      </c>
      <c r="S85">
        <f t="shared" ca="1" si="28"/>
        <v>0.71978474862764397</v>
      </c>
      <c r="T85">
        <f t="shared" ca="1" si="29"/>
        <v>41.853188266846693</v>
      </c>
      <c r="U85">
        <f>70</f>
        <v>70</v>
      </c>
      <c r="V85">
        <f>30</f>
        <v>30</v>
      </c>
      <c r="W85">
        <f t="shared" ca="1" si="27"/>
        <v>130.90688602569591</v>
      </c>
      <c r="X85">
        <f t="shared" ca="1" si="17"/>
        <v>132.15229540828753</v>
      </c>
      <c r="Y85">
        <f t="shared" ca="1" si="16"/>
        <v>-1.0420252366431839</v>
      </c>
      <c r="Z85">
        <f t="shared" ca="1" si="18"/>
        <v>-1.4849617022504895</v>
      </c>
      <c r="AA85">
        <f t="shared" ca="1" si="19"/>
        <v>0.4429364656073056</v>
      </c>
    </row>
    <row r="86" spans="1:27" x14ac:dyDescent="0.25">
      <c r="A86" s="20">
        <f t="shared" ca="1" si="20"/>
        <v>45817</v>
      </c>
      <c r="B86" vm="251">
        <f ca="1"/>
        <v>45820</v>
      </c>
      <c r="C86" vm="252">
        <f ca="1"/>
        <v>132.30000000000001</v>
      </c>
      <c r="D86" vm="253">
        <f ca="1"/>
        <v>11444911</v>
      </c>
      <c r="E86">
        <f t="shared" ca="1" si="21"/>
        <v>1514161725.3000002</v>
      </c>
      <c r="F86">
        <f ca="1">SUM($E$2:E86)/SUM($D$2:D86)</f>
        <v>141.00614045494098</v>
      </c>
      <c r="G86">
        <f ca="1">_xlfn.STDEV.P($C$2:C86)</f>
        <v>8.851803366397732</v>
      </c>
      <c r="H86">
        <f t="shared" ca="1" si="22"/>
        <v>149.85794382133872</v>
      </c>
      <c r="I86">
        <f t="shared" ca="1" si="23"/>
        <v>132.15433708854323</v>
      </c>
      <c r="J86">
        <f t="shared" ref="J86:J149" ca="1" si="32">AVERAGE(C67:C86)</f>
        <v>131.08600000000004</v>
      </c>
      <c r="K86">
        <f t="shared" ref="K86:K149" ca="1" si="33">_xlfn.STDEV.S(C67:C86)</f>
        <v>0.88184853694115795</v>
      </c>
      <c r="L86">
        <f t="shared" ref="L86:L149" ca="1" si="34">J86 + 2*K86</f>
        <v>132.84969707388237</v>
      </c>
      <c r="M86">
        <f t="shared" ref="M86:M149" ca="1" si="35">J86-2*K86</f>
        <v>129.32230292611771</v>
      </c>
      <c r="N86">
        <f t="shared" ca="1" si="24"/>
        <v>2.4000000000000057</v>
      </c>
      <c r="O86">
        <f t="shared" ca="1" si="25"/>
        <v>2.4000000000000057</v>
      </c>
      <c r="P86">
        <f t="shared" ca="1" si="26"/>
        <v>0</v>
      </c>
      <c r="Q86">
        <f t="shared" ca="1" si="30"/>
        <v>0.60628642369302921</v>
      </c>
      <c r="R86">
        <f t="shared" ca="1" si="31"/>
        <v>0.60414985604177651</v>
      </c>
      <c r="S86">
        <f t="shared" ca="1" si="28"/>
        <v>1.0035364862374558</v>
      </c>
      <c r="T86">
        <f t="shared" ca="1" si="29"/>
        <v>50.088256097698959</v>
      </c>
      <c r="U86">
        <f>70</f>
        <v>70</v>
      </c>
      <c r="V86">
        <f>30</f>
        <v>30</v>
      </c>
      <c r="W86">
        <f t="shared" ca="1" si="27"/>
        <v>131.12121125251193</v>
      </c>
      <c r="X86">
        <f t="shared" ca="1" si="17"/>
        <v>132.16323648915511</v>
      </c>
      <c r="Y86">
        <f t="shared" ca="1" si="16"/>
        <v>-0.98647326774749899</v>
      </c>
      <c r="Z86">
        <f t="shared" ca="1" si="18"/>
        <v>-1.3852640153498914</v>
      </c>
      <c r="AA86">
        <f t="shared" ca="1" si="19"/>
        <v>0.39879074760239241</v>
      </c>
    </row>
    <row r="87" spans="1:27" x14ac:dyDescent="0.25">
      <c r="A87" s="20">
        <f t="shared" ca="1" si="20"/>
        <v>45817</v>
      </c>
      <c r="B87" vm="254">
        <f ca="1"/>
        <v>45821</v>
      </c>
      <c r="C87" vm="255">
        <f ca="1"/>
        <v>130.85</v>
      </c>
      <c r="D87" vm="256">
        <f ca="1"/>
        <v>9581034</v>
      </c>
      <c r="E87">
        <f t="shared" ca="1" si="21"/>
        <v>1253678298.8999999</v>
      </c>
      <c r="F87">
        <f ca="1">SUM($E$2:E87)/SUM($D$2:D87)</f>
        <v>140.86870305814907</v>
      </c>
      <c r="G87">
        <f ca="1">_xlfn.STDEV.P($C$2:C87)</f>
        <v>8.8723165880957886</v>
      </c>
      <c r="H87">
        <f t="shared" ca="1" si="22"/>
        <v>149.74101964624487</v>
      </c>
      <c r="I87">
        <f t="shared" ca="1" si="23"/>
        <v>131.99638647005327</v>
      </c>
      <c r="J87">
        <f t="shared" ca="1" si="32"/>
        <v>131.05350000000001</v>
      </c>
      <c r="K87">
        <f t="shared" ca="1" si="33"/>
        <v>0.87775596056978578</v>
      </c>
      <c r="L87">
        <f t="shared" ca="1" si="34"/>
        <v>132.80901192113959</v>
      </c>
      <c r="M87">
        <f t="shared" ca="1" si="35"/>
        <v>129.29798807886044</v>
      </c>
      <c r="N87">
        <f t="shared" ca="1" si="24"/>
        <v>-1.4500000000000171</v>
      </c>
      <c r="O87">
        <f t="shared" ca="1" si="25"/>
        <v>0</v>
      </c>
      <c r="P87">
        <f t="shared" ca="1" si="26"/>
        <v>1.4500000000000171</v>
      </c>
      <c r="Q87">
        <f t="shared" ca="1" si="30"/>
        <v>0.56298025057209855</v>
      </c>
      <c r="R87">
        <f t="shared" ca="1" si="31"/>
        <v>0.66456772346736515</v>
      </c>
      <c r="S87">
        <f t="shared" ca="1" si="28"/>
        <v>0.84713751615074451</v>
      </c>
      <c r="T87">
        <f t="shared" ca="1" si="29"/>
        <v>45.862179114638792</v>
      </c>
      <c r="U87">
        <f>70</f>
        <v>70</v>
      </c>
      <c r="V87">
        <f>30</f>
        <v>30</v>
      </c>
      <c r="W87">
        <f t="shared" ca="1" si="27"/>
        <v>131.07948644443317</v>
      </c>
      <c r="X87">
        <f t="shared" ca="1" si="17"/>
        <v>132.06595971218067</v>
      </c>
      <c r="Y87">
        <f t="shared" ca="1" si="16"/>
        <v>-0.88703542011984382</v>
      </c>
      <c r="Z87">
        <f t="shared" ca="1" si="18"/>
        <v>-1.285618296303882</v>
      </c>
      <c r="AA87">
        <f t="shared" ca="1" si="19"/>
        <v>0.3985828761840382</v>
      </c>
    </row>
    <row r="88" spans="1:27" x14ac:dyDescent="0.25">
      <c r="A88" s="20">
        <f t="shared" ca="1" si="20"/>
        <v>45824</v>
      </c>
      <c r="B88" vm="257">
        <f ca="1"/>
        <v>45824</v>
      </c>
      <c r="C88" vm="258">
        <f ca="1"/>
        <v>131.41</v>
      </c>
      <c r="D88" vm="259">
        <f ca="1"/>
        <v>11183692</v>
      </c>
      <c r="E88">
        <f t="shared" ca="1" si="21"/>
        <v>1469648965.72</v>
      </c>
      <c r="F88">
        <f ca="1">SUM($E$2:E88)/SUM($D$2:D88)</f>
        <v>140.72161612169975</v>
      </c>
      <c r="G88">
        <f ca="1">_xlfn.STDEV.P($C$2:C88)</f>
        <v>8.8834316875870005</v>
      </c>
      <c r="H88">
        <f t="shared" ca="1" si="22"/>
        <v>149.60504780928676</v>
      </c>
      <c r="I88">
        <f t="shared" ca="1" si="23"/>
        <v>131.83818443411275</v>
      </c>
      <c r="J88">
        <f t="shared" ca="1" si="32"/>
        <v>131.02500000000003</v>
      </c>
      <c r="K88">
        <f t="shared" ca="1" si="33"/>
        <v>0.85505001392654711</v>
      </c>
      <c r="L88">
        <f t="shared" ca="1" si="34"/>
        <v>132.73510002785312</v>
      </c>
      <c r="M88">
        <f t="shared" ca="1" si="35"/>
        <v>129.31489997214695</v>
      </c>
      <c r="N88">
        <f t="shared" ca="1" si="24"/>
        <v>0.56000000000000227</v>
      </c>
      <c r="O88">
        <f t="shared" ca="1" si="25"/>
        <v>0.56000000000000227</v>
      </c>
      <c r="P88">
        <f t="shared" ca="1" si="26"/>
        <v>0</v>
      </c>
      <c r="Q88">
        <f t="shared" ca="1" si="30"/>
        <v>0.56276737553123446</v>
      </c>
      <c r="R88">
        <f t="shared" ca="1" si="31"/>
        <v>0.61709860036255326</v>
      </c>
      <c r="S88">
        <f t="shared" ca="1" si="28"/>
        <v>0.91195697932324182</v>
      </c>
      <c r="T88">
        <f t="shared" ca="1" si="29"/>
        <v>47.697567946640675</v>
      </c>
      <c r="U88">
        <f>70</f>
        <v>70</v>
      </c>
      <c r="V88">
        <f>30</f>
        <v>30</v>
      </c>
      <c r="W88">
        <f t="shared" ca="1" si="27"/>
        <v>131.13033468375113</v>
      </c>
      <c r="X88">
        <f t="shared" ca="1" si="17"/>
        <v>132.01737010387097</v>
      </c>
      <c r="Y88">
        <f t="shared" ca="1" si="16"/>
        <v>-0.96813641790308225</v>
      </c>
      <c r="Z88">
        <f t="shared" ca="1" si="18"/>
        <v>-1.2221219206237222</v>
      </c>
      <c r="AA88">
        <f t="shared" ca="1" si="19"/>
        <v>0.25398550272063991</v>
      </c>
    </row>
    <row r="89" spans="1:27" x14ac:dyDescent="0.25">
      <c r="A89" s="20">
        <f t="shared" ca="1" si="20"/>
        <v>45824</v>
      </c>
      <c r="B89" vm="260">
        <f ca="1"/>
        <v>45825</v>
      </c>
      <c r="C89" vm="261">
        <f ca="1"/>
        <v>129.29</v>
      </c>
      <c r="D89" vm="262">
        <f ca="1"/>
        <v>10235225</v>
      </c>
      <c r="E89">
        <f t="shared" ca="1" si="21"/>
        <v>1323312240.25</v>
      </c>
      <c r="F89">
        <f ca="1">SUM($E$2:E89)/SUM($D$2:D89)</f>
        <v>140.56120843050348</v>
      </c>
      <c r="G89">
        <f ca="1">_xlfn.STDEV.P($C$2:C89)</f>
        <v>8.9217552176758961</v>
      </c>
      <c r="H89">
        <f t="shared" ca="1" si="22"/>
        <v>149.48296364817938</v>
      </c>
      <c r="I89">
        <f t="shared" ca="1" si="23"/>
        <v>131.63945321282759</v>
      </c>
      <c r="J89">
        <f t="shared" ca="1" si="32"/>
        <v>130.89999999999998</v>
      </c>
      <c r="K89">
        <f t="shared" ca="1" si="33"/>
        <v>0.91776616675605704</v>
      </c>
      <c r="L89">
        <f t="shared" ca="1" si="34"/>
        <v>132.73553233351208</v>
      </c>
      <c r="M89">
        <f t="shared" ca="1" si="35"/>
        <v>129.06446766648787</v>
      </c>
      <c r="N89">
        <f t="shared" ca="1" si="24"/>
        <v>-2.1200000000000045</v>
      </c>
      <c r="O89">
        <f t="shared" ca="1" si="25"/>
        <v>0</v>
      </c>
      <c r="P89">
        <f t="shared" ca="1" si="26"/>
        <v>2.1200000000000045</v>
      </c>
      <c r="Q89">
        <f t="shared" ca="1" si="30"/>
        <v>0.52256970585043194</v>
      </c>
      <c r="R89">
        <f t="shared" ca="1" si="31"/>
        <v>0.72444870033665687</v>
      </c>
      <c r="S89">
        <f t="shared" ca="1" si="28"/>
        <v>0.72133431339940257</v>
      </c>
      <c r="T89">
        <f t="shared" ca="1" si="29"/>
        <v>41.905532689629872</v>
      </c>
      <c r="U89">
        <f>70</f>
        <v>70</v>
      </c>
      <c r="V89">
        <f>30</f>
        <v>30</v>
      </c>
      <c r="W89">
        <f t="shared" ca="1" si="27"/>
        <v>130.84720627086634</v>
      </c>
      <c r="X89">
        <f t="shared" ca="1" si="17"/>
        <v>131.81534268876942</v>
      </c>
      <c r="Y89">
        <f t="shared" ca="1" si="16"/>
        <v>-1.0381940495805111</v>
      </c>
      <c r="Z89">
        <f t="shared" ca="1" si="18"/>
        <v>-1.1853363464150799</v>
      </c>
      <c r="AA89">
        <f t="shared" ca="1" si="19"/>
        <v>0.14714229683456881</v>
      </c>
    </row>
    <row r="90" spans="1:27" x14ac:dyDescent="0.25">
      <c r="A90" s="20">
        <f t="shared" ca="1" si="20"/>
        <v>45824</v>
      </c>
      <c r="B90" vm="263">
        <f ca="1"/>
        <v>45826</v>
      </c>
      <c r="C90" vm="264">
        <f ca="1"/>
        <v>129.07</v>
      </c>
      <c r="D90" vm="265">
        <f ca="1"/>
        <v>8785766</v>
      </c>
      <c r="E90">
        <f t="shared" ca="1" si="21"/>
        <v>1133978817.6199999</v>
      </c>
      <c r="F90">
        <f ca="1">SUM($E$2:E90)/SUM($D$2:D90)</f>
        <v>140.42444633217511</v>
      </c>
      <c r="G90">
        <f ca="1">_xlfn.STDEV.P($C$2:C90)</f>
        <v>8.960328467144004</v>
      </c>
      <c r="H90">
        <f t="shared" ca="1" si="22"/>
        <v>149.3847747993191</v>
      </c>
      <c r="I90">
        <f t="shared" ca="1" si="23"/>
        <v>131.46411786503111</v>
      </c>
      <c r="J90">
        <f t="shared" ca="1" si="32"/>
        <v>130.76349999999999</v>
      </c>
      <c r="K90">
        <f t="shared" ca="1" si="33"/>
        <v>0.97791009704100029</v>
      </c>
      <c r="L90">
        <f t="shared" ca="1" si="34"/>
        <v>132.719320194082</v>
      </c>
      <c r="M90">
        <f t="shared" ca="1" si="35"/>
        <v>128.80767980591799</v>
      </c>
      <c r="N90">
        <f t="shared" ca="1" si="24"/>
        <v>-0.21999999999999886</v>
      </c>
      <c r="O90">
        <f t="shared" ca="1" si="25"/>
        <v>0</v>
      </c>
      <c r="P90">
        <f t="shared" ca="1" si="26"/>
        <v>0.21999999999999886</v>
      </c>
      <c r="Q90">
        <f t="shared" ca="1" si="30"/>
        <v>0.48524329828968682</v>
      </c>
      <c r="R90">
        <f t="shared" ca="1" si="31"/>
        <v>0.6884166503126099</v>
      </c>
      <c r="S90">
        <f t="shared" ca="1" si="28"/>
        <v>0.70486862580871323</v>
      </c>
      <c r="T90">
        <f t="shared" ca="1" si="29"/>
        <v>41.344454061635105</v>
      </c>
      <c r="U90">
        <f>70</f>
        <v>70</v>
      </c>
      <c r="V90">
        <f>30</f>
        <v>30</v>
      </c>
      <c r="W90">
        <f t="shared" ca="1" si="27"/>
        <v>130.57378992150228</v>
      </c>
      <c r="X90">
        <f t="shared" ca="1" si="17"/>
        <v>131.61198397108279</v>
      </c>
      <c r="Y90">
        <f t="shared" ca="1" si="16"/>
        <v>-1.0812512362271605</v>
      </c>
      <c r="Z90">
        <f t="shared" ca="1" si="18"/>
        <v>-1.1645193243774961</v>
      </c>
      <c r="AA90">
        <f t="shared" ca="1" si="19"/>
        <v>8.3268088150335595E-2</v>
      </c>
    </row>
    <row r="91" spans="1:27" x14ac:dyDescent="0.25">
      <c r="A91" s="20">
        <f t="shared" ca="1" si="20"/>
        <v>45824</v>
      </c>
      <c r="B91" vm="266">
        <f ca="1"/>
        <v>45828</v>
      </c>
      <c r="C91" vm="264">
        <f ca="1"/>
        <v>129.07</v>
      </c>
      <c r="D91" vm="267">
        <f ca="1"/>
        <v>23000967</v>
      </c>
      <c r="E91">
        <f t="shared" ca="1" si="21"/>
        <v>2968734810.6900001</v>
      </c>
      <c r="F91">
        <f ca="1">SUM($E$2:E91)/SUM($D$2:D91)</f>
        <v>140.08135688903113</v>
      </c>
      <c r="G91">
        <f ca="1">_xlfn.STDEV.P($C$2:C91)</f>
        <v>8.9959500011304794</v>
      </c>
      <c r="H91">
        <f t="shared" ca="1" si="22"/>
        <v>149.07730689016159</v>
      </c>
      <c r="I91">
        <f t="shared" ca="1" si="23"/>
        <v>131.08540688790066</v>
      </c>
      <c r="J91">
        <f t="shared" ca="1" si="32"/>
        <v>130.70949999999999</v>
      </c>
      <c r="K91">
        <f t="shared" ca="1" si="33"/>
        <v>1.0413325218452725</v>
      </c>
      <c r="L91">
        <f t="shared" ca="1" si="34"/>
        <v>132.79216504369055</v>
      </c>
      <c r="M91">
        <f t="shared" ca="1" si="35"/>
        <v>128.62683495630944</v>
      </c>
      <c r="N91">
        <f t="shared" ca="1" si="24"/>
        <v>0</v>
      </c>
      <c r="O91">
        <f t="shared" ca="1" si="25"/>
        <v>0</v>
      </c>
      <c r="P91">
        <f t="shared" ca="1" si="26"/>
        <v>0</v>
      </c>
      <c r="Q91">
        <f t="shared" ca="1" si="30"/>
        <v>0.45058306269756632</v>
      </c>
      <c r="R91">
        <f t="shared" ca="1" si="31"/>
        <v>0.63924403243313777</v>
      </c>
      <c r="S91">
        <f t="shared" ca="1" si="28"/>
        <v>0.70486862580871323</v>
      </c>
      <c r="T91">
        <f t="shared" ca="1" si="29"/>
        <v>41.344454061635105</v>
      </c>
      <c r="U91">
        <f>70</f>
        <v>70</v>
      </c>
      <c r="V91">
        <f>30</f>
        <v>30</v>
      </c>
      <c r="W91">
        <f t="shared" ca="1" si="27"/>
        <v>130.34243762588653</v>
      </c>
      <c r="X91">
        <f t="shared" ca="1" si="17"/>
        <v>131.42368886211369</v>
      </c>
      <c r="Y91">
        <f t="shared" ca="1" si="16"/>
        <v>-1.1010681062639662</v>
      </c>
      <c r="Z91">
        <f t="shared" ca="1" si="18"/>
        <v>-1.1518290807547902</v>
      </c>
      <c r="AA91">
        <f t="shared" ca="1" si="19"/>
        <v>5.0760974490823951E-2</v>
      </c>
    </row>
    <row r="92" spans="1:27" x14ac:dyDescent="0.25">
      <c r="A92" s="20">
        <f t="shared" ca="1" si="20"/>
        <v>45831</v>
      </c>
      <c r="B92" vm="268">
        <f ca="1"/>
        <v>45831</v>
      </c>
      <c r="C92" vm="269">
        <f ca="1"/>
        <v>129.09</v>
      </c>
      <c r="D92" vm="270">
        <f ca="1"/>
        <v>12840356</v>
      </c>
      <c r="E92">
        <f t="shared" ca="1" si="21"/>
        <v>1657561556.04</v>
      </c>
      <c r="F92">
        <f ca="1">SUM($E$2:E92)/SUM($D$2:D92)</f>
        <v>139.89902654708538</v>
      </c>
      <c r="G92">
        <f ca="1">_xlfn.STDEV.P($C$2:C92)</f>
        <v>9.0285283000109438</v>
      </c>
      <c r="H92">
        <f t="shared" ca="1" si="22"/>
        <v>148.92755484709633</v>
      </c>
      <c r="I92">
        <f t="shared" ca="1" si="23"/>
        <v>130.87049824707444</v>
      </c>
      <c r="J92">
        <f t="shared" ca="1" si="32"/>
        <v>130.65800000000002</v>
      </c>
      <c r="K92">
        <f t="shared" ca="1" si="33"/>
        <v>1.0960532065456268</v>
      </c>
      <c r="L92">
        <f t="shared" ca="1" si="34"/>
        <v>132.85010641309128</v>
      </c>
      <c r="M92">
        <f t="shared" ca="1" si="35"/>
        <v>128.46589358690875</v>
      </c>
      <c r="N92">
        <f t="shared" ca="1" si="24"/>
        <v>2.0000000000010232E-2</v>
      </c>
      <c r="O92">
        <f t="shared" ca="1" si="25"/>
        <v>2.0000000000010232E-2</v>
      </c>
      <c r="P92">
        <f t="shared" ca="1" si="26"/>
        <v>0</v>
      </c>
      <c r="Q92">
        <f t="shared" ca="1" si="30"/>
        <v>0.41982712964774088</v>
      </c>
      <c r="R92">
        <f t="shared" ca="1" si="31"/>
        <v>0.5935837444021993</v>
      </c>
      <c r="S92">
        <f t="shared" ca="1" si="28"/>
        <v>0.70727531474189975</v>
      </c>
      <c r="T92">
        <f t="shared" ca="1" si="29"/>
        <v>41.427138823759265</v>
      </c>
      <c r="U92">
        <f>70</f>
        <v>70</v>
      </c>
      <c r="V92">
        <f>30</f>
        <v>30</v>
      </c>
      <c r="W92">
        <f t="shared" ca="1" si="27"/>
        <v>130.14975491421168</v>
      </c>
      <c r="X92">
        <f t="shared" ca="1" si="17"/>
        <v>131.25082302047565</v>
      </c>
      <c r="Y92">
        <f t="shared" ref="Y92:Y155" ca="1" si="36">W93-X93</f>
        <v>-0.94769308300203647</v>
      </c>
      <c r="Z92">
        <f t="shared" ca="1" si="18"/>
        <v>-1.1110018812042395</v>
      </c>
      <c r="AA92">
        <f t="shared" ca="1" si="19"/>
        <v>0.16330879820220301</v>
      </c>
    </row>
    <row r="93" spans="1:27" x14ac:dyDescent="0.25">
      <c r="A93" s="20">
        <f t="shared" ca="1" si="20"/>
        <v>45831</v>
      </c>
      <c r="B93" vm="271">
        <f ca="1"/>
        <v>45832</v>
      </c>
      <c r="C93" vm="272">
        <f ca="1"/>
        <v>131.05000000000001</v>
      </c>
      <c r="D93" vm="273">
        <f ca="1"/>
        <v>9226773</v>
      </c>
      <c r="E93">
        <f t="shared" ca="1" si="21"/>
        <v>1209168601.6500001</v>
      </c>
      <c r="F93">
        <f ca="1">SUM($E$2:E93)/SUM($D$2:D93)</f>
        <v>139.79478768118821</v>
      </c>
      <c r="G93">
        <f ca="1">_xlfn.STDEV.P($C$2:C93)</f>
        <v>9.0339625527199381</v>
      </c>
      <c r="H93">
        <f t="shared" ca="1" si="22"/>
        <v>148.82875023390815</v>
      </c>
      <c r="I93">
        <f t="shared" ca="1" si="23"/>
        <v>130.76082512846827</v>
      </c>
      <c r="J93">
        <f t="shared" ca="1" si="32"/>
        <v>130.74350000000004</v>
      </c>
      <c r="K93">
        <f t="shared" ca="1" si="33"/>
        <v>1.0537066155144663</v>
      </c>
      <c r="L93">
        <f t="shared" ca="1" si="34"/>
        <v>132.85091323102898</v>
      </c>
      <c r="M93">
        <f t="shared" ca="1" si="35"/>
        <v>128.6360867689711</v>
      </c>
      <c r="N93">
        <f t="shared" ca="1" si="24"/>
        <v>1.960000000000008</v>
      </c>
      <c r="O93">
        <f t="shared" ca="1" si="25"/>
        <v>1.960000000000008</v>
      </c>
      <c r="P93">
        <f t="shared" ca="1" si="26"/>
        <v>0</v>
      </c>
      <c r="Q93">
        <f t="shared" ca="1" si="30"/>
        <v>0.52983947753004568</v>
      </c>
      <c r="R93">
        <f t="shared" ca="1" si="31"/>
        <v>0.55118490551632793</v>
      </c>
      <c r="S93">
        <f t="shared" ca="1" si="28"/>
        <v>0.96127356215191218</v>
      </c>
      <c r="T93">
        <f t="shared" ca="1" si="29"/>
        <v>49.012722177175604</v>
      </c>
      <c r="U93">
        <f>70</f>
        <v>70</v>
      </c>
      <c r="V93">
        <f>30</f>
        <v>30</v>
      </c>
      <c r="W93">
        <f t="shared" ca="1" si="27"/>
        <v>130.28825415817911</v>
      </c>
      <c r="X93">
        <f t="shared" ref="X93:X156" ca="1" si="37">C93*(2/(26+1)) + X92*(1-(2/(26+1)))</f>
        <v>131.23594724118115</v>
      </c>
      <c r="Y93">
        <f t="shared" ca="1" si="36"/>
        <v>-1.0584369470218746</v>
      </c>
      <c r="Z93">
        <f t="shared" ca="1" si="18"/>
        <v>-1.1004888943677664</v>
      </c>
      <c r="AA93">
        <f t="shared" ca="1" si="19"/>
        <v>4.2051947345891794E-2</v>
      </c>
    </row>
    <row r="94" spans="1:27" x14ac:dyDescent="0.25">
      <c r="A94" s="20">
        <f t="shared" ca="1" si="20"/>
        <v>45831</v>
      </c>
      <c r="B94" vm="274">
        <f ca="1"/>
        <v>45833</v>
      </c>
      <c r="C94" vm="275">
        <f ca="1"/>
        <v>128.02000000000001</v>
      </c>
      <c r="D94" vm="276">
        <f ca="1"/>
        <v>10922565</v>
      </c>
      <c r="E94">
        <f t="shared" ca="1" si="21"/>
        <v>1398306771.3000002</v>
      </c>
      <c r="F94">
        <f ca="1">SUM($E$2:E94)/SUM($D$2:D94)</f>
        <v>139.63285004353321</v>
      </c>
      <c r="G94">
        <f ca="1">_xlfn.STDEV.P($C$2:C94)</f>
        <v>9.0771844312912506</v>
      </c>
      <c r="H94">
        <f t="shared" ca="1" si="22"/>
        <v>148.71003447482445</v>
      </c>
      <c r="I94">
        <f t="shared" ca="1" si="23"/>
        <v>130.55566561224197</v>
      </c>
      <c r="J94">
        <f t="shared" ca="1" si="32"/>
        <v>130.57600000000002</v>
      </c>
      <c r="K94">
        <f t="shared" ca="1" si="33"/>
        <v>1.2043666166780038</v>
      </c>
      <c r="L94">
        <f t="shared" ca="1" si="34"/>
        <v>132.98473323335602</v>
      </c>
      <c r="M94">
        <f t="shared" ca="1" si="35"/>
        <v>128.16726676664402</v>
      </c>
      <c r="N94">
        <f t="shared" ca="1" si="24"/>
        <v>-3.0300000000000011</v>
      </c>
      <c r="O94">
        <f t="shared" ca="1" si="25"/>
        <v>0</v>
      </c>
      <c r="P94">
        <f t="shared" ca="1" si="26"/>
        <v>3.0300000000000011</v>
      </c>
      <c r="Q94">
        <f t="shared" ca="1" si="30"/>
        <v>0.49199380056361386</v>
      </c>
      <c r="R94">
        <f t="shared" ca="1" si="31"/>
        <v>0.72824312655087609</v>
      </c>
      <c r="S94">
        <f t="shared" ca="1" si="28"/>
        <v>0.67559003665960793</v>
      </c>
      <c r="T94">
        <f t="shared" ca="1" si="29"/>
        <v>40.319530546173354</v>
      </c>
      <c r="U94">
        <f>70</f>
        <v>70</v>
      </c>
      <c r="V94">
        <f>30</f>
        <v>30</v>
      </c>
      <c r="W94">
        <f t="shared" ca="1" si="27"/>
        <v>129.93929197999771</v>
      </c>
      <c r="X94">
        <f t="shared" ca="1" si="37"/>
        <v>130.99772892701958</v>
      </c>
      <c r="Y94">
        <f t="shared" ca="1" si="36"/>
        <v>-1.117185707185314</v>
      </c>
      <c r="Z94">
        <f t="shared" ca="1" si="18"/>
        <v>-1.1038282569312761</v>
      </c>
      <c r="AA94">
        <f t="shared" ca="1" si="19"/>
        <v>-1.3357450254037895E-2</v>
      </c>
    </row>
    <row r="95" spans="1:27" x14ac:dyDescent="0.25">
      <c r="A95" s="20">
        <f t="shared" ca="1" si="20"/>
        <v>45831</v>
      </c>
      <c r="B95" vm="277">
        <f ca="1"/>
        <v>45834</v>
      </c>
      <c r="C95" vm="278">
        <f ca="1"/>
        <v>128.22</v>
      </c>
      <c r="D95" vm="279">
        <f ca="1"/>
        <v>11538069</v>
      </c>
      <c r="E95">
        <f t="shared" ca="1" si="21"/>
        <v>1479411207.1800001</v>
      </c>
      <c r="F95">
        <f ca="1">SUM($E$2:E95)/SUM($D$2:D95)</f>
        <v>139.46941946446361</v>
      </c>
      <c r="G95">
        <f ca="1">_xlfn.STDEV.P($C$2:C95)</f>
        <v>9.1145409454402504</v>
      </c>
      <c r="H95">
        <f t="shared" ca="1" si="22"/>
        <v>148.58396040990385</v>
      </c>
      <c r="I95">
        <f t="shared" ca="1" si="23"/>
        <v>130.35487851902337</v>
      </c>
      <c r="J95">
        <f t="shared" ca="1" si="32"/>
        <v>130.45350000000002</v>
      </c>
      <c r="K95">
        <f t="shared" ca="1" si="33"/>
        <v>1.3139185066453949</v>
      </c>
      <c r="L95">
        <f t="shared" ca="1" si="34"/>
        <v>133.08133701329081</v>
      </c>
      <c r="M95">
        <f t="shared" ca="1" si="35"/>
        <v>127.82566298670923</v>
      </c>
      <c r="N95">
        <f t="shared" ca="1" si="24"/>
        <v>0.19999999999998863</v>
      </c>
      <c r="O95">
        <f t="shared" ca="1" si="25"/>
        <v>0.19999999999998863</v>
      </c>
      <c r="P95">
        <f t="shared" ca="1" si="26"/>
        <v>0</v>
      </c>
      <c r="Q95">
        <f t="shared" ca="1" si="30"/>
        <v>0.47113710052335495</v>
      </c>
      <c r="R95">
        <f t="shared" ca="1" si="31"/>
        <v>0.67622576036867066</v>
      </c>
      <c r="S95">
        <f t="shared" ca="1" si="28"/>
        <v>0.69671569486867269</v>
      </c>
      <c r="T95">
        <f t="shared" ca="1" si="29"/>
        <v>41.062606833645106</v>
      </c>
      <c r="U95">
        <f>70</f>
        <v>70</v>
      </c>
      <c r="V95">
        <f>30</f>
        <v>30</v>
      </c>
      <c r="W95">
        <f t="shared" ca="1" si="27"/>
        <v>129.67478552153651</v>
      </c>
      <c r="X95">
        <f t="shared" ca="1" si="37"/>
        <v>130.79197122872182</v>
      </c>
      <c r="Y95">
        <f t="shared" ca="1" si="36"/>
        <v>-0.92552521207477412</v>
      </c>
      <c r="Z95">
        <f t="shared" ca="1" si="18"/>
        <v>-1.0681676479599758</v>
      </c>
      <c r="AA95">
        <f t="shared" ca="1" si="19"/>
        <v>0.14264243588520165</v>
      </c>
    </row>
    <row r="96" spans="1:27" x14ac:dyDescent="0.25">
      <c r="A96" s="20">
        <f t="shared" ca="1" si="20"/>
        <v>45831</v>
      </c>
      <c r="B96" vm="280">
        <f ca="1"/>
        <v>45835</v>
      </c>
      <c r="C96" vm="281">
        <f ca="1"/>
        <v>131.04</v>
      </c>
      <c r="D96" vm="282">
        <f ca="1"/>
        <v>26536478</v>
      </c>
      <c r="E96">
        <f t="shared" ca="1" si="21"/>
        <v>3477340077.1199999</v>
      </c>
      <c r="F96">
        <f ca="1">SUM($E$2:E96)/SUM($D$2:D96)</f>
        <v>139.20065348442839</v>
      </c>
      <c r="G96">
        <f ca="1">_xlfn.STDEV.P($C$2:C96)</f>
        <v>9.1150348730458575</v>
      </c>
      <c r="H96">
        <f t="shared" ca="1" si="22"/>
        <v>148.31568835747424</v>
      </c>
      <c r="I96">
        <f t="shared" ca="1" si="23"/>
        <v>130.08561861138253</v>
      </c>
      <c r="J96">
        <f t="shared" ca="1" si="32"/>
        <v>130.40950000000001</v>
      </c>
      <c r="K96">
        <f t="shared" ca="1" si="33"/>
        <v>1.2764237664580482</v>
      </c>
      <c r="L96">
        <f t="shared" ca="1" si="34"/>
        <v>132.96234753291611</v>
      </c>
      <c r="M96">
        <f t="shared" ca="1" si="35"/>
        <v>127.85665246708392</v>
      </c>
      <c r="N96">
        <f t="shared" ca="1" si="24"/>
        <v>2.8199999999999932</v>
      </c>
      <c r="O96">
        <f t="shared" ca="1" si="25"/>
        <v>2.8199999999999932</v>
      </c>
      <c r="P96">
        <f t="shared" ca="1" si="26"/>
        <v>0</v>
      </c>
      <c r="Q96">
        <f t="shared" ca="1" si="30"/>
        <v>0.63891302191454336</v>
      </c>
      <c r="R96">
        <f t="shared" ca="1" si="31"/>
        <v>0.62792392034233713</v>
      </c>
      <c r="S96">
        <f t="shared" ca="1" si="28"/>
        <v>1.0175006895201812</v>
      </c>
      <c r="T96">
        <f t="shared" ca="1" si="29"/>
        <v>50.433722020792558</v>
      </c>
      <c r="U96">
        <f>70</f>
        <v>70</v>
      </c>
      <c r="V96">
        <f>30</f>
        <v>30</v>
      </c>
      <c r="W96">
        <f t="shared" ca="1" si="27"/>
        <v>129.8848185182232</v>
      </c>
      <c r="X96">
        <f t="shared" ca="1" si="37"/>
        <v>130.81034373029797</v>
      </c>
      <c r="Y96">
        <f t="shared" ca="1" si="36"/>
        <v>-0.68504447987055528</v>
      </c>
      <c r="Z96">
        <f t="shared" ca="1" si="18"/>
        <v>-0.99154301434209169</v>
      </c>
      <c r="AA96">
        <f t="shared" ca="1" si="19"/>
        <v>0.30649853447153641</v>
      </c>
    </row>
    <row r="97" spans="1:28" x14ac:dyDescent="0.25">
      <c r="A97" s="20">
        <f t="shared" ca="1" si="20"/>
        <v>45838</v>
      </c>
      <c r="B97" vm="283">
        <f ca="1"/>
        <v>45838</v>
      </c>
      <c r="C97" vm="284">
        <f ca="1"/>
        <v>132.04</v>
      </c>
      <c r="D97" vm="285">
        <f ca="1"/>
        <v>11402443</v>
      </c>
      <c r="E97">
        <f t="shared" ca="1" si="21"/>
        <v>1505578573.7199998</v>
      </c>
      <c r="F97">
        <f ca="1">SUM($E$2:E97)/SUM($D$2:D97)</f>
        <v>139.10387600085923</v>
      </c>
      <c r="G97">
        <f ca="1">_xlfn.STDEV.P($C$2:C97)</f>
        <v>9.1047731906982801</v>
      </c>
      <c r="H97">
        <f t="shared" ca="1" si="22"/>
        <v>148.2086491915575</v>
      </c>
      <c r="I97">
        <f t="shared" ca="1" si="23"/>
        <v>129.99910281016096</v>
      </c>
      <c r="J97">
        <f t="shared" ca="1" si="32"/>
        <v>130.43899999999999</v>
      </c>
      <c r="K97">
        <f t="shared" ca="1" si="33"/>
        <v>1.3081602187403267</v>
      </c>
      <c r="L97">
        <f t="shared" ca="1" si="34"/>
        <v>133.05532043748065</v>
      </c>
      <c r="M97">
        <f t="shared" ca="1" si="35"/>
        <v>127.82267956251934</v>
      </c>
      <c r="N97">
        <f t="shared" ca="1" si="24"/>
        <v>1</v>
      </c>
      <c r="O97">
        <f t="shared" ca="1" si="25"/>
        <v>1</v>
      </c>
      <c r="P97">
        <f t="shared" ca="1" si="26"/>
        <v>0</v>
      </c>
      <c r="Q97">
        <f t="shared" ca="1" si="30"/>
        <v>0.66470494892064735</v>
      </c>
      <c r="R97">
        <f t="shared" ca="1" si="31"/>
        <v>0.58307221174645585</v>
      </c>
      <c r="S97">
        <f t="shared" ca="1" si="28"/>
        <v>1.1400045063538182</v>
      </c>
      <c r="T97">
        <f t="shared" ca="1" si="29"/>
        <v>53.271126437774669</v>
      </c>
      <c r="U97">
        <f>70</f>
        <v>70</v>
      </c>
      <c r="V97">
        <f>30</f>
        <v>30</v>
      </c>
      <c r="W97">
        <f t="shared" ca="1" si="27"/>
        <v>130.216384900035</v>
      </c>
      <c r="X97">
        <f t="shared" ca="1" si="37"/>
        <v>130.90142937990555</v>
      </c>
      <c r="Y97">
        <f t="shared" ca="1" si="36"/>
        <v>-0.23196077823050132</v>
      </c>
      <c r="Z97">
        <f t="shared" ca="1" si="18"/>
        <v>-0.83962656711977357</v>
      </c>
      <c r="AA97">
        <f t="shared" ca="1" si="19"/>
        <v>0.60766578888927225</v>
      </c>
    </row>
    <row r="98" spans="1:28" x14ac:dyDescent="0.25">
      <c r="A98" s="20">
        <f t="shared" ca="1" si="20"/>
        <v>45838</v>
      </c>
      <c r="B98" vm="286">
        <f ca="1"/>
        <v>45839</v>
      </c>
      <c r="C98" vm="287">
        <f ca="1"/>
        <v>135.26</v>
      </c>
      <c r="D98" vm="288">
        <f ca="1"/>
        <v>12846685</v>
      </c>
      <c r="E98">
        <f t="shared" ca="1" si="21"/>
        <v>1737642613.0999999</v>
      </c>
      <c r="F98">
        <f ca="1">SUM($E$2:E98)/SUM($D$2:D98)</f>
        <v>139.046223117072</v>
      </c>
      <c r="G98">
        <f ca="1">_xlfn.STDEV.P($C$2:C98)</f>
        <v>9.0707329926597353</v>
      </c>
      <c r="H98">
        <f t="shared" ca="1" si="22"/>
        <v>148.11695610973175</v>
      </c>
      <c r="I98">
        <f t="shared" ca="1" si="23"/>
        <v>129.97549012441226</v>
      </c>
      <c r="J98">
        <f t="shared" ca="1" si="32"/>
        <v>130.65649999999997</v>
      </c>
      <c r="K98">
        <f t="shared" ca="1" si="33"/>
        <v>1.6950152149604341</v>
      </c>
      <c r="L98">
        <f t="shared" ca="1" si="34"/>
        <v>134.04653042992084</v>
      </c>
      <c r="M98">
        <f t="shared" ca="1" si="35"/>
        <v>127.2664695700791</v>
      </c>
      <c r="N98">
        <f t="shared" ca="1" si="24"/>
        <v>3.2199999999999989</v>
      </c>
      <c r="O98">
        <f t="shared" ca="1" si="25"/>
        <v>3.2199999999999989</v>
      </c>
      <c r="P98">
        <f t="shared" ca="1" si="26"/>
        <v>0</v>
      </c>
      <c r="Q98">
        <f t="shared" ca="1" si="30"/>
        <v>0.84722602399774394</v>
      </c>
      <c r="R98">
        <f t="shared" ca="1" si="31"/>
        <v>0.54142419662170904</v>
      </c>
      <c r="S98">
        <f t="shared" ca="1" si="28"/>
        <v>1.5648100496507684</v>
      </c>
      <c r="T98">
        <f t="shared" ca="1" si="29"/>
        <v>61.010757886878885</v>
      </c>
      <c r="U98">
        <f>70</f>
        <v>70</v>
      </c>
      <c r="V98">
        <f>30</f>
        <v>30</v>
      </c>
      <c r="W98">
        <f t="shared" ca="1" si="27"/>
        <v>130.99232568464501</v>
      </c>
      <c r="X98">
        <f t="shared" ca="1" si="37"/>
        <v>131.22428646287551</v>
      </c>
      <c r="Y98">
        <f t="shared" ca="1" si="36"/>
        <v>0.22298469488609385</v>
      </c>
      <c r="Z98">
        <f t="shared" ca="1" si="18"/>
        <v>-0.62710431471860018</v>
      </c>
      <c r="AA98">
        <f t="shared" ca="1" si="19"/>
        <v>0.85008900960469402</v>
      </c>
    </row>
    <row r="99" spans="1:28" x14ac:dyDescent="0.25">
      <c r="A99" s="20">
        <f t="shared" ca="1" si="20"/>
        <v>45838</v>
      </c>
      <c r="B99" vm="289">
        <f ca="1"/>
        <v>45840</v>
      </c>
      <c r="C99" vm="290">
        <f ca="1"/>
        <v>136.47999999999999</v>
      </c>
      <c r="D99" vm="291">
        <f ca="1"/>
        <v>9388667</v>
      </c>
      <c r="E99">
        <f t="shared" ca="1" si="21"/>
        <v>1281365272.1599998</v>
      </c>
      <c r="F99">
        <f ca="1">SUM($E$2:E99)/SUM($D$2:D99)</f>
        <v>139.01839880845984</v>
      </c>
      <c r="G99">
        <f ca="1">_xlfn.STDEV.P($C$2:C99)</f>
        <v>9.0313406994619818</v>
      </c>
      <c r="H99">
        <f t="shared" ca="1" si="22"/>
        <v>148.04973950792183</v>
      </c>
      <c r="I99">
        <f t="shared" ca="1" si="23"/>
        <v>129.98705810899784</v>
      </c>
      <c r="J99">
        <f t="shared" ca="1" si="32"/>
        <v>130.88799999999998</v>
      </c>
      <c r="K99">
        <f t="shared" ca="1" si="33"/>
        <v>2.1275797962646843</v>
      </c>
      <c r="L99">
        <f t="shared" ca="1" si="34"/>
        <v>135.14315959252934</v>
      </c>
      <c r="M99">
        <f t="shared" ca="1" si="35"/>
        <v>126.63284040747061</v>
      </c>
      <c r="N99">
        <f t="shared" ca="1" si="24"/>
        <v>1.2199999999999989</v>
      </c>
      <c r="O99">
        <f t="shared" ca="1" si="25"/>
        <v>1.2199999999999989</v>
      </c>
      <c r="P99">
        <f t="shared" ca="1" si="26"/>
        <v>0</v>
      </c>
      <c r="Q99">
        <f t="shared" ca="1" si="30"/>
        <v>0.8738527365693336</v>
      </c>
      <c r="R99">
        <f t="shared" ca="1" si="31"/>
        <v>0.50275103972015844</v>
      </c>
      <c r="S99">
        <f t="shared" ca="1" si="28"/>
        <v>1.7381420773505272</v>
      </c>
      <c r="T99">
        <f t="shared" ca="1" si="29"/>
        <v>63.478885618396511</v>
      </c>
      <c r="U99">
        <f>70</f>
        <v>70</v>
      </c>
      <c r="V99">
        <f>30</f>
        <v>30</v>
      </c>
      <c r="W99">
        <f t="shared" ca="1" si="27"/>
        <v>131.83658327162269</v>
      </c>
      <c r="X99">
        <f t="shared" ca="1" si="37"/>
        <v>131.61359857673659</v>
      </c>
      <c r="Y99">
        <f t="shared" ca="1" si="36"/>
        <v>0.48913303200154701</v>
      </c>
      <c r="Z99">
        <f t="shared" ca="1" si="18"/>
        <v>-0.40385684537457078</v>
      </c>
      <c r="AA99">
        <f t="shared" ca="1" si="19"/>
        <v>0.89298987737611779</v>
      </c>
    </row>
    <row r="100" spans="1:28" x14ac:dyDescent="0.25">
      <c r="A100" s="20">
        <f t="shared" ca="1" si="20"/>
        <v>45838</v>
      </c>
      <c r="B100" vm="292">
        <f ca="1"/>
        <v>45841</v>
      </c>
      <c r="C100" vm="293">
        <f ca="1"/>
        <v>135.38</v>
      </c>
      <c r="D100" vm="294">
        <f ca="1"/>
        <v>4941378</v>
      </c>
      <c r="E100">
        <f t="shared" ca="1" si="21"/>
        <v>668963753.63999999</v>
      </c>
      <c r="F100">
        <f ca="1">SUM($E$2:E100)/SUM($D$2:D100)</f>
        <v>138.99775389199829</v>
      </c>
      <c r="G100">
        <f ca="1">_xlfn.STDEV.P($C$2:C100)</f>
        <v>8.9973919224961669</v>
      </c>
      <c r="H100">
        <f t="shared" ca="1" si="22"/>
        <v>147.99514581449446</v>
      </c>
      <c r="I100">
        <f t="shared" ca="1" si="23"/>
        <v>130.00036196950211</v>
      </c>
      <c r="J100">
        <f t="shared" ca="1" si="32"/>
        <v>131.07</v>
      </c>
      <c r="K100">
        <f t="shared" ca="1" si="33"/>
        <v>2.3485157686908265</v>
      </c>
      <c r="L100">
        <f t="shared" ca="1" si="34"/>
        <v>135.76703153738165</v>
      </c>
      <c r="M100">
        <f t="shared" ca="1" si="35"/>
        <v>126.37296846261835</v>
      </c>
      <c r="N100">
        <f t="shared" ca="1" si="24"/>
        <v>-1.0999999999999943</v>
      </c>
      <c r="O100">
        <f t="shared" ca="1" si="25"/>
        <v>0</v>
      </c>
      <c r="P100">
        <f t="shared" ca="1" si="26"/>
        <v>1.0999999999999943</v>
      </c>
      <c r="Q100">
        <f t="shared" ca="1" si="30"/>
        <v>0.81143468395723839</v>
      </c>
      <c r="R100">
        <f t="shared" ca="1" si="31"/>
        <v>0.5454116797401467</v>
      </c>
      <c r="S100">
        <f t="shared" ca="1" si="28"/>
        <v>1.4877471717214314</v>
      </c>
      <c r="T100">
        <f t="shared" ca="1" si="29"/>
        <v>59.802989171603159</v>
      </c>
      <c r="U100">
        <f>70</f>
        <v>70</v>
      </c>
      <c r="V100">
        <f>30</f>
        <v>30</v>
      </c>
      <c r="W100">
        <f t="shared" ca="1" si="27"/>
        <v>132.38172430675766</v>
      </c>
      <c r="X100">
        <f t="shared" ca="1" si="37"/>
        <v>131.89259127475611</v>
      </c>
      <c r="Y100">
        <f t="shared" ca="1" si="36"/>
        <v>0.61789160914895547</v>
      </c>
      <c r="Z100">
        <f t="shared" ca="1" si="18"/>
        <v>-0.19950715446986556</v>
      </c>
      <c r="AA100">
        <f t="shared" ca="1" si="19"/>
        <v>0.81739876361882102</v>
      </c>
    </row>
    <row r="101" spans="1:28" x14ac:dyDescent="0.25">
      <c r="A101" s="20">
        <f t="shared" ca="1" si="20"/>
        <v>45845</v>
      </c>
      <c r="B101" vm="295">
        <f ca="1"/>
        <v>45845</v>
      </c>
      <c r="C101" vm="296">
        <f ca="1"/>
        <v>134.44999999999999</v>
      </c>
      <c r="D101" vm="297">
        <f ca="1"/>
        <v>7773744</v>
      </c>
      <c r="E101">
        <f t="shared" ca="1" si="21"/>
        <v>1045179880.8</v>
      </c>
      <c r="F101">
        <f ca="1">SUM($E$2:E101)/SUM($D$2:D101)</f>
        <v>138.95751718986639</v>
      </c>
      <c r="G101">
        <f ca="1">_xlfn.STDEV.P($C$2:C101)</f>
        <v>8.9689195083633138</v>
      </c>
      <c r="H101">
        <f t="shared" ca="1" si="22"/>
        <v>147.92643669822971</v>
      </c>
      <c r="I101">
        <f t="shared" ca="1" si="23"/>
        <v>129.98859768150308</v>
      </c>
      <c r="J101">
        <f t="shared" ca="1" si="32"/>
        <v>131.23699999999997</v>
      </c>
      <c r="K101">
        <f t="shared" ca="1" si="33"/>
        <v>2.467259506757284</v>
      </c>
      <c r="L101">
        <f t="shared" ca="1" si="34"/>
        <v>136.17151901351454</v>
      </c>
      <c r="M101">
        <f t="shared" ca="1" si="35"/>
        <v>126.30248098648539</v>
      </c>
      <c r="N101">
        <f t="shared" ca="1" si="24"/>
        <v>-0.93000000000000682</v>
      </c>
      <c r="O101">
        <f t="shared" ca="1" si="25"/>
        <v>0</v>
      </c>
      <c r="P101">
        <f t="shared" ca="1" si="26"/>
        <v>0.93000000000000682</v>
      </c>
      <c r="Q101">
        <f t="shared" ca="1" si="30"/>
        <v>0.7534750636745785</v>
      </c>
      <c r="R101">
        <f t="shared" ca="1" si="31"/>
        <v>0.57288227404442238</v>
      </c>
      <c r="S101">
        <f t="shared" ca="1" si="28"/>
        <v>1.315235429358306</v>
      </c>
      <c r="T101">
        <f t="shared" ca="1" si="29"/>
        <v>56.807848250786243</v>
      </c>
      <c r="U101">
        <f>70</f>
        <v>70</v>
      </c>
      <c r="V101">
        <f>30</f>
        <v>30</v>
      </c>
      <c r="W101">
        <f t="shared" ca="1" si="27"/>
        <v>132.69992056725647</v>
      </c>
      <c r="X101">
        <f t="shared" ca="1" si="37"/>
        <v>132.08202895810751</v>
      </c>
      <c r="Y101">
        <f t="shared" ca="1" si="36"/>
        <v>0.75879486350493153</v>
      </c>
      <c r="Z101">
        <f t="shared" ca="1" si="18"/>
        <v>-7.8467508749061332E-3</v>
      </c>
      <c r="AA101">
        <f t="shared" ca="1" si="19"/>
        <v>0.76664161437983769</v>
      </c>
      <c r="AB101">
        <f ca="1">AVERAGE(C2:C101)</f>
        <v>139.88145000000006</v>
      </c>
    </row>
    <row r="102" spans="1:28" x14ac:dyDescent="0.25">
      <c r="A102" s="20">
        <f t="shared" ca="1" si="20"/>
        <v>45845</v>
      </c>
      <c r="B102" vm="298">
        <f ca="1"/>
        <v>45846</v>
      </c>
      <c r="C102" vm="299">
        <f ca="1"/>
        <v>135.04</v>
      </c>
      <c r="D102" vm="300">
        <f ca="1"/>
        <v>7718265</v>
      </c>
      <c r="E102">
        <f t="shared" ca="1" si="21"/>
        <v>1042274505.5999999</v>
      </c>
      <c r="F102">
        <f ca="1">SUM($E$2:E102)/SUM($D$2:D102)</f>
        <v>138.92340360156811</v>
      </c>
      <c r="G102">
        <f ca="1">_xlfn.STDEV.P($C$2:C102)</f>
        <v>8.937272756774707</v>
      </c>
      <c r="H102">
        <f t="shared" ca="1" si="22"/>
        <v>147.86067635834283</v>
      </c>
      <c r="I102">
        <f t="shared" ca="1" si="23"/>
        <v>129.98613084479339</v>
      </c>
      <c r="J102">
        <f t="shared" ca="1" si="32"/>
        <v>131.48749999999998</v>
      </c>
      <c r="K102">
        <f t="shared" ca="1" si="33"/>
        <v>2.5895638222437514</v>
      </c>
      <c r="L102">
        <f t="shared" ca="1" si="34"/>
        <v>136.66662764448748</v>
      </c>
      <c r="M102">
        <f t="shared" ca="1" si="35"/>
        <v>126.30837235551247</v>
      </c>
      <c r="N102">
        <f t="shared" ca="1" si="24"/>
        <v>0.59000000000000341</v>
      </c>
      <c r="O102">
        <f t="shared" ca="1" si="25"/>
        <v>0.59000000000000341</v>
      </c>
      <c r="P102">
        <f t="shared" ca="1" si="26"/>
        <v>0</v>
      </c>
      <c r="Q102">
        <f t="shared" ca="1" si="30"/>
        <v>0.74179827341210891</v>
      </c>
      <c r="R102">
        <f t="shared" ca="1" si="31"/>
        <v>0.53196211161267792</v>
      </c>
      <c r="S102">
        <f t="shared" ca="1" si="28"/>
        <v>1.3944569683041879</v>
      </c>
      <c r="T102">
        <f t="shared" ca="1" si="29"/>
        <v>58.236877369810323</v>
      </c>
      <c r="U102">
        <f>70</f>
        <v>70</v>
      </c>
      <c r="V102">
        <f>30</f>
        <v>30</v>
      </c>
      <c r="W102">
        <f t="shared" ca="1" si="27"/>
        <v>133.05993278767855</v>
      </c>
      <c r="X102">
        <f t="shared" ca="1" si="37"/>
        <v>132.30113792417362</v>
      </c>
      <c r="Y102">
        <f t="shared" ca="1" si="36"/>
        <v>0.81586955152167207</v>
      </c>
      <c r="Z102">
        <f t="shared" ref="Z102:Z165" ca="1" si="38">Y102*(2/(9+1)) + Z101*(1-(2/(9+1)))</f>
        <v>0.15689650960440951</v>
      </c>
      <c r="AA102">
        <f t="shared" ref="AA102:AA165" ca="1" si="39">Y102-Z102</f>
        <v>0.65897304191726258</v>
      </c>
      <c r="AB102">
        <f t="shared" ref="AB102:AB165" ca="1" si="40">AVERAGE(C3:C102)</f>
        <v>139.77545000000006</v>
      </c>
    </row>
    <row r="103" spans="1:28" x14ac:dyDescent="0.25">
      <c r="A103" s="20">
        <f t="shared" ca="1" si="20"/>
        <v>45845</v>
      </c>
      <c r="B103" vm="301">
        <f ca="1"/>
        <v>45847</v>
      </c>
      <c r="C103" vm="302">
        <f ca="1"/>
        <v>134.47999999999999</v>
      </c>
      <c r="D103" vm="303">
        <f ca="1"/>
        <v>7762618</v>
      </c>
      <c r="E103">
        <f t="shared" ca="1" si="21"/>
        <v>1043916868.6399999</v>
      </c>
      <c r="F103">
        <f ca="1">SUM($E$2:E103)/SUM($D$2:D103)</f>
        <v>138.88482612710453</v>
      </c>
      <c r="G103">
        <f ca="1">_xlfn.STDEV.P($C$2:C103)</f>
        <v>8.9089833583595333</v>
      </c>
      <c r="H103">
        <f t="shared" ca="1" si="22"/>
        <v>147.79380948546407</v>
      </c>
      <c r="I103">
        <f t="shared" ca="1" si="23"/>
        <v>129.975842768745</v>
      </c>
      <c r="J103">
        <f t="shared" ca="1" si="32"/>
        <v>131.71349999999998</v>
      </c>
      <c r="K103">
        <f t="shared" ca="1" si="33"/>
        <v>2.6458632558053781</v>
      </c>
      <c r="L103">
        <f t="shared" ca="1" si="34"/>
        <v>137.00522651161074</v>
      </c>
      <c r="M103">
        <f t="shared" ca="1" si="35"/>
        <v>126.42177348838922</v>
      </c>
      <c r="N103">
        <f t="shared" ca="1" si="24"/>
        <v>-0.56000000000000227</v>
      </c>
      <c r="O103">
        <f t="shared" ca="1" si="25"/>
        <v>0</v>
      </c>
      <c r="P103">
        <f t="shared" ca="1" si="26"/>
        <v>0.56000000000000227</v>
      </c>
      <c r="Q103">
        <f t="shared" ca="1" si="30"/>
        <v>0.6888126824541011</v>
      </c>
      <c r="R103">
        <f t="shared" ca="1" si="31"/>
        <v>0.53396481792605821</v>
      </c>
      <c r="S103">
        <f t="shared" ca="1" si="28"/>
        <v>1.2899963805283623</v>
      </c>
      <c r="T103">
        <f t="shared" ca="1" si="29"/>
        <v>56.33180870926644</v>
      </c>
      <c r="U103">
        <f>70</f>
        <v>70</v>
      </c>
      <c r="V103">
        <f>30</f>
        <v>30</v>
      </c>
      <c r="W103">
        <f t="shared" ca="1" si="27"/>
        <v>133.27840466649724</v>
      </c>
      <c r="X103">
        <f t="shared" ca="1" si="37"/>
        <v>132.46253511497557</v>
      </c>
      <c r="Y103">
        <f t="shared" ca="1" si="36"/>
        <v>0.97892385636072277</v>
      </c>
      <c r="Z103">
        <f t="shared" ca="1" si="38"/>
        <v>0.32130197895567214</v>
      </c>
      <c r="AA103">
        <f t="shared" ca="1" si="39"/>
        <v>0.65762187740505063</v>
      </c>
      <c r="AB103">
        <f t="shared" ca="1" si="40"/>
        <v>139.68035000000006</v>
      </c>
    </row>
    <row r="104" spans="1:28" x14ac:dyDescent="0.25">
      <c r="A104" s="20">
        <f t="shared" ca="1" si="20"/>
        <v>45845</v>
      </c>
      <c r="B104" vm="304">
        <f ca="1"/>
        <v>45848</v>
      </c>
      <c r="C104" vm="305">
        <f ca="1"/>
        <v>136.08000000000001</v>
      </c>
      <c r="D104" vm="306">
        <f ca="1"/>
        <v>8870905</v>
      </c>
      <c r="E104">
        <f t="shared" ca="1" si="21"/>
        <v>1207152752.4000001</v>
      </c>
      <c r="F104">
        <f ca="1">SUM($E$2:E104)/SUM($D$2:D104)</f>
        <v>138.8572714030941</v>
      </c>
      <c r="G104">
        <f ca="1">_xlfn.STDEV.P($C$2:C104)</f>
        <v>8.8730545790832132</v>
      </c>
      <c r="H104">
        <f t="shared" ca="1" si="22"/>
        <v>147.73032598217731</v>
      </c>
      <c r="I104">
        <f t="shared" ca="1" si="23"/>
        <v>129.9842168240109</v>
      </c>
      <c r="J104">
        <f t="shared" ca="1" si="32"/>
        <v>131.92599999999999</v>
      </c>
      <c r="K104">
        <f t="shared" ca="1" si="33"/>
        <v>2.8206091167465361</v>
      </c>
      <c r="L104">
        <f t="shared" ca="1" si="34"/>
        <v>137.56721823349307</v>
      </c>
      <c r="M104">
        <f t="shared" ca="1" si="35"/>
        <v>126.28478176650691</v>
      </c>
      <c r="N104">
        <f t="shared" ca="1" si="24"/>
        <v>1.6000000000000227</v>
      </c>
      <c r="O104">
        <f t="shared" ca="1" si="25"/>
        <v>1.6000000000000227</v>
      </c>
      <c r="P104">
        <f t="shared" ca="1" si="26"/>
        <v>0</v>
      </c>
      <c r="Q104">
        <f t="shared" ca="1" si="30"/>
        <v>0.75389749085023827</v>
      </c>
      <c r="R104">
        <f t="shared" ca="1" si="31"/>
        <v>0.4958244737884826</v>
      </c>
      <c r="S104">
        <f t="shared" ca="1" si="28"/>
        <v>1.5204926959128866</v>
      </c>
      <c r="T104">
        <f t="shared" ca="1" si="29"/>
        <v>60.325217302888696</v>
      </c>
      <c r="U104">
        <f>70</f>
        <v>70</v>
      </c>
      <c r="V104">
        <f>30</f>
        <v>30</v>
      </c>
      <c r="W104">
        <f t="shared" ca="1" si="27"/>
        <v>133.70941933318997</v>
      </c>
      <c r="X104">
        <f t="shared" ca="1" si="37"/>
        <v>132.73049547682925</v>
      </c>
      <c r="Y104">
        <f t="shared" ca="1" si="36"/>
        <v>1.0301040227575982</v>
      </c>
      <c r="Z104">
        <f t="shared" ca="1" si="38"/>
        <v>0.46306238771605734</v>
      </c>
      <c r="AA104">
        <f t="shared" ca="1" si="39"/>
        <v>0.56704163504154081</v>
      </c>
      <c r="AB104">
        <f t="shared" ca="1" si="40"/>
        <v>139.59535000000008</v>
      </c>
    </row>
    <row r="105" spans="1:28" x14ac:dyDescent="0.25">
      <c r="A105" s="20">
        <f t="shared" ca="1" si="20"/>
        <v>45845</v>
      </c>
      <c r="B105" vm="307">
        <f ca="1"/>
        <v>45849</v>
      </c>
      <c r="C105" vm="287">
        <f ca="1"/>
        <v>135.26</v>
      </c>
      <c r="D105" vm="308">
        <f ca="1"/>
        <v>7963646</v>
      </c>
      <c r="E105">
        <f t="shared" ca="1" si="21"/>
        <v>1077162757.96</v>
      </c>
      <c r="F105">
        <f ca="1">SUM($E$2:E105)/SUM($D$2:D105)</f>
        <v>138.82582333565114</v>
      </c>
      <c r="G105">
        <f ca="1">_xlfn.STDEV.P($C$2:C105)</f>
        <v>8.8411329552190416</v>
      </c>
      <c r="H105">
        <f t="shared" ca="1" si="22"/>
        <v>147.66695629087019</v>
      </c>
      <c r="I105">
        <f t="shared" ca="1" si="23"/>
        <v>129.98469038043208</v>
      </c>
      <c r="J105">
        <f t="shared" ca="1" si="32"/>
        <v>132.19399999999996</v>
      </c>
      <c r="K105">
        <f t="shared" ca="1" si="33"/>
        <v>2.8721464557292133</v>
      </c>
      <c r="L105">
        <f t="shared" ca="1" si="34"/>
        <v>137.93829291145838</v>
      </c>
      <c r="M105">
        <f t="shared" ca="1" si="35"/>
        <v>126.44970708854153</v>
      </c>
      <c r="N105">
        <f t="shared" ca="1" si="24"/>
        <v>-0.8200000000000216</v>
      </c>
      <c r="O105">
        <f t="shared" ca="1" si="25"/>
        <v>0</v>
      </c>
      <c r="P105">
        <f t="shared" ca="1" si="26"/>
        <v>0.8200000000000216</v>
      </c>
      <c r="Q105">
        <f t="shared" ca="1" si="30"/>
        <v>0.70004767007522128</v>
      </c>
      <c r="R105">
        <f t="shared" ca="1" si="31"/>
        <v>0.51897986851787825</v>
      </c>
      <c r="S105">
        <f t="shared" ca="1" si="28"/>
        <v>1.3488917635176161</v>
      </c>
      <c r="T105">
        <f t="shared" ca="1" si="29"/>
        <v>57.426731383210445</v>
      </c>
      <c r="U105">
        <f>70</f>
        <v>70</v>
      </c>
      <c r="V105">
        <f>30</f>
        <v>30</v>
      </c>
      <c r="W105">
        <f t="shared" ca="1" si="27"/>
        <v>133.9479702050069</v>
      </c>
      <c r="X105">
        <f t="shared" ca="1" si="37"/>
        <v>132.9178661822493</v>
      </c>
      <c r="Y105">
        <f t="shared" ca="1" si="36"/>
        <v>1.0831927112707262</v>
      </c>
      <c r="Z105">
        <f t="shared" ca="1" si="38"/>
        <v>0.58708845242699115</v>
      </c>
      <c r="AA105">
        <f t="shared" ca="1" si="39"/>
        <v>0.4961042588437351</v>
      </c>
      <c r="AB105">
        <f t="shared" ca="1" si="40"/>
        <v>139.51405000000005</v>
      </c>
    </row>
    <row r="106" spans="1:28" x14ac:dyDescent="0.25">
      <c r="A106" s="20">
        <f t="shared" ca="1" si="20"/>
        <v>45852</v>
      </c>
      <c r="B106" vm="309">
        <f ca="1"/>
        <v>45852</v>
      </c>
      <c r="C106" vm="310">
        <f ca="1"/>
        <v>135.57</v>
      </c>
      <c r="D106" vm="311">
        <f ca="1"/>
        <v>8480302</v>
      </c>
      <c r="E106">
        <f t="shared" ca="1" si="21"/>
        <v>1149674542.1399999</v>
      </c>
      <c r="F106">
        <f ca="1">SUM($E$2:E106)/SUM($D$2:D106)</f>
        <v>138.7957932440429</v>
      </c>
      <c r="G106">
        <f ca="1">_xlfn.STDEV.P($C$2:C106)</f>
        <v>8.8080787077286029</v>
      </c>
      <c r="H106">
        <f t="shared" ca="1" si="22"/>
        <v>147.60387195177151</v>
      </c>
      <c r="I106">
        <f t="shared" ca="1" si="23"/>
        <v>129.98771453631429</v>
      </c>
      <c r="J106">
        <f t="shared" ca="1" si="32"/>
        <v>132.35750000000002</v>
      </c>
      <c r="K106">
        <f t="shared" ca="1" si="33"/>
        <v>2.9699085135652505</v>
      </c>
      <c r="L106">
        <f t="shared" ca="1" si="34"/>
        <v>138.2973170271305</v>
      </c>
      <c r="M106">
        <f t="shared" ca="1" si="35"/>
        <v>126.41768297286951</v>
      </c>
      <c r="N106">
        <f t="shared" ca="1" si="24"/>
        <v>0.31000000000000227</v>
      </c>
      <c r="O106">
        <f t="shared" ca="1" si="25"/>
        <v>0.31000000000000227</v>
      </c>
      <c r="P106">
        <f t="shared" ca="1" si="26"/>
        <v>0</v>
      </c>
      <c r="Q106">
        <f t="shared" ca="1" si="30"/>
        <v>0.67218712221270571</v>
      </c>
      <c r="R106">
        <f t="shared" ca="1" si="31"/>
        <v>0.48190987790945838</v>
      </c>
      <c r="S106">
        <f t="shared" ca="1" si="28"/>
        <v>1.39483989232318</v>
      </c>
      <c r="T106">
        <f t="shared" ca="1" si="29"/>
        <v>58.243555103388452</v>
      </c>
      <c r="U106">
        <f>70</f>
        <v>70</v>
      </c>
      <c r="V106">
        <f>30</f>
        <v>30</v>
      </c>
      <c r="W106">
        <f t="shared" ca="1" si="27"/>
        <v>134.19751325039044</v>
      </c>
      <c r="X106">
        <f t="shared" ca="1" si="37"/>
        <v>133.11432053911972</v>
      </c>
      <c r="Y106">
        <f t="shared" ca="1" si="36"/>
        <v>0.97204347621666898</v>
      </c>
      <c r="Z106">
        <f t="shared" ca="1" si="38"/>
        <v>0.66407945718492678</v>
      </c>
      <c r="AA106">
        <f t="shared" ca="1" si="39"/>
        <v>0.3079640190317422</v>
      </c>
      <c r="AB106">
        <f t="shared" ca="1" si="40"/>
        <v>139.42875000000006</v>
      </c>
    </row>
    <row r="107" spans="1:28" x14ac:dyDescent="0.25">
      <c r="A107" s="20">
        <f t="shared" ca="1" si="20"/>
        <v>45852</v>
      </c>
      <c r="B107" vm="312">
        <f ca="1"/>
        <v>45853</v>
      </c>
      <c r="C107" vm="313">
        <f ca="1"/>
        <v>133.81</v>
      </c>
      <c r="D107" vm="314">
        <f ca="1"/>
        <v>8933520</v>
      </c>
      <c r="E107">
        <f t="shared" ca="1" si="21"/>
        <v>1195394311.2</v>
      </c>
      <c r="F107">
        <f ca="1">SUM($E$2:E107)/SUM($D$2:D107)</f>
        <v>138.74781526407938</v>
      </c>
      <c r="G107">
        <f ca="1">_xlfn.STDEV.P($C$2:C107)</f>
        <v>8.7846705630591195</v>
      </c>
      <c r="H107">
        <f t="shared" ca="1" si="22"/>
        <v>147.53248582713849</v>
      </c>
      <c r="I107">
        <f t="shared" ca="1" si="23"/>
        <v>129.96314470102027</v>
      </c>
      <c r="J107">
        <f t="shared" ca="1" si="32"/>
        <v>132.50549999999998</v>
      </c>
      <c r="K107">
        <f t="shared" ca="1" si="33"/>
        <v>2.9645794500720442</v>
      </c>
      <c r="L107">
        <f t="shared" ca="1" si="34"/>
        <v>138.43465890014409</v>
      </c>
      <c r="M107">
        <f t="shared" ca="1" si="35"/>
        <v>126.5763410998559</v>
      </c>
      <c r="N107">
        <f t="shared" ca="1" si="24"/>
        <v>-1.7599999999999909</v>
      </c>
      <c r="O107">
        <f t="shared" ca="1" si="25"/>
        <v>0</v>
      </c>
      <c r="P107">
        <f t="shared" ca="1" si="26"/>
        <v>1.7599999999999909</v>
      </c>
      <c r="Q107">
        <f t="shared" ca="1" si="30"/>
        <v>0.62417375634036965</v>
      </c>
      <c r="R107">
        <f t="shared" ca="1" si="31"/>
        <v>0.57320202948735355</v>
      </c>
      <c r="S107">
        <f t="shared" ca="1" si="28"/>
        <v>1.0889245400938357</v>
      </c>
      <c r="T107">
        <f t="shared" ca="1" si="29"/>
        <v>52.128476600926938</v>
      </c>
      <c r="U107">
        <f>70</f>
        <v>70</v>
      </c>
      <c r="V107">
        <f>30</f>
        <v>30</v>
      </c>
      <c r="W107">
        <f t="shared" ca="1" si="27"/>
        <v>134.13789582725346</v>
      </c>
      <c r="X107">
        <f t="shared" ca="1" si="37"/>
        <v>133.16585235103679</v>
      </c>
      <c r="Y107">
        <f t="shared" ca="1" si="36"/>
        <v>0.99673232651659305</v>
      </c>
      <c r="Z107">
        <f t="shared" ca="1" si="38"/>
        <v>0.73061003105125999</v>
      </c>
      <c r="AA107">
        <f t="shared" ca="1" si="39"/>
        <v>0.26612229546533306</v>
      </c>
      <c r="AB107">
        <f t="shared" ca="1" si="40"/>
        <v>139.30875000000003</v>
      </c>
    </row>
    <row r="108" spans="1:28" x14ac:dyDescent="0.25">
      <c r="A108" s="20">
        <f t="shared" ca="1" si="20"/>
        <v>45852</v>
      </c>
      <c r="B108" vm="315">
        <f ca="1"/>
        <v>45854</v>
      </c>
      <c r="C108" vm="316">
        <f ca="1"/>
        <v>135.35</v>
      </c>
      <c r="D108" vm="317">
        <f ca="1"/>
        <v>10941629</v>
      </c>
      <c r="E108">
        <f t="shared" ca="1" si="21"/>
        <v>1480949485.1499999</v>
      </c>
      <c r="F108">
        <f ca="1">SUM($E$2:E108)/SUM($D$2:D108)</f>
        <v>138.70823504854854</v>
      </c>
      <c r="G108">
        <f ca="1">_xlfn.STDEV.P($C$2:C108)</f>
        <v>8.7531155560341567</v>
      </c>
      <c r="H108">
        <f t="shared" ca="1" si="22"/>
        <v>147.46135060458269</v>
      </c>
      <c r="I108">
        <f t="shared" ca="1" si="23"/>
        <v>129.9551194925144</v>
      </c>
      <c r="J108">
        <f t="shared" ca="1" si="32"/>
        <v>132.70249999999999</v>
      </c>
      <c r="K108">
        <f t="shared" ca="1" si="33"/>
        <v>3.0183715982733386</v>
      </c>
      <c r="L108">
        <f t="shared" ca="1" si="34"/>
        <v>138.73924319654665</v>
      </c>
      <c r="M108">
        <f t="shared" ca="1" si="35"/>
        <v>126.66575680345331</v>
      </c>
      <c r="N108">
        <f t="shared" ca="1" si="24"/>
        <v>1.539999999999992</v>
      </c>
      <c r="O108">
        <f t="shared" ca="1" si="25"/>
        <v>1.539999999999992</v>
      </c>
      <c r="P108">
        <f t="shared" ca="1" si="26"/>
        <v>0</v>
      </c>
      <c r="Q108">
        <f t="shared" ca="1" si="30"/>
        <v>0.68958991660177127</v>
      </c>
      <c r="R108">
        <f t="shared" ca="1" si="31"/>
        <v>0.53225902738111397</v>
      </c>
      <c r="S108">
        <f t="shared" ca="1" si="28"/>
        <v>1.2955908328972381</v>
      </c>
      <c r="T108">
        <f t="shared" ca="1" si="29"/>
        <v>56.438229946322281</v>
      </c>
      <c r="U108">
        <f>70</f>
        <v>70</v>
      </c>
      <c r="V108">
        <f>30</f>
        <v>30</v>
      </c>
      <c r="W108">
        <f t="shared" ca="1" si="27"/>
        <v>134.32437339229139</v>
      </c>
      <c r="X108">
        <f t="shared" ca="1" si="37"/>
        <v>133.3276410657748</v>
      </c>
      <c r="Y108">
        <f t="shared" ca="1" si="36"/>
        <v>1.8096169547969509</v>
      </c>
      <c r="Z108">
        <f t="shared" ca="1" si="38"/>
        <v>0.94641141580039823</v>
      </c>
      <c r="AA108">
        <f t="shared" ca="1" si="39"/>
        <v>0.86320553899655272</v>
      </c>
      <c r="AB108">
        <f t="shared" ca="1" si="40"/>
        <v>139.17125000000004</v>
      </c>
    </row>
    <row r="109" spans="1:28" x14ac:dyDescent="0.25">
      <c r="A109" s="20">
        <f t="shared" ca="1" si="20"/>
        <v>45852</v>
      </c>
      <c r="B109" vm="318">
        <f ca="1"/>
        <v>45855</v>
      </c>
      <c r="C109" vm="319">
        <f ca="1"/>
        <v>145.44</v>
      </c>
      <c r="D109" vm="320">
        <f ca="1"/>
        <v>26161000</v>
      </c>
      <c r="E109">
        <f t="shared" ca="1" si="21"/>
        <v>3804855840</v>
      </c>
      <c r="F109">
        <f ca="1">SUM($E$2:E109)/SUM($D$2:D109)</f>
        <v>138.89064530702186</v>
      </c>
      <c r="G109">
        <f ca="1">_xlfn.STDEV.P($C$2:C109)</f>
        <v>8.7306335929930903</v>
      </c>
      <c r="H109">
        <f t="shared" ca="1" si="22"/>
        <v>147.62127890001494</v>
      </c>
      <c r="I109">
        <f t="shared" ca="1" si="23"/>
        <v>130.16001171402877</v>
      </c>
      <c r="J109">
        <f t="shared" ca="1" si="32"/>
        <v>133.51</v>
      </c>
      <c r="K109">
        <f t="shared" ca="1" si="33"/>
        <v>4.0435679919179224</v>
      </c>
      <c r="L109">
        <f t="shared" ca="1" si="34"/>
        <v>141.59713598383584</v>
      </c>
      <c r="M109">
        <f t="shared" ca="1" si="35"/>
        <v>125.42286401616414</v>
      </c>
      <c r="N109">
        <f t="shared" ca="1" si="24"/>
        <v>10.090000000000003</v>
      </c>
      <c r="O109">
        <f t="shared" ca="1" si="25"/>
        <v>10.090000000000003</v>
      </c>
      <c r="P109">
        <f t="shared" ca="1" si="26"/>
        <v>0</v>
      </c>
      <c r="Q109">
        <f t="shared" ca="1" si="30"/>
        <v>1.3610477797016449</v>
      </c>
      <c r="R109">
        <f t="shared" ca="1" si="31"/>
        <v>0.4942405254253201</v>
      </c>
      <c r="S109">
        <f t="shared" ca="1" si="28"/>
        <v>2.7538166331674065</v>
      </c>
      <c r="T109">
        <f t="shared" ca="1" si="29"/>
        <v>73.360446241184206</v>
      </c>
      <c r="U109">
        <f>70</f>
        <v>70</v>
      </c>
      <c r="V109">
        <f>30</f>
        <v>30</v>
      </c>
      <c r="W109">
        <f t="shared" ca="1" si="27"/>
        <v>136.03446979347731</v>
      </c>
      <c r="X109">
        <f t="shared" ca="1" si="37"/>
        <v>134.22485283868036</v>
      </c>
      <c r="Y109">
        <f t="shared" ca="1" si="36"/>
        <v>2.2503713848765017</v>
      </c>
      <c r="Z109">
        <f t="shared" ca="1" si="38"/>
        <v>1.207203409615619</v>
      </c>
      <c r="AA109">
        <f t="shared" ca="1" si="39"/>
        <v>1.0431679752608827</v>
      </c>
      <c r="AB109">
        <f t="shared" ca="1" si="40"/>
        <v>139.09065000000007</v>
      </c>
    </row>
    <row r="110" spans="1:28" x14ac:dyDescent="0.25">
      <c r="A110" s="20">
        <f t="shared" ca="1" si="20"/>
        <v>45852</v>
      </c>
      <c r="B110" vm="321">
        <f ca="1"/>
        <v>45856</v>
      </c>
      <c r="C110" vm="322">
        <f ca="1"/>
        <v>143.24</v>
      </c>
      <c r="D110" vm="323">
        <f ca="1"/>
        <v>13752825</v>
      </c>
      <c r="E110">
        <f t="shared" ca="1" si="21"/>
        <v>1969954653.0000002</v>
      </c>
      <c r="F110">
        <f ca="1">SUM($E$2:E110)/SUM($D$2:D110)</f>
        <v>138.95173105638582</v>
      </c>
      <c r="G110">
        <f ca="1">_xlfn.STDEV.P($C$2:C110)</f>
        <v>8.6973358234029607</v>
      </c>
      <c r="H110">
        <f t="shared" ca="1" si="22"/>
        <v>147.64906687978879</v>
      </c>
      <c r="I110">
        <f t="shared" ca="1" si="23"/>
        <v>130.25439523298286</v>
      </c>
      <c r="J110">
        <f t="shared" ca="1" si="32"/>
        <v>134.21850000000001</v>
      </c>
      <c r="K110">
        <f t="shared" ca="1" si="33"/>
        <v>4.4460405507538239</v>
      </c>
      <c r="L110">
        <f t="shared" ca="1" si="34"/>
        <v>143.11058110150765</v>
      </c>
      <c r="M110">
        <f t="shared" ca="1" si="35"/>
        <v>125.32641889849236</v>
      </c>
      <c r="N110">
        <f t="shared" ca="1" si="24"/>
        <v>-2.1999999999999886</v>
      </c>
      <c r="O110">
        <f t="shared" ca="1" si="25"/>
        <v>0</v>
      </c>
      <c r="P110">
        <f t="shared" ca="1" si="26"/>
        <v>2.1999999999999886</v>
      </c>
      <c r="Q110">
        <f t="shared" ca="1" si="30"/>
        <v>1.2638300811515273</v>
      </c>
      <c r="R110">
        <f t="shared" ca="1" si="31"/>
        <v>0.61608048789493941</v>
      </c>
      <c r="S110">
        <f t="shared" ca="1" si="28"/>
        <v>2.0514041687472644</v>
      </c>
      <c r="T110">
        <f t="shared" ca="1" si="29"/>
        <v>67.228202339038432</v>
      </c>
      <c r="U110">
        <f>70</f>
        <v>70</v>
      </c>
      <c r="V110">
        <f>30</f>
        <v>30</v>
      </c>
      <c r="W110">
        <f t="shared" ca="1" si="27"/>
        <v>137.14301290217313</v>
      </c>
      <c r="X110">
        <f t="shared" ca="1" si="37"/>
        <v>134.89264151729662</v>
      </c>
      <c r="Y110">
        <f t="shared" ca="1" si="36"/>
        <v>2.4471975465071694</v>
      </c>
      <c r="Z110">
        <f t="shared" ca="1" si="38"/>
        <v>1.4552022369939293</v>
      </c>
      <c r="AA110">
        <f t="shared" ca="1" si="39"/>
        <v>0.99199530951324011</v>
      </c>
      <c r="AB110">
        <f t="shared" ca="1" si="40"/>
        <v>138.98455000000004</v>
      </c>
    </row>
    <row r="111" spans="1:28" x14ac:dyDescent="0.25">
      <c r="A111" s="20">
        <f t="shared" ca="1" si="20"/>
        <v>45859</v>
      </c>
      <c r="B111" vm="324">
        <f ca="1"/>
        <v>45859</v>
      </c>
      <c r="C111" vm="325">
        <f ca="1"/>
        <v>141.69999999999999</v>
      </c>
      <c r="D111" vm="326">
        <f ca="1"/>
        <v>9025630</v>
      </c>
      <c r="E111">
        <f t="shared" ca="1" si="21"/>
        <v>1278931771</v>
      </c>
      <c r="F111">
        <f ca="1">SUM($E$2:E111)/SUM($D$2:D111)</f>
        <v>138.97683114531964</v>
      </c>
      <c r="G111">
        <f ca="1">_xlfn.STDEV.P($C$2:C111)</f>
        <v>8.6598872338439001</v>
      </c>
      <c r="H111">
        <f t="shared" ca="1" si="22"/>
        <v>147.63671837916354</v>
      </c>
      <c r="I111">
        <f t="shared" ca="1" si="23"/>
        <v>130.31694391147573</v>
      </c>
      <c r="J111">
        <f t="shared" ca="1" si="32"/>
        <v>134.85</v>
      </c>
      <c r="K111">
        <f t="shared" ca="1" si="33"/>
        <v>4.5714687263274003</v>
      </c>
      <c r="L111">
        <f t="shared" ca="1" si="34"/>
        <v>143.99293745265479</v>
      </c>
      <c r="M111">
        <f t="shared" ca="1" si="35"/>
        <v>125.70706254734519</v>
      </c>
      <c r="N111">
        <f t="shared" ca="1" si="24"/>
        <v>-1.5400000000000205</v>
      </c>
      <c r="O111">
        <f t="shared" ca="1" si="25"/>
        <v>0</v>
      </c>
      <c r="P111">
        <f t="shared" ca="1" si="26"/>
        <v>1.5400000000000205</v>
      </c>
      <c r="Q111">
        <f t="shared" ca="1" si="30"/>
        <v>1.1735565039264182</v>
      </c>
      <c r="R111">
        <f t="shared" ca="1" si="31"/>
        <v>0.68207473875958802</v>
      </c>
      <c r="S111">
        <f t="shared" ca="1" si="28"/>
        <v>1.7205687840904831</v>
      </c>
      <c r="T111">
        <f t="shared" ca="1" si="29"/>
        <v>63.242980444094478</v>
      </c>
      <c r="U111">
        <f>70</f>
        <v>70</v>
      </c>
      <c r="V111">
        <f>30</f>
        <v>30</v>
      </c>
      <c r="W111">
        <f t="shared" ca="1" si="27"/>
        <v>137.84408784030035</v>
      </c>
      <c r="X111">
        <f t="shared" ca="1" si="37"/>
        <v>135.39689029379318</v>
      </c>
      <c r="Y111">
        <f t="shared" ca="1" si="36"/>
        <v>2.9197286127818245</v>
      </c>
      <c r="Z111">
        <f t="shared" ca="1" si="38"/>
        <v>1.7481075121515084</v>
      </c>
      <c r="AA111">
        <f t="shared" ca="1" si="39"/>
        <v>1.1716211006303161</v>
      </c>
      <c r="AB111">
        <f t="shared" ca="1" si="40"/>
        <v>138.83735000000004</v>
      </c>
    </row>
    <row r="112" spans="1:28" x14ac:dyDescent="0.25">
      <c r="A112" s="20">
        <f t="shared" ca="1" si="20"/>
        <v>45859</v>
      </c>
      <c r="B112" vm="327">
        <f ca="1"/>
        <v>45860</v>
      </c>
      <c r="C112" vm="328">
        <f ca="1"/>
        <v>146.04</v>
      </c>
      <c r="D112" vm="329">
        <f ca="1"/>
        <v>8281528</v>
      </c>
      <c r="E112">
        <f t="shared" ca="1" si="21"/>
        <v>1209434349.1199999</v>
      </c>
      <c r="F112">
        <f ca="1">SUM($E$2:E112)/SUM($D$2:D112)</f>
        <v>139.03552928033494</v>
      </c>
      <c r="G112">
        <f ca="1">_xlfn.STDEV.P($C$2:C112)</f>
        <v>8.6417512011125392</v>
      </c>
      <c r="H112">
        <f t="shared" ca="1" si="22"/>
        <v>147.67728048144747</v>
      </c>
      <c r="I112">
        <f t="shared" ca="1" si="23"/>
        <v>130.39377807922241</v>
      </c>
      <c r="J112">
        <f t="shared" ca="1" si="32"/>
        <v>135.69749999999999</v>
      </c>
      <c r="K112">
        <f t="shared" ca="1" si="33"/>
        <v>4.99863968337492</v>
      </c>
      <c r="L112">
        <f t="shared" ca="1" si="34"/>
        <v>145.69477936674983</v>
      </c>
      <c r="M112">
        <f t="shared" ca="1" si="35"/>
        <v>125.70022063325015</v>
      </c>
      <c r="N112">
        <f t="shared" ca="1" si="24"/>
        <v>4.3400000000000034</v>
      </c>
      <c r="O112">
        <f t="shared" ca="1" si="25"/>
        <v>4.3400000000000034</v>
      </c>
      <c r="P112">
        <f t="shared" ca="1" si="26"/>
        <v>0</v>
      </c>
      <c r="Q112">
        <f t="shared" ca="1" si="30"/>
        <v>1.3997310393602456</v>
      </c>
      <c r="R112">
        <f t="shared" ca="1" si="31"/>
        <v>0.63335511456247462</v>
      </c>
      <c r="S112">
        <f t="shared" ca="1" si="28"/>
        <v>2.2100256351875958</v>
      </c>
      <c r="T112">
        <f t="shared" ca="1" si="29"/>
        <v>68.847600809220353</v>
      </c>
      <c r="U112">
        <f>70</f>
        <v>70</v>
      </c>
      <c r="V112">
        <f>30</f>
        <v>30</v>
      </c>
      <c r="W112">
        <f t="shared" ca="1" si="27"/>
        <v>139.10499740333105</v>
      </c>
      <c r="X112">
        <f t="shared" ca="1" si="37"/>
        <v>136.18526879054923</v>
      </c>
      <c r="Y112">
        <f t="shared" ca="1" si="36"/>
        <v>3.2263586092901164</v>
      </c>
      <c r="Z112">
        <f t="shared" ca="1" si="38"/>
        <v>2.0437577315792304</v>
      </c>
      <c r="AA112">
        <f t="shared" ca="1" si="39"/>
        <v>1.1826008777108861</v>
      </c>
      <c r="AB112">
        <f t="shared" ca="1" si="40"/>
        <v>138.78265000000005</v>
      </c>
    </row>
    <row r="113" spans="1:28" x14ac:dyDescent="0.25">
      <c r="A113" s="20">
        <f t="shared" ca="1" si="20"/>
        <v>45859</v>
      </c>
      <c r="B113" vm="330">
        <f ca="1"/>
        <v>45861</v>
      </c>
      <c r="C113" vm="331">
        <f ca="1"/>
        <v>145.66</v>
      </c>
      <c r="D113" vm="332">
        <f ca="1"/>
        <v>6165951</v>
      </c>
      <c r="E113">
        <f t="shared" ca="1" si="21"/>
        <v>898132422.65999997</v>
      </c>
      <c r="F113">
        <f ca="1">SUM($E$2:E113)/SUM($D$2:D113)</f>
        <v>139.0762660494253</v>
      </c>
      <c r="G113">
        <f ca="1">_xlfn.STDEV.P($C$2:C113)</f>
        <v>8.6211443641711174</v>
      </c>
      <c r="H113">
        <f t="shared" ca="1" si="22"/>
        <v>147.69741041359643</v>
      </c>
      <c r="I113">
        <f t="shared" ca="1" si="23"/>
        <v>130.45512168525417</v>
      </c>
      <c r="J113">
        <f t="shared" ca="1" si="32"/>
        <v>136.42799999999997</v>
      </c>
      <c r="K113">
        <f t="shared" ca="1" si="33"/>
        <v>5.3396290034736342</v>
      </c>
      <c r="L113">
        <f t="shared" ca="1" si="34"/>
        <v>147.10725800694723</v>
      </c>
      <c r="M113">
        <f t="shared" ca="1" si="35"/>
        <v>125.7487419930527</v>
      </c>
      <c r="N113">
        <f t="shared" ca="1" si="24"/>
        <v>-0.37999999999999545</v>
      </c>
      <c r="O113">
        <f t="shared" ca="1" si="25"/>
        <v>0</v>
      </c>
      <c r="P113">
        <f t="shared" ca="1" si="26"/>
        <v>0.37999999999999545</v>
      </c>
      <c r="Q113">
        <f t="shared" ca="1" si="30"/>
        <v>1.2997502508345138</v>
      </c>
      <c r="R113">
        <f t="shared" ca="1" si="31"/>
        <v>0.61525832066515473</v>
      </c>
      <c r="S113">
        <f t="shared" ca="1" si="28"/>
        <v>2.1125277093845005</v>
      </c>
      <c r="T113">
        <f t="shared" ca="1" si="29"/>
        <v>67.871771968971515</v>
      </c>
      <c r="U113">
        <f>70</f>
        <v>70</v>
      </c>
      <c r="V113">
        <f>30</f>
        <v>30</v>
      </c>
      <c r="W113">
        <f t="shared" ca="1" si="27"/>
        <v>140.11345934128013</v>
      </c>
      <c r="X113">
        <f t="shared" ca="1" si="37"/>
        <v>136.88710073199002</v>
      </c>
      <c r="Y113">
        <f t="shared" ca="1" si="36"/>
        <v>3.3380902748246228</v>
      </c>
      <c r="Z113">
        <f t="shared" ca="1" si="38"/>
        <v>2.302624240228309</v>
      </c>
      <c r="AA113">
        <f t="shared" ca="1" si="39"/>
        <v>1.0354660345963138</v>
      </c>
      <c r="AB113">
        <f t="shared" ca="1" si="40"/>
        <v>138.71905000000007</v>
      </c>
    </row>
    <row r="114" spans="1:28" x14ac:dyDescent="0.25">
      <c r="A114" s="20">
        <f t="shared" ca="1" si="20"/>
        <v>45859</v>
      </c>
      <c r="B114" vm="333">
        <f ca="1"/>
        <v>45862</v>
      </c>
      <c r="C114" vm="334">
        <f ca="1"/>
        <v>144.51</v>
      </c>
      <c r="D114" vm="335">
        <f ca="1"/>
        <v>9749426</v>
      </c>
      <c r="E114">
        <f t="shared" ca="1" si="21"/>
        <v>1408889551.26</v>
      </c>
      <c r="F114">
        <f ca="1">SUM($E$2:E114)/SUM($D$2:D114)</f>
        <v>139.12859118477658</v>
      </c>
      <c r="G114">
        <f ca="1">_xlfn.STDEV.P($C$2:C114)</f>
        <v>8.5943176388256859</v>
      </c>
      <c r="H114">
        <f t="shared" ca="1" si="22"/>
        <v>147.72290882360227</v>
      </c>
      <c r="I114">
        <f t="shared" ca="1" si="23"/>
        <v>130.5342735459509</v>
      </c>
      <c r="J114">
        <f t="shared" ca="1" si="32"/>
        <v>137.25249999999997</v>
      </c>
      <c r="K114">
        <f t="shared" ca="1" si="33"/>
        <v>5.2452955112176474</v>
      </c>
      <c r="L114">
        <f t="shared" ca="1" si="34"/>
        <v>147.74309102243527</v>
      </c>
      <c r="M114">
        <f t="shared" ca="1" si="35"/>
        <v>126.76190897756467</v>
      </c>
      <c r="N114">
        <f t="shared" ca="1" si="24"/>
        <v>-1.1500000000000057</v>
      </c>
      <c r="O114">
        <f t="shared" ca="1" si="25"/>
        <v>0</v>
      </c>
      <c r="P114">
        <f t="shared" ca="1" si="26"/>
        <v>1.1500000000000057</v>
      </c>
      <c r="Q114">
        <f t="shared" ca="1" si="30"/>
        <v>1.2069109472034771</v>
      </c>
      <c r="R114">
        <f t="shared" ca="1" si="31"/>
        <v>0.65345415490335845</v>
      </c>
      <c r="S114">
        <f t="shared" ca="1" si="28"/>
        <v>1.8469711121233459</v>
      </c>
      <c r="T114">
        <f t="shared" ca="1" si="29"/>
        <v>64.874950934989513</v>
      </c>
      <c r="U114">
        <f>70</f>
        <v>70</v>
      </c>
      <c r="V114">
        <f>30</f>
        <v>30</v>
      </c>
      <c r="W114">
        <f t="shared" ca="1" si="27"/>
        <v>140.78985021185241</v>
      </c>
      <c r="X114">
        <f t="shared" ca="1" si="37"/>
        <v>137.45175993702779</v>
      </c>
      <c r="Y114">
        <f t="shared" ca="1" si="36"/>
        <v>3.3030300096471024</v>
      </c>
      <c r="Z114">
        <f t="shared" ca="1" si="38"/>
        <v>2.502705394112068</v>
      </c>
      <c r="AA114">
        <f t="shared" ca="1" si="39"/>
        <v>0.80032461553503431</v>
      </c>
      <c r="AB114">
        <f t="shared" ca="1" si="40"/>
        <v>138.62945000000005</v>
      </c>
    </row>
    <row r="115" spans="1:28" x14ac:dyDescent="0.25">
      <c r="A115" s="20">
        <f t="shared" ca="1" si="20"/>
        <v>45859</v>
      </c>
      <c r="B115" vm="336">
        <f ca="1"/>
        <v>45863</v>
      </c>
      <c r="C115" vm="337">
        <f ca="1"/>
        <v>143.44999999999999</v>
      </c>
      <c r="D115" vm="338">
        <f ca="1"/>
        <v>7021594</v>
      </c>
      <c r="E115">
        <f t="shared" ca="1" si="21"/>
        <v>1007247659.3</v>
      </c>
      <c r="F115">
        <f ca="1">SUM($E$2:E115)/SUM($D$2:D115)</f>
        <v>139.15835526187993</v>
      </c>
      <c r="G115">
        <f ca="1">_xlfn.STDEV.P($C$2:C115)</f>
        <v>8.5632109944232226</v>
      </c>
      <c r="H115">
        <f t="shared" ca="1" si="22"/>
        <v>147.72156625630316</v>
      </c>
      <c r="I115">
        <f t="shared" ca="1" si="23"/>
        <v>130.5951442674567</v>
      </c>
      <c r="J115">
        <f t="shared" ca="1" si="32"/>
        <v>138.01399999999995</v>
      </c>
      <c r="K115">
        <f t="shared" ca="1" si="33"/>
        <v>4.9628868933101309</v>
      </c>
      <c r="L115">
        <f t="shared" ca="1" si="34"/>
        <v>147.93977378662021</v>
      </c>
      <c r="M115">
        <f t="shared" ca="1" si="35"/>
        <v>128.0882262133797</v>
      </c>
      <c r="N115">
        <f t="shared" ca="1" si="24"/>
        <v>-1.0600000000000023</v>
      </c>
      <c r="O115">
        <f t="shared" ca="1" si="25"/>
        <v>0</v>
      </c>
      <c r="P115">
        <f t="shared" ca="1" si="26"/>
        <v>1.0600000000000023</v>
      </c>
      <c r="Q115">
        <f t="shared" ca="1" si="30"/>
        <v>1.1207030224032288</v>
      </c>
      <c r="R115">
        <f t="shared" ca="1" si="31"/>
        <v>0.68249314383883308</v>
      </c>
      <c r="S115">
        <f t="shared" ca="1" si="28"/>
        <v>1.64207220617571</v>
      </c>
      <c r="T115">
        <f t="shared" ca="1" si="29"/>
        <v>62.15092086951482</v>
      </c>
      <c r="U115">
        <f>70</f>
        <v>70</v>
      </c>
      <c r="V115">
        <f>30</f>
        <v>30</v>
      </c>
      <c r="W115">
        <f t="shared" ca="1" si="27"/>
        <v>141.19910402541356</v>
      </c>
      <c r="X115">
        <f t="shared" ca="1" si="37"/>
        <v>137.89607401576646</v>
      </c>
      <c r="Y115">
        <f t="shared" ca="1" si="36"/>
        <v>3.0879482633154396</v>
      </c>
      <c r="Z115">
        <f t="shared" ca="1" si="38"/>
        <v>2.6197539679527422</v>
      </c>
      <c r="AA115">
        <f t="shared" ca="1" si="39"/>
        <v>0.46819429536269741</v>
      </c>
      <c r="AB115">
        <f t="shared" ca="1" si="40"/>
        <v>138.50405000000006</v>
      </c>
    </row>
    <row r="116" spans="1:28" x14ac:dyDescent="0.25">
      <c r="A116" s="20">
        <f t="shared" ca="1" si="20"/>
        <v>45866</v>
      </c>
      <c r="B116" vm="339">
        <f ca="1"/>
        <v>45866</v>
      </c>
      <c r="C116" vm="340">
        <f ca="1"/>
        <v>141.57</v>
      </c>
      <c r="D116" vm="341">
        <f ca="1"/>
        <v>10639129</v>
      </c>
      <c r="E116">
        <f t="shared" ca="1" si="21"/>
        <v>1506181492.53</v>
      </c>
      <c r="F116">
        <f ca="1">SUM($E$2:E116)/SUM($D$2:D116)</f>
        <v>139.18326343721083</v>
      </c>
      <c r="G116">
        <f ca="1">_xlfn.STDEV.P($C$2:C116)</f>
        <v>8.5273804368816482</v>
      </c>
      <c r="H116">
        <f t="shared" ca="1" si="22"/>
        <v>147.71064387409248</v>
      </c>
      <c r="I116">
        <f t="shared" ca="1" si="23"/>
        <v>130.65588300032917</v>
      </c>
      <c r="J116">
        <f t="shared" ca="1" si="32"/>
        <v>138.54049999999995</v>
      </c>
      <c r="K116">
        <f t="shared" ca="1" si="33"/>
        <v>4.7375270864383294</v>
      </c>
      <c r="L116">
        <f t="shared" ca="1" si="34"/>
        <v>148.01555417287662</v>
      </c>
      <c r="M116">
        <f t="shared" ca="1" si="35"/>
        <v>129.06544582712328</v>
      </c>
      <c r="N116">
        <f t="shared" ca="1" si="24"/>
        <v>-1.8799999999999955</v>
      </c>
      <c r="O116">
        <f t="shared" ca="1" si="25"/>
        <v>0</v>
      </c>
      <c r="P116">
        <f t="shared" ca="1" si="26"/>
        <v>1.8799999999999955</v>
      </c>
      <c r="Q116">
        <f t="shared" ca="1" si="30"/>
        <v>1.040652806517284</v>
      </c>
      <c r="R116">
        <f t="shared" ca="1" si="31"/>
        <v>0.7680293478503446</v>
      </c>
      <c r="S116">
        <f t="shared" ca="1" si="28"/>
        <v>1.354964897409183</v>
      </c>
      <c r="T116">
        <f t="shared" ca="1" si="29"/>
        <v>57.536522047519654</v>
      </c>
      <c r="U116">
        <f>70</f>
        <v>70</v>
      </c>
      <c r="V116">
        <f>30</f>
        <v>30</v>
      </c>
      <c r="W116">
        <f t="shared" ca="1" si="27"/>
        <v>141.25616494458069</v>
      </c>
      <c r="X116">
        <f t="shared" ca="1" si="37"/>
        <v>138.16821668126525</v>
      </c>
      <c r="Y116">
        <f t="shared" ca="1" si="36"/>
        <v>3.06931785506913</v>
      </c>
      <c r="Z116">
        <f t="shared" ca="1" si="38"/>
        <v>2.7096667453760199</v>
      </c>
      <c r="AA116">
        <f t="shared" ca="1" si="39"/>
        <v>0.35965110969311009</v>
      </c>
      <c r="AB116">
        <f t="shared" ca="1" si="40"/>
        <v>138.37785000000005</v>
      </c>
    </row>
    <row r="117" spans="1:28" x14ac:dyDescent="0.25">
      <c r="A117" s="20">
        <f t="shared" ca="1" si="20"/>
        <v>45866</v>
      </c>
      <c r="B117" vm="342">
        <f ca="1"/>
        <v>45867</v>
      </c>
      <c r="C117" vm="343">
        <f ca="1"/>
        <v>143.88999999999999</v>
      </c>
      <c r="D117" vm="344">
        <f ca="1"/>
        <v>6282944</v>
      </c>
      <c r="E117">
        <f t="shared" ca="1" si="21"/>
        <v>904052812.15999997</v>
      </c>
      <c r="F117">
        <f ca="1">SUM($E$2:E117)/SUM($D$2:D117)</f>
        <v>139.21179757186673</v>
      </c>
      <c r="G117">
        <f ca="1">_xlfn.STDEV.P($C$2:C117)</f>
        <v>8.4986639996914928</v>
      </c>
      <c r="H117">
        <f t="shared" ca="1" si="22"/>
        <v>147.71046157155823</v>
      </c>
      <c r="I117">
        <f t="shared" ca="1" si="23"/>
        <v>130.71313357217522</v>
      </c>
      <c r="J117">
        <f t="shared" ca="1" si="32"/>
        <v>139.13299999999998</v>
      </c>
      <c r="K117">
        <f t="shared" ca="1" si="33"/>
        <v>4.6213384937357933</v>
      </c>
      <c r="L117">
        <f t="shared" ca="1" si="34"/>
        <v>148.37567698747156</v>
      </c>
      <c r="M117">
        <f t="shared" ca="1" si="35"/>
        <v>129.8903230125284</v>
      </c>
      <c r="N117">
        <f t="shared" ca="1" si="24"/>
        <v>2.3199999999999932</v>
      </c>
      <c r="O117">
        <f t="shared" ca="1" si="25"/>
        <v>2.3199999999999932</v>
      </c>
      <c r="P117">
        <f t="shared" ca="1" si="26"/>
        <v>0</v>
      </c>
      <c r="Q117">
        <f t="shared" ca="1" si="30"/>
        <v>1.132034748908906</v>
      </c>
      <c r="R117">
        <f t="shared" ca="1" si="31"/>
        <v>0.71317010871817721</v>
      </c>
      <c r="S117">
        <f t="shared" ca="1" si="28"/>
        <v>1.5873278129163026</v>
      </c>
      <c r="T117">
        <f t="shared" ca="1" si="29"/>
        <v>61.350085017914616</v>
      </c>
      <c r="U117">
        <f>70</f>
        <v>70</v>
      </c>
      <c r="V117">
        <f>30</f>
        <v>30</v>
      </c>
      <c r="W117">
        <f t="shared" ca="1" si="27"/>
        <v>141.66137033772213</v>
      </c>
      <c r="X117">
        <f t="shared" ca="1" si="37"/>
        <v>138.592052482653</v>
      </c>
      <c r="Y117">
        <f t="shared" ca="1" si="36"/>
        <v>2.9375781579522879</v>
      </c>
      <c r="Z117">
        <f t="shared" ca="1" si="38"/>
        <v>2.7552490278912734</v>
      </c>
      <c r="AA117">
        <f t="shared" ca="1" si="39"/>
        <v>0.18232913006101459</v>
      </c>
      <c r="AB117">
        <f t="shared" ca="1" si="40"/>
        <v>138.27795000000003</v>
      </c>
    </row>
    <row r="118" spans="1:28" x14ac:dyDescent="0.25">
      <c r="A118" s="20">
        <f t="shared" ca="1" si="20"/>
        <v>45866</v>
      </c>
      <c r="B118" vm="345">
        <f ca="1"/>
        <v>45868</v>
      </c>
      <c r="C118" vm="346">
        <f ca="1"/>
        <v>142.86000000000001</v>
      </c>
      <c r="D118" vm="347">
        <f ca="1"/>
        <v>9738383</v>
      </c>
      <c r="E118">
        <f t="shared" ca="1" si="21"/>
        <v>1391225395.3800001</v>
      </c>
      <c r="F118">
        <f ca="1">SUM($E$2:E118)/SUM($D$2:D118)</f>
        <v>139.2457589721482</v>
      </c>
      <c r="G118">
        <f ca="1">_xlfn.STDEV.P($C$2:C118)</f>
        <v>8.4666314004763379</v>
      </c>
      <c r="H118">
        <f t="shared" ca="1" si="22"/>
        <v>147.71239037262453</v>
      </c>
      <c r="I118">
        <f t="shared" ca="1" si="23"/>
        <v>130.77912757167186</v>
      </c>
      <c r="J118">
        <f t="shared" ca="1" si="32"/>
        <v>139.51299999999998</v>
      </c>
      <c r="K118">
        <f t="shared" ca="1" si="33"/>
        <v>4.5985181823805172</v>
      </c>
      <c r="L118">
        <f t="shared" ca="1" si="34"/>
        <v>148.71003636476101</v>
      </c>
      <c r="M118">
        <f t="shared" ca="1" si="35"/>
        <v>130.31596363523894</v>
      </c>
      <c r="N118">
        <f t="shared" ca="1" si="24"/>
        <v>-1.0299999999999727</v>
      </c>
      <c r="O118">
        <f t="shared" ca="1" si="25"/>
        <v>0</v>
      </c>
      <c r="P118">
        <f t="shared" ca="1" si="26"/>
        <v>1.0299999999999727</v>
      </c>
      <c r="Q118">
        <f t="shared" ca="1" si="30"/>
        <v>1.0511751239868412</v>
      </c>
      <c r="R118">
        <f t="shared" ca="1" si="31"/>
        <v>0.73580081523830543</v>
      </c>
      <c r="S118">
        <f t="shared" ca="1" si="28"/>
        <v>1.4286136984591338</v>
      </c>
      <c r="T118">
        <f t="shared" ca="1" si="29"/>
        <v>58.824246085968163</v>
      </c>
      <c r="U118">
        <f>70</f>
        <v>70</v>
      </c>
      <c r="V118">
        <f>30</f>
        <v>30</v>
      </c>
      <c r="W118">
        <f t="shared" ca="1" si="27"/>
        <v>141.8457749011495</v>
      </c>
      <c r="X118">
        <f t="shared" ca="1" si="37"/>
        <v>138.90819674319721</v>
      </c>
      <c r="Y118">
        <f t="shared" ca="1" si="36"/>
        <v>2.4068125473000066</v>
      </c>
      <c r="Z118">
        <f t="shared" ca="1" si="38"/>
        <v>2.6855617317730198</v>
      </c>
      <c r="AA118">
        <f t="shared" ca="1" si="39"/>
        <v>-0.27874918447301322</v>
      </c>
      <c r="AB118">
        <f t="shared" ca="1" si="40"/>
        <v>138.16045000000003</v>
      </c>
    </row>
    <row r="119" spans="1:28" x14ac:dyDescent="0.25">
      <c r="A119" s="20">
        <f t="shared" ca="1" si="20"/>
        <v>45866</v>
      </c>
      <c r="B119" vm="348">
        <f ca="1"/>
        <v>45869</v>
      </c>
      <c r="C119" vm="349">
        <f ca="1"/>
        <v>137.91999999999999</v>
      </c>
      <c r="D119" vm="350">
        <f ca="1"/>
        <v>11689674</v>
      </c>
      <c r="E119">
        <f t="shared" ca="1" si="21"/>
        <v>1612239838.0799999</v>
      </c>
      <c r="F119">
        <f ca="1">SUM($E$2:E119)/SUM($D$2:D119)</f>
        <v>139.23110819236527</v>
      </c>
      <c r="G119">
        <f ca="1">_xlfn.STDEV.P($C$2:C119)</f>
        <v>8.4326975135224487</v>
      </c>
      <c r="H119">
        <f t="shared" ca="1" si="22"/>
        <v>147.66380570588771</v>
      </c>
      <c r="I119">
        <f t="shared" ca="1" si="23"/>
        <v>130.79841067884283</v>
      </c>
      <c r="J119">
        <f t="shared" ca="1" si="32"/>
        <v>139.58500000000001</v>
      </c>
      <c r="K119">
        <f t="shared" ca="1" si="33"/>
        <v>4.5596392978300155</v>
      </c>
      <c r="L119">
        <f t="shared" ca="1" si="34"/>
        <v>148.70427859566004</v>
      </c>
      <c r="M119">
        <f t="shared" ca="1" si="35"/>
        <v>130.46572140433997</v>
      </c>
      <c r="N119">
        <f t="shared" ca="1" si="24"/>
        <v>-4.9400000000000261</v>
      </c>
      <c r="O119">
        <f t="shared" ca="1" si="25"/>
        <v>0</v>
      </c>
      <c r="P119">
        <f t="shared" ca="1" si="26"/>
        <v>4.9400000000000261</v>
      </c>
      <c r="Q119">
        <f t="shared" ca="1" si="30"/>
        <v>0.97609118655920979</v>
      </c>
      <c r="R119">
        <f t="shared" ca="1" si="31"/>
        <v>1.0361007570069998</v>
      </c>
      <c r="S119">
        <f t="shared" ca="1" si="28"/>
        <v>0.94208133712676689</v>
      </c>
      <c r="T119">
        <f t="shared" ca="1" si="29"/>
        <v>48.508850742602739</v>
      </c>
      <c r="U119">
        <f>70</f>
        <v>70</v>
      </c>
      <c r="V119">
        <f>30</f>
        <v>30</v>
      </c>
      <c r="W119">
        <f t="shared" ca="1" si="27"/>
        <v>141.24180953174186</v>
      </c>
      <c r="X119">
        <f t="shared" ca="1" si="37"/>
        <v>138.83499698444186</v>
      </c>
      <c r="Y119">
        <f t="shared" ca="1" si="36"/>
        <v>2.0720325099251511</v>
      </c>
      <c r="Z119">
        <f t="shared" ca="1" si="38"/>
        <v>2.5628558874034466</v>
      </c>
      <c r="AA119">
        <f t="shared" ca="1" si="39"/>
        <v>-0.49082337747829552</v>
      </c>
      <c r="AB119">
        <f t="shared" ca="1" si="40"/>
        <v>137.99525000000006</v>
      </c>
    </row>
    <row r="120" spans="1:28" x14ac:dyDescent="0.25">
      <c r="A120" s="20">
        <f t="shared" ca="1" si="20"/>
        <v>45866</v>
      </c>
      <c r="B120" vm="351">
        <f ca="1"/>
        <v>45870</v>
      </c>
      <c r="C120" vm="352">
        <f ca="1"/>
        <v>139.28</v>
      </c>
      <c r="D120" vm="353">
        <f ca="1"/>
        <v>7630810</v>
      </c>
      <c r="E120">
        <f t="shared" ca="1" si="21"/>
        <v>1062819216.8</v>
      </c>
      <c r="F120">
        <f ca="1">SUM($E$2:E120)/SUM($D$2:D120)</f>
        <v>139.23145836228014</v>
      </c>
      <c r="G120">
        <f ca="1">_xlfn.STDEV.P($C$2:C120)</f>
        <v>8.397391564186357</v>
      </c>
      <c r="H120">
        <f t="shared" ca="1" si="22"/>
        <v>147.6288499264665</v>
      </c>
      <c r="I120">
        <f t="shared" ca="1" si="23"/>
        <v>130.83406679809377</v>
      </c>
      <c r="J120">
        <f t="shared" ca="1" si="32"/>
        <v>139.78000000000003</v>
      </c>
      <c r="K120">
        <f t="shared" ca="1" si="33"/>
        <v>4.4524765432757816</v>
      </c>
      <c r="L120">
        <f t="shared" ca="1" si="34"/>
        <v>148.68495308655159</v>
      </c>
      <c r="M120">
        <f t="shared" ca="1" si="35"/>
        <v>130.87504691344847</v>
      </c>
      <c r="N120">
        <f t="shared" ca="1" si="24"/>
        <v>1.3600000000000136</v>
      </c>
      <c r="O120">
        <f t="shared" ca="1" si="25"/>
        <v>1.3600000000000136</v>
      </c>
      <c r="P120">
        <f t="shared" ca="1" si="26"/>
        <v>0</v>
      </c>
      <c r="Q120">
        <f t="shared" ca="1" si="30"/>
        <v>1.0035132446621244</v>
      </c>
      <c r="R120">
        <f t="shared" ca="1" si="31"/>
        <v>0.96209356007792834</v>
      </c>
      <c r="S120">
        <f t="shared" ca="1" si="28"/>
        <v>1.0430516181615863</v>
      </c>
      <c r="T120">
        <f t="shared" ca="1" si="29"/>
        <v>51.053610632714353</v>
      </c>
      <c r="U120">
        <f>70</f>
        <v>70</v>
      </c>
      <c r="V120">
        <f>30</f>
        <v>30</v>
      </c>
      <c r="W120">
        <f t="shared" ca="1" si="27"/>
        <v>140.93999268070465</v>
      </c>
      <c r="X120">
        <f t="shared" ca="1" si="37"/>
        <v>138.8679601707795</v>
      </c>
      <c r="Y120">
        <f t="shared" ca="1" si="36"/>
        <v>1.8084637340909921</v>
      </c>
      <c r="Z120">
        <f t="shared" ca="1" si="38"/>
        <v>2.411977456740956</v>
      </c>
      <c r="AA120">
        <f t="shared" ca="1" si="39"/>
        <v>-0.60351372264996384</v>
      </c>
      <c r="AB120">
        <f t="shared" ca="1" si="40"/>
        <v>137.82555000000005</v>
      </c>
    </row>
    <row r="121" spans="1:28" x14ac:dyDescent="0.25">
      <c r="A121" s="20">
        <f t="shared" ca="1" si="20"/>
        <v>45873</v>
      </c>
      <c r="B121" vm="354">
        <f ca="1"/>
        <v>45873</v>
      </c>
      <c r="C121" vm="355">
        <f ca="1"/>
        <v>139.56</v>
      </c>
      <c r="D121" vm="356">
        <f ca="1"/>
        <v>8384672</v>
      </c>
      <c r="E121">
        <f t="shared" ca="1" si="21"/>
        <v>1170164824.3199999</v>
      </c>
      <c r="F121">
        <f ca="1">SUM($E$2:E121)/SUM($D$2:D121)</f>
        <v>139.23402369796787</v>
      </c>
      <c r="G121">
        <f ca="1">_xlfn.STDEV.P($C$2:C121)</f>
        <v>8.3623897766153945</v>
      </c>
      <c r="H121">
        <f t="shared" ca="1" si="22"/>
        <v>147.59641347458327</v>
      </c>
      <c r="I121">
        <f t="shared" ca="1" si="23"/>
        <v>130.87163392135247</v>
      </c>
      <c r="J121">
        <f t="shared" ca="1" si="32"/>
        <v>140.03550000000001</v>
      </c>
      <c r="K121">
        <f t="shared" ca="1" si="33"/>
        <v>4.2735434268359347</v>
      </c>
      <c r="L121">
        <f t="shared" ca="1" si="34"/>
        <v>148.58258685367187</v>
      </c>
      <c r="M121">
        <f t="shared" ca="1" si="35"/>
        <v>131.48841314632816</v>
      </c>
      <c r="N121">
        <f t="shared" ca="1" si="24"/>
        <v>0.28000000000000114</v>
      </c>
      <c r="O121">
        <f t="shared" ca="1" si="25"/>
        <v>0.28000000000000114</v>
      </c>
      <c r="P121">
        <f t="shared" ca="1" si="26"/>
        <v>0</v>
      </c>
      <c r="Q121">
        <f t="shared" ca="1" si="30"/>
        <v>0.95183372718625847</v>
      </c>
      <c r="R121">
        <f t="shared" ca="1" si="31"/>
        <v>0.89337259150093351</v>
      </c>
      <c r="S121">
        <f t="shared" ca="1" si="28"/>
        <v>1.0654386940471341</v>
      </c>
      <c r="T121">
        <f t="shared" ca="1" si="29"/>
        <v>51.584135472907931</v>
      </c>
      <c r="U121">
        <f>70</f>
        <v>70</v>
      </c>
      <c r="V121">
        <f>30</f>
        <v>30</v>
      </c>
      <c r="W121">
        <f t="shared" ca="1" si="27"/>
        <v>140.72768611444238</v>
      </c>
      <c r="X121">
        <f t="shared" ca="1" si="37"/>
        <v>138.91922238035139</v>
      </c>
      <c r="Y121">
        <f t="shared" ca="1" si="36"/>
        <v>1.5725797788466878</v>
      </c>
      <c r="Z121">
        <f t="shared" ca="1" si="38"/>
        <v>2.2440979211621022</v>
      </c>
      <c r="AA121">
        <f t="shared" ca="1" si="39"/>
        <v>-0.6715181423154144</v>
      </c>
      <c r="AB121">
        <f t="shared" ca="1" si="40"/>
        <v>137.69785000000005</v>
      </c>
    </row>
    <row r="122" spans="1:28" x14ac:dyDescent="0.25">
      <c r="A122" s="20">
        <f t="shared" ca="1" si="20"/>
        <v>45873</v>
      </c>
      <c r="B122" vm="357">
        <f ca="1"/>
        <v>45874</v>
      </c>
      <c r="C122" vm="358">
        <f ca="1"/>
        <v>139.44999999999999</v>
      </c>
      <c r="D122" vm="359">
        <f ca="1"/>
        <v>5535084</v>
      </c>
      <c r="E122">
        <f t="shared" ca="1" si="21"/>
        <v>771867463.79999995</v>
      </c>
      <c r="F122">
        <f ca="1">SUM($E$2:E122)/SUM($D$2:D122)</f>
        <v>139.23513125264429</v>
      </c>
      <c r="G122">
        <f ca="1">_xlfn.STDEV.P($C$2:C122)</f>
        <v>8.3278655850001844</v>
      </c>
      <c r="H122">
        <f t="shared" ca="1" si="22"/>
        <v>147.56299683764448</v>
      </c>
      <c r="I122">
        <f t="shared" ca="1" si="23"/>
        <v>130.90726566764411</v>
      </c>
      <c r="J122">
        <f t="shared" ca="1" si="32"/>
        <v>140.25600000000003</v>
      </c>
      <c r="K122">
        <f t="shared" ca="1" si="33"/>
        <v>4.1129812468381255</v>
      </c>
      <c r="L122">
        <f t="shared" ca="1" si="34"/>
        <v>148.48196249367629</v>
      </c>
      <c r="M122">
        <f t="shared" ca="1" si="35"/>
        <v>132.03003750632377</v>
      </c>
      <c r="N122">
        <f t="shared" ca="1" si="24"/>
        <v>-0.11000000000001364</v>
      </c>
      <c r="O122">
        <f t="shared" ca="1" si="25"/>
        <v>0</v>
      </c>
      <c r="P122">
        <f t="shared" ca="1" si="26"/>
        <v>0.11000000000001364</v>
      </c>
      <c r="Q122">
        <f t="shared" ca="1" si="30"/>
        <v>0.88384560381581145</v>
      </c>
      <c r="R122">
        <f t="shared" ca="1" si="31"/>
        <v>0.83741740639372497</v>
      </c>
      <c r="S122">
        <f t="shared" ca="1" si="28"/>
        <v>1.0554421212977003</v>
      </c>
      <c r="T122">
        <f t="shared" ca="1" si="29"/>
        <v>51.348666564804482</v>
      </c>
      <c r="U122">
        <f>70</f>
        <v>70</v>
      </c>
      <c r="V122">
        <f>30</f>
        <v>30</v>
      </c>
      <c r="W122">
        <f t="shared" ca="1" si="27"/>
        <v>140.53111901991278</v>
      </c>
      <c r="X122">
        <f t="shared" ca="1" si="37"/>
        <v>138.95853924106609</v>
      </c>
      <c r="Y122">
        <f t="shared" ca="1" si="36"/>
        <v>1.4775415828137284</v>
      </c>
      <c r="Z122">
        <f t="shared" ca="1" si="38"/>
        <v>2.0907866534924278</v>
      </c>
      <c r="AA122">
        <f t="shared" ca="1" si="39"/>
        <v>-0.61324507067869938</v>
      </c>
      <c r="AB122">
        <f t="shared" ca="1" si="40"/>
        <v>137.61065000000005</v>
      </c>
    </row>
    <row r="123" spans="1:28" x14ac:dyDescent="0.25">
      <c r="A123" s="20">
        <f t="shared" ca="1" si="20"/>
        <v>45873</v>
      </c>
      <c r="B123" vm="360">
        <f ca="1"/>
        <v>45875</v>
      </c>
      <c r="C123" vm="361">
        <f ca="1"/>
        <v>140.80000000000001</v>
      </c>
      <c r="D123" vm="362">
        <f ca="1"/>
        <v>6747448</v>
      </c>
      <c r="E123">
        <f t="shared" ca="1" si="21"/>
        <v>950040678.4000001</v>
      </c>
      <c r="F123">
        <f ca="1">SUM($E$2:E123)/SUM($D$2:D123)</f>
        <v>139.2448530338315</v>
      </c>
      <c r="G123">
        <f ca="1">_xlfn.STDEV.P($C$2:C123)</f>
        <v>8.2940587889710109</v>
      </c>
      <c r="H123">
        <f t="shared" ca="1" si="22"/>
        <v>147.5389118228025</v>
      </c>
      <c r="I123">
        <f t="shared" ca="1" si="23"/>
        <v>130.9507942448605</v>
      </c>
      <c r="J123">
        <f t="shared" ca="1" si="32"/>
        <v>140.57200000000003</v>
      </c>
      <c r="K123">
        <f t="shared" ca="1" si="33"/>
        <v>3.8821610910473683</v>
      </c>
      <c r="L123">
        <f t="shared" ca="1" si="34"/>
        <v>148.33632218209476</v>
      </c>
      <c r="M123">
        <f t="shared" ca="1" si="35"/>
        <v>132.8076778179053</v>
      </c>
      <c r="N123">
        <f t="shared" ca="1" si="24"/>
        <v>1.3500000000000227</v>
      </c>
      <c r="O123">
        <f t="shared" ca="1" si="25"/>
        <v>1.3500000000000227</v>
      </c>
      <c r="P123">
        <f t="shared" ca="1" si="26"/>
        <v>0</v>
      </c>
      <c r="Q123">
        <f t="shared" ca="1" si="30"/>
        <v>0.91714234640039805</v>
      </c>
      <c r="R123">
        <f t="shared" ca="1" si="31"/>
        <v>0.77760187736560182</v>
      </c>
      <c r="S123">
        <f t="shared" ca="1" si="28"/>
        <v>1.1794497584130563</v>
      </c>
      <c r="T123">
        <f t="shared" ca="1" si="29"/>
        <v>54.11685926047042</v>
      </c>
      <c r="U123">
        <f>70</f>
        <v>70</v>
      </c>
      <c r="V123">
        <f>30</f>
        <v>30</v>
      </c>
      <c r="W123">
        <f t="shared" ca="1" si="27"/>
        <v>140.57248532454159</v>
      </c>
      <c r="X123">
        <f t="shared" ca="1" si="37"/>
        <v>139.09494374172786</v>
      </c>
      <c r="Y123">
        <f t="shared" ca="1" si="36"/>
        <v>1.6351322658897232</v>
      </c>
      <c r="Z123">
        <f t="shared" ca="1" si="38"/>
        <v>1.9996557759718869</v>
      </c>
      <c r="AA123">
        <f t="shared" ca="1" si="39"/>
        <v>-0.36452351008216377</v>
      </c>
      <c r="AB123">
        <f t="shared" ca="1" si="40"/>
        <v>137.53525000000002</v>
      </c>
    </row>
    <row r="124" spans="1:28" x14ac:dyDescent="0.25">
      <c r="A124" s="20">
        <f t="shared" ca="1" si="20"/>
        <v>45873</v>
      </c>
      <c r="B124" vm="363">
        <f ca="1"/>
        <v>45876</v>
      </c>
      <c r="C124" vm="364">
        <f ca="1"/>
        <v>143.91999999999999</v>
      </c>
      <c r="D124" vm="365">
        <f ca="1"/>
        <v>7674642</v>
      </c>
      <c r="E124">
        <f t="shared" ca="1" si="21"/>
        <v>1104534476.6399999</v>
      </c>
      <c r="F124">
        <f ca="1">SUM($E$2:E124)/SUM($D$2:D124)</f>
        <v>139.27765680307166</v>
      </c>
      <c r="G124">
        <f ca="1">_xlfn.STDEV.P($C$2:C124)</f>
        <v>8.2681168368714921</v>
      </c>
      <c r="H124">
        <f t="shared" ca="1" si="22"/>
        <v>147.54577363994315</v>
      </c>
      <c r="I124">
        <f t="shared" ca="1" si="23"/>
        <v>131.00953996620018</v>
      </c>
      <c r="J124">
        <f t="shared" ca="1" si="32"/>
        <v>140.96400000000003</v>
      </c>
      <c r="K124">
        <f t="shared" ca="1" si="33"/>
        <v>3.7996542779019973</v>
      </c>
      <c r="L124">
        <f t="shared" ca="1" si="34"/>
        <v>148.56330855580401</v>
      </c>
      <c r="M124">
        <f t="shared" ca="1" si="35"/>
        <v>133.36469144419604</v>
      </c>
      <c r="N124">
        <f t="shared" ca="1" si="24"/>
        <v>3.1199999999999761</v>
      </c>
      <c r="O124">
        <f t="shared" ca="1" si="25"/>
        <v>3.1199999999999761</v>
      </c>
      <c r="P124">
        <f t="shared" ca="1" si="26"/>
        <v>0</v>
      </c>
      <c r="Q124">
        <f t="shared" ca="1" si="30"/>
        <v>1.0744893216575107</v>
      </c>
      <c r="R124">
        <f t="shared" ca="1" si="31"/>
        <v>0.72205888612520164</v>
      </c>
      <c r="S124">
        <f t="shared" ca="1" si="28"/>
        <v>1.4880909885668234</v>
      </c>
      <c r="T124">
        <f t="shared" ca="1" si="29"/>
        <v>59.808543795417449</v>
      </c>
      <c r="U124">
        <f>70</f>
        <v>70</v>
      </c>
      <c r="V124">
        <f>30</f>
        <v>30</v>
      </c>
      <c r="W124">
        <f t="shared" ca="1" si="27"/>
        <v>141.08748758230442</v>
      </c>
      <c r="X124">
        <f t="shared" ca="1" si="37"/>
        <v>139.4523553164147</v>
      </c>
      <c r="Y124">
        <f t="shared" ca="1" si="36"/>
        <v>1.8428727467511123</v>
      </c>
      <c r="Z124">
        <f t="shared" ca="1" si="38"/>
        <v>1.9682991701277319</v>
      </c>
      <c r="AA124">
        <f t="shared" ca="1" si="39"/>
        <v>-0.12542642337661958</v>
      </c>
      <c r="AB124">
        <f t="shared" ca="1" si="40"/>
        <v>137.48855000000003</v>
      </c>
    </row>
    <row r="125" spans="1:28" x14ac:dyDescent="0.25">
      <c r="A125" s="20">
        <f t="shared" ca="1" si="20"/>
        <v>45873</v>
      </c>
      <c r="B125" vm="366">
        <f ca="1"/>
        <v>45877</v>
      </c>
      <c r="C125" vm="367">
        <f ca="1"/>
        <v>145.21</v>
      </c>
      <c r="D125" vm="368">
        <f ca="1"/>
        <v>5315087</v>
      </c>
      <c r="E125">
        <f t="shared" ca="1" si="21"/>
        <v>771803783.2700001</v>
      </c>
      <c r="F125">
        <f ca="1">SUM($E$2:E125)/SUM($D$2:D125)</f>
        <v>139.30634489802395</v>
      </c>
      <c r="G125">
        <f ca="1">_xlfn.STDEV.P($C$2:C125)</f>
        <v>8.2481720859727776</v>
      </c>
      <c r="H125">
        <f t="shared" ca="1" si="22"/>
        <v>147.55451698399673</v>
      </c>
      <c r="I125">
        <f t="shared" ca="1" si="23"/>
        <v>131.05817281205117</v>
      </c>
      <c r="J125">
        <f t="shared" ca="1" si="32"/>
        <v>141.46150000000003</v>
      </c>
      <c r="K125">
        <f t="shared" ca="1" si="33"/>
        <v>3.6624183482904757</v>
      </c>
      <c r="L125">
        <f t="shared" ca="1" si="34"/>
        <v>148.78633669658097</v>
      </c>
      <c r="M125">
        <f t="shared" ca="1" si="35"/>
        <v>134.13666330341908</v>
      </c>
      <c r="N125">
        <f t="shared" ca="1" si="24"/>
        <v>1.2900000000000205</v>
      </c>
      <c r="O125">
        <f t="shared" ca="1" si="25"/>
        <v>1.2900000000000205</v>
      </c>
      <c r="P125">
        <f t="shared" ca="1" si="26"/>
        <v>0</v>
      </c>
      <c r="Q125">
        <f t="shared" ca="1" si="30"/>
        <v>1.0898829415391185</v>
      </c>
      <c r="R125">
        <f t="shared" ca="1" si="31"/>
        <v>0.67048325140197296</v>
      </c>
      <c r="S125">
        <f t="shared" ca="1" si="28"/>
        <v>1.6255185185613295</v>
      </c>
      <c r="T125">
        <f t="shared" ca="1" si="29"/>
        <v>61.912285404562418</v>
      </c>
      <c r="U125">
        <f>70</f>
        <v>70</v>
      </c>
      <c r="V125">
        <f>30</f>
        <v>30</v>
      </c>
      <c r="W125">
        <f t="shared" ca="1" si="27"/>
        <v>141.72172026194988</v>
      </c>
      <c r="X125">
        <f t="shared" ca="1" si="37"/>
        <v>139.87884751519877</v>
      </c>
      <c r="Y125">
        <f t="shared" ca="1" si="36"/>
        <v>1.9575084768077318</v>
      </c>
      <c r="Z125">
        <f t="shared" ca="1" si="38"/>
        <v>1.966141031463732</v>
      </c>
      <c r="AA125">
        <f t="shared" ca="1" si="39"/>
        <v>-8.6325546560002131E-3</v>
      </c>
      <c r="AB125">
        <f t="shared" ca="1" si="40"/>
        <v>137.42725000000002</v>
      </c>
    </row>
    <row r="126" spans="1:28" x14ac:dyDescent="0.25">
      <c r="A126" s="20">
        <f t="shared" ca="1" si="20"/>
        <v>45880</v>
      </c>
      <c r="B126" vm="369">
        <f ca="1"/>
        <v>45880</v>
      </c>
      <c r="C126" vm="370">
        <f ca="1"/>
        <v>144.87</v>
      </c>
      <c r="D126" vm="371">
        <f ca="1"/>
        <v>5773384</v>
      </c>
      <c r="E126">
        <f t="shared" ca="1" si="21"/>
        <v>836390140.08000004</v>
      </c>
      <c r="F126">
        <f ca="1">SUM($E$2:E126)/SUM($D$2:D126)</f>
        <v>139.33541726502864</v>
      </c>
      <c r="G126">
        <f ca="1">_xlfn.STDEV.P($C$2:C126)</f>
        <v>8.2266276914906022</v>
      </c>
      <c r="H126">
        <f t="shared" ca="1" si="22"/>
        <v>147.56204495651923</v>
      </c>
      <c r="I126">
        <f t="shared" ca="1" si="23"/>
        <v>131.10878957353805</v>
      </c>
      <c r="J126">
        <f t="shared" ca="1" si="32"/>
        <v>141.9265</v>
      </c>
      <c r="K126">
        <f t="shared" ca="1" si="33"/>
        <v>3.4598178762533305</v>
      </c>
      <c r="L126">
        <f t="shared" ca="1" si="34"/>
        <v>148.84613575250665</v>
      </c>
      <c r="M126">
        <f t="shared" ca="1" si="35"/>
        <v>135.00686424749335</v>
      </c>
      <c r="N126">
        <f t="shared" ca="1" si="24"/>
        <v>-0.34000000000000341</v>
      </c>
      <c r="O126">
        <f t="shared" ca="1" si="25"/>
        <v>0</v>
      </c>
      <c r="P126">
        <f t="shared" ca="1" si="26"/>
        <v>0.34000000000000341</v>
      </c>
      <c r="Q126">
        <f t="shared" ca="1" si="30"/>
        <v>1.01203416000061</v>
      </c>
      <c r="R126">
        <f t="shared" ca="1" si="31"/>
        <v>0.64687730487326078</v>
      </c>
      <c r="S126">
        <f t="shared" ca="1" si="28"/>
        <v>1.5644916777516138</v>
      </c>
      <c r="T126">
        <f t="shared" ca="1" si="29"/>
        <v>61.00591752059271</v>
      </c>
      <c r="U126">
        <f>70</f>
        <v>70</v>
      </c>
      <c r="V126">
        <f>30</f>
        <v>30</v>
      </c>
      <c r="W126">
        <f t="shared" ca="1" si="27"/>
        <v>142.20607099088068</v>
      </c>
      <c r="X126">
        <f t="shared" ca="1" si="37"/>
        <v>140.24856251407294</v>
      </c>
      <c r="Y126">
        <f t="shared" ca="1" si="36"/>
        <v>2.1845591658628223</v>
      </c>
      <c r="Z126">
        <f t="shared" ca="1" si="38"/>
        <v>2.00982465834355</v>
      </c>
      <c r="AA126">
        <f t="shared" ca="1" si="39"/>
        <v>0.17473450751927233</v>
      </c>
      <c r="AB126">
        <f t="shared" ca="1" si="40"/>
        <v>137.38605000000004</v>
      </c>
    </row>
    <row r="127" spans="1:28" x14ac:dyDescent="0.25">
      <c r="A127" s="20">
        <f t="shared" ca="1" si="20"/>
        <v>45880</v>
      </c>
      <c r="B127" vm="372">
        <f ca="1"/>
        <v>45881</v>
      </c>
      <c r="C127" vm="373">
        <f ca="1"/>
        <v>146.87</v>
      </c>
      <c r="D127" vm="374">
        <f ca="1"/>
        <v>7670149</v>
      </c>
      <c r="E127">
        <f t="shared" ca="1" si="21"/>
        <v>1126514783.6300001</v>
      </c>
      <c r="F127">
        <f ca="1">SUM($E$2:E127)/SUM($D$2:D127)</f>
        <v>139.38736280172245</v>
      </c>
      <c r="G127">
        <f ca="1">_xlfn.STDEV.P($C$2:C127)</f>
        <v>8.2163984972658799</v>
      </c>
      <c r="H127">
        <f t="shared" ca="1" si="22"/>
        <v>147.60376129898833</v>
      </c>
      <c r="I127">
        <f t="shared" ca="1" si="23"/>
        <v>131.17096430445656</v>
      </c>
      <c r="J127">
        <f t="shared" ca="1" si="32"/>
        <v>142.5795</v>
      </c>
      <c r="K127">
        <f t="shared" ca="1" si="33"/>
        <v>3.0562179499987798</v>
      </c>
      <c r="L127">
        <f t="shared" ca="1" si="34"/>
        <v>148.69193589999756</v>
      </c>
      <c r="M127">
        <f t="shared" ca="1" si="35"/>
        <v>136.46706410000243</v>
      </c>
      <c r="N127">
        <f t="shared" ca="1" si="24"/>
        <v>2</v>
      </c>
      <c r="O127">
        <f t="shared" ca="1" si="25"/>
        <v>2</v>
      </c>
      <c r="P127">
        <f t="shared" ca="1" si="26"/>
        <v>0</v>
      </c>
      <c r="Q127">
        <f t="shared" ca="1" si="30"/>
        <v>1.0826031485719949</v>
      </c>
      <c r="R127">
        <f t="shared" ca="1" si="31"/>
        <v>0.6006717830965993</v>
      </c>
      <c r="S127">
        <f t="shared" ca="1" si="28"/>
        <v>1.8023206333930488</v>
      </c>
      <c r="T127">
        <f t="shared" ca="1" si="29"/>
        <v>64.315289689417142</v>
      </c>
      <c r="U127">
        <f>70</f>
        <v>70</v>
      </c>
      <c r="V127">
        <f>30</f>
        <v>30</v>
      </c>
      <c r="W127">
        <f t="shared" ca="1" si="27"/>
        <v>142.92359853074518</v>
      </c>
      <c r="X127">
        <f t="shared" ca="1" si="37"/>
        <v>140.73903936488236</v>
      </c>
      <c r="Y127">
        <f t="shared" ca="1" si="36"/>
        <v>2.5353873790442947</v>
      </c>
      <c r="Z127">
        <f t="shared" ca="1" si="38"/>
        <v>2.114937202483699</v>
      </c>
      <c r="AA127">
        <f t="shared" ca="1" si="39"/>
        <v>0.42045017656059569</v>
      </c>
      <c r="AB127">
        <f t="shared" ca="1" si="40"/>
        <v>137.37365000000003</v>
      </c>
    </row>
    <row r="128" spans="1:28" x14ac:dyDescent="0.25">
      <c r="A128" s="20">
        <f t="shared" ca="1" si="20"/>
        <v>45880</v>
      </c>
      <c r="B128" vm="375">
        <f ca="1"/>
        <v>45882</v>
      </c>
      <c r="C128" vm="376">
        <f ca="1"/>
        <v>149.35</v>
      </c>
      <c r="D128" vm="377">
        <f ca="1"/>
        <v>6147005</v>
      </c>
      <c r="E128">
        <f t="shared" ca="1" si="21"/>
        <v>918055196.75</v>
      </c>
      <c r="F128">
        <f ca="1">SUM($E$2:E128)/SUM($D$2:D128)</f>
        <v>139.44210599777546</v>
      </c>
      <c r="G128">
        <f ca="1">_xlfn.STDEV.P($C$2:C128)</f>
        <v>8.2249052023005795</v>
      </c>
      <c r="H128">
        <f t="shared" ca="1" si="22"/>
        <v>147.66701120007605</v>
      </c>
      <c r="I128">
        <f t="shared" ca="1" si="23"/>
        <v>131.21720079547487</v>
      </c>
      <c r="J128">
        <f t="shared" ca="1" si="32"/>
        <v>143.27950000000001</v>
      </c>
      <c r="K128">
        <f t="shared" ca="1" si="33"/>
        <v>2.9131543312867483</v>
      </c>
      <c r="L128">
        <f t="shared" ca="1" si="34"/>
        <v>149.10580866257351</v>
      </c>
      <c r="M128">
        <f t="shared" ca="1" si="35"/>
        <v>137.45319133742652</v>
      </c>
      <c r="N128">
        <f t="shared" ca="1" si="24"/>
        <v>2.4799999999999898</v>
      </c>
      <c r="O128">
        <f t="shared" ca="1" si="25"/>
        <v>2.4799999999999898</v>
      </c>
      <c r="P128">
        <f t="shared" ca="1" si="26"/>
        <v>0</v>
      </c>
      <c r="Q128">
        <f t="shared" ca="1" si="30"/>
        <v>1.1824172093882801</v>
      </c>
      <c r="R128">
        <f t="shared" ca="1" si="31"/>
        <v>0.55776665573255646</v>
      </c>
      <c r="S128">
        <f t="shared" ca="1" si="28"/>
        <v>2.11991376184961</v>
      </c>
      <c r="T128">
        <f t="shared" ca="1" si="29"/>
        <v>67.947832012922049</v>
      </c>
      <c r="U128">
        <f>70</f>
        <v>70</v>
      </c>
      <c r="V128">
        <f>30</f>
        <v>30</v>
      </c>
      <c r="W128">
        <f t="shared" ca="1" si="27"/>
        <v>143.9122756798613</v>
      </c>
      <c r="X128">
        <f t="shared" ca="1" si="37"/>
        <v>141.376888300817</v>
      </c>
      <c r="Y128">
        <f t="shared" ca="1" si="36"/>
        <v>2.7231258665335645</v>
      </c>
      <c r="Z128">
        <f t="shared" ca="1" si="38"/>
        <v>2.2365749352936719</v>
      </c>
      <c r="AA128">
        <f t="shared" ca="1" si="39"/>
        <v>0.48655093123989257</v>
      </c>
      <c r="AB128">
        <f t="shared" ca="1" si="40"/>
        <v>137.39565000000005</v>
      </c>
    </row>
    <row r="129" spans="1:28" x14ac:dyDescent="0.25">
      <c r="A129" s="20">
        <f t="shared" ca="1" si="20"/>
        <v>45880</v>
      </c>
      <c r="B129" vm="378">
        <f ca="1"/>
        <v>45883</v>
      </c>
      <c r="C129" vm="379">
        <f ca="1"/>
        <v>148.62</v>
      </c>
      <c r="D129" vm="380">
        <f ca="1"/>
        <v>6892466</v>
      </c>
      <c r="E129">
        <f t="shared" ca="1" si="21"/>
        <v>1024358296.9200001</v>
      </c>
      <c r="F129">
        <f ca="1">SUM($E$2:E129)/SUM($D$2:D129)</f>
        <v>139.498306780207</v>
      </c>
      <c r="G129">
        <f ca="1">_xlfn.STDEV.P($C$2:C129)</f>
        <v>8.2265648985595661</v>
      </c>
      <c r="H129">
        <f t="shared" ca="1" si="22"/>
        <v>147.72487167876656</v>
      </c>
      <c r="I129">
        <f t="shared" ca="1" si="23"/>
        <v>131.27174188164744</v>
      </c>
      <c r="J129">
        <f t="shared" ca="1" si="32"/>
        <v>143.43849999999998</v>
      </c>
      <c r="K129">
        <f t="shared" ca="1" si="33"/>
        <v>3.1169355311368192</v>
      </c>
      <c r="L129">
        <f t="shared" ca="1" si="34"/>
        <v>149.67237106227361</v>
      </c>
      <c r="M129">
        <f t="shared" ca="1" si="35"/>
        <v>137.20462893772634</v>
      </c>
      <c r="N129">
        <f t="shared" ca="1" si="24"/>
        <v>-0.72999999999998977</v>
      </c>
      <c r="O129">
        <f t="shared" ca="1" si="25"/>
        <v>0</v>
      </c>
      <c r="P129">
        <f t="shared" ca="1" si="26"/>
        <v>0.72999999999998977</v>
      </c>
      <c r="Q129">
        <f t="shared" ca="1" si="30"/>
        <v>1.0979588372891171</v>
      </c>
      <c r="R129">
        <f t="shared" ca="1" si="31"/>
        <v>0.57006903746594451</v>
      </c>
      <c r="S129">
        <f t="shared" ca="1" si="28"/>
        <v>1.9260102989801624</v>
      </c>
      <c r="T129">
        <f t="shared" ca="1" si="29"/>
        <v>65.823770328199387</v>
      </c>
      <c r="U129">
        <f>70</f>
        <v>70</v>
      </c>
      <c r="V129">
        <f>30</f>
        <v>30</v>
      </c>
      <c r="W129">
        <f t="shared" ca="1" si="27"/>
        <v>144.63654095988264</v>
      </c>
      <c r="X129">
        <f t="shared" ca="1" si="37"/>
        <v>141.91341509334907</v>
      </c>
      <c r="Y129">
        <f t="shared" ca="1" si="36"/>
        <v>2.9811759536943043</v>
      </c>
      <c r="Z129">
        <f t="shared" ca="1" si="38"/>
        <v>2.3854951389737984</v>
      </c>
      <c r="AA129">
        <f t="shared" ca="1" si="39"/>
        <v>0.59568081472050594</v>
      </c>
      <c r="AB129">
        <f t="shared" ca="1" si="40"/>
        <v>137.42735000000005</v>
      </c>
    </row>
    <row r="130" spans="1:28" x14ac:dyDescent="0.25">
      <c r="A130" s="20">
        <f t="shared" ca="1" si="20"/>
        <v>45880</v>
      </c>
      <c r="B130" vm="381">
        <f ca="1"/>
        <v>45884</v>
      </c>
      <c r="C130" vm="382">
        <f ca="1"/>
        <v>150.4</v>
      </c>
      <c r="D130" vm="383">
        <f ca="1"/>
        <v>9162178</v>
      </c>
      <c r="E130">
        <f t="shared" ca="1" si="21"/>
        <v>1377991571.2</v>
      </c>
      <c r="F130">
        <f ca="1">SUM($E$2:E130)/SUM($D$2:D130)</f>
        <v>139.58632985490098</v>
      </c>
      <c r="G130">
        <f ca="1">_xlfn.STDEV.P($C$2:C130)</f>
        <v>8.2431264991567925</v>
      </c>
      <c r="H130">
        <f t="shared" ca="1" si="22"/>
        <v>147.82945635405778</v>
      </c>
      <c r="I130">
        <f t="shared" ca="1" si="23"/>
        <v>131.34320335574418</v>
      </c>
      <c r="J130">
        <f t="shared" ca="1" si="32"/>
        <v>143.79649999999998</v>
      </c>
      <c r="K130">
        <f t="shared" ca="1" si="33"/>
        <v>3.482665759080779</v>
      </c>
      <c r="L130">
        <f t="shared" ca="1" si="34"/>
        <v>150.76183151816153</v>
      </c>
      <c r="M130">
        <f t="shared" ca="1" si="35"/>
        <v>136.83116848183843</v>
      </c>
      <c r="N130">
        <f t="shared" ca="1" si="24"/>
        <v>1.7800000000000011</v>
      </c>
      <c r="O130">
        <f t="shared" ca="1" si="25"/>
        <v>1.7800000000000011</v>
      </c>
      <c r="P130">
        <f t="shared" ca="1" si="26"/>
        <v>0</v>
      </c>
      <c r="Q130">
        <f t="shared" ca="1" si="30"/>
        <v>1.1466760631970376</v>
      </c>
      <c r="R130">
        <f t="shared" ca="1" si="31"/>
        <v>0.5293498205040913</v>
      </c>
      <c r="S130">
        <f t="shared" ca="1" si="28"/>
        <v>2.1661971323709461</v>
      </c>
      <c r="T130">
        <f t="shared" ca="1" si="29"/>
        <v>68.416369600740268</v>
      </c>
      <c r="U130">
        <f>70</f>
        <v>70</v>
      </c>
      <c r="V130">
        <f>30</f>
        <v>30</v>
      </c>
      <c r="W130">
        <f t="shared" ca="1" si="27"/>
        <v>145.52322696605455</v>
      </c>
      <c r="X130">
        <f t="shared" ca="1" si="37"/>
        <v>142.54205101236025</v>
      </c>
      <c r="Y130">
        <f t="shared" ca="1" si="36"/>
        <v>3.0815721649604484</v>
      </c>
      <c r="Z130">
        <f t="shared" ca="1" si="38"/>
        <v>2.5247105441711284</v>
      </c>
      <c r="AA130">
        <f t="shared" ca="1" si="39"/>
        <v>0.55686162078932</v>
      </c>
      <c r="AB130">
        <f t="shared" ca="1" si="40"/>
        <v>137.46685000000002</v>
      </c>
    </row>
    <row r="131" spans="1:28" x14ac:dyDescent="0.25">
      <c r="A131" s="20">
        <f t="shared" ref="A131:A194" ca="1" si="41">B131 - WEEKDAY(B131, 2) + 1</f>
        <v>45887</v>
      </c>
      <c r="B131" vm="384">
        <f ca="1"/>
        <v>45887</v>
      </c>
      <c r="C131" vm="385">
        <f ca="1"/>
        <v>149.55000000000001</v>
      </c>
      <c r="D131" vm="386">
        <f ca="1"/>
        <v>9900999</v>
      </c>
      <c r="E131">
        <f t="shared" ref="E131:E194" ca="1" si="42">C131*D131</f>
        <v>1480694400.45</v>
      </c>
      <c r="F131">
        <f ca="1">SUM($E$2:E131)/SUM($D$2:D131)</f>
        <v>139.6725143766698</v>
      </c>
      <c r="G131">
        <f ca="1">_xlfn.STDEV.P($C$2:C131)</f>
        <v>8.2510573689449842</v>
      </c>
      <c r="H131">
        <f t="shared" ref="H131:H194" ca="1" si="43">F131 + G131</f>
        <v>147.92357174561477</v>
      </c>
      <c r="I131">
        <f t="shared" ref="I131:I194" ca="1" si="44">F131 - G131</f>
        <v>131.42145700772483</v>
      </c>
      <c r="J131">
        <f t="shared" ca="1" si="32"/>
        <v>144.18900000000002</v>
      </c>
      <c r="K131">
        <f t="shared" ca="1" si="33"/>
        <v>3.6712007214046642</v>
      </c>
      <c r="L131">
        <f t="shared" ca="1" si="34"/>
        <v>151.53140144280934</v>
      </c>
      <c r="M131">
        <f t="shared" ca="1" si="35"/>
        <v>136.8465985571907</v>
      </c>
      <c r="N131">
        <f t="shared" ca="1" si="24"/>
        <v>-0.84999999999999432</v>
      </c>
      <c r="O131">
        <f t="shared" ca="1" si="25"/>
        <v>0</v>
      </c>
      <c r="P131">
        <f t="shared" ca="1" si="26"/>
        <v>0.84999999999999432</v>
      </c>
      <c r="Q131">
        <f t="shared" ca="1" si="30"/>
        <v>1.0647706301115349</v>
      </c>
      <c r="R131">
        <f t="shared" ca="1" si="31"/>
        <v>0.55225340475379869</v>
      </c>
      <c r="S131">
        <f t="shared" ca="1" si="28"/>
        <v>1.9280471988872983</v>
      </c>
      <c r="T131">
        <f t="shared" ca="1" si="29"/>
        <v>65.847545067579006</v>
      </c>
      <c r="U131">
        <f>70</f>
        <v>70</v>
      </c>
      <c r="V131">
        <f>30</f>
        <v>30</v>
      </c>
      <c r="W131">
        <f t="shared" ca="1" si="27"/>
        <v>146.14273050973847</v>
      </c>
      <c r="X131">
        <f t="shared" ca="1" si="37"/>
        <v>143.06115834477802</v>
      </c>
      <c r="Y131">
        <f t="shared" ca="1" si="36"/>
        <v>3.3333176619358085</v>
      </c>
      <c r="Z131">
        <f t="shared" ca="1" si="38"/>
        <v>2.6864319677240647</v>
      </c>
      <c r="AA131">
        <f t="shared" ca="1" si="39"/>
        <v>0.6468856942117438</v>
      </c>
      <c r="AB131">
        <f t="shared" ca="1" si="40"/>
        <v>137.50695000000002</v>
      </c>
    </row>
    <row r="132" spans="1:28" x14ac:dyDescent="0.25">
      <c r="A132" s="20">
        <f t="shared" ca="1" si="41"/>
        <v>45887</v>
      </c>
      <c r="B132" vm="387">
        <f ca="1"/>
        <v>45888</v>
      </c>
      <c r="C132" vm="388">
        <f ca="1"/>
        <v>152.16</v>
      </c>
      <c r="D132" vm="389">
        <f ca="1"/>
        <v>8596943</v>
      </c>
      <c r="E132">
        <f t="shared" ca="1" si="42"/>
        <v>1308110846.8799999</v>
      </c>
      <c r="F132">
        <f ca="1">SUM($E$2:E132)/SUM($D$2:D132)</f>
        <v>139.76560380000743</v>
      </c>
      <c r="G132">
        <f ca="1">_xlfn.STDEV.P($C$2:C132)</f>
        <v>8.2833287479462765</v>
      </c>
      <c r="H132">
        <f t="shared" ca="1" si="43"/>
        <v>148.04893254795371</v>
      </c>
      <c r="I132">
        <f t="shared" ca="1" si="44"/>
        <v>131.48227505206114</v>
      </c>
      <c r="J132">
        <f t="shared" ca="1" si="32"/>
        <v>144.49499999999998</v>
      </c>
      <c r="K132">
        <f t="shared" ca="1" si="33"/>
        <v>4.0672925172714898</v>
      </c>
      <c r="L132">
        <f t="shared" ca="1" si="34"/>
        <v>152.62958503454297</v>
      </c>
      <c r="M132">
        <f t="shared" ca="1" si="35"/>
        <v>136.36041496545698</v>
      </c>
      <c r="N132">
        <f t="shared" ref="N132:N195" ca="1" si="45">C132-C131</f>
        <v>2.6099999999999852</v>
      </c>
      <c r="O132">
        <f t="shared" ref="O132:O195" ca="1" si="46">MAX(N132,0)</f>
        <v>2.6099999999999852</v>
      </c>
      <c r="P132">
        <f t="shared" ref="P132:P195" ca="1" si="47">MAX(-N132,0)</f>
        <v>0</v>
      </c>
      <c r="Q132">
        <f t="shared" ca="1" si="30"/>
        <v>1.1751441565321383</v>
      </c>
      <c r="R132">
        <f t="shared" ca="1" si="31"/>
        <v>0.51280673298567014</v>
      </c>
      <c r="S132">
        <f t="shared" ca="1" si="28"/>
        <v>2.2915926818866019</v>
      </c>
      <c r="T132">
        <f t="shared" ca="1" si="29"/>
        <v>69.619570322205163</v>
      </c>
      <c r="U132">
        <f>70</f>
        <v>70</v>
      </c>
      <c r="V132">
        <f>30</f>
        <v>30</v>
      </c>
      <c r="W132">
        <f t="shared" ca="1" si="27"/>
        <v>147.06846427747101</v>
      </c>
      <c r="X132">
        <f t="shared" ca="1" si="37"/>
        <v>143.7351466155352</v>
      </c>
      <c r="Y132">
        <f t="shared" ca="1" si="36"/>
        <v>3.3784935622790613</v>
      </c>
      <c r="Z132">
        <f t="shared" ca="1" si="38"/>
        <v>2.8248442866350643</v>
      </c>
      <c r="AA132">
        <f t="shared" ca="1" si="39"/>
        <v>0.55364927564399702</v>
      </c>
      <c r="AB132">
        <f t="shared" ca="1" si="40"/>
        <v>137.54215000000005</v>
      </c>
    </row>
    <row r="133" spans="1:28" x14ac:dyDescent="0.25">
      <c r="A133" s="20">
        <f t="shared" ca="1" si="41"/>
        <v>45887</v>
      </c>
      <c r="B133" vm="390">
        <f ca="1"/>
        <v>45889</v>
      </c>
      <c r="C133" vm="391">
        <f ca="1"/>
        <v>150.72999999999999</v>
      </c>
      <c r="D133" vm="392">
        <f ca="1"/>
        <v>10023466</v>
      </c>
      <c r="E133">
        <f t="shared" ca="1" si="42"/>
        <v>1510837030.1799998</v>
      </c>
      <c r="F133">
        <f ca="1">SUM($E$2:E133)/SUM($D$2:D133)</f>
        <v>139.86008067805756</v>
      </c>
      <c r="G133">
        <f ca="1">_xlfn.STDEV.P($C$2:C133)</f>
        <v>8.2998169333361744</v>
      </c>
      <c r="H133">
        <f t="shared" ca="1" si="43"/>
        <v>148.15989761139372</v>
      </c>
      <c r="I133">
        <f t="shared" ca="1" si="44"/>
        <v>131.5602637447214</v>
      </c>
      <c r="J133">
        <f t="shared" ca="1" si="32"/>
        <v>144.74849999999998</v>
      </c>
      <c r="K133">
        <f t="shared" ca="1" si="33"/>
        <v>4.2953295014836526</v>
      </c>
      <c r="L133">
        <f t="shared" ca="1" si="34"/>
        <v>153.33915900296728</v>
      </c>
      <c r="M133">
        <f t="shared" ca="1" si="35"/>
        <v>136.15784099703268</v>
      </c>
      <c r="N133">
        <f t="shared" ca="1" si="45"/>
        <v>-1.4300000000000068</v>
      </c>
      <c r="O133">
        <f t="shared" ca="1" si="46"/>
        <v>0</v>
      </c>
      <c r="P133">
        <f t="shared" ca="1" si="47"/>
        <v>1.4300000000000068</v>
      </c>
      <c r="Q133">
        <f t="shared" ca="1" si="30"/>
        <v>1.0912052882084142</v>
      </c>
      <c r="R133">
        <f t="shared" ca="1" si="31"/>
        <v>0.57832053777240844</v>
      </c>
      <c r="S133">
        <f t="shared" ca="1" si="28"/>
        <v>1.8868520430063749</v>
      </c>
      <c r="T133">
        <f t="shared" ca="1" si="29"/>
        <v>65.360192171172116</v>
      </c>
      <c r="U133">
        <f>70</f>
        <v>70</v>
      </c>
      <c r="V133">
        <f>30</f>
        <v>30</v>
      </c>
      <c r="W133">
        <f t="shared" ca="1" si="27"/>
        <v>147.6317774655524</v>
      </c>
      <c r="X133">
        <f t="shared" ca="1" si="37"/>
        <v>144.25328390327334</v>
      </c>
      <c r="Y133">
        <f t="shared" ca="1" si="36"/>
        <v>3.2357852954564805</v>
      </c>
      <c r="Z133">
        <f t="shared" ca="1" si="38"/>
        <v>2.9070324883993477</v>
      </c>
      <c r="AA133">
        <f t="shared" ca="1" si="39"/>
        <v>0.32875280705713283</v>
      </c>
      <c r="AB133">
        <f t="shared" ca="1" si="40"/>
        <v>137.55275</v>
      </c>
    </row>
    <row r="134" spans="1:28" x14ac:dyDescent="0.25">
      <c r="A134" s="20">
        <f t="shared" ca="1" si="41"/>
        <v>45887</v>
      </c>
      <c r="B134" vm="393">
        <f ca="1"/>
        <v>45890</v>
      </c>
      <c r="C134" vm="394">
        <f ca="1"/>
        <v>148.97999999999999</v>
      </c>
      <c r="D134" vm="395">
        <f ca="1"/>
        <v>8153618</v>
      </c>
      <c r="E134">
        <f t="shared" ca="1" si="42"/>
        <v>1214726009.6399999</v>
      </c>
      <c r="F134">
        <f ca="1">SUM($E$2:E134)/SUM($D$2:D134)</f>
        <v>139.92355978046587</v>
      </c>
      <c r="G134">
        <f ca="1">_xlfn.STDEV.P($C$2:C134)</f>
        <v>8.3006656657558295</v>
      </c>
      <c r="H134">
        <f t="shared" ca="1" si="43"/>
        <v>148.22422544622168</v>
      </c>
      <c r="I134">
        <f t="shared" ca="1" si="44"/>
        <v>131.62289411471005</v>
      </c>
      <c r="J134">
        <f t="shared" ca="1" si="32"/>
        <v>144.97200000000001</v>
      </c>
      <c r="K134">
        <f t="shared" ca="1" si="33"/>
        <v>4.3973492015076552</v>
      </c>
      <c r="L134">
        <f t="shared" ca="1" si="34"/>
        <v>153.76669840301531</v>
      </c>
      <c r="M134">
        <f t="shared" ca="1" si="35"/>
        <v>136.17730159698471</v>
      </c>
      <c r="N134">
        <f t="shared" ca="1" si="45"/>
        <v>-1.75</v>
      </c>
      <c r="O134">
        <f t="shared" ca="1" si="46"/>
        <v>0</v>
      </c>
      <c r="P134">
        <f t="shared" ca="1" si="47"/>
        <v>1.75</v>
      </c>
      <c r="Q134">
        <f t="shared" ca="1" si="30"/>
        <v>1.0132620533363847</v>
      </c>
      <c r="R134">
        <f t="shared" ca="1" si="31"/>
        <v>0.66201192793152208</v>
      </c>
      <c r="S134">
        <f t="shared" ca="1" si="28"/>
        <v>1.5305797533019612</v>
      </c>
      <c r="T134">
        <f t="shared" ca="1" si="29"/>
        <v>60.483363597010687</v>
      </c>
      <c r="U134">
        <f>70</f>
        <v>70</v>
      </c>
      <c r="V134">
        <f>30</f>
        <v>30</v>
      </c>
      <c r="W134">
        <f t="shared" ca="1" si="27"/>
        <v>147.83919631700587</v>
      </c>
      <c r="X134">
        <f t="shared" ca="1" si="37"/>
        <v>144.60341102154939</v>
      </c>
      <c r="Y134">
        <f t="shared" ca="1" si="36"/>
        <v>3.1397513508467227</v>
      </c>
      <c r="Z134">
        <f t="shared" ca="1" si="38"/>
        <v>2.9535762608888225</v>
      </c>
      <c r="AA134">
        <f t="shared" ca="1" si="39"/>
        <v>0.18617508995790022</v>
      </c>
      <c r="AB134">
        <f t="shared" ca="1" si="40"/>
        <v>137.54985000000002</v>
      </c>
    </row>
    <row r="135" spans="1:28" x14ac:dyDescent="0.25">
      <c r="A135" s="20">
        <f t="shared" ca="1" si="41"/>
        <v>45887</v>
      </c>
      <c r="B135" vm="396">
        <f ca="1"/>
        <v>45891</v>
      </c>
      <c r="C135" vm="397">
        <f ca="1"/>
        <v>149.63999999999999</v>
      </c>
      <c r="D135" vm="398">
        <f ca="1"/>
        <v>5218019</v>
      </c>
      <c r="E135">
        <f t="shared" ca="1" si="42"/>
        <v>780824363.15999997</v>
      </c>
      <c r="F135">
        <f ca="1">SUM($E$2:E135)/SUM($D$2:D135)</f>
        <v>139.96664933533447</v>
      </c>
      <c r="G135">
        <f ca="1">_xlfn.STDEV.P($C$2:C135)</f>
        <v>8.3061549627592992</v>
      </c>
      <c r="H135">
        <f t="shared" ca="1" si="43"/>
        <v>148.27280429809377</v>
      </c>
      <c r="I135">
        <f t="shared" ca="1" si="44"/>
        <v>131.66049437257516</v>
      </c>
      <c r="J135">
        <f t="shared" ca="1" si="32"/>
        <v>145.28149999999999</v>
      </c>
      <c r="K135">
        <f t="shared" ca="1" si="33"/>
        <v>4.5011978230361382</v>
      </c>
      <c r="L135">
        <f t="shared" ca="1" si="34"/>
        <v>154.28389564607227</v>
      </c>
      <c r="M135">
        <f t="shared" ca="1" si="35"/>
        <v>136.27910435392772</v>
      </c>
      <c r="N135">
        <f t="shared" ca="1" si="45"/>
        <v>0.65999999999999659</v>
      </c>
      <c r="O135">
        <f t="shared" ca="1" si="46"/>
        <v>0.65999999999999659</v>
      </c>
      <c r="P135">
        <f t="shared" ca="1" si="47"/>
        <v>0</v>
      </c>
      <c r="Q135">
        <f t="shared" ca="1" si="30"/>
        <v>0.98802904952664272</v>
      </c>
      <c r="R135">
        <f t="shared" ca="1" si="31"/>
        <v>0.61472536165069902</v>
      </c>
      <c r="S135">
        <f t="shared" ca="1" si="28"/>
        <v>1.6072690524326592</v>
      </c>
      <c r="T135">
        <f t="shared" ca="1" si="29"/>
        <v>61.645692105808166</v>
      </c>
      <c r="U135">
        <f>70</f>
        <v>70</v>
      </c>
      <c r="V135">
        <f>30</f>
        <v>30</v>
      </c>
      <c r="W135">
        <f t="shared" ca="1" si="27"/>
        <v>148.11624303746652</v>
      </c>
      <c r="X135">
        <f t="shared" ca="1" si="37"/>
        <v>144.9764916866198</v>
      </c>
      <c r="Y135">
        <f t="shared" ca="1" si="36"/>
        <v>2.9138586438066056</v>
      </c>
      <c r="Z135">
        <f t="shared" ca="1" si="38"/>
        <v>2.9456327374723794</v>
      </c>
      <c r="AA135">
        <f t="shared" ca="1" si="39"/>
        <v>-3.1774093665773773E-2</v>
      </c>
      <c r="AB135">
        <f t="shared" ca="1" si="40"/>
        <v>137.54685000000001</v>
      </c>
    </row>
    <row r="136" spans="1:28" x14ac:dyDescent="0.25">
      <c r="A136" s="20">
        <f t="shared" ca="1" si="41"/>
        <v>45894</v>
      </c>
      <c r="B136" vm="399">
        <f ca="1"/>
        <v>45894</v>
      </c>
      <c r="C136" vm="400">
        <f ca="1"/>
        <v>148.19999999999999</v>
      </c>
      <c r="D136" vm="401">
        <f ca="1"/>
        <v>6624298</v>
      </c>
      <c r="E136">
        <f t="shared" ca="1" si="42"/>
        <v>981720963.5999999</v>
      </c>
      <c r="F136">
        <f ca="1">SUM($E$2:E136)/SUM($D$2:D136)</f>
        <v>140.01274260054419</v>
      </c>
      <c r="G136">
        <f ca="1">_xlfn.STDEV.P($C$2:C136)</f>
        <v>8.3005037375027033</v>
      </c>
      <c r="H136">
        <f t="shared" ca="1" si="43"/>
        <v>148.31324633804689</v>
      </c>
      <c r="I136">
        <f t="shared" ca="1" si="44"/>
        <v>131.71223886304148</v>
      </c>
      <c r="J136">
        <f t="shared" ca="1" si="32"/>
        <v>145.613</v>
      </c>
      <c r="K136">
        <f t="shared" ca="1" si="33"/>
        <v>4.4573972816337317</v>
      </c>
      <c r="L136">
        <f t="shared" ca="1" si="34"/>
        <v>154.52779456326746</v>
      </c>
      <c r="M136">
        <f t="shared" ca="1" si="35"/>
        <v>136.69820543673254</v>
      </c>
      <c r="N136">
        <f t="shared" ca="1" si="45"/>
        <v>-1.4399999999999977</v>
      </c>
      <c r="O136">
        <f t="shared" ca="1" si="46"/>
        <v>0</v>
      </c>
      <c r="P136">
        <f t="shared" ca="1" si="47"/>
        <v>1.4399999999999977</v>
      </c>
      <c r="Q136">
        <f t="shared" ca="1" si="30"/>
        <v>0.91745554598902535</v>
      </c>
      <c r="R136">
        <f t="shared" ca="1" si="31"/>
        <v>0.67367355010422025</v>
      </c>
      <c r="S136">
        <f t="shared" ca="1" si="28"/>
        <v>1.3618696263896526</v>
      </c>
      <c r="T136">
        <f t="shared" ca="1" si="29"/>
        <v>57.660660485795006</v>
      </c>
      <c r="U136">
        <f>70</f>
        <v>70</v>
      </c>
      <c r="V136">
        <f>30</f>
        <v>30</v>
      </c>
      <c r="W136">
        <f t="shared" ca="1" si="27"/>
        <v>148.12912872401014</v>
      </c>
      <c r="X136">
        <f t="shared" ca="1" si="37"/>
        <v>145.21527008020354</v>
      </c>
      <c r="Y136">
        <f t="shared" ca="1" si="36"/>
        <v>2.6079443161391964</v>
      </c>
      <c r="Z136">
        <f t="shared" ca="1" si="38"/>
        <v>2.878095053205743</v>
      </c>
      <c r="AA136">
        <f t="shared" ca="1" si="39"/>
        <v>-0.27015073706654658</v>
      </c>
      <c r="AB136">
        <f t="shared" ca="1" si="40"/>
        <v>137.53215000000003</v>
      </c>
    </row>
    <row r="137" spans="1:28" x14ac:dyDescent="0.25">
      <c r="A137" s="20">
        <f t="shared" ca="1" si="41"/>
        <v>45894</v>
      </c>
      <c r="B137" vm="402">
        <f ca="1"/>
        <v>45895</v>
      </c>
      <c r="C137" vm="403">
        <f ca="1"/>
        <v>147</v>
      </c>
      <c r="D137" vm="404">
        <f ca="1"/>
        <v>11208146</v>
      </c>
      <c r="E137">
        <f t="shared" ca="1" si="42"/>
        <v>1647597462</v>
      </c>
      <c r="F137">
        <f ca="1">SUM($E$2:E137)/SUM($D$2:D137)</f>
        <v>140.07830685420774</v>
      </c>
      <c r="G137">
        <f ca="1">_xlfn.STDEV.P($C$2:C137)</f>
        <v>8.2872997836507754</v>
      </c>
      <c r="H137">
        <f t="shared" ca="1" si="43"/>
        <v>148.36560663785852</v>
      </c>
      <c r="I137">
        <f t="shared" ca="1" si="44"/>
        <v>131.79100707055696</v>
      </c>
      <c r="J137">
        <f t="shared" ca="1" si="32"/>
        <v>145.76849999999996</v>
      </c>
      <c r="K137">
        <f t="shared" ca="1" si="33"/>
        <v>4.4483637145406743</v>
      </c>
      <c r="L137">
        <f t="shared" ca="1" si="34"/>
        <v>154.66522742908131</v>
      </c>
      <c r="M137">
        <f t="shared" ca="1" si="35"/>
        <v>136.87177257091861</v>
      </c>
      <c r="N137">
        <f t="shared" ca="1" si="45"/>
        <v>-1.1999999999999886</v>
      </c>
      <c r="O137">
        <f t="shared" ca="1" si="46"/>
        <v>0</v>
      </c>
      <c r="P137">
        <f t="shared" ca="1" si="47"/>
        <v>1.1999999999999886</v>
      </c>
      <c r="Q137">
        <f t="shared" ca="1" si="30"/>
        <v>0.85192300698980916</v>
      </c>
      <c r="R137">
        <f t="shared" ca="1" si="31"/>
        <v>0.71126829652534662</v>
      </c>
      <c r="S137">
        <f t="shared" ca="1" si="28"/>
        <v>1.1977519751007912</v>
      </c>
      <c r="T137">
        <f t="shared" ca="1" si="29"/>
        <v>54.498960240764255</v>
      </c>
      <c r="U137">
        <f>70</f>
        <v>70</v>
      </c>
      <c r="V137">
        <f>30</f>
        <v>30</v>
      </c>
      <c r="W137">
        <f t="shared" ca="1" si="27"/>
        <v>147.95541661262396</v>
      </c>
      <c r="X137">
        <f t="shared" ca="1" si="37"/>
        <v>145.34747229648477</v>
      </c>
      <c r="Y137">
        <f t="shared" ca="1" si="36"/>
        <v>2.3896018165007717</v>
      </c>
      <c r="Z137">
        <f t="shared" ca="1" si="38"/>
        <v>2.780396405864749</v>
      </c>
      <c r="AA137">
        <f t="shared" ca="1" si="39"/>
        <v>-0.39079458936397726</v>
      </c>
      <c r="AB137">
        <f t="shared" ca="1" si="40"/>
        <v>137.51095000000001</v>
      </c>
    </row>
    <row r="138" spans="1:28" x14ac:dyDescent="0.25">
      <c r="A138" s="20">
        <f t="shared" ca="1" si="41"/>
        <v>45894</v>
      </c>
      <c r="B138" vm="405">
        <f ca="1"/>
        <v>45896</v>
      </c>
      <c r="C138" vm="406">
        <f ca="1"/>
        <v>147.63999999999999</v>
      </c>
      <c r="D138" vm="407">
        <f ca="1"/>
        <v>8092909</v>
      </c>
      <c r="E138">
        <f t="shared" ca="1" si="42"/>
        <v>1194837084.76</v>
      </c>
      <c r="F138">
        <f ca="1">SUM($E$2:E138)/SUM($D$2:D138)</f>
        <v>140.12919513000472</v>
      </c>
      <c r="G138">
        <f ca="1">_xlfn.STDEV.P($C$2:C138)</f>
        <v>8.2776869451248114</v>
      </c>
      <c r="H138">
        <f t="shared" ca="1" si="43"/>
        <v>148.40688207512952</v>
      </c>
      <c r="I138">
        <f t="shared" ca="1" si="44"/>
        <v>131.85150818487992</v>
      </c>
      <c r="J138">
        <f t="shared" ca="1" si="32"/>
        <v>146.00749999999999</v>
      </c>
      <c r="K138">
        <f t="shared" ca="1" si="33"/>
        <v>4.412133837498585</v>
      </c>
      <c r="L138">
        <f t="shared" ca="1" si="34"/>
        <v>154.83176767499717</v>
      </c>
      <c r="M138">
        <f t="shared" ca="1" si="35"/>
        <v>137.18323232500282</v>
      </c>
      <c r="N138">
        <f t="shared" ca="1" si="45"/>
        <v>0.63999999999998636</v>
      </c>
      <c r="O138">
        <f t="shared" ca="1" si="46"/>
        <v>0.63999999999998636</v>
      </c>
      <c r="P138">
        <f t="shared" ca="1" si="47"/>
        <v>0</v>
      </c>
      <c r="Q138">
        <f t="shared" ca="1" si="30"/>
        <v>0.83678564934767896</v>
      </c>
      <c r="R138">
        <f t="shared" ca="1" si="31"/>
        <v>0.66046341820210763</v>
      </c>
      <c r="S138">
        <f t="shared" ca="1" si="28"/>
        <v>1.2669674448064816</v>
      </c>
      <c r="T138">
        <f t="shared" ca="1" si="29"/>
        <v>55.888206410244038</v>
      </c>
      <c r="U138">
        <f>70</f>
        <v>70</v>
      </c>
      <c r="V138">
        <f>30</f>
        <v>30</v>
      </c>
      <c r="W138">
        <f t="shared" ca="1" si="27"/>
        <v>147.90689097991259</v>
      </c>
      <c r="X138">
        <f t="shared" ca="1" si="37"/>
        <v>145.51728916341182</v>
      </c>
      <c r="Y138">
        <f t="shared" ca="1" si="36"/>
        <v>2.1386542533481361</v>
      </c>
      <c r="Z138">
        <f t="shared" ca="1" si="38"/>
        <v>2.6520479753614263</v>
      </c>
      <c r="AA138">
        <f t="shared" ca="1" si="39"/>
        <v>-0.51339372201329025</v>
      </c>
      <c r="AB138">
        <f t="shared" ca="1" si="40"/>
        <v>137.47364999999999</v>
      </c>
    </row>
    <row r="139" spans="1:28" x14ac:dyDescent="0.25">
      <c r="A139" s="20">
        <f t="shared" ca="1" si="41"/>
        <v>45894</v>
      </c>
      <c r="B139" vm="408">
        <f ca="1"/>
        <v>45897</v>
      </c>
      <c r="C139" vm="409">
        <f ca="1"/>
        <v>146.97999999999999</v>
      </c>
      <c r="D139" vm="410">
        <f ca="1"/>
        <v>9265077</v>
      </c>
      <c r="E139">
        <f t="shared" ca="1" si="42"/>
        <v>1361781017.4599998</v>
      </c>
      <c r="F139">
        <f ca="1">SUM($E$2:E139)/SUM($D$2:D139)</f>
        <v>140.18157343896868</v>
      </c>
      <c r="G139">
        <f ca="1">_xlfn.STDEV.P($C$2:C139)</f>
        <v>8.2641766525047018</v>
      </c>
      <c r="H139">
        <f t="shared" ca="1" si="43"/>
        <v>148.44575009147337</v>
      </c>
      <c r="I139">
        <f t="shared" ca="1" si="44"/>
        <v>131.917396786464</v>
      </c>
      <c r="J139">
        <f t="shared" ca="1" si="32"/>
        <v>146.46049999999997</v>
      </c>
      <c r="K139">
        <f t="shared" ca="1" si="33"/>
        <v>3.9822335375224305</v>
      </c>
      <c r="L139">
        <f t="shared" ca="1" si="34"/>
        <v>154.42496707504483</v>
      </c>
      <c r="M139">
        <f t="shared" ca="1" si="35"/>
        <v>138.4960329249551</v>
      </c>
      <c r="N139">
        <f t="shared" ca="1" si="45"/>
        <v>-0.65999999999999659</v>
      </c>
      <c r="O139">
        <f t="shared" ca="1" si="46"/>
        <v>0</v>
      </c>
      <c r="P139">
        <f t="shared" ca="1" si="47"/>
        <v>0.65999999999999659</v>
      </c>
      <c r="Q139">
        <f t="shared" ca="1" si="30"/>
        <v>0.77701524582284465</v>
      </c>
      <c r="R139">
        <f t="shared" ca="1" si="31"/>
        <v>0.66043031690195686</v>
      </c>
      <c r="S139">
        <f t="shared" ca="1" si="28"/>
        <v>1.1765287357912058</v>
      </c>
      <c r="T139">
        <f t="shared" ca="1" si="29"/>
        <v>54.055281533580001</v>
      </c>
      <c r="U139">
        <f>70</f>
        <v>70</v>
      </c>
      <c r="V139">
        <f>30</f>
        <v>30</v>
      </c>
      <c r="W139">
        <f t="shared" ca="1" si="27"/>
        <v>147.76429236761834</v>
      </c>
      <c r="X139">
        <f t="shared" ca="1" si="37"/>
        <v>145.6256381142702</v>
      </c>
      <c r="Y139">
        <f t="shared" ca="1" si="36"/>
        <v>2.0508901596718658</v>
      </c>
      <c r="Z139">
        <f t="shared" ca="1" si="38"/>
        <v>2.5318164122235141</v>
      </c>
      <c r="AA139">
        <f t="shared" ca="1" si="39"/>
        <v>-0.48092625255164823</v>
      </c>
      <c r="AB139">
        <f t="shared" ca="1" si="40"/>
        <v>137.47735</v>
      </c>
    </row>
    <row r="140" spans="1:28" x14ac:dyDescent="0.25">
      <c r="A140" s="20">
        <f t="shared" ca="1" si="41"/>
        <v>45894</v>
      </c>
      <c r="B140" vm="411">
        <f ca="1"/>
        <v>45898</v>
      </c>
      <c r="C140" vm="412">
        <f ca="1"/>
        <v>148.65</v>
      </c>
      <c r="D140" vm="413">
        <f ca="1"/>
        <v>7760710</v>
      </c>
      <c r="E140">
        <f t="shared" ca="1" si="42"/>
        <v>1153629541.5</v>
      </c>
      <c r="F140">
        <f ca="1">SUM($E$2:E140)/SUM($D$2:D140)</f>
        <v>140.23546150517453</v>
      </c>
      <c r="G140">
        <f ca="1">_xlfn.STDEV.P($C$2:C140)</f>
        <v>8.2606458127261675</v>
      </c>
      <c r="H140">
        <f t="shared" ca="1" si="43"/>
        <v>148.49610731790068</v>
      </c>
      <c r="I140">
        <f t="shared" ca="1" si="44"/>
        <v>131.97481569244837</v>
      </c>
      <c r="J140">
        <f t="shared" ca="1" si="32"/>
        <v>146.929</v>
      </c>
      <c r="K140">
        <f t="shared" ca="1" si="33"/>
        <v>3.6284691566902736</v>
      </c>
      <c r="L140">
        <f t="shared" ca="1" si="34"/>
        <v>154.18593831338055</v>
      </c>
      <c r="M140">
        <f t="shared" ca="1" si="35"/>
        <v>139.67206168661946</v>
      </c>
      <c r="N140">
        <f t="shared" ca="1" si="45"/>
        <v>1.6700000000000159</v>
      </c>
      <c r="O140">
        <f t="shared" ca="1" si="46"/>
        <v>1.6700000000000159</v>
      </c>
      <c r="P140">
        <f t="shared" ca="1" si="47"/>
        <v>0</v>
      </c>
      <c r="Q140">
        <f t="shared" ca="1" si="30"/>
        <v>0.84079987112121402</v>
      </c>
      <c r="R140">
        <f t="shared" ca="1" si="31"/>
        <v>0.6132567228375313</v>
      </c>
      <c r="S140">
        <f t="shared" ca="1" si="28"/>
        <v>1.3710406096012178</v>
      </c>
      <c r="T140">
        <f t="shared" ca="1" si="29"/>
        <v>57.824425446336463</v>
      </c>
      <c r="U140">
        <f>70</f>
        <v>70</v>
      </c>
      <c r="V140">
        <f>30</f>
        <v>30</v>
      </c>
      <c r="W140">
        <f t="shared" ca="1" si="27"/>
        <v>147.90055508029243</v>
      </c>
      <c r="X140">
        <f t="shared" ca="1" si="37"/>
        <v>145.84966492062057</v>
      </c>
      <c r="Y140">
        <f t="shared" ca="1" si="36"/>
        <v>2.08878564001472</v>
      </c>
      <c r="Z140">
        <f t="shared" ca="1" si="38"/>
        <v>2.4432102577817556</v>
      </c>
      <c r="AA140">
        <f t="shared" ca="1" si="39"/>
        <v>-0.3544246177670356</v>
      </c>
      <c r="AB140">
        <f t="shared" ca="1" si="40"/>
        <v>137.53194999999999</v>
      </c>
    </row>
    <row r="141" spans="1:28" x14ac:dyDescent="0.25">
      <c r="A141" s="20">
        <f t="shared" ca="1" si="41"/>
        <v>45901</v>
      </c>
      <c r="B141" vm="414">
        <f ca="1"/>
        <v>45902</v>
      </c>
      <c r="C141" vm="415">
        <f ca="1"/>
        <v>150.28</v>
      </c>
      <c r="D141" vm="416">
        <f ca="1"/>
        <v>17348611</v>
      </c>
      <c r="E141">
        <f t="shared" ca="1" si="42"/>
        <v>2607149261.0799999</v>
      </c>
      <c r="F141">
        <f ca="1">SUM($E$2:E141)/SUM($D$2:D141)</f>
        <v>140.37634132629699</v>
      </c>
      <c r="G141">
        <f ca="1">_xlfn.STDEV.P($C$2:C141)</f>
        <v>8.2687466274847736</v>
      </c>
      <c r="H141">
        <f t="shared" ca="1" si="43"/>
        <v>148.64508795378177</v>
      </c>
      <c r="I141">
        <f t="shared" ca="1" si="44"/>
        <v>132.10759469881222</v>
      </c>
      <c r="J141">
        <f t="shared" ca="1" si="32"/>
        <v>147.465</v>
      </c>
      <c r="K141">
        <f t="shared" ca="1" si="33"/>
        <v>3.2552071645611931</v>
      </c>
      <c r="L141">
        <f t="shared" ca="1" si="34"/>
        <v>153.9754143291224</v>
      </c>
      <c r="M141">
        <f t="shared" ca="1" si="35"/>
        <v>140.95458567087761</v>
      </c>
      <c r="N141">
        <f t="shared" ca="1" si="45"/>
        <v>1.6299999999999955</v>
      </c>
      <c r="O141">
        <f t="shared" ca="1" si="46"/>
        <v>1.6299999999999955</v>
      </c>
      <c r="P141">
        <f t="shared" ca="1" si="47"/>
        <v>0</v>
      </c>
      <c r="Q141">
        <f t="shared" ca="1" si="30"/>
        <v>0.89717130889826979</v>
      </c>
      <c r="R141">
        <f t="shared" ca="1" si="31"/>
        <v>0.56945267120627907</v>
      </c>
      <c r="S141">
        <f t="shared" ca="1" si="28"/>
        <v>1.5754975861256038</v>
      </c>
      <c r="T141">
        <f t="shared" ca="1" si="29"/>
        <v>61.17255145618951</v>
      </c>
      <c r="U141">
        <f>70</f>
        <v>70</v>
      </c>
      <c r="V141">
        <f>30</f>
        <v>30</v>
      </c>
      <c r="W141">
        <f t="shared" ca="1" si="27"/>
        <v>148.26662352947821</v>
      </c>
      <c r="X141">
        <f t="shared" ca="1" si="37"/>
        <v>146.17783788946349</v>
      </c>
      <c r="Y141">
        <f t="shared" ca="1" si="36"/>
        <v>1.9638457953828947</v>
      </c>
      <c r="Z141">
        <f t="shared" ca="1" si="38"/>
        <v>2.3473373653019838</v>
      </c>
      <c r="AA141">
        <f t="shared" ca="1" si="39"/>
        <v>-0.38349156991908906</v>
      </c>
      <c r="AB141">
        <f t="shared" ca="1" si="40"/>
        <v>137.63175000000001</v>
      </c>
    </row>
    <row r="142" spans="1:28" x14ac:dyDescent="0.25">
      <c r="A142" s="20">
        <f t="shared" ca="1" si="41"/>
        <v>45901</v>
      </c>
      <c r="B142" vm="417">
        <f ca="1"/>
        <v>45903</v>
      </c>
      <c r="C142" vm="92">
        <f ca="1"/>
        <v>148.63999999999999</v>
      </c>
      <c r="D142" vm="418">
        <f ca="1"/>
        <v>11259203</v>
      </c>
      <c r="E142">
        <f t="shared" ca="1" si="42"/>
        <v>1673567933.9199998</v>
      </c>
      <c r="F142">
        <f ca="1">SUM($E$2:E142)/SUM($D$2:D142)</f>
        <v>140.45088294565053</v>
      </c>
      <c r="G142">
        <f ca="1">_xlfn.STDEV.P($C$2:C142)</f>
        <v>8.2643640930492523</v>
      </c>
      <c r="H142">
        <f t="shared" ca="1" si="43"/>
        <v>148.71524703869977</v>
      </c>
      <c r="I142">
        <f t="shared" ca="1" si="44"/>
        <v>132.1865188526013</v>
      </c>
      <c r="J142">
        <f t="shared" ca="1" si="32"/>
        <v>147.92450000000002</v>
      </c>
      <c r="K142">
        <f t="shared" ca="1" si="33"/>
        <v>2.6581423568864162</v>
      </c>
      <c r="L142">
        <f t="shared" ca="1" si="34"/>
        <v>153.24078471377285</v>
      </c>
      <c r="M142">
        <f t="shared" ca="1" si="35"/>
        <v>142.60821528622719</v>
      </c>
      <c r="N142">
        <f t="shared" ca="1" si="45"/>
        <v>-1.6400000000000148</v>
      </c>
      <c r="O142">
        <f t="shared" ca="1" si="46"/>
        <v>0</v>
      </c>
      <c r="P142">
        <f t="shared" ca="1" si="47"/>
        <v>1.6400000000000148</v>
      </c>
      <c r="Q142">
        <f t="shared" ca="1" si="30"/>
        <v>0.83308764397696478</v>
      </c>
      <c r="R142">
        <f t="shared" ca="1" si="31"/>
        <v>0.64592033754868872</v>
      </c>
      <c r="S142">
        <f t="shared" ca="1" si="28"/>
        <v>1.2897684057117456</v>
      </c>
      <c r="T142">
        <f t="shared" ca="1" si="29"/>
        <v>56.32746099974409</v>
      </c>
      <c r="U142">
        <f>70</f>
        <v>70</v>
      </c>
      <c r="V142">
        <f>30</f>
        <v>30</v>
      </c>
      <c r="W142">
        <f t="shared" ca="1" si="27"/>
        <v>148.32406606340464</v>
      </c>
      <c r="X142">
        <f t="shared" ca="1" si="37"/>
        <v>146.36022026802175</v>
      </c>
      <c r="Y142">
        <f t="shared" ca="1" si="36"/>
        <v>1.7039773040572754</v>
      </c>
      <c r="Z142">
        <f t="shared" ca="1" si="38"/>
        <v>2.218665353053042</v>
      </c>
      <c r="AA142">
        <f t="shared" ca="1" si="39"/>
        <v>-0.51468804899576659</v>
      </c>
      <c r="AB142">
        <f t="shared" ca="1" si="40"/>
        <v>137.66225</v>
      </c>
    </row>
    <row r="143" spans="1:28" x14ac:dyDescent="0.25">
      <c r="A143" s="20">
        <f t="shared" ca="1" si="41"/>
        <v>45901</v>
      </c>
      <c r="B143" vm="419">
        <f ca="1"/>
        <v>45904</v>
      </c>
      <c r="C143" vm="420">
        <f ca="1"/>
        <v>146.88999999999999</v>
      </c>
      <c r="D143" vm="421">
        <f ca="1"/>
        <v>6342232</v>
      </c>
      <c r="E143">
        <f t="shared" ca="1" si="42"/>
        <v>931610458.4799999</v>
      </c>
      <c r="F143">
        <f ca="1">SUM($E$2:E143)/SUM($D$2:D143)</f>
        <v>140.48343557890246</v>
      </c>
      <c r="G143">
        <f ca="1">_xlfn.STDEV.P($C$2:C143)</f>
        <v>8.2497240163663097</v>
      </c>
      <c r="H143">
        <f t="shared" ca="1" si="43"/>
        <v>148.73315959526877</v>
      </c>
      <c r="I143">
        <f t="shared" ca="1" si="44"/>
        <v>132.23371156253614</v>
      </c>
      <c r="J143">
        <f t="shared" ca="1" si="32"/>
        <v>148.22899999999998</v>
      </c>
      <c r="K143">
        <f t="shared" ca="1" si="33"/>
        <v>2.0863715670487539</v>
      </c>
      <c r="L143">
        <f t="shared" ca="1" si="34"/>
        <v>152.4017431340975</v>
      </c>
      <c r="M143">
        <f t="shared" ca="1" si="35"/>
        <v>144.05625686590247</v>
      </c>
      <c r="N143">
        <f t="shared" ca="1" si="45"/>
        <v>-1.75</v>
      </c>
      <c r="O143">
        <f t="shared" ca="1" si="46"/>
        <v>0</v>
      </c>
      <c r="P143">
        <f t="shared" ca="1" si="47"/>
        <v>1.75</v>
      </c>
      <c r="Q143">
        <f t="shared" ca="1" si="30"/>
        <v>0.77358138369289586</v>
      </c>
      <c r="R143">
        <f t="shared" ca="1" si="31"/>
        <v>0.72478317058092523</v>
      </c>
      <c r="S143">
        <f t="shared" ca="1" si="28"/>
        <v>1.0673280162850058</v>
      </c>
      <c r="T143">
        <f t="shared" ca="1" si="29"/>
        <v>51.628382524559278</v>
      </c>
      <c r="U143">
        <f>70</f>
        <v>70</v>
      </c>
      <c r="V143">
        <f>30</f>
        <v>30</v>
      </c>
      <c r="W143">
        <f t="shared" ref="W143:W206" ca="1" si="48">C143*(2/(12+1)) + W142*(1-(2/(12+1)))</f>
        <v>148.10344051518854</v>
      </c>
      <c r="X143">
        <f t="shared" ca="1" si="37"/>
        <v>146.39946321113126</v>
      </c>
      <c r="Y143">
        <f t="shared" ca="1" si="36"/>
        <v>1.441072049553668</v>
      </c>
      <c r="Z143">
        <f t="shared" ca="1" si="38"/>
        <v>2.0631466923531674</v>
      </c>
      <c r="AA143">
        <f t="shared" ca="1" si="39"/>
        <v>-0.62207464279949942</v>
      </c>
      <c r="AB143">
        <f t="shared" ca="1" si="40"/>
        <v>137.68974999999998</v>
      </c>
    </row>
    <row r="144" spans="1:28" x14ac:dyDescent="0.25">
      <c r="A144" s="20">
        <f t="shared" ca="1" si="41"/>
        <v>45901</v>
      </c>
      <c r="B144" vm="422">
        <f ca="1"/>
        <v>45905</v>
      </c>
      <c r="C144" vm="423">
        <f ca="1"/>
        <v>146.38999999999999</v>
      </c>
      <c r="D144" vm="424">
        <f ca="1"/>
        <v>7186260</v>
      </c>
      <c r="E144">
        <f t="shared" ca="1" si="42"/>
        <v>1051996601.3999999</v>
      </c>
      <c r="F144">
        <f ca="1">SUM($E$2:E144)/SUM($D$2:D144)</f>
        <v>140.51707704470084</v>
      </c>
      <c r="G144">
        <f ca="1">_xlfn.STDEV.P($C$2:C144)</f>
        <v>8.2327179337538272</v>
      </c>
      <c r="H144">
        <f t="shared" ca="1" si="43"/>
        <v>148.74979497845467</v>
      </c>
      <c r="I144">
        <f t="shared" ca="1" si="44"/>
        <v>132.28435911094701</v>
      </c>
      <c r="J144">
        <f t="shared" ca="1" si="32"/>
        <v>148.35250000000002</v>
      </c>
      <c r="K144">
        <f t="shared" ca="1" si="33"/>
        <v>1.8808645128741921</v>
      </c>
      <c r="L144">
        <f t="shared" ca="1" si="34"/>
        <v>152.11422902574841</v>
      </c>
      <c r="M144">
        <f t="shared" ca="1" si="35"/>
        <v>144.59077097425163</v>
      </c>
      <c r="N144">
        <f t="shared" ca="1" si="45"/>
        <v>-0.5</v>
      </c>
      <c r="O144">
        <f t="shared" ca="1" si="46"/>
        <v>0</v>
      </c>
      <c r="P144">
        <f t="shared" ca="1" si="47"/>
        <v>0.5</v>
      </c>
      <c r="Q144">
        <f t="shared" ca="1" si="30"/>
        <v>0.71832557057197477</v>
      </c>
      <c r="R144">
        <f t="shared" ca="1" si="31"/>
        <v>0.70872722982514491</v>
      </c>
      <c r="S144">
        <f t="shared" ref="S144:S207" ca="1" si="49">IF(R144=0,NA(),Q144/R144)</f>
        <v>1.0135430675482837</v>
      </c>
      <c r="T144">
        <f t="shared" ref="T144:T207" ca="1" si="50">100-(100/(1+S144))</f>
        <v>50.336299425787153</v>
      </c>
      <c r="U144">
        <f>70</f>
        <v>70</v>
      </c>
      <c r="V144">
        <f>30</f>
        <v>30</v>
      </c>
      <c r="W144">
        <f t="shared" ca="1" si="48"/>
        <v>147.83983428208262</v>
      </c>
      <c r="X144">
        <f t="shared" ca="1" si="37"/>
        <v>146.39876223252895</v>
      </c>
      <c r="Y144">
        <f t="shared" ca="1" si="36"/>
        <v>0.84533634246901102</v>
      </c>
      <c r="Z144">
        <f t="shared" ca="1" si="38"/>
        <v>1.8195846223763361</v>
      </c>
      <c r="AA144">
        <f t="shared" ca="1" si="39"/>
        <v>-0.9742482799073251</v>
      </c>
      <c r="AB144">
        <f t="shared" ca="1" si="40"/>
        <v>137.70935</v>
      </c>
    </row>
    <row r="145" spans="1:28" x14ac:dyDescent="0.25">
      <c r="A145" s="20">
        <f t="shared" ca="1" si="41"/>
        <v>45908</v>
      </c>
      <c r="B145" vm="425">
        <f ca="1"/>
        <v>45908</v>
      </c>
      <c r="C145" vm="426">
        <f ca="1"/>
        <v>141.71</v>
      </c>
      <c r="D145" vm="427">
        <f ca="1"/>
        <v>11127619</v>
      </c>
      <c r="E145">
        <f t="shared" ca="1" si="42"/>
        <v>1576894888.49</v>
      </c>
      <c r="F145">
        <f ca="1">SUM($E$2:E145)/SUM($D$2:D145)</f>
        <v>140.52750593873952</v>
      </c>
      <c r="G145">
        <f ca="1">_xlfn.STDEV.P($C$2:C145)</f>
        <v>8.2042289036038927</v>
      </c>
      <c r="H145">
        <f t="shared" ca="1" si="43"/>
        <v>148.73173484234343</v>
      </c>
      <c r="I145">
        <f t="shared" ca="1" si="44"/>
        <v>132.32327703513562</v>
      </c>
      <c r="J145">
        <f t="shared" ca="1" si="32"/>
        <v>148.17750000000001</v>
      </c>
      <c r="K145">
        <f t="shared" ca="1" si="33"/>
        <v>2.3038911592530158</v>
      </c>
      <c r="L145">
        <f t="shared" ca="1" si="34"/>
        <v>152.78528231850603</v>
      </c>
      <c r="M145">
        <f t="shared" ca="1" si="35"/>
        <v>143.56971768149398</v>
      </c>
      <c r="N145">
        <f t="shared" ca="1" si="45"/>
        <v>-4.6799999999999784</v>
      </c>
      <c r="O145">
        <f t="shared" ca="1" si="46"/>
        <v>0</v>
      </c>
      <c r="P145">
        <f t="shared" ca="1" si="47"/>
        <v>4.6799999999999784</v>
      </c>
      <c r="Q145">
        <f t="shared" ref="Q145:Q208" ca="1" si="51">(Q144*13+O145)/14</f>
        <v>0.66701660124540507</v>
      </c>
      <c r="R145">
        <f t="shared" ref="R145:R208" ca="1" si="52">(R144*13+P145)/14</f>
        <v>0.99238957055191879</v>
      </c>
      <c r="S145">
        <f t="shared" ca="1" si="49"/>
        <v>0.67213181298796087</v>
      </c>
      <c r="T145">
        <f t="shared" ca="1" si="50"/>
        <v>40.19610223113434</v>
      </c>
      <c r="U145">
        <f>70</f>
        <v>70</v>
      </c>
      <c r="V145">
        <f>30</f>
        <v>30</v>
      </c>
      <c r="W145">
        <f t="shared" ca="1" si="48"/>
        <v>146.8967828540699</v>
      </c>
      <c r="X145">
        <f t="shared" ca="1" si="37"/>
        <v>146.05144651160089</v>
      </c>
      <c r="Y145">
        <f t="shared" ca="1" si="36"/>
        <v>0.47984157090732538</v>
      </c>
      <c r="Z145">
        <f t="shared" ca="1" si="38"/>
        <v>1.5516360120825341</v>
      </c>
      <c r="AA145">
        <f t="shared" ca="1" si="39"/>
        <v>-1.0717944411752087</v>
      </c>
      <c r="AB145">
        <f t="shared" ca="1" si="40"/>
        <v>137.65894999999998</v>
      </c>
    </row>
    <row r="146" spans="1:28" x14ac:dyDescent="0.25">
      <c r="A146" s="20">
        <f t="shared" ca="1" si="41"/>
        <v>45908</v>
      </c>
      <c r="B146" vm="428">
        <f ca="1"/>
        <v>45909</v>
      </c>
      <c r="C146" vm="429">
        <f ca="1"/>
        <v>143.1</v>
      </c>
      <c r="D146" vm="430">
        <f ca="1"/>
        <v>5866442</v>
      </c>
      <c r="E146">
        <f t="shared" ca="1" si="42"/>
        <v>839487850.19999993</v>
      </c>
      <c r="F146">
        <f ca="1">SUM($E$2:E146)/SUM($D$2:D146)</f>
        <v>140.53930794246716</v>
      </c>
      <c r="G146">
        <f ca="1">_xlfn.STDEV.P($C$2:C146)</f>
        <v>8.1775256089127168</v>
      </c>
      <c r="H146">
        <f t="shared" ca="1" si="43"/>
        <v>148.71683355137986</v>
      </c>
      <c r="I146">
        <f t="shared" ca="1" si="44"/>
        <v>132.36178233355446</v>
      </c>
      <c r="J146">
        <f t="shared" ca="1" si="32"/>
        <v>148.089</v>
      </c>
      <c r="K146">
        <f t="shared" ca="1" si="33"/>
        <v>2.4659276038376348</v>
      </c>
      <c r="L146">
        <f t="shared" ca="1" si="34"/>
        <v>153.02085520767525</v>
      </c>
      <c r="M146">
        <f t="shared" ca="1" si="35"/>
        <v>143.15714479232474</v>
      </c>
      <c r="N146">
        <f t="shared" ca="1" si="45"/>
        <v>1.3899999999999864</v>
      </c>
      <c r="O146">
        <f t="shared" ca="1" si="46"/>
        <v>1.3899999999999864</v>
      </c>
      <c r="P146">
        <f t="shared" ca="1" si="47"/>
        <v>0</v>
      </c>
      <c r="Q146">
        <f t="shared" ca="1" si="51"/>
        <v>0.71865827258501802</v>
      </c>
      <c r="R146">
        <f t="shared" ca="1" si="52"/>
        <v>0.92150460122678168</v>
      </c>
      <c r="S146">
        <f t="shared" ca="1" si="49"/>
        <v>0.77987486077473933</v>
      </c>
      <c r="T146">
        <f t="shared" ca="1" si="50"/>
        <v>43.816274838292706</v>
      </c>
      <c r="U146">
        <f>70</f>
        <v>70</v>
      </c>
      <c r="V146">
        <f>30</f>
        <v>30</v>
      </c>
      <c r="W146">
        <f t="shared" ca="1" si="48"/>
        <v>146.31266241498221</v>
      </c>
      <c r="X146">
        <f t="shared" ca="1" si="37"/>
        <v>145.83282084407489</v>
      </c>
      <c r="Y146">
        <f t="shared" ca="1" si="36"/>
        <v>0.1529172732916777</v>
      </c>
      <c r="Z146">
        <f t="shared" ca="1" si="38"/>
        <v>1.2718922643243629</v>
      </c>
      <c r="AA146">
        <f t="shared" ca="1" si="39"/>
        <v>-1.1189749910326852</v>
      </c>
      <c r="AB146">
        <f t="shared" ca="1" si="40"/>
        <v>137.66154999999998</v>
      </c>
    </row>
    <row r="147" spans="1:28" x14ac:dyDescent="0.25">
      <c r="A147" s="20">
        <f t="shared" ca="1" si="41"/>
        <v>45908</v>
      </c>
      <c r="B147" vm="431">
        <f ca="1"/>
        <v>45910</v>
      </c>
      <c r="C147" vm="432">
        <f ca="1"/>
        <v>142.66</v>
      </c>
      <c r="D147" vm="433">
        <f ca="1"/>
        <v>6015122</v>
      </c>
      <c r="E147">
        <f t="shared" ca="1" si="42"/>
        <v>858117304.51999998</v>
      </c>
      <c r="F147">
        <f ca="1">SUM($E$2:E147)/SUM($D$2:D147)</f>
        <v>140.54923705623202</v>
      </c>
      <c r="G147">
        <f ca="1">_xlfn.STDEV.P($C$2:C147)</f>
        <v>8.1504400930908094</v>
      </c>
      <c r="H147">
        <f t="shared" ca="1" si="43"/>
        <v>148.69967714932284</v>
      </c>
      <c r="I147">
        <f t="shared" ca="1" si="44"/>
        <v>132.39879696314119</v>
      </c>
      <c r="J147">
        <f t="shared" ca="1" si="32"/>
        <v>147.87849999999997</v>
      </c>
      <c r="K147">
        <f t="shared" ca="1" si="33"/>
        <v>2.7399294554883395</v>
      </c>
      <c r="L147">
        <f t="shared" ca="1" si="34"/>
        <v>153.35835891097665</v>
      </c>
      <c r="M147">
        <f t="shared" ca="1" si="35"/>
        <v>142.3986410890233</v>
      </c>
      <c r="N147">
        <f t="shared" ca="1" si="45"/>
        <v>-0.43999999999999773</v>
      </c>
      <c r="O147">
        <f t="shared" ca="1" si="46"/>
        <v>0</v>
      </c>
      <c r="P147">
        <f t="shared" ca="1" si="47"/>
        <v>0.43999999999999773</v>
      </c>
      <c r="Q147">
        <f t="shared" ca="1" si="51"/>
        <v>0.6673255388289453</v>
      </c>
      <c r="R147">
        <f t="shared" ca="1" si="52"/>
        <v>0.8871114154248686</v>
      </c>
      <c r="S147">
        <f t="shared" ca="1" si="49"/>
        <v>0.75224546457824559</v>
      </c>
      <c r="T147">
        <f t="shared" ca="1" si="50"/>
        <v>42.930370189847018</v>
      </c>
      <c r="U147">
        <f>70</f>
        <v>70</v>
      </c>
      <c r="V147">
        <f>30</f>
        <v>30</v>
      </c>
      <c r="W147">
        <f t="shared" ca="1" si="48"/>
        <v>145.75071435113881</v>
      </c>
      <c r="X147">
        <f t="shared" ca="1" si="37"/>
        <v>145.59779707784713</v>
      </c>
      <c r="Y147">
        <f t="shared" ca="1" si="36"/>
        <v>2.0279521333065986E-2</v>
      </c>
      <c r="Z147">
        <f t="shared" ca="1" si="38"/>
        <v>1.0215697157261037</v>
      </c>
      <c r="AA147">
        <f t="shared" ca="1" si="39"/>
        <v>-1.0012901943930377</v>
      </c>
      <c r="AB147">
        <f t="shared" ca="1" si="40"/>
        <v>137.68724999999998</v>
      </c>
    </row>
    <row r="148" spans="1:28" x14ac:dyDescent="0.25">
      <c r="A148" s="20">
        <f t="shared" ca="1" si="41"/>
        <v>45908</v>
      </c>
      <c r="B148" vm="434">
        <f ca="1"/>
        <v>45911</v>
      </c>
      <c r="C148" vm="435">
        <f ca="1"/>
        <v>144.22999999999999</v>
      </c>
      <c r="D148" vm="436">
        <f ca="1"/>
        <v>6144363</v>
      </c>
      <c r="E148">
        <f t="shared" ca="1" si="42"/>
        <v>886201475.48999989</v>
      </c>
      <c r="F148">
        <f ca="1">SUM($E$2:E148)/SUM($D$2:D148)</f>
        <v>140.56675693264637</v>
      </c>
      <c r="G148">
        <f ca="1">_xlfn.STDEV.P($C$2:C148)</f>
        <v>8.1266208683804138</v>
      </c>
      <c r="H148">
        <f t="shared" ca="1" si="43"/>
        <v>148.69337780102677</v>
      </c>
      <c r="I148">
        <f t="shared" ca="1" si="44"/>
        <v>132.44013606426597</v>
      </c>
      <c r="J148">
        <f t="shared" ca="1" si="32"/>
        <v>147.6225</v>
      </c>
      <c r="K148">
        <f t="shared" ca="1" si="33"/>
        <v>2.8328205676359124</v>
      </c>
      <c r="L148">
        <f t="shared" ca="1" si="34"/>
        <v>153.28814113527181</v>
      </c>
      <c r="M148">
        <f t="shared" ca="1" si="35"/>
        <v>141.95685886472819</v>
      </c>
      <c r="N148">
        <f t="shared" ca="1" si="45"/>
        <v>1.5699999999999932</v>
      </c>
      <c r="O148">
        <f t="shared" ca="1" si="46"/>
        <v>1.5699999999999932</v>
      </c>
      <c r="P148">
        <f t="shared" ca="1" si="47"/>
        <v>0</v>
      </c>
      <c r="Q148">
        <f t="shared" ca="1" si="51"/>
        <v>0.73180228605544873</v>
      </c>
      <c r="R148">
        <f t="shared" ca="1" si="52"/>
        <v>0.8237463143230922</v>
      </c>
      <c r="S148">
        <f t="shared" ca="1" si="49"/>
        <v>0.88838307781298198</v>
      </c>
      <c r="T148">
        <f t="shared" ca="1" si="50"/>
        <v>47.044643020305855</v>
      </c>
      <c r="U148">
        <f>70</f>
        <v>70</v>
      </c>
      <c r="V148">
        <f>30</f>
        <v>30</v>
      </c>
      <c r="W148">
        <f t="shared" ca="1" si="48"/>
        <v>145.51675829711746</v>
      </c>
      <c r="X148">
        <f t="shared" ca="1" si="37"/>
        <v>145.4964787757844</v>
      </c>
      <c r="Y148">
        <f t="shared" ca="1" si="36"/>
        <v>-0.13971050679782593</v>
      </c>
      <c r="Z148">
        <f t="shared" ca="1" si="38"/>
        <v>0.78931367122131779</v>
      </c>
      <c r="AA148">
        <f t="shared" ca="1" si="39"/>
        <v>-0.92902417801914372</v>
      </c>
      <c r="AB148">
        <f t="shared" ca="1" si="40"/>
        <v>137.70114999999998</v>
      </c>
    </row>
    <row r="149" spans="1:28" x14ac:dyDescent="0.25">
      <c r="A149" s="20">
        <f t="shared" ca="1" si="41"/>
        <v>45908</v>
      </c>
      <c r="B149" vm="437">
        <f ca="1"/>
        <v>45912</v>
      </c>
      <c r="C149" vm="438">
        <f ca="1"/>
        <v>143.53</v>
      </c>
      <c r="D149" vm="439">
        <f ca="1"/>
        <v>5714114</v>
      </c>
      <c r="E149">
        <f t="shared" ca="1" si="42"/>
        <v>820146782.41999996</v>
      </c>
      <c r="F149">
        <f ca="1">SUM($E$2:E149)/SUM($D$2:D149)</f>
        <v>140.57981606487823</v>
      </c>
      <c r="G149">
        <f ca="1">_xlfn.STDEV.P($C$2:C149)</f>
        <v>8.1014296106576662</v>
      </c>
      <c r="H149">
        <f t="shared" ca="1" si="43"/>
        <v>148.68124567553591</v>
      </c>
      <c r="I149">
        <f t="shared" ca="1" si="44"/>
        <v>132.47838645422055</v>
      </c>
      <c r="J149">
        <f t="shared" ca="1" si="32"/>
        <v>147.36799999999999</v>
      </c>
      <c r="K149">
        <f t="shared" ca="1" si="33"/>
        <v>2.9640896356927278</v>
      </c>
      <c r="L149">
        <f t="shared" ca="1" si="34"/>
        <v>153.29617927138545</v>
      </c>
      <c r="M149">
        <f t="shared" ca="1" si="35"/>
        <v>141.43982072861454</v>
      </c>
      <c r="N149">
        <f t="shared" ca="1" si="45"/>
        <v>-0.69999999999998863</v>
      </c>
      <c r="O149">
        <f t="shared" ca="1" si="46"/>
        <v>0</v>
      </c>
      <c r="P149">
        <f t="shared" ca="1" si="47"/>
        <v>0.69999999999998863</v>
      </c>
      <c r="Q149">
        <f t="shared" ca="1" si="51"/>
        <v>0.6795306941943452</v>
      </c>
      <c r="R149">
        <f t="shared" ca="1" si="52"/>
        <v>0.81490729187144184</v>
      </c>
      <c r="S149">
        <f t="shared" ca="1" si="49"/>
        <v>0.83387484806252854</v>
      </c>
      <c r="T149">
        <f t="shared" ca="1" si="50"/>
        <v>45.470651879189539</v>
      </c>
      <c r="U149">
        <f>70</f>
        <v>70</v>
      </c>
      <c r="V149">
        <f>30</f>
        <v>30</v>
      </c>
      <c r="W149">
        <f t="shared" ca="1" si="48"/>
        <v>145.21110317448401</v>
      </c>
      <c r="X149">
        <f t="shared" ca="1" si="37"/>
        <v>145.35081368128183</v>
      </c>
      <c r="Y149">
        <f t="shared" ca="1" si="36"/>
        <v>-0.49400798744972008</v>
      </c>
      <c r="Z149">
        <f t="shared" ca="1" si="38"/>
        <v>0.53264933948711024</v>
      </c>
      <c r="AA149">
        <f t="shared" ca="1" si="39"/>
        <v>-1.0266573269368302</v>
      </c>
      <c r="AB149">
        <f t="shared" ca="1" si="40"/>
        <v>137.71914999999998</v>
      </c>
    </row>
    <row r="150" spans="1:28" x14ac:dyDescent="0.25">
      <c r="A150" s="20">
        <f t="shared" ca="1" si="41"/>
        <v>45915</v>
      </c>
      <c r="B150" vm="440">
        <f ca="1"/>
        <v>45915</v>
      </c>
      <c r="C150" vm="441">
        <f ca="1"/>
        <v>140.63999999999999</v>
      </c>
      <c r="D150" vm="442">
        <f ca="1"/>
        <v>7279639</v>
      </c>
      <c r="E150">
        <f t="shared" ca="1" si="42"/>
        <v>1023808428.9599999</v>
      </c>
      <c r="F150">
        <f ca="1">SUM($E$2:E150)/SUM($D$2:D150)</f>
        <v>140.5801520786332</v>
      </c>
      <c r="G150">
        <f ca="1">_xlfn.STDEV.P($C$2:C150)</f>
        <v>8.0743202261859057</v>
      </c>
      <c r="H150">
        <f t="shared" ca="1" si="43"/>
        <v>148.65447230481911</v>
      </c>
      <c r="I150">
        <f t="shared" ca="1" si="44"/>
        <v>132.5058318524473</v>
      </c>
      <c r="J150">
        <f t="shared" ref="J150:J213" ca="1" si="53">AVERAGE(C131:C150)</f>
        <v>146.88</v>
      </c>
      <c r="K150">
        <f t="shared" ref="K150:K213" ca="1" si="54">_xlfn.STDEV.S(C131:C150)</f>
        <v>3.2301279101282465</v>
      </c>
      <c r="L150">
        <f t="shared" ref="L150:L213" ca="1" si="55">J150 + 2*K150</f>
        <v>153.34025582025649</v>
      </c>
      <c r="M150">
        <f t="shared" ref="M150:M213" ca="1" si="56">J150-2*K150</f>
        <v>140.4197441797435</v>
      </c>
      <c r="N150">
        <f t="shared" ca="1" si="45"/>
        <v>-2.8900000000000148</v>
      </c>
      <c r="O150">
        <f t="shared" ca="1" si="46"/>
        <v>0</v>
      </c>
      <c r="P150">
        <f t="shared" ca="1" si="47"/>
        <v>2.8900000000000148</v>
      </c>
      <c r="Q150">
        <f t="shared" ca="1" si="51"/>
        <v>0.63099278746617771</v>
      </c>
      <c r="R150">
        <f t="shared" ca="1" si="52"/>
        <v>0.96312819959491136</v>
      </c>
      <c r="S150">
        <f t="shared" ca="1" si="49"/>
        <v>0.65514932252172786</v>
      </c>
      <c r="T150">
        <f t="shared" ca="1" si="50"/>
        <v>39.582490450080066</v>
      </c>
      <c r="U150">
        <f>70</f>
        <v>70</v>
      </c>
      <c r="V150">
        <f>30</f>
        <v>30</v>
      </c>
      <c r="W150">
        <f t="shared" ca="1" si="48"/>
        <v>144.50785653225569</v>
      </c>
      <c r="X150">
        <f t="shared" ca="1" si="37"/>
        <v>145.00186451970541</v>
      </c>
      <c r="Y150">
        <f t="shared" ca="1" si="36"/>
        <v>-0.81462273169321975</v>
      </c>
      <c r="Z150">
        <f t="shared" ca="1" si="38"/>
        <v>0.26319492525104426</v>
      </c>
      <c r="AA150">
        <f t="shared" ca="1" si="39"/>
        <v>-1.0778176569442639</v>
      </c>
      <c r="AB150">
        <f t="shared" ca="1" si="40"/>
        <v>137.69094999999996</v>
      </c>
    </row>
    <row r="151" spans="1:28" x14ac:dyDescent="0.25">
      <c r="A151" s="20">
        <f t="shared" ca="1" si="41"/>
        <v>45915</v>
      </c>
      <c r="B151" vm="443">
        <f ca="1"/>
        <v>45916</v>
      </c>
      <c r="C151" vm="444">
        <f ca="1"/>
        <v>140.03</v>
      </c>
      <c r="D151" vm="445">
        <f ca="1"/>
        <v>9283480</v>
      </c>
      <c r="E151">
        <f t="shared" ca="1" si="42"/>
        <v>1299965704.4000001</v>
      </c>
      <c r="F151">
        <f ca="1">SUM($E$2:E151)/SUM($D$2:D151)</f>
        <v>140.57626271101441</v>
      </c>
      <c r="G151">
        <f ca="1">_xlfn.STDEV.P($C$2:C151)</f>
        <v>8.0479057403498171</v>
      </c>
      <c r="H151">
        <f t="shared" ca="1" si="43"/>
        <v>148.62416845136423</v>
      </c>
      <c r="I151">
        <f t="shared" ca="1" si="44"/>
        <v>132.52835697066459</v>
      </c>
      <c r="J151">
        <f t="shared" ca="1" si="53"/>
        <v>146.404</v>
      </c>
      <c r="K151">
        <f t="shared" ca="1" si="54"/>
        <v>3.5056561815383271</v>
      </c>
      <c r="L151">
        <f t="shared" ca="1" si="55"/>
        <v>153.41531236307665</v>
      </c>
      <c r="M151">
        <f t="shared" ca="1" si="56"/>
        <v>139.39268763692334</v>
      </c>
      <c r="N151">
        <f t="shared" ca="1" si="45"/>
        <v>-0.60999999999998522</v>
      </c>
      <c r="O151">
        <f t="shared" ca="1" si="46"/>
        <v>0</v>
      </c>
      <c r="P151">
        <f t="shared" ca="1" si="47"/>
        <v>0.60999999999998522</v>
      </c>
      <c r="Q151">
        <f t="shared" ca="1" si="51"/>
        <v>0.58592187407573637</v>
      </c>
      <c r="R151">
        <f t="shared" ca="1" si="52"/>
        <v>0.93790475676670237</v>
      </c>
      <c r="S151">
        <f t="shared" ca="1" si="49"/>
        <v>0.62471361814564352</v>
      </c>
      <c r="T151">
        <f t="shared" ca="1" si="50"/>
        <v>38.450691319905125</v>
      </c>
      <c r="U151">
        <f>70</f>
        <v>70</v>
      </c>
      <c r="V151">
        <f>30</f>
        <v>30</v>
      </c>
      <c r="W151">
        <f t="shared" ca="1" si="48"/>
        <v>143.81895552729327</v>
      </c>
      <c r="X151">
        <f t="shared" ca="1" si="37"/>
        <v>144.63357825898649</v>
      </c>
      <c r="Y151">
        <f t="shared" ca="1" si="36"/>
        <v>-0.96080667397296793</v>
      </c>
      <c r="Z151">
        <f t="shared" ca="1" si="38"/>
        <v>1.8394605406241826E-2</v>
      </c>
      <c r="AA151">
        <f t="shared" ca="1" si="39"/>
        <v>-0.97920127937920975</v>
      </c>
      <c r="AB151">
        <f t="shared" ca="1" si="40"/>
        <v>137.66864999999999</v>
      </c>
    </row>
    <row r="152" spans="1:28" x14ac:dyDescent="0.25">
      <c r="A152" s="20">
        <f t="shared" ca="1" si="41"/>
        <v>45915</v>
      </c>
      <c r="B152" vm="446">
        <f ca="1"/>
        <v>45917</v>
      </c>
      <c r="C152" vm="447">
        <f ca="1"/>
        <v>141.22999999999999</v>
      </c>
      <c r="D152" vm="448">
        <f ca="1"/>
        <v>6092884</v>
      </c>
      <c r="E152">
        <f t="shared" ca="1" si="42"/>
        <v>860498007.31999993</v>
      </c>
      <c r="F152">
        <f ca="1">SUM($E$2:E152)/SUM($D$2:D152)</f>
        <v>140.57928197562222</v>
      </c>
      <c r="G152">
        <f ca="1">_xlfn.STDEV.P($C$2:C152)</f>
        <v>8.0212141033546516</v>
      </c>
      <c r="H152">
        <f t="shared" ca="1" si="43"/>
        <v>148.60049607897687</v>
      </c>
      <c r="I152">
        <f t="shared" ca="1" si="44"/>
        <v>132.55806787226757</v>
      </c>
      <c r="J152">
        <f t="shared" ca="1" si="53"/>
        <v>145.85749999999999</v>
      </c>
      <c r="K152">
        <f t="shared" ca="1" si="54"/>
        <v>3.4118090200762516</v>
      </c>
      <c r="L152">
        <f t="shared" ca="1" si="55"/>
        <v>152.68111804015248</v>
      </c>
      <c r="M152">
        <f t="shared" ca="1" si="56"/>
        <v>139.03388195984749</v>
      </c>
      <c r="N152">
        <f t="shared" ca="1" si="45"/>
        <v>1.1999999999999886</v>
      </c>
      <c r="O152">
        <f t="shared" ca="1" si="46"/>
        <v>1.1999999999999886</v>
      </c>
      <c r="P152">
        <f t="shared" ca="1" si="47"/>
        <v>0</v>
      </c>
      <c r="Q152">
        <f t="shared" ca="1" si="51"/>
        <v>0.62978459735604009</v>
      </c>
      <c r="R152">
        <f t="shared" ca="1" si="52"/>
        <v>0.87091155985479507</v>
      </c>
      <c r="S152">
        <f t="shared" ca="1" si="49"/>
        <v>0.72313266511359953</v>
      </c>
      <c r="T152">
        <f t="shared" ca="1" si="50"/>
        <v>41.966163125688645</v>
      </c>
      <c r="U152">
        <f>70</f>
        <v>70</v>
      </c>
      <c r="V152">
        <f>30</f>
        <v>30</v>
      </c>
      <c r="W152">
        <f t="shared" ca="1" si="48"/>
        <v>143.42065467694044</v>
      </c>
      <c r="X152">
        <f t="shared" ca="1" si="37"/>
        <v>144.38146135091341</v>
      </c>
      <c r="Y152">
        <f t="shared" ca="1" si="36"/>
        <v>-1.1042749287622371</v>
      </c>
      <c r="Z152">
        <f t="shared" ca="1" si="38"/>
        <v>-0.20613930142745399</v>
      </c>
      <c r="AA152">
        <f t="shared" ca="1" si="39"/>
        <v>-0.89813562733478314</v>
      </c>
      <c r="AB152">
        <f t="shared" ca="1" si="40"/>
        <v>137.72784999999996</v>
      </c>
    </row>
    <row r="153" spans="1:28" x14ac:dyDescent="0.25">
      <c r="A153" s="20">
        <f t="shared" ca="1" si="41"/>
        <v>45915</v>
      </c>
      <c r="B153" vm="449">
        <f ca="1"/>
        <v>45918</v>
      </c>
      <c r="C153" vm="450">
        <f ca="1"/>
        <v>140.72999999999999</v>
      </c>
      <c r="D153" vm="451">
        <f ca="1"/>
        <v>6106557</v>
      </c>
      <c r="E153">
        <f t="shared" ca="1" si="42"/>
        <v>859375766.6099999</v>
      </c>
      <c r="F153">
        <f ca="1">SUM($E$2:E153)/SUM($D$2:D153)</f>
        <v>140.57997640962643</v>
      </c>
      <c r="G153">
        <f ca="1">_xlfn.STDEV.P($C$2:C153)</f>
        <v>7.9948654022544074</v>
      </c>
      <c r="H153">
        <f t="shared" ca="1" si="43"/>
        <v>148.57484181188084</v>
      </c>
      <c r="I153">
        <f t="shared" ca="1" si="44"/>
        <v>132.58511100737201</v>
      </c>
      <c r="J153">
        <f t="shared" ca="1" si="53"/>
        <v>145.35749999999999</v>
      </c>
      <c r="K153">
        <f t="shared" ca="1" si="54"/>
        <v>3.3928591808462403</v>
      </c>
      <c r="L153">
        <f t="shared" ca="1" si="55"/>
        <v>152.14321836169248</v>
      </c>
      <c r="M153">
        <f t="shared" ca="1" si="56"/>
        <v>138.5717816383075</v>
      </c>
      <c r="N153">
        <f t="shared" ca="1" si="45"/>
        <v>-0.5</v>
      </c>
      <c r="O153">
        <f t="shared" ca="1" si="46"/>
        <v>0</v>
      </c>
      <c r="P153">
        <f t="shared" ca="1" si="47"/>
        <v>0.5</v>
      </c>
      <c r="Q153">
        <f t="shared" ca="1" si="51"/>
        <v>0.58479998325918003</v>
      </c>
      <c r="R153">
        <f t="shared" ca="1" si="52"/>
        <v>0.84441787700802406</v>
      </c>
      <c r="S153">
        <f t="shared" ca="1" si="49"/>
        <v>0.69254808452334904</v>
      </c>
      <c r="T153">
        <f t="shared" ca="1" si="50"/>
        <v>40.917483577335567</v>
      </c>
      <c r="U153">
        <f>70</f>
        <v>70</v>
      </c>
      <c r="V153">
        <f>30</f>
        <v>30</v>
      </c>
      <c r="W153">
        <f t="shared" ca="1" si="48"/>
        <v>143.00670780356501</v>
      </c>
      <c r="X153">
        <f t="shared" ca="1" si="37"/>
        <v>144.11098273232724</v>
      </c>
      <c r="Y153">
        <f t="shared" ca="1" si="36"/>
        <v>-1.1219292602494306</v>
      </c>
      <c r="Z153">
        <f t="shared" ca="1" si="38"/>
        <v>-0.38929729319184936</v>
      </c>
      <c r="AA153">
        <f t="shared" ca="1" si="39"/>
        <v>-0.73263196705758127</v>
      </c>
      <c r="AB153">
        <f t="shared" ca="1" si="40"/>
        <v>137.80134999999996</v>
      </c>
    </row>
    <row r="154" spans="1:28" x14ac:dyDescent="0.25">
      <c r="A154" s="20">
        <f t="shared" ca="1" si="41"/>
        <v>45915</v>
      </c>
      <c r="B154" vm="452">
        <f ca="1"/>
        <v>45919</v>
      </c>
      <c r="C154" vm="453">
        <f ca="1"/>
        <v>141.76</v>
      </c>
      <c r="D154" vm="454">
        <f ca="1"/>
        <v>12365531</v>
      </c>
      <c r="E154">
        <f t="shared" ca="1" si="42"/>
        <v>1752937674.5599999</v>
      </c>
      <c r="F154">
        <f ca="1">SUM($E$2:E154)/SUM($D$2:D154)</f>
        <v>140.59088427186583</v>
      </c>
      <c r="G154">
        <f ca="1">_xlfn.STDEV.P($C$2:C154)</f>
        <v>7.968837081562353</v>
      </c>
      <c r="H154">
        <f t="shared" ca="1" si="43"/>
        <v>148.55972135342819</v>
      </c>
      <c r="I154">
        <f t="shared" ca="1" si="44"/>
        <v>132.62204719030348</v>
      </c>
      <c r="J154">
        <f t="shared" ca="1" si="53"/>
        <v>144.99650000000003</v>
      </c>
      <c r="K154">
        <f t="shared" ca="1" si="54"/>
        <v>3.3711738936240931</v>
      </c>
      <c r="L154">
        <f t="shared" ca="1" si="55"/>
        <v>151.7388477872482</v>
      </c>
      <c r="M154">
        <f t="shared" ca="1" si="56"/>
        <v>138.25415221275185</v>
      </c>
      <c r="N154">
        <f t="shared" ca="1" si="45"/>
        <v>1.0300000000000011</v>
      </c>
      <c r="O154">
        <f t="shared" ca="1" si="46"/>
        <v>1.0300000000000011</v>
      </c>
      <c r="P154">
        <f t="shared" ca="1" si="47"/>
        <v>0</v>
      </c>
      <c r="Q154">
        <f t="shared" ca="1" si="51"/>
        <v>0.6165999844549529</v>
      </c>
      <c r="R154">
        <f t="shared" ca="1" si="52"/>
        <v>0.78410231436459377</v>
      </c>
      <c r="S154">
        <f t="shared" ca="1" si="49"/>
        <v>0.78637694744546405</v>
      </c>
      <c r="T154">
        <f t="shared" ca="1" si="50"/>
        <v>44.020773363090612</v>
      </c>
      <c r="U154">
        <f>70</f>
        <v>70</v>
      </c>
      <c r="V154">
        <f>30</f>
        <v>30</v>
      </c>
      <c r="W154">
        <f t="shared" ca="1" si="48"/>
        <v>142.81490660301654</v>
      </c>
      <c r="X154">
        <f t="shared" ca="1" si="37"/>
        <v>143.93683586326597</v>
      </c>
      <c r="Y154">
        <f t="shared" ca="1" si="36"/>
        <v>-1.1812091010413894</v>
      </c>
      <c r="Z154">
        <f t="shared" ca="1" si="38"/>
        <v>-0.5476796547617574</v>
      </c>
      <c r="AA154">
        <f t="shared" ca="1" si="39"/>
        <v>-0.63352944627963204</v>
      </c>
      <c r="AB154">
        <f t="shared" ca="1" si="40"/>
        <v>137.88134999999997</v>
      </c>
    </row>
    <row r="155" spans="1:28" x14ac:dyDescent="0.25">
      <c r="A155" s="20">
        <f t="shared" ca="1" si="41"/>
        <v>45922</v>
      </c>
      <c r="B155" vm="455">
        <f ca="1"/>
        <v>45922</v>
      </c>
      <c r="C155" vm="456">
        <f ca="1"/>
        <v>141.03</v>
      </c>
      <c r="D155" vm="457">
        <f ca="1"/>
        <v>5797558</v>
      </c>
      <c r="E155">
        <f t="shared" ca="1" si="42"/>
        <v>817629604.74000001</v>
      </c>
      <c r="F155">
        <f ca="1">SUM($E$2:E155)/SUM($D$2:D155)</f>
        <v>140.59277915376347</v>
      </c>
      <c r="G155">
        <f ca="1">_xlfn.STDEV.P($C$2:C155)</f>
        <v>7.9429305725060235</v>
      </c>
      <c r="H155">
        <f t="shared" ca="1" si="43"/>
        <v>148.53570972626949</v>
      </c>
      <c r="I155">
        <f t="shared" ca="1" si="44"/>
        <v>132.64984858125746</v>
      </c>
      <c r="J155">
        <f t="shared" ca="1" si="53"/>
        <v>144.566</v>
      </c>
      <c r="K155">
        <f t="shared" ca="1" si="54"/>
        <v>3.2958976095491153</v>
      </c>
      <c r="L155">
        <f t="shared" ca="1" si="55"/>
        <v>151.15779521909823</v>
      </c>
      <c r="M155">
        <f t="shared" ca="1" si="56"/>
        <v>137.97420478090177</v>
      </c>
      <c r="N155">
        <f t="shared" ca="1" si="45"/>
        <v>-0.72999999999998977</v>
      </c>
      <c r="O155">
        <f t="shared" ca="1" si="46"/>
        <v>0</v>
      </c>
      <c r="P155">
        <f t="shared" ca="1" si="47"/>
        <v>0.72999999999998977</v>
      </c>
      <c r="Q155">
        <f t="shared" ca="1" si="51"/>
        <v>0.57255712842245632</v>
      </c>
      <c r="R155">
        <f t="shared" ca="1" si="52"/>
        <v>0.78023786333855061</v>
      </c>
      <c r="S155">
        <f t="shared" ca="1" si="49"/>
        <v>0.73382381876796954</v>
      </c>
      <c r="T155">
        <f t="shared" ca="1" si="50"/>
        <v>42.324013018197796</v>
      </c>
      <c r="U155">
        <f>70</f>
        <v>70</v>
      </c>
      <c r="V155">
        <f>30</f>
        <v>30</v>
      </c>
      <c r="W155">
        <f t="shared" ca="1" si="48"/>
        <v>142.54030558716784</v>
      </c>
      <c r="X155">
        <f t="shared" ca="1" si="37"/>
        <v>143.72151468820923</v>
      </c>
      <c r="Y155">
        <f t="shared" ca="1" si="36"/>
        <v>-1.1447906389719549</v>
      </c>
      <c r="Z155">
        <f t="shared" ca="1" si="38"/>
        <v>-0.66710185160379687</v>
      </c>
      <c r="AA155">
        <f t="shared" ca="1" si="39"/>
        <v>-0.47768878736815801</v>
      </c>
      <c r="AB155">
        <f t="shared" ca="1" si="40"/>
        <v>137.94854999999995</v>
      </c>
    </row>
    <row r="156" spans="1:28" x14ac:dyDescent="0.25">
      <c r="A156" s="20">
        <f t="shared" ca="1" si="41"/>
        <v>45922</v>
      </c>
      <c r="B156" vm="458">
        <f ca="1"/>
        <v>45923</v>
      </c>
      <c r="C156" vm="459">
        <f ca="1"/>
        <v>141.9</v>
      </c>
      <c r="D156" vm="460">
        <f ca="1"/>
        <v>6356489</v>
      </c>
      <c r="E156">
        <f t="shared" ca="1" si="42"/>
        <v>901985789.10000002</v>
      </c>
      <c r="F156">
        <f ca="1">SUM($E$2:E156)/SUM($D$2:D156)</f>
        <v>140.59893481071347</v>
      </c>
      <c r="G156">
        <f ca="1">_xlfn.STDEV.P($C$2:C156)</f>
        <v>7.917480389821308</v>
      </c>
      <c r="H156">
        <f t="shared" ca="1" si="43"/>
        <v>148.51641520053479</v>
      </c>
      <c r="I156">
        <f t="shared" ca="1" si="44"/>
        <v>132.68145442089215</v>
      </c>
      <c r="J156">
        <f t="shared" ca="1" si="53"/>
        <v>144.25100000000003</v>
      </c>
      <c r="K156">
        <f t="shared" ca="1" si="54"/>
        <v>3.2307159056713557</v>
      </c>
      <c r="L156">
        <f t="shared" ca="1" si="55"/>
        <v>150.71243181134275</v>
      </c>
      <c r="M156">
        <f t="shared" ca="1" si="56"/>
        <v>137.78956818865731</v>
      </c>
      <c r="N156">
        <f t="shared" ca="1" si="45"/>
        <v>0.87000000000000455</v>
      </c>
      <c r="O156">
        <f t="shared" ca="1" si="46"/>
        <v>0.87000000000000455</v>
      </c>
      <c r="P156">
        <f t="shared" ca="1" si="47"/>
        <v>0</v>
      </c>
      <c r="Q156">
        <f t="shared" ca="1" si="51"/>
        <v>0.59380304782085258</v>
      </c>
      <c r="R156">
        <f t="shared" ca="1" si="52"/>
        <v>0.72450658738579699</v>
      </c>
      <c r="S156">
        <f t="shared" ca="1" si="49"/>
        <v>0.81959647870621044</v>
      </c>
      <c r="T156">
        <f t="shared" ca="1" si="50"/>
        <v>45.042760210712707</v>
      </c>
      <c r="U156">
        <f>70</f>
        <v>70</v>
      </c>
      <c r="V156">
        <f>30</f>
        <v>30</v>
      </c>
      <c r="W156">
        <f t="shared" ca="1" si="48"/>
        <v>142.44179703529585</v>
      </c>
      <c r="X156">
        <f t="shared" ca="1" si="37"/>
        <v>143.5865876742678</v>
      </c>
      <c r="Y156">
        <f t="shared" ref="Y156:Y219" ca="1" si="57">W157-X157</f>
        <v>-1.08167314716286</v>
      </c>
      <c r="Z156">
        <f t="shared" ca="1" si="38"/>
        <v>-0.75001611071560947</v>
      </c>
      <c r="AA156">
        <f t="shared" ca="1" si="39"/>
        <v>-0.33165703644725053</v>
      </c>
      <c r="AB156">
        <f t="shared" ca="1" si="40"/>
        <v>138.01174999999998</v>
      </c>
    </row>
    <row r="157" spans="1:28" x14ac:dyDescent="0.25">
      <c r="A157" s="20">
        <f t="shared" ca="1" si="41"/>
        <v>45922</v>
      </c>
      <c r="B157" vm="461">
        <f ca="1"/>
        <v>45924</v>
      </c>
      <c r="C157" vm="462">
        <f ca="1"/>
        <v>142.16999999999999</v>
      </c>
      <c r="D157" vm="463">
        <f ca="1"/>
        <v>5949145</v>
      </c>
      <c r="E157">
        <f t="shared" ca="1" si="42"/>
        <v>845789944.64999998</v>
      </c>
      <c r="F157">
        <f ca="1">SUM($E$2:E157)/SUM($D$2:D157)</f>
        <v>140.60582842670445</v>
      </c>
      <c r="G157">
        <f ca="1">_xlfn.STDEV.P($C$2:C157)</f>
        <v>7.8924599476403303</v>
      </c>
      <c r="H157">
        <f t="shared" ca="1" si="43"/>
        <v>148.49828837434478</v>
      </c>
      <c r="I157">
        <f t="shared" ca="1" si="44"/>
        <v>132.71336847906412</v>
      </c>
      <c r="J157">
        <f t="shared" ca="1" si="53"/>
        <v>144.00949999999997</v>
      </c>
      <c r="K157">
        <f t="shared" ca="1" si="54"/>
        <v>3.194733289254938</v>
      </c>
      <c r="L157">
        <f t="shared" ca="1" si="55"/>
        <v>150.39896657850986</v>
      </c>
      <c r="M157">
        <f t="shared" ca="1" si="56"/>
        <v>137.62003342149009</v>
      </c>
      <c r="N157">
        <f t="shared" ca="1" si="45"/>
        <v>0.26999999999998181</v>
      </c>
      <c r="O157">
        <f t="shared" ca="1" si="46"/>
        <v>0.26999999999998181</v>
      </c>
      <c r="P157">
        <f t="shared" ca="1" si="47"/>
        <v>0</v>
      </c>
      <c r="Q157">
        <f t="shared" ca="1" si="51"/>
        <v>0.57067425869079036</v>
      </c>
      <c r="R157">
        <f t="shared" ca="1" si="52"/>
        <v>0.67275611685824011</v>
      </c>
      <c r="S157">
        <f t="shared" ca="1" si="49"/>
        <v>0.84826320324790161</v>
      </c>
      <c r="T157">
        <f t="shared" ca="1" si="50"/>
        <v>45.895151824549245</v>
      </c>
      <c r="U157">
        <f>70</f>
        <v>70</v>
      </c>
      <c r="V157">
        <f>30</f>
        <v>30</v>
      </c>
      <c r="W157">
        <f t="shared" ca="1" si="48"/>
        <v>142.3999821067888</v>
      </c>
      <c r="X157">
        <f t="shared" ref="X157:X220" ca="1" si="58">C157*(2/(26+1)) + X156*(1-(2/(26+1)))</f>
        <v>143.48165525395166</v>
      </c>
      <c r="Y157">
        <f t="shared" ca="1" si="57"/>
        <v>-1.1993825407920724</v>
      </c>
      <c r="Z157">
        <f t="shared" ca="1" si="38"/>
        <v>-0.83988939673090202</v>
      </c>
      <c r="AA157">
        <f t="shared" ca="1" si="39"/>
        <v>-0.35949314406117039</v>
      </c>
      <c r="AB157">
        <f t="shared" ca="1" si="40"/>
        <v>138.09794999999997</v>
      </c>
    </row>
    <row r="158" spans="1:28" x14ac:dyDescent="0.25">
      <c r="A158" s="20">
        <f t="shared" ca="1" si="41"/>
        <v>45922</v>
      </c>
      <c r="B158" vm="464">
        <f ca="1"/>
        <v>45925</v>
      </c>
      <c r="C158" vm="465">
        <f ca="1"/>
        <v>139.91999999999999</v>
      </c>
      <c r="D158" vm="466">
        <f ca="1"/>
        <v>7101666</v>
      </c>
      <c r="E158">
        <f t="shared" ca="1" si="42"/>
        <v>993665106.71999991</v>
      </c>
      <c r="F158">
        <f ca="1">SUM($E$2:E158)/SUM($D$2:D158)</f>
        <v>140.60225483286283</v>
      </c>
      <c r="G158">
        <f ca="1">_xlfn.STDEV.P($C$2:C158)</f>
        <v>7.8679277749677148</v>
      </c>
      <c r="H158">
        <f t="shared" ca="1" si="43"/>
        <v>148.47018260783054</v>
      </c>
      <c r="I158">
        <f t="shared" ca="1" si="44"/>
        <v>132.73432705789511</v>
      </c>
      <c r="J158">
        <f t="shared" ca="1" si="53"/>
        <v>143.62350000000001</v>
      </c>
      <c r="K158">
        <f t="shared" ca="1" si="54"/>
        <v>3.1993721012263112</v>
      </c>
      <c r="L158">
        <f t="shared" ca="1" si="55"/>
        <v>150.02224420245264</v>
      </c>
      <c r="M158">
        <f t="shared" ca="1" si="56"/>
        <v>137.22475579754737</v>
      </c>
      <c r="N158">
        <f t="shared" ca="1" si="45"/>
        <v>-2.25</v>
      </c>
      <c r="O158">
        <f t="shared" ca="1" si="46"/>
        <v>0</v>
      </c>
      <c r="P158">
        <f t="shared" ca="1" si="47"/>
        <v>2.25</v>
      </c>
      <c r="Q158">
        <f t="shared" ca="1" si="51"/>
        <v>0.52991181164144818</v>
      </c>
      <c r="R158">
        <f t="shared" ca="1" si="52"/>
        <v>0.78541639422550868</v>
      </c>
      <c r="S158">
        <f t="shared" ca="1" si="49"/>
        <v>0.67468901278027049</v>
      </c>
      <c r="T158">
        <f t="shared" ca="1" si="50"/>
        <v>40.287420985713112</v>
      </c>
      <c r="U158">
        <f>70</f>
        <v>70</v>
      </c>
      <c r="V158">
        <f>30</f>
        <v>30</v>
      </c>
      <c r="W158">
        <f t="shared" ca="1" si="48"/>
        <v>142.01844639805205</v>
      </c>
      <c r="X158">
        <f t="shared" ca="1" si="58"/>
        <v>143.21782893884412</v>
      </c>
      <c r="Y158">
        <f t="shared" ca="1" si="57"/>
        <v>-1.2364553416036301</v>
      </c>
      <c r="Z158">
        <f t="shared" ca="1" si="38"/>
        <v>-0.91920258570544766</v>
      </c>
      <c r="AA158">
        <f t="shared" ca="1" si="39"/>
        <v>-0.31725275589818247</v>
      </c>
      <c r="AB158">
        <f t="shared" ca="1" si="40"/>
        <v>138.15964999999997</v>
      </c>
    </row>
    <row r="159" spans="1:28" x14ac:dyDescent="0.25">
      <c r="A159" s="20">
        <f t="shared" ca="1" si="41"/>
        <v>45922</v>
      </c>
      <c r="B159" vm="467">
        <f ca="1"/>
        <v>45926</v>
      </c>
      <c r="C159" vm="468">
        <f ca="1"/>
        <v>140.44</v>
      </c>
      <c r="D159" vm="469">
        <f ca="1"/>
        <v>6224693</v>
      </c>
      <c r="E159">
        <f t="shared" ca="1" si="42"/>
        <v>874195884.91999996</v>
      </c>
      <c r="F159">
        <f ca="1">SUM($E$2:E159)/SUM($D$2:D159)</f>
        <v>140.60151715616945</v>
      </c>
      <c r="G159">
        <f ca="1">_xlfn.STDEV.P($C$2:C159)</f>
        <v>7.843207241732487</v>
      </c>
      <c r="H159">
        <f t="shared" ca="1" si="43"/>
        <v>148.44472439790195</v>
      </c>
      <c r="I159">
        <f t="shared" ca="1" si="44"/>
        <v>132.75830991443695</v>
      </c>
      <c r="J159">
        <f t="shared" ca="1" si="53"/>
        <v>143.29650000000004</v>
      </c>
      <c r="K159">
        <f t="shared" ca="1" si="54"/>
        <v>3.1723613569307276</v>
      </c>
      <c r="L159">
        <f t="shared" ca="1" si="55"/>
        <v>149.64122271386148</v>
      </c>
      <c r="M159">
        <f t="shared" ca="1" si="56"/>
        <v>136.95177728613859</v>
      </c>
      <c r="N159">
        <f t="shared" ca="1" si="45"/>
        <v>0.52000000000001023</v>
      </c>
      <c r="O159">
        <f t="shared" ca="1" si="46"/>
        <v>0.52000000000001023</v>
      </c>
      <c r="P159">
        <f t="shared" ca="1" si="47"/>
        <v>0</v>
      </c>
      <c r="Q159">
        <f t="shared" ca="1" si="51"/>
        <v>0.52920382509563113</v>
      </c>
      <c r="R159">
        <f t="shared" ca="1" si="52"/>
        <v>0.7293152232094009</v>
      </c>
      <c r="S159">
        <f t="shared" ca="1" si="49"/>
        <v>0.72561741240890865</v>
      </c>
      <c r="T159">
        <f t="shared" ca="1" si="50"/>
        <v>42.049727082665967</v>
      </c>
      <c r="U159">
        <f>70</f>
        <v>70</v>
      </c>
      <c r="V159">
        <f>30</f>
        <v>30</v>
      </c>
      <c r="W159">
        <f t="shared" ca="1" si="48"/>
        <v>141.77560849065944</v>
      </c>
      <c r="X159">
        <f t="shared" ca="1" si="58"/>
        <v>143.01206383226307</v>
      </c>
      <c r="Y159">
        <f t="shared" ca="1" si="57"/>
        <v>-1.2729487856399828</v>
      </c>
      <c r="Z159">
        <f t="shared" ca="1" si="38"/>
        <v>-0.98995182569235474</v>
      </c>
      <c r="AA159">
        <f t="shared" ca="1" si="39"/>
        <v>-0.28299695994762808</v>
      </c>
      <c r="AB159">
        <f t="shared" ca="1" si="40"/>
        <v>138.24414999999996</v>
      </c>
    </row>
    <row r="160" spans="1:28" x14ac:dyDescent="0.25">
      <c r="A160" s="20">
        <f t="shared" ca="1" si="41"/>
        <v>45929</v>
      </c>
      <c r="B160" vm="470">
        <f ca="1"/>
        <v>45929</v>
      </c>
      <c r="C160" vm="471">
        <f ca="1"/>
        <v>140.16999999999999</v>
      </c>
      <c r="D160" vm="472">
        <f ca="1"/>
        <v>11930247</v>
      </c>
      <c r="E160">
        <f t="shared" ca="1" si="42"/>
        <v>1672262721.9899998</v>
      </c>
      <c r="F160">
        <f ca="1">SUM($E$2:E160)/SUM($D$2:D160)</f>
        <v>140.59778954941501</v>
      </c>
      <c r="G160">
        <f ca="1">_xlfn.STDEV.P($C$2:C160)</f>
        <v>7.8189053260166377</v>
      </c>
      <c r="H160">
        <f t="shared" ca="1" si="43"/>
        <v>148.41669487543166</v>
      </c>
      <c r="I160">
        <f t="shared" ca="1" si="44"/>
        <v>132.77888422339836</v>
      </c>
      <c r="J160">
        <f t="shared" ca="1" si="53"/>
        <v>142.8725</v>
      </c>
      <c r="K160">
        <f t="shared" ca="1" si="54"/>
        <v>2.9800492313135747</v>
      </c>
      <c r="L160">
        <f t="shared" ca="1" si="55"/>
        <v>148.83259846262715</v>
      </c>
      <c r="M160">
        <f t="shared" ca="1" si="56"/>
        <v>136.91240153737286</v>
      </c>
      <c r="N160">
        <f t="shared" ca="1" si="45"/>
        <v>-0.27000000000001023</v>
      </c>
      <c r="O160">
        <f t="shared" ca="1" si="46"/>
        <v>0</v>
      </c>
      <c r="P160">
        <f t="shared" ca="1" si="47"/>
        <v>0.27000000000001023</v>
      </c>
      <c r="Q160">
        <f t="shared" ca="1" si="51"/>
        <v>0.49140355187451462</v>
      </c>
      <c r="R160">
        <f t="shared" ca="1" si="52"/>
        <v>0.69650699298015872</v>
      </c>
      <c r="S160">
        <f t="shared" ca="1" si="49"/>
        <v>0.70552565419614266</v>
      </c>
      <c r="T160">
        <f t="shared" ca="1" si="50"/>
        <v>41.367050238166883</v>
      </c>
      <c r="U160">
        <f>70</f>
        <v>70</v>
      </c>
      <c r="V160">
        <f>30</f>
        <v>30</v>
      </c>
      <c r="W160">
        <f t="shared" ca="1" si="48"/>
        <v>141.52859179978876</v>
      </c>
      <c r="X160">
        <f t="shared" ca="1" si="58"/>
        <v>142.80154058542874</v>
      </c>
      <c r="Y160">
        <f t="shared" ca="1" si="57"/>
        <v>-1.2654955148919669</v>
      </c>
      <c r="Z160">
        <f t="shared" ca="1" si="38"/>
        <v>-1.0450605635322772</v>
      </c>
      <c r="AA160">
        <f t="shared" ca="1" si="39"/>
        <v>-0.22043495135968971</v>
      </c>
      <c r="AB160">
        <f t="shared" ca="1" si="40"/>
        <v>138.33844999999997</v>
      </c>
    </row>
    <row r="161" spans="1:28" x14ac:dyDescent="0.25">
      <c r="A161" s="20">
        <f t="shared" ca="1" si="41"/>
        <v>45929</v>
      </c>
      <c r="B161" vm="473">
        <f ca="1"/>
        <v>45930</v>
      </c>
      <c r="C161" vm="468">
        <f ca="1"/>
        <v>140.44</v>
      </c>
      <c r="D161" vm="474">
        <f ca="1"/>
        <v>7583411</v>
      </c>
      <c r="E161">
        <f t="shared" ca="1" si="42"/>
        <v>1065014240.84</v>
      </c>
      <c r="F161">
        <f ca="1">SUM($E$2:E161)/SUM($D$2:D161)</f>
        <v>140.59692786695334</v>
      </c>
      <c r="G161">
        <f ca="1">_xlfn.STDEV.P($C$2:C161)</f>
        <v>7.7946426933999602</v>
      </c>
      <c r="H161">
        <f t="shared" ca="1" si="43"/>
        <v>148.3915705603533</v>
      </c>
      <c r="I161">
        <f t="shared" ca="1" si="44"/>
        <v>132.80228517355337</v>
      </c>
      <c r="J161">
        <f t="shared" ca="1" si="53"/>
        <v>142.38050000000001</v>
      </c>
      <c r="K161">
        <f t="shared" ca="1" si="54"/>
        <v>2.4595452617784517</v>
      </c>
      <c r="L161">
        <f t="shared" ca="1" si="55"/>
        <v>147.2995905235569</v>
      </c>
      <c r="M161">
        <f t="shared" ca="1" si="56"/>
        <v>137.46140947644312</v>
      </c>
      <c r="N161">
        <f t="shared" ca="1" si="45"/>
        <v>0.27000000000001023</v>
      </c>
      <c r="O161">
        <f t="shared" ca="1" si="46"/>
        <v>0.27000000000001023</v>
      </c>
      <c r="P161">
        <f t="shared" ca="1" si="47"/>
        <v>0</v>
      </c>
      <c r="Q161">
        <f t="shared" ca="1" si="51"/>
        <v>0.47558901245490715</v>
      </c>
      <c r="R161">
        <f t="shared" ca="1" si="52"/>
        <v>0.64675649348157604</v>
      </c>
      <c r="S161">
        <f t="shared" ca="1" si="49"/>
        <v>0.73534478161131145</v>
      </c>
      <c r="T161">
        <f t="shared" ca="1" si="50"/>
        <v>42.374563798700869</v>
      </c>
      <c r="U161">
        <f>70</f>
        <v>70</v>
      </c>
      <c r="V161">
        <f>30</f>
        <v>30</v>
      </c>
      <c r="W161">
        <f t="shared" ca="1" si="48"/>
        <v>141.3611161382828</v>
      </c>
      <c r="X161">
        <f t="shared" ca="1" si="58"/>
        <v>142.62661165317476</v>
      </c>
      <c r="Y161">
        <f t="shared" ca="1" si="57"/>
        <v>-1.0298498410592742</v>
      </c>
      <c r="Z161">
        <f t="shared" ca="1" si="38"/>
        <v>-1.0420184190376767</v>
      </c>
      <c r="AA161">
        <f t="shared" ca="1" si="39"/>
        <v>1.2168577978402428E-2</v>
      </c>
      <c r="AB161">
        <f t="shared" ca="1" si="40"/>
        <v>138.42369999999997</v>
      </c>
    </row>
    <row r="162" spans="1:28" x14ac:dyDescent="0.25">
      <c r="A162" s="20">
        <f t="shared" ca="1" si="41"/>
        <v>45929</v>
      </c>
      <c r="B162" vm="475">
        <f ca="1"/>
        <v>45931</v>
      </c>
      <c r="C162" vm="476">
        <f ca="1"/>
        <v>143.13999999999999</v>
      </c>
      <c r="D162" vm="477">
        <f ca="1"/>
        <v>5880796</v>
      </c>
      <c r="E162">
        <f t="shared" ca="1" si="42"/>
        <v>841777139.43999994</v>
      </c>
      <c r="F162">
        <f ca="1">SUM($E$2:E162)/SUM($D$2:D162)</f>
        <v>140.6076520425741</v>
      </c>
      <c r="G162">
        <f ca="1">_xlfn.STDEV.P($C$2:C162)</f>
        <v>7.7719533773311955</v>
      </c>
      <c r="H162">
        <f t="shared" ca="1" si="43"/>
        <v>148.37960541990529</v>
      </c>
      <c r="I162">
        <f t="shared" ca="1" si="44"/>
        <v>132.83569866524292</v>
      </c>
      <c r="J162">
        <f t="shared" ca="1" si="53"/>
        <v>142.10550000000001</v>
      </c>
      <c r="K162">
        <f t="shared" ca="1" si="54"/>
        <v>1.9844248139209646</v>
      </c>
      <c r="L162">
        <f t="shared" ca="1" si="55"/>
        <v>146.07434962784194</v>
      </c>
      <c r="M162">
        <f t="shared" ca="1" si="56"/>
        <v>138.13665037215807</v>
      </c>
      <c r="N162">
        <f t="shared" ca="1" si="45"/>
        <v>2.6999999999999886</v>
      </c>
      <c r="O162">
        <f t="shared" ca="1" si="46"/>
        <v>2.6999999999999886</v>
      </c>
      <c r="P162">
        <f t="shared" ca="1" si="47"/>
        <v>0</v>
      </c>
      <c r="Q162">
        <f t="shared" ca="1" si="51"/>
        <v>0.63447551156527016</v>
      </c>
      <c r="R162">
        <f t="shared" ca="1" si="52"/>
        <v>0.60055960109003492</v>
      </c>
      <c r="S162">
        <f t="shared" ca="1" si="49"/>
        <v>1.0564738460823484</v>
      </c>
      <c r="T162">
        <f t="shared" ca="1" si="50"/>
        <v>51.373074746122668</v>
      </c>
      <c r="U162">
        <f>70</f>
        <v>70</v>
      </c>
      <c r="V162">
        <f>30</f>
        <v>30</v>
      </c>
      <c r="W162">
        <f t="shared" ca="1" si="48"/>
        <v>141.63479057854698</v>
      </c>
      <c r="X162">
        <f t="shared" ca="1" si="58"/>
        <v>142.66464041960626</v>
      </c>
      <c r="Y162">
        <f t="shared" ca="1" si="57"/>
        <v>-0.89970180781645581</v>
      </c>
      <c r="Z162">
        <f t="shared" ca="1" si="38"/>
        <v>-1.0135550967934326</v>
      </c>
      <c r="AA162">
        <f t="shared" ca="1" si="39"/>
        <v>0.11385328897697677</v>
      </c>
      <c r="AB162">
        <f t="shared" ca="1" si="40"/>
        <v>138.54079999999999</v>
      </c>
    </row>
    <row r="163" spans="1:28" x14ac:dyDescent="0.25">
      <c r="A163" s="20">
        <f t="shared" ca="1" si="41"/>
        <v>45929</v>
      </c>
      <c r="B163" vm="478">
        <f ca="1"/>
        <v>45932</v>
      </c>
      <c r="C163" vm="479">
        <f ca="1"/>
        <v>142.31</v>
      </c>
      <c r="D163" vm="480">
        <f ca="1"/>
        <v>4497315</v>
      </c>
      <c r="E163">
        <f t="shared" ca="1" si="42"/>
        <v>640012897.64999998</v>
      </c>
      <c r="F163">
        <f ca="1">SUM($E$2:E163)/SUM($D$2:D163)</f>
        <v>140.61312437464036</v>
      </c>
      <c r="G163">
        <f ca="1">_xlfn.STDEV.P($C$2:C163)</f>
        <v>7.7484402278769977</v>
      </c>
      <c r="H163">
        <f t="shared" ca="1" si="43"/>
        <v>148.36156460251738</v>
      </c>
      <c r="I163">
        <f t="shared" ca="1" si="44"/>
        <v>132.86468414676335</v>
      </c>
      <c r="J163">
        <f t="shared" ca="1" si="53"/>
        <v>141.87650000000002</v>
      </c>
      <c r="K163">
        <f t="shared" ca="1" si="54"/>
        <v>1.6371100178443452</v>
      </c>
      <c r="L163">
        <f t="shared" ca="1" si="55"/>
        <v>145.15072003568872</v>
      </c>
      <c r="M163">
        <f t="shared" ca="1" si="56"/>
        <v>138.60227996431132</v>
      </c>
      <c r="N163">
        <f t="shared" ca="1" si="45"/>
        <v>-0.82999999999998408</v>
      </c>
      <c r="O163">
        <f t="shared" ca="1" si="46"/>
        <v>0</v>
      </c>
      <c r="P163">
        <f t="shared" ca="1" si="47"/>
        <v>0.82999999999998408</v>
      </c>
      <c r="Q163">
        <f t="shared" ca="1" si="51"/>
        <v>0.5891558321677508</v>
      </c>
      <c r="R163">
        <f t="shared" ca="1" si="52"/>
        <v>0.61694820101217418</v>
      </c>
      <c r="S163">
        <f t="shared" ca="1" si="49"/>
        <v>0.95495186014186151</v>
      </c>
      <c r="T163">
        <f t="shared" ca="1" si="50"/>
        <v>48.847845290296064</v>
      </c>
      <c r="U163">
        <f>70</f>
        <v>70</v>
      </c>
      <c r="V163">
        <f>30</f>
        <v>30</v>
      </c>
      <c r="W163">
        <f t="shared" ca="1" si="48"/>
        <v>141.73866895107821</v>
      </c>
      <c r="X163">
        <f t="shared" ca="1" si="58"/>
        <v>142.63837075889467</v>
      </c>
      <c r="Y163">
        <f t="shared" ca="1" si="57"/>
        <v>-0.81380574977359288</v>
      </c>
      <c r="Z163">
        <f t="shared" ca="1" si="38"/>
        <v>-0.97360522738946464</v>
      </c>
      <c r="AA163">
        <f t="shared" ca="1" si="39"/>
        <v>0.15979947761587177</v>
      </c>
      <c r="AB163">
        <f t="shared" ca="1" si="40"/>
        <v>138.65949999999998</v>
      </c>
    </row>
    <row r="164" spans="1:28" x14ac:dyDescent="0.25">
      <c r="A164" s="20">
        <f t="shared" ca="1" si="41"/>
        <v>45929</v>
      </c>
      <c r="B164" vm="481">
        <f ca="1"/>
        <v>45933</v>
      </c>
      <c r="C164" vm="482">
        <f ca="1"/>
        <v>141.97999999999999</v>
      </c>
      <c r="D164" vm="483">
        <f ca="1"/>
        <v>5425725</v>
      </c>
      <c r="E164">
        <f t="shared" ca="1" si="42"/>
        <v>770344435.5</v>
      </c>
      <c r="F164">
        <f ca="1">SUM($E$2:E164)/SUM($D$2:D164)</f>
        <v>140.61840489305646</v>
      </c>
      <c r="G164">
        <f ca="1">_xlfn.STDEV.P($C$2:C164)</f>
        <v>7.7248878087368276</v>
      </c>
      <c r="H164">
        <f t="shared" ca="1" si="43"/>
        <v>148.3432927017933</v>
      </c>
      <c r="I164">
        <f t="shared" ca="1" si="44"/>
        <v>132.89351708431963</v>
      </c>
      <c r="J164">
        <f t="shared" ca="1" si="53"/>
        <v>141.65600000000001</v>
      </c>
      <c r="K164">
        <f t="shared" ca="1" si="54"/>
        <v>1.2479262798739359</v>
      </c>
      <c r="L164">
        <f t="shared" ca="1" si="55"/>
        <v>144.15185255974788</v>
      </c>
      <c r="M164">
        <f t="shared" ca="1" si="56"/>
        <v>139.16014744025213</v>
      </c>
      <c r="N164">
        <f t="shared" ca="1" si="45"/>
        <v>-0.33000000000001251</v>
      </c>
      <c r="O164">
        <f t="shared" ca="1" si="46"/>
        <v>0</v>
      </c>
      <c r="P164">
        <f t="shared" ca="1" si="47"/>
        <v>0.33000000000001251</v>
      </c>
      <c r="Q164">
        <f t="shared" ca="1" si="51"/>
        <v>0.54707327272719719</v>
      </c>
      <c r="R164">
        <f t="shared" ca="1" si="52"/>
        <v>0.59645190093987688</v>
      </c>
      <c r="S164">
        <f t="shared" ca="1" si="49"/>
        <v>0.91721272388457509</v>
      </c>
      <c r="T164">
        <f t="shared" ca="1" si="50"/>
        <v>47.840947040355417</v>
      </c>
      <c r="U164">
        <f>70</f>
        <v>70</v>
      </c>
      <c r="V164">
        <f>30</f>
        <v>30</v>
      </c>
      <c r="W164">
        <f t="shared" ca="1" si="48"/>
        <v>141.7757968047585</v>
      </c>
      <c r="X164">
        <f t="shared" ca="1" si="58"/>
        <v>142.58960255453209</v>
      </c>
      <c r="Y164">
        <f t="shared" ca="1" si="57"/>
        <v>-0.91911447068278562</v>
      </c>
      <c r="Z164">
        <f t="shared" ca="1" si="38"/>
        <v>-0.96270707604812888</v>
      </c>
      <c r="AA164">
        <f t="shared" ca="1" si="39"/>
        <v>4.3592605365343262E-2</v>
      </c>
      <c r="AB164">
        <f t="shared" ca="1" si="40"/>
        <v>138.76249999999996</v>
      </c>
    </row>
    <row r="165" spans="1:28" x14ac:dyDescent="0.25">
      <c r="A165" s="20">
        <f t="shared" ca="1" si="41"/>
        <v>45936</v>
      </c>
      <c r="B165" vm="484">
        <f ca="1"/>
        <v>45936</v>
      </c>
      <c r="C165" vm="485">
        <f ca="1"/>
        <v>139.69999999999999</v>
      </c>
      <c r="D165" vm="486">
        <f ca="1"/>
        <v>6750712</v>
      </c>
      <c r="E165">
        <f t="shared" ca="1" si="42"/>
        <v>943074466.39999998</v>
      </c>
      <c r="F165">
        <f ca="1">SUM($E$2:E165)/SUM($D$2:D165)</f>
        <v>140.61401159095473</v>
      </c>
      <c r="G165">
        <f ca="1">_xlfn.STDEV.P($C$2:C165)</f>
        <v>7.7021682262205564</v>
      </c>
      <c r="H165">
        <f t="shared" ca="1" si="43"/>
        <v>148.31617981717528</v>
      </c>
      <c r="I165">
        <f t="shared" ca="1" si="44"/>
        <v>132.91184336473418</v>
      </c>
      <c r="J165">
        <f t="shared" ca="1" si="53"/>
        <v>141.55549999999999</v>
      </c>
      <c r="K165">
        <f t="shared" ca="1" si="54"/>
        <v>1.3220815923543094</v>
      </c>
      <c r="L165">
        <f t="shared" ca="1" si="55"/>
        <v>144.19966318470861</v>
      </c>
      <c r="M165">
        <f t="shared" ca="1" si="56"/>
        <v>138.91133681529138</v>
      </c>
      <c r="N165">
        <f t="shared" ca="1" si="45"/>
        <v>-2.2800000000000011</v>
      </c>
      <c r="O165">
        <f t="shared" ca="1" si="46"/>
        <v>0</v>
      </c>
      <c r="P165">
        <f t="shared" ca="1" si="47"/>
        <v>2.2800000000000011</v>
      </c>
      <c r="Q165">
        <f t="shared" ca="1" si="51"/>
        <v>0.50799661038954025</v>
      </c>
      <c r="R165">
        <f t="shared" ca="1" si="52"/>
        <v>0.71670533658702862</v>
      </c>
      <c r="S165">
        <f t="shared" ca="1" si="49"/>
        <v>0.70879423447386991</v>
      </c>
      <c r="T165">
        <f t="shared" ca="1" si="50"/>
        <v>41.479203298699353</v>
      </c>
      <c r="U165">
        <f>70</f>
        <v>70</v>
      </c>
      <c r="V165">
        <f>30</f>
        <v>30</v>
      </c>
      <c r="W165">
        <f t="shared" ca="1" si="48"/>
        <v>141.45644345018025</v>
      </c>
      <c r="X165">
        <f t="shared" ca="1" si="58"/>
        <v>142.37555792086303</v>
      </c>
      <c r="Y165">
        <f t="shared" ca="1" si="57"/>
        <v>-0.90419549737021043</v>
      </c>
      <c r="Z165">
        <f t="shared" ca="1" si="38"/>
        <v>-0.95100476031254522</v>
      </c>
      <c r="AA165">
        <f t="shared" ca="1" si="39"/>
        <v>4.6809262942334784E-2</v>
      </c>
      <c r="AB165">
        <f t="shared" ca="1" si="40"/>
        <v>138.85639999999998</v>
      </c>
    </row>
    <row r="166" spans="1:28" x14ac:dyDescent="0.25">
      <c r="A166" s="20">
        <f t="shared" ca="1" si="41"/>
        <v>45936</v>
      </c>
      <c r="B166" vm="487">
        <f ca="1"/>
        <v>45937</v>
      </c>
      <c r="C166" vm="488">
        <f ca="1"/>
        <v>140.79</v>
      </c>
      <c r="D166" vm="489">
        <f ca="1"/>
        <v>6110309</v>
      </c>
      <c r="E166">
        <f t="shared" ca="1" si="42"/>
        <v>860270404.1099999</v>
      </c>
      <c r="F166">
        <f ca="1">SUM($E$2:E166)/SUM($D$2:D166)</f>
        <v>140.61477030509272</v>
      </c>
      <c r="G166">
        <f ca="1">_xlfn.STDEV.P($C$2:C166)</f>
        <v>7.6788513508175331</v>
      </c>
      <c r="H166">
        <f t="shared" ca="1" si="43"/>
        <v>148.29362165591024</v>
      </c>
      <c r="I166">
        <f t="shared" ca="1" si="44"/>
        <v>132.93591895427519</v>
      </c>
      <c r="J166">
        <f t="shared" ca="1" si="53"/>
        <v>141.44</v>
      </c>
      <c r="K166">
        <f t="shared" ca="1" si="54"/>
        <v>1.2802919075043215</v>
      </c>
      <c r="L166">
        <f t="shared" ca="1" si="55"/>
        <v>144.00058381500864</v>
      </c>
      <c r="M166">
        <f t="shared" ca="1" si="56"/>
        <v>138.87941618499136</v>
      </c>
      <c r="N166">
        <f t="shared" ca="1" si="45"/>
        <v>1.0900000000000034</v>
      </c>
      <c r="O166">
        <f t="shared" ca="1" si="46"/>
        <v>1.0900000000000034</v>
      </c>
      <c r="P166">
        <f t="shared" ca="1" si="47"/>
        <v>0</v>
      </c>
      <c r="Q166">
        <f t="shared" ca="1" si="51"/>
        <v>0.54956828107600197</v>
      </c>
      <c r="R166">
        <f t="shared" ca="1" si="52"/>
        <v>0.66551209825938373</v>
      </c>
      <c r="S166">
        <f t="shared" ca="1" si="49"/>
        <v>0.82578255528843503</v>
      </c>
      <c r="T166">
        <f t="shared" ca="1" si="50"/>
        <v>45.228965130405619</v>
      </c>
      <c r="U166">
        <f>70</f>
        <v>70</v>
      </c>
      <c r="V166">
        <f>30</f>
        <v>30</v>
      </c>
      <c r="W166">
        <f t="shared" ca="1" si="48"/>
        <v>141.35391368861406</v>
      </c>
      <c r="X166">
        <f t="shared" ca="1" si="58"/>
        <v>142.25810918598427</v>
      </c>
      <c r="Y166">
        <f t="shared" ca="1" si="57"/>
        <v>-1.0377581764287811</v>
      </c>
      <c r="Z166">
        <f t="shared" ref="Z166:Z229" ca="1" si="59">Y166*(2/(9+1)) + Z165*(1-(2/(9+1)))</f>
        <v>-0.9683554435357925</v>
      </c>
      <c r="AA166">
        <f t="shared" ref="AA166:AA229" ca="1" si="60">Y166-Z166</f>
        <v>-6.9402732892988594E-2</v>
      </c>
      <c r="AB166">
        <f t="shared" ref="AB166:AB229" ca="1" si="61">AVERAGE(C67:C166)</f>
        <v>138.97979999999998</v>
      </c>
    </row>
    <row r="167" spans="1:28" x14ac:dyDescent="0.25">
      <c r="A167" s="20">
        <f t="shared" ca="1" si="41"/>
        <v>45936</v>
      </c>
      <c r="B167" vm="490">
        <f ca="1"/>
        <v>45938</v>
      </c>
      <c r="C167" vm="491">
        <f ca="1"/>
        <v>138.84</v>
      </c>
      <c r="D167" vm="492">
        <f ca="1"/>
        <v>8256741</v>
      </c>
      <c r="E167">
        <f t="shared" ca="1" si="42"/>
        <v>1146365920.4400001</v>
      </c>
      <c r="F167">
        <f ca="1">SUM($E$2:E167)/SUM($D$2:D167)</f>
        <v>140.60449111080032</v>
      </c>
      <c r="G167">
        <f ca="1">_xlfn.STDEV.P($C$2:C167)</f>
        <v>7.6578171406190885</v>
      </c>
      <c r="H167">
        <f t="shared" ca="1" si="43"/>
        <v>148.26230825141943</v>
      </c>
      <c r="I167">
        <f t="shared" ca="1" si="44"/>
        <v>132.94667397018122</v>
      </c>
      <c r="J167">
        <f t="shared" ca="1" si="53"/>
        <v>141.24900000000002</v>
      </c>
      <c r="K167">
        <f t="shared" ca="1" si="54"/>
        <v>1.370473986388804</v>
      </c>
      <c r="L167">
        <f t="shared" ca="1" si="55"/>
        <v>143.98994797277763</v>
      </c>
      <c r="M167">
        <f t="shared" ca="1" si="56"/>
        <v>138.50805202722242</v>
      </c>
      <c r="N167">
        <f t="shared" ca="1" si="45"/>
        <v>-1.9499999999999886</v>
      </c>
      <c r="O167">
        <f t="shared" ca="1" si="46"/>
        <v>0</v>
      </c>
      <c r="P167">
        <f t="shared" ca="1" si="47"/>
        <v>1.9499999999999886</v>
      </c>
      <c r="Q167">
        <f t="shared" ca="1" si="51"/>
        <v>0.51031340385628754</v>
      </c>
      <c r="R167">
        <f t="shared" ca="1" si="52"/>
        <v>0.75726123409799839</v>
      </c>
      <c r="S167">
        <f t="shared" ca="1" si="49"/>
        <v>0.67389347411153366</v>
      </c>
      <c r="T167">
        <f t="shared" ca="1" si="50"/>
        <v>40.259041840713415</v>
      </c>
      <c r="U167">
        <f>70</f>
        <v>70</v>
      </c>
      <c r="V167">
        <f>30</f>
        <v>30</v>
      </c>
      <c r="W167">
        <f t="shared" ca="1" si="48"/>
        <v>140.9671577365196</v>
      </c>
      <c r="X167">
        <f t="shared" ca="1" si="58"/>
        <v>142.00491591294838</v>
      </c>
      <c r="Y167">
        <f t="shared" ca="1" si="57"/>
        <v>-0.66231288878032046</v>
      </c>
      <c r="Z167">
        <f t="shared" ca="1" si="59"/>
        <v>-0.90714693258469814</v>
      </c>
      <c r="AA167">
        <f t="shared" ca="1" si="60"/>
        <v>0.24483404380437768</v>
      </c>
      <c r="AB167">
        <f t="shared" ca="1" si="61"/>
        <v>139.05319999999995</v>
      </c>
    </row>
    <row r="168" spans="1:28" x14ac:dyDescent="0.25">
      <c r="A168" s="20">
        <f t="shared" ca="1" si="41"/>
        <v>45936</v>
      </c>
      <c r="B168" vm="493">
        <f ca="1"/>
        <v>45939</v>
      </c>
      <c r="C168" vm="494">
        <f ca="1"/>
        <v>144.71</v>
      </c>
      <c r="D168" vm="495">
        <f ca="1"/>
        <v>13706629</v>
      </c>
      <c r="E168">
        <f t="shared" ca="1" si="42"/>
        <v>1983486282.5900002</v>
      </c>
      <c r="F168">
        <f ca="1">SUM($E$2:E168)/SUM($D$2:D168)</f>
        <v>140.64358872156157</v>
      </c>
      <c r="G168">
        <f ca="1">_xlfn.STDEV.P($C$2:C168)</f>
        <v>7.6397666052135609</v>
      </c>
      <c r="H168">
        <f t="shared" ca="1" si="43"/>
        <v>148.28335532677514</v>
      </c>
      <c r="I168">
        <f t="shared" ca="1" si="44"/>
        <v>133.003822116348</v>
      </c>
      <c r="J168">
        <f t="shared" ca="1" si="53"/>
        <v>141.273</v>
      </c>
      <c r="K168">
        <f t="shared" ca="1" si="54"/>
        <v>1.4284039676285023</v>
      </c>
      <c r="L168">
        <f t="shared" ca="1" si="55"/>
        <v>144.12980793525699</v>
      </c>
      <c r="M168">
        <f t="shared" ca="1" si="56"/>
        <v>138.416192064743</v>
      </c>
      <c r="N168">
        <f t="shared" ca="1" si="45"/>
        <v>5.8700000000000045</v>
      </c>
      <c r="O168">
        <f t="shared" ca="1" si="46"/>
        <v>5.8700000000000045</v>
      </c>
      <c r="P168">
        <f t="shared" ca="1" si="47"/>
        <v>0</v>
      </c>
      <c r="Q168">
        <f t="shared" ca="1" si="51"/>
        <v>0.89314816072369585</v>
      </c>
      <c r="R168">
        <f t="shared" ca="1" si="52"/>
        <v>0.70317114594814145</v>
      </c>
      <c r="S168">
        <f t="shared" ca="1" si="49"/>
        <v>1.2701718008058953</v>
      </c>
      <c r="T168">
        <f t="shared" ca="1" si="50"/>
        <v>55.950470372109862</v>
      </c>
      <c r="U168">
        <f>70</f>
        <v>70</v>
      </c>
      <c r="V168">
        <f>30</f>
        <v>30</v>
      </c>
      <c r="W168">
        <f t="shared" ca="1" si="48"/>
        <v>141.54297962320891</v>
      </c>
      <c r="X168">
        <f t="shared" ca="1" si="58"/>
        <v>142.20529251198923</v>
      </c>
      <c r="Y168">
        <f t="shared" ca="1" si="57"/>
        <v>6.7763195716651126E-2</v>
      </c>
      <c r="Z168">
        <f t="shared" ca="1" si="59"/>
        <v>-0.71216490692442824</v>
      </c>
      <c r="AA168">
        <f t="shared" ca="1" si="60"/>
        <v>0.77992810264107937</v>
      </c>
      <c r="AB168">
        <f t="shared" ca="1" si="61"/>
        <v>139.18049999999997</v>
      </c>
    </row>
    <row r="169" spans="1:28" x14ac:dyDescent="0.25">
      <c r="A169" s="20">
        <f t="shared" ca="1" si="41"/>
        <v>45936</v>
      </c>
      <c r="B169" vm="496">
        <f ca="1"/>
        <v>45940</v>
      </c>
      <c r="C169" vm="497">
        <f ca="1"/>
        <v>150.08000000000001</v>
      </c>
      <c r="D169" vm="498">
        <f ca="1"/>
        <v>17545164</v>
      </c>
      <c r="E169">
        <f t="shared" ca="1" si="42"/>
        <v>2633178213.1200004</v>
      </c>
      <c r="F169">
        <f ca="1">SUM($E$2:E169)/SUM($D$2:D169)</f>
        <v>140.75723487452404</v>
      </c>
      <c r="G169">
        <f ca="1">_xlfn.STDEV.P($C$2:C169)</f>
        <v>7.6476916891504043</v>
      </c>
      <c r="H169">
        <f t="shared" ca="1" si="43"/>
        <v>148.40492656367445</v>
      </c>
      <c r="I169">
        <f t="shared" ca="1" si="44"/>
        <v>133.10954318537364</v>
      </c>
      <c r="J169">
        <f t="shared" ca="1" si="53"/>
        <v>141.60050000000001</v>
      </c>
      <c r="K169">
        <f t="shared" ca="1" si="54"/>
        <v>2.3961646437588593</v>
      </c>
      <c r="L169">
        <f t="shared" ca="1" si="55"/>
        <v>146.39282928751774</v>
      </c>
      <c r="M169">
        <f t="shared" ca="1" si="56"/>
        <v>136.80817071248228</v>
      </c>
      <c r="N169">
        <f t="shared" ca="1" si="45"/>
        <v>5.3700000000000045</v>
      </c>
      <c r="O169">
        <f t="shared" ca="1" si="46"/>
        <v>5.3700000000000045</v>
      </c>
      <c r="P169">
        <f t="shared" ca="1" si="47"/>
        <v>0</v>
      </c>
      <c r="Q169">
        <f t="shared" ca="1" si="51"/>
        <v>1.212923292100575</v>
      </c>
      <c r="R169">
        <f t="shared" ca="1" si="52"/>
        <v>0.65294463552327431</v>
      </c>
      <c r="S169">
        <f t="shared" ca="1" si="49"/>
        <v>1.8576204261614462</v>
      </c>
      <c r="T169">
        <f t="shared" ca="1" si="50"/>
        <v>65.005849242781721</v>
      </c>
      <c r="U169">
        <f>70</f>
        <v>70</v>
      </c>
      <c r="V169">
        <f>30</f>
        <v>30</v>
      </c>
      <c r="W169">
        <f t="shared" ca="1" si="48"/>
        <v>142.85636737348446</v>
      </c>
      <c r="X169">
        <f t="shared" ca="1" si="58"/>
        <v>142.78860417776781</v>
      </c>
      <c r="Y169">
        <f t="shared" ca="1" si="57"/>
        <v>0.54405912293546521</v>
      </c>
      <c r="Z169">
        <f t="shared" ca="1" si="59"/>
        <v>-0.46092010095244962</v>
      </c>
      <c r="AA169">
        <f t="shared" ca="1" si="60"/>
        <v>1.0049792238879149</v>
      </c>
      <c r="AB169">
        <f t="shared" ca="1" si="61"/>
        <v>139.36339999999996</v>
      </c>
    </row>
    <row r="170" spans="1:28" x14ac:dyDescent="0.25">
      <c r="A170" s="20">
        <f t="shared" ca="1" si="41"/>
        <v>45943</v>
      </c>
      <c r="B170" vm="499">
        <f ca="1"/>
        <v>45943</v>
      </c>
      <c r="C170" vm="500">
        <f ca="1"/>
        <v>148.88999999999999</v>
      </c>
      <c r="D170" vm="501">
        <f ca="1"/>
        <v>7271983</v>
      </c>
      <c r="E170">
        <f t="shared" ca="1" si="42"/>
        <v>1082725548.8699999</v>
      </c>
      <c r="F170">
        <f ca="1">SUM($E$2:E170)/SUM($D$2:D170)</f>
        <v>140.79762908105181</v>
      </c>
      <c r="G170">
        <f ca="1">_xlfn.STDEV.P($C$2:C170)</f>
        <v>7.6476065973043843</v>
      </c>
      <c r="H170">
        <f t="shared" ca="1" si="43"/>
        <v>148.4452356783562</v>
      </c>
      <c r="I170">
        <f t="shared" ca="1" si="44"/>
        <v>133.15002248374742</v>
      </c>
      <c r="J170">
        <f t="shared" ca="1" si="53"/>
        <v>142.01299999999998</v>
      </c>
      <c r="K170">
        <f t="shared" ca="1" si="54"/>
        <v>2.8828131363214267</v>
      </c>
      <c r="L170">
        <f t="shared" ca="1" si="55"/>
        <v>147.77862627264284</v>
      </c>
      <c r="M170">
        <f t="shared" ca="1" si="56"/>
        <v>136.24737372735711</v>
      </c>
      <c r="N170">
        <f t="shared" ca="1" si="45"/>
        <v>-1.1900000000000261</v>
      </c>
      <c r="O170">
        <f t="shared" ca="1" si="46"/>
        <v>0</v>
      </c>
      <c r="P170">
        <f t="shared" ca="1" si="47"/>
        <v>1.1900000000000261</v>
      </c>
      <c r="Q170">
        <f t="shared" ca="1" si="51"/>
        <v>1.1262859140933912</v>
      </c>
      <c r="R170">
        <f t="shared" ca="1" si="52"/>
        <v>0.69130573298589948</v>
      </c>
      <c r="S170">
        <f t="shared" ca="1" si="49"/>
        <v>1.6292153534279514</v>
      </c>
      <c r="T170">
        <f t="shared" ca="1" si="50"/>
        <v>61.965839021280338</v>
      </c>
      <c r="U170">
        <f>70</f>
        <v>70</v>
      </c>
      <c r="V170">
        <f>30</f>
        <v>30</v>
      </c>
      <c r="W170">
        <f t="shared" ca="1" si="48"/>
        <v>143.78461854679455</v>
      </c>
      <c r="X170">
        <f t="shared" ca="1" si="58"/>
        <v>143.24055942385908</v>
      </c>
      <c r="Y170">
        <f t="shared" ca="1" si="57"/>
        <v>1.1224213551104754</v>
      </c>
      <c r="Z170">
        <f t="shared" ca="1" si="59"/>
        <v>-0.14425180973986465</v>
      </c>
      <c r="AA170">
        <f t="shared" ca="1" si="60"/>
        <v>1.26667316485034</v>
      </c>
      <c r="AB170">
        <f t="shared" ca="1" si="61"/>
        <v>139.53429999999994</v>
      </c>
    </row>
    <row r="171" spans="1:28" x14ac:dyDescent="0.25">
      <c r="A171" s="20">
        <f t="shared" ca="1" si="41"/>
        <v>45943</v>
      </c>
      <c r="B171" vm="502">
        <f ca="1"/>
        <v>45944</v>
      </c>
      <c r="C171" vm="503">
        <f ca="1"/>
        <v>151.54</v>
      </c>
      <c r="D171" vm="504">
        <f ca="1"/>
        <v>8371136</v>
      </c>
      <c r="E171">
        <f t="shared" ca="1" si="42"/>
        <v>1268561949.4399998</v>
      </c>
      <c r="F171">
        <f ca="1">SUM($E$2:E171)/SUM($D$2:D171)</f>
        <v>140.85870028696294</v>
      </c>
      <c r="G171">
        <f ca="1">_xlfn.STDEV.P($C$2:C171)</f>
        <v>7.6653448973499376</v>
      </c>
      <c r="H171">
        <f t="shared" ca="1" si="43"/>
        <v>148.52404518431288</v>
      </c>
      <c r="I171">
        <f t="shared" ca="1" si="44"/>
        <v>133.193355389613</v>
      </c>
      <c r="J171">
        <f t="shared" ca="1" si="53"/>
        <v>142.58850000000001</v>
      </c>
      <c r="K171">
        <f t="shared" ca="1" si="54"/>
        <v>3.5400643392904314</v>
      </c>
      <c r="L171">
        <f t="shared" ca="1" si="55"/>
        <v>149.66862867858089</v>
      </c>
      <c r="M171">
        <f t="shared" ca="1" si="56"/>
        <v>135.50837132141913</v>
      </c>
      <c r="N171">
        <f t="shared" ca="1" si="45"/>
        <v>2.6500000000000057</v>
      </c>
      <c r="O171">
        <f t="shared" ca="1" si="46"/>
        <v>2.6500000000000057</v>
      </c>
      <c r="P171">
        <f t="shared" ca="1" si="47"/>
        <v>0</v>
      </c>
      <c r="Q171">
        <f t="shared" ca="1" si="51"/>
        <v>1.2351226345152924</v>
      </c>
      <c r="R171">
        <f t="shared" ca="1" si="52"/>
        <v>0.64192675205833527</v>
      </c>
      <c r="S171">
        <f t="shared" ca="1" si="49"/>
        <v>1.9240865574691772</v>
      </c>
      <c r="T171">
        <f t="shared" ca="1" si="50"/>
        <v>65.801285962426888</v>
      </c>
      <c r="U171">
        <f>70</f>
        <v>70</v>
      </c>
      <c r="V171">
        <f>30</f>
        <v>30</v>
      </c>
      <c r="W171">
        <f t="shared" ca="1" si="48"/>
        <v>144.97775415498</v>
      </c>
      <c r="X171">
        <f t="shared" ca="1" si="58"/>
        <v>143.85533279986953</v>
      </c>
      <c r="Y171">
        <f t="shared" ca="1" si="57"/>
        <v>1.532449641229249</v>
      </c>
      <c r="Z171">
        <f t="shared" ca="1" si="59"/>
        <v>0.1910884804539581</v>
      </c>
      <c r="AA171">
        <f t="shared" ca="1" si="60"/>
        <v>1.3413611607752909</v>
      </c>
      <c r="AB171">
        <f t="shared" ca="1" si="61"/>
        <v>139.74819999999997</v>
      </c>
    </row>
    <row r="172" spans="1:28" x14ac:dyDescent="0.25">
      <c r="A172" s="20">
        <f t="shared" ca="1" si="41"/>
        <v>45943</v>
      </c>
      <c r="B172" vm="505">
        <f ca="1"/>
        <v>45945</v>
      </c>
      <c r="C172" vm="506">
        <f ca="1"/>
        <v>151.16</v>
      </c>
      <c r="D172" vm="507">
        <f ca="1"/>
        <v>6101096</v>
      </c>
      <c r="E172">
        <f t="shared" ca="1" si="42"/>
        <v>922241671.36000001</v>
      </c>
      <c r="F172">
        <f ca="1">SUM($E$2:E172)/SUM($D$2:D172)</f>
        <v>140.90120685929216</v>
      </c>
      <c r="G172">
        <f ca="1">_xlfn.STDEV.P($C$2:C172)</f>
        <v>7.6794903781730071</v>
      </c>
      <c r="H172">
        <f t="shared" ca="1" si="43"/>
        <v>148.58069723746516</v>
      </c>
      <c r="I172">
        <f t="shared" ca="1" si="44"/>
        <v>133.22171648111916</v>
      </c>
      <c r="J172">
        <f t="shared" ca="1" si="53"/>
        <v>143.08499999999998</v>
      </c>
      <c r="K172">
        <f t="shared" ca="1" si="54"/>
        <v>4.0052853239583071</v>
      </c>
      <c r="L172">
        <f t="shared" ca="1" si="55"/>
        <v>151.09557064791659</v>
      </c>
      <c r="M172">
        <f t="shared" ca="1" si="56"/>
        <v>135.07442935208337</v>
      </c>
      <c r="N172">
        <f t="shared" ca="1" si="45"/>
        <v>-0.37999999999999545</v>
      </c>
      <c r="O172">
        <f t="shared" ca="1" si="46"/>
        <v>0</v>
      </c>
      <c r="P172">
        <f t="shared" ca="1" si="47"/>
        <v>0.37999999999999545</v>
      </c>
      <c r="Q172">
        <f t="shared" ca="1" si="51"/>
        <v>1.1468995891927716</v>
      </c>
      <c r="R172">
        <f t="shared" ca="1" si="52"/>
        <v>0.62321769833988239</v>
      </c>
      <c r="S172">
        <f t="shared" ca="1" si="49"/>
        <v>1.8402872579643756</v>
      </c>
      <c r="T172">
        <f t="shared" ca="1" si="50"/>
        <v>64.792293554254911</v>
      </c>
      <c r="U172">
        <f>70</f>
        <v>70</v>
      </c>
      <c r="V172">
        <f>30</f>
        <v>30</v>
      </c>
      <c r="W172">
        <f t="shared" ca="1" si="48"/>
        <v>145.92886890036769</v>
      </c>
      <c r="X172">
        <f t="shared" ca="1" si="58"/>
        <v>144.39641925913844</v>
      </c>
      <c r="Y172">
        <f t="shared" ca="1" si="57"/>
        <v>1.9566889008239627</v>
      </c>
      <c r="Z172">
        <f t="shared" ca="1" si="59"/>
        <v>0.54420856452795907</v>
      </c>
      <c r="AA172">
        <f t="shared" ca="1" si="60"/>
        <v>1.4124803362960037</v>
      </c>
      <c r="AB172">
        <f t="shared" ca="1" si="61"/>
        <v>139.95859999999996</v>
      </c>
    </row>
    <row r="173" spans="1:28" x14ac:dyDescent="0.25">
      <c r="A173" s="20">
        <f t="shared" ca="1" si="41"/>
        <v>45943</v>
      </c>
      <c r="B173" vm="508">
        <f ca="1"/>
        <v>45946</v>
      </c>
      <c r="C173" vm="509">
        <f ca="1"/>
        <v>152.66999999999999</v>
      </c>
      <c r="D173" vm="510">
        <f ca="1"/>
        <v>8532889</v>
      </c>
      <c r="E173">
        <f t="shared" ca="1" si="42"/>
        <v>1302716163.6299999</v>
      </c>
      <c r="F173">
        <f ca="1">SUM($E$2:E173)/SUM($D$2:D173)</f>
        <v>140.96873504990091</v>
      </c>
      <c r="G173">
        <f ca="1">_xlfn.STDEV.P($C$2:C173)</f>
        <v>7.7049482821884832</v>
      </c>
      <c r="H173">
        <f t="shared" ca="1" si="43"/>
        <v>148.67368333208941</v>
      </c>
      <c r="I173">
        <f t="shared" ca="1" si="44"/>
        <v>133.26378676771242</v>
      </c>
      <c r="J173">
        <f t="shared" ca="1" si="53"/>
        <v>143.68199999999996</v>
      </c>
      <c r="K173">
        <f t="shared" ca="1" si="54"/>
        <v>4.495623134607821</v>
      </c>
      <c r="L173">
        <f t="shared" ca="1" si="55"/>
        <v>152.67324626921561</v>
      </c>
      <c r="M173">
        <f t="shared" ca="1" si="56"/>
        <v>134.69075373078431</v>
      </c>
      <c r="N173">
        <f t="shared" ca="1" si="45"/>
        <v>1.5099999999999909</v>
      </c>
      <c r="O173">
        <f t="shared" ca="1" si="46"/>
        <v>1.5099999999999909</v>
      </c>
      <c r="P173">
        <f t="shared" ca="1" si="47"/>
        <v>0</v>
      </c>
      <c r="Q173">
        <f t="shared" ca="1" si="51"/>
        <v>1.1728353328218586</v>
      </c>
      <c r="R173">
        <f t="shared" ca="1" si="52"/>
        <v>0.57870214845846224</v>
      </c>
      <c r="S173">
        <f t="shared" ca="1" si="49"/>
        <v>2.0266649017046836</v>
      </c>
      <c r="T173">
        <f t="shared" ca="1" si="50"/>
        <v>66.960333156248055</v>
      </c>
      <c r="U173">
        <f>70</f>
        <v>70</v>
      </c>
      <c r="V173">
        <f>30</f>
        <v>30</v>
      </c>
      <c r="W173">
        <f t="shared" ca="1" si="48"/>
        <v>146.96596599261881</v>
      </c>
      <c r="X173">
        <f t="shared" ca="1" si="58"/>
        <v>145.00927709179484</v>
      </c>
      <c r="Y173">
        <f t="shared" ca="1" si="57"/>
        <v>2.3497346010668423</v>
      </c>
      <c r="Z173">
        <f t="shared" ca="1" si="59"/>
        <v>0.9053137718357358</v>
      </c>
      <c r="AA173">
        <f t="shared" ca="1" si="60"/>
        <v>1.4444208292311065</v>
      </c>
      <c r="AB173">
        <f t="shared" ca="1" si="61"/>
        <v>140.19189999999998</v>
      </c>
    </row>
    <row r="174" spans="1:28" x14ac:dyDescent="0.25">
      <c r="A174" s="20">
        <f t="shared" ca="1" si="41"/>
        <v>45943</v>
      </c>
      <c r="B174" vm="511">
        <f ca="1"/>
        <v>45947</v>
      </c>
      <c r="C174" vm="512">
        <f ca="1"/>
        <v>153.71</v>
      </c>
      <c r="D174" vm="513">
        <f ca="1"/>
        <v>6710141</v>
      </c>
      <c r="E174">
        <f t="shared" ca="1" si="42"/>
        <v>1031415773.11</v>
      </c>
      <c r="F174">
        <f ca="1">SUM($E$2:E174)/SUM($D$2:D174)</f>
        <v>141.02596799085936</v>
      </c>
      <c r="G174">
        <f ca="1">_xlfn.STDEV.P($C$2:C174)</f>
        <v>7.73854621774887</v>
      </c>
      <c r="H174">
        <f t="shared" ca="1" si="43"/>
        <v>148.76451420860823</v>
      </c>
      <c r="I174">
        <f t="shared" ca="1" si="44"/>
        <v>133.28742177311048</v>
      </c>
      <c r="J174">
        <f t="shared" ca="1" si="53"/>
        <v>144.27949999999998</v>
      </c>
      <c r="K174">
        <f t="shared" ca="1" si="54"/>
        <v>4.9933033839544079</v>
      </c>
      <c r="L174">
        <f t="shared" ca="1" si="55"/>
        <v>154.26610676790881</v>
      </c>
      <c r="M174">
        <f t="shared" ca="1" si="56"/>
        <v>134.29289323209116</v>
      </c>
      <c r="N174">
        <f t="shared" ca="1" si="45"/>
        <v>1.0400000000000205</v>
      </c>
      <c r="O174">
        <f t="shared" ca="1" si="46"/>
        <v>1.0400000000000205</v>
      </c>
      <c r="P174">
        <f t="shared" ca="1" si="47"/>
        <v>0</v>
      </c>
      <c r="Q174">
        <f t="shared" ca="1" si="51"/>
        <v>1.1633470947631557</v>
      </c>
      <c r="R174">
        <f t="shared" ca="1" si="52"/>
        <v>0.53736628071142922</v>
      </c>
      <c r="S174">
        <f t="shared" ca="1" si="49"/>
        <v>2.1649052732206768</v>
      </c>
      <c r="T174">
        <f t="shared" ca="1" si="50"/>
        <v>68.403477713493203</v>
      </c>
      <c r="U174">
        <f>70</f>
        <v>70</v>
      </c>
      <c r="V174">
        <f>30</f>
        <v>30</v>
      </c>
      <c r="W174">
        <f t="shared" ca="1" si="48"/>
        <v>148.00350968606207</v>
      </c>
      <c r="X174">
        <f t="shared" ca="1" si="58"/>
        <v>145.65377508499523</v>
      </c>
      <c r="Y174">
        <f t="shared" ca="1" si="57"/>
        <v>2.6253147411310067</v>
      </c>
      <c r="Z174">
        <f t="shared" ca="1" si="59"/>
        <v>1.24931396569479</v>
      </c>
      <c r="AA174">
        <f t="shared" ca="1" si="60"/>
        <v>1.3760007754362167</v>
      </c>
      <c r="AB174">
        <f t="shared" ca="1" si="61"/>
        <v>140.41529999999995</v>
      </c>
    </row>
    <row r="175" spans="1:28" x14ac:dyDescent="0.25">
      <c r="A175" s="20">
        <f t="shared" ca="1" si="41"/>
        <v>45950</v>
      </c>
      <c r="B175" vm="514">
        <f ca="1"/>
        <v>45950</v>
      </c>
      <c r="C175" vm="515">
        <f ca="1"/>
        <v>153.63999999999999</v>
      </c>
      <c r="D175" vm="516">
        <f ca="1"/>
        <v>4810592</v>
      </c>
      <c r="E175">
        <f t="shared" ca="1" si="42"/>
        <v>739099354.87999988</v>
      </c>
      <c r="F175">
        <f ca="1">SUM($E$2:E175)/SUM($D$2:D175)</f>
        <v>141.06645894391411</v>
      </c>
      <c r="G175">
        <f ca="1">_xlfn.STDEV.P($C$2:C175)</f>
        <v>7.7703564101707778</v>
      </c>
      <c r="H175">
        <f t="shared" ca="1" si="43"/>
        <v>148.83681535408491</v>
      </c>
      <c r="I175">
        <f t="shared" ca="1" si="44"/>
        <v>133.29610253374332</v>
      </c>
      <c r="J175">
        <f t="shared" ca="1" si="53"/>
        <v>144.91</v>
      </c>
      <c r="K175">
        <f t="shared" ca="1" si="54"/>
        <v>5.3451286233354578</v>
      </c>
      <c r="L175">
        <f t="shared" ca="1" si="55"/>
        <v>155.60025724667091</v>
      </c>
      <c r="M175">
        <f t="shared" ca="1" si="56"/>
        <v>134.21974275332909</v>
      </c>
      <c r="N175">
        <f t="shared" ca="1" si="45"/>
        <v>-7.00000000000216E-2</v>
      </c>
      <c r="O175">
        <f t="shared" ca="1" si="46"/>
        <v>0</v>
      </c>
      <c r="P175">
        <f t="shared" ca="1" si="47"/>
        <v>7.00000000000216E-2</v>
      </c>
      <c r="Q175">
        <f t="shared" ca="1" si="51"/>
        <v>1.0802508737086447</v>
      </c>
      <c r="R175">
        <f t="shared" ca="1" si="52"/>
        <v>0.50398297494632871</v>
      </c>
      <c r="S175">
        <f t="shared" ca="1" si="49"/>
        <v>2.143427312844616</v>
      </c>
      <c r="T175">
        <f t="shared" ca="1" si="50"/>
        <v>68.187589516900289</v>
      </c>
      <c r="U175">
        <f>70</f>
        <v>70</v>
      </c>
      <c r="V175">
        <f>30</f>
        <v>30</v>
      </c>
      <c r="W175">
        <f t="shared" ca="1" si="48"/>
        <v>148.87066204205252</v>
      </c>
      <c r="X175">
        <f t="shared" ca="1" si="58"/>
        <v>146.24534730092151</v>
      </c>
      <c r="Y175">
        <f t="shared" ca="1" si="57"/>
        <v>2.7746118338749568</v>
      </c>
      <c r="Z175">
        <f t="shared" ca="1" si="59"/>
        <v>1.5543735393308236</v>
      </c>
      <c r="AA175">
        <f t="shared" ca="1" si="60"/>
        <v>1.2202382945441332</v>
      </c>
      <c r="AB175">
        <f t="shared" ca="1" si="61"/>
        <v>140.64499999999995</v>
      </c>
    </row>
    <row r="176" spans="1:28" x14ac:dyDescent="0.25">
      <c r="A176" s="20">
        <f t="shared" ca="1" si="41"/>
        <v>45950</v>
      </c>
      <c r="B176" vm="517">
        <f ca="1"/>
        <v>45951</v>
      </c>
      <c r="C176" vm="518">
        <f ca="1"/>
        <v>153.18</v>
      </c>
      <c r="D176" vm="519">
        <f ca="1"/>
        <v>5614266</v>
      </c>
      <c r="E176">
        <f t="shared" ca="1" si="42"/>
        <v>859993265.88</v>
      </c>
      <c r="F176">
        <f ca="1">SUM($E$2:E176)/SUM($D$2:D176)</f>
        <v>141.11167010955359</v>
      </c>
      <c r="G176">
        <f ca="1">_xlfn.STDEV.P($C$2:C176)</f>
        <v>7.7971089898233217</v>
      </c>
      <c r="H176">
        <f t="shared" ca="1" si="43"/>
        <v>148.90877909937691</v>
      </c>
      <c r="I176">
        <f t="shared" ca="1" si="44"/>
        <v>133.31456111973026</v>
      </c>
      <c r="J176">
        <f t="shared" ca="1" si="53"/>
        <v>145.47399999999999</v>
      </c>
      <c r="K176">
        <f t="shared" ca="1" si="54"/>
        <v>5.5998518777403028</v>
      </c>
      <c r="L176">
        <f t="shared" ca="1" si="55"/>
        <v>156.6737037554806</v>
      </c>
      <c r="M176">
        <f t="shared" ca="1" si="56"/>
        <v>134.27429624451938</v>
      </c>
      <c r="N176">
        <f t="shared" ca="1" si="45"/>
        <v>-0.45999999999997954</v>
      </c>
      <c r="O176">
        <f t="shared" ca="1" si="46"/>
        <v>0</v>
      </c>
      <c r="P176">
        <f t="shared" ca="1" si="47"/>
        <v>0.45999999999997954</v>
      </c>
      <c r="Q176">
        <f t="shared" ca="1" si="51"/>
        <v>1.0030900970151702</v>
      </c>
      <c r="R176">
        <f t="shared" ca="1" si="52"/>
        <v>0.50084133387873231</v>
      </c>
      <c r="S176">
        <f t="shared" ca="1" si="49"/>
        <v>2.0028101300002654</v>
      </c>
      <c r="T176">
        <f t="shared" ca="1" si="50"/>
        <v>66.697861113186278</v>
      </c>
      <c r="U176">
        <f>70</f>
        <v>70</v>
      </c>
      <c r="V176">
        <f>30</f>
        <v>30</v>
      </c>
      <c r="W176">
        <f t="shared" ca="1" si="48"/>
        <v>149.53363711250597</v>
      </c>
      <c r="X176">
        <f t="shared" ca="1" si="58"/>
        <v>146.75902527863101</v>
      </c>
      <c r="Y176">
        <f t="shared" ca="1" si="57"/>
        <v>2.8479971705390028</v>
      </c>
      <c r="Z176">
        <f t="shared" ca="1" si="59"/>
        <v>1.8130982655724595</v>
      </c>
      <c r="AA176">
        <f t="shared" ca="1" si="60"/>
        <v>1.0348989049665434</v>
      </c>
      <c r="AB176">
        <f t="shared" ca="1" si="61"/>
        <v>140.85759999999993</v>
      </c>
    </row>
    <row r="177" spans="1:28" x14ac:dyDescent="0.25">
      <c r="A177" s="20">
        <f t="shared" ca="1" si="41"/>
        <v>45950</v>
      </c>
      <c r="B177" vm="520">
        <f ca="1"/>
        <v>45952</v>
      </c>
      <c r="C177" vm="521">
        <f ca="1"/>
        <v>153.03</v>
      </c>
      <c r="D177" vm="522">
        <f ca="1"/>
        <v>6485959</v>
      </c>
      <c r="E177">
        <f t="shared" ca="1" si="42"/>
        <v>992546305.76999998</v>
      </c>
      <c r="F177">
        <f ca="1">SUM($E$2:E177)/SUM($D$2:D177)</f>
        <v>141.16283860546304</v>
      </c>
      <c r="G177">
        <f ca="1">_xlfn.STDEV.P($C$2:C177)</f>
        <v>7.8216788215357633</v>
      </c>
      <c r="H177">
        <f t="shared" ca="1" si="43"/>
        <v>148.98451742699879</v>
      </c>
      <c r="I177">
        <f t="shared" ca="1" si="44"/>
        <v>133.34115978392728</v>
      </c>
      <c r="J177">
        <f t="shared" ca="1" si="53"/>
        <v>146.017</v>
      </c>
      <c r="K177">
        <f t="shared" ca="1" si="54"/>
        <v>5.7860459182779627</v>
      </c>
      <c r="L177">
        <f t="shared" ca="1" si="55"/>
        <v>157.58909183655592</v>
      </c>
      <c r="M177">
        <f t="shared" ca="1" si="56"/>
        <v>134.44490816344407</v>
      </c>
      <c r="N177">
        <f t="shared" ca="1" si="45"/>
        <v>-0.15000000000000568</v>
      </c>
      <c r="O177">
        <f t="shared" ca="1" si="46"/>
        <v>0</v>
      </c>
      <c r="P177">
        <f t="shared" ca="1" si="47"/>
        <v>0.15000000000000568</v>
      </c>
      <c r="Q177">
        <f t="shared" ca="1" si="51"/>
        <v>0.93144080437122945</v>
      </c>
      <c r="R177">
        <f t="shared" ca="1" si="52"/>
        <v>0.47578123860168037</v>
      </c>
      <c r="S177">
        <f t="shared" ca="1" si="49"/>
        <v>1.9577081414742858</v>
      </c>
      <c r="T177">
        <f t="shared" ca="1" si="50"/>
        <v>66.190037956160722</v>
      </c>
      <c r="U177">
        <f>70</f>
        <v>70</v>
      </c>
      <c r="V177">
        <f>30</f>
        <v>30</v>
      </c>
      <c r="W177">
        <f t="shared" ca="1" si="48"/>
        <v>150.07153909519735</v>
      </c>
      <c r="X177">
        <f t="shared" ca="1" si="58"/>
        <v>147.22354192465835</v>
      </c>
      <c r="Y177">
        <f t="shared" ca="1" si="57"/>
        <v>2.7517834352127011</v>
      </c>
      <c r="Z177">
        <f t="shared" ca="1" si="59"/>
        <v>2.0008352995005079</v>
      </c>
      <c r="AA177">
        <f t="shared" ca="1" si="60"/>
        <v>0.75094813571219321</v>
      </c>
      <c r="AB177">
        <f t="shared" ca="1" si="61"/>
        <v>141.07339999999994</v>
      </c>
    </row>
    <row r="178" spans="1:28" x14ac:dyDescent="0.25">
      <c r="A178" s="20">
        <f t="shared" ca="1" si="41"/>
        <v>45950</v>
      </c>
      <c r="B178" vm="523">
        <f ca="1"/>
        <v>45953</v>
      </c>
      <c r="C178" vm="32">
        <f ca="1"/>
        <v>151.51</v>
      </c>
      <c r="D178" vm="524">
        <f ca="1"/>
        <v>6091762</v>
      </c>
      <c r="E178">
        <f t="shared" ca="1" si="42"/>
        <v>922962860.61999989</v>
      </c>
      <c r="F178">
        <f ca="1">SUM($E$2:E178)/SUM($D$2:D178)</f>
        <v>141.20439420033088</v>
      </c>
      <c r="G178">
        <f ca="1">_xlfn.STDEV.P($C$2:C178)</f>
        <v>7.8338969859615686</v>
      </c>
      <c r="H178">
        <f t="shared" ca="1" si="43"/>
        <v>149.03829118629244</v>
      </c>
      <c r="I178">
        <f t="shared" ca="1" si="44"/>
        <v>133.37049721436932</v>
      </c>
      <c r="J178">
        <f t="shared" ca="1" si="53"/>
        <v>146.59649999999996</v>
      </c>
      <c r="K178">
        <f t="shared" ca="1" si="54"/>
        <v>5.723320047701427</v>
      </c>
      <c r="L178">
        <f t="shared" ca="1" si="55"/>
        <v>158.0431400954028</v>
      </c>
      <c r="M178">
        <f t="shared" ca="1" si="56"/>
        <v>135.14985990459712</v>
      </c>
      <c r="N178">
        <f t="shared" ca="1" si="45"/>
        <v>-1.5200000000000102</v>
      </c>
      <c r="O178">
        <f t="shared" ca="1" si="46"/>
        <v>0</v>
      </c>
      <c r="P178">
        <f t="shared" ca="1" si="47"/>
        <v>1.5200000000000102</v>
      </c>
      <c r="Q178">
        <f t="shared" ca="1" si="51"/>
        <v>0.86490931834471307</v>
      </c>
      <c r="R178">
        <f t="shared" ca="1" si="52"/>
        <v>0.5503682929872753</v>
      </c>
      <c r="S178">
        <f t="shared" ca="1" si="49"/>
        <v>1.5715100767345804</v>
      </c>
      <c r="T178">
        <f t="shared" ca="1" si="50"/>
        <v>61.112343714015495</v>
      </c>
      <c r="U178">
        <f>70</f>
        <v>70</v>
      </c>
      <c r="V178">
        <f>30</f>
        <v>30</v>
      </c>
      <c r="W178">
        <f t="shared" ca="1" si="48"/>
        <v>150.29284077285931</v>
      </c>
      <c r="X178">
        <f t="shared" ca="1" si="58"/>
        <v>147.54105733764661</v>
      </c>
      <c r="Y178">
        <f t="shared" ca="1" si="57"/>
        <v>2.6482338313506091</v>
      </c>
      <c r="Z178">
        <f t="shared" ca="1" si="59"/>
        <v>2.1303150058705285</v>
      </c>
      <c r="AA178">
        <f t="shared" ca="1" si="60"/>
        <v>0.51791882548008061</v>
      </c>
      <c r="AB178">
        <f t="shared" ca="1" si="61"/>
        <v>141.27939999999995</v>
      </c>
    </row>
    <row r="179" spans="1:28" x14ac:dyDescent="0.25">
      <c r="A179" s="20">
        <f t="shared" ca="1" si="41"/>
        <v>45950</v>
      </c>
      <c r="B179" vm="525">
        <f ca="1"/>
        <v>45954</v>
      </c>
      <c r="C179" vm="526">
        <f ca="1"/>
        <v>151.55000000000001</v>
      </c>
      <c r="D179" vm="527">
        <f ca="1"/>
        <v>3580182</v>
      </c>
      <c r="E179">
        <f t="shared" ca="1" si="42"/>
        <v>542576582.10000002</v>
      </c>
      <c r="F179">
        <f ca="1">SUM($E$2:E179)/SUM($D$2:D179)</f>
        <v>141.22875561582617</v>
      </c>
      <c r="G179">
        <f ca="1">_xlfn.STDEV.P($C$2:C179)</f>
        <v>7.8458542925794612</v>
      </c>
      <c r="H179">
        <f t="shared" ca="1" si="43"/>
        <v>149.07460990840565</v>
      </c>
      <c r="I179">
        <f t="shared" ca="1" si="44"/>
        <v>133.3829013232467</v>
      </c>
      <c r="J179">
        <f t="shared" ca="1" si="53"/>
        <v>147.15199999999999</v>
      </c>
      <c r="K179">
        <f t="shared" ca="1" si="54"/>
        <v>5.6327730853975435</v>
      </c>
      <c r="L179">
        <f t="shared" ca="1" si="55"/>
        <v>158.41754617079508</v>
      </c>
      <c r="M179">
        <f t="shared" ca="1" si="56"/>
        <v>135.8864538292049</v>
      </c>
      <c r="N179">
        <f t="shared" ca="1" si="45"/>
        <v>4.0000000000020464E-2</v>
      </c>
      <c r="O179">
        <f t="shared" ca="1" si="46"/>
        <v>4.0000000000020464E-2</v>
      </c>
      <c r="P179">
        <f t="shared" ca="1" si="47"/>
        <v>0</v>
      </c>
      <c r="Q179">
        <f t="shared" ca="1" si="51"/>
        <v>0.80598722417723501</v>
      </c>
      <c r="R179">
        <f t="shared" ca="1" si="52"/>
        <v>0.51105627205961279</v>
      </c>
      <c r="S179">
        <f t="shared" ca="1" si="49"/>
        <v>1.57710073868973</v>
      </c>
      <c r="T179">
        <f t="shared" ca="1" si="50"/>
        <v>61.196705080747911</v>
      </c>
      <c r="U179">
        <f>70</f>
        <v>70</v>
      </c>
      <c r="V179">
        <f>30</f>
        <v>30</v>
      </c>
      <c r="W179">
        <f t="shared" ca="1" si="48"/>
        <v>150.4862498847271</v>
      </c>
      <c r="X179">
        <f t="shared" ca="1" si="58"/>
        <v>147.83801605337649</v>
      </c>
      <c r="Y179">
        <f t="shared" ca="1" si="57"/>
        <v>2.6230797675686404</v>
      </c>
      <c r="Z179">
        <f t="shared" ca="1" si="59"/>
        <v>2.2288679582101509</v>
      </c>
      <c r="AA179">
        <f t="shared" ca="1" si="60"/>
        <v>0.39421180935848943</v>
      </c>
      <c r="AB179">
        <f t="shared" ca="1" si="61"/>
        <v>141.47639999999996</v>
      </c>
    </row>
    <row r="180" spans="1:28" x14ac:dyDescent="0.25">
      <c r="A180" s="20">
        <f t="shared" ca="1" si="41"/>
        <v>45957</v>
      </c>
      <c r="B180" vm="528">
        <f ca="1"/>
        <v>45957</v>
      </c>
      <c r="C180" vm="529">
        <f ca="1"/>
        <v>152.63</v>
      </c>
      <c r="D180" vm="530">
        <f ca="1"/>
        <v>4744578</v>
      </c>
      <c r="E180">
        <f t="shared" ca="1" si="42"/>
        <v>724164940.13999999</v>
      </c>
      <c r="F180">
        <f ca="1">SUM($E$2:E180)/SUM($D$2:D180)</f>
        <v>141.2642237368101</v>
      </c>
      <c r="G180">
        <f ca="1">_xlfn.STDEV.P($C$2:C180)</f>
        <v>7.8651038870377654</v>
      </c>
      <c r="H180">
        <f t="shared" ca="1" si="43"/>
        <v>149.12932762384787</v>
      </c>
      <c r="I180">
        <f t="shared" ca="1" si="44"/>
        <v>133.39911984977232</v>
      </c>
      <c r="J180">
        <f t="shared" ca="1" si="53"/>
        <v>147.77500000000001</v>
      </c>
      <c r="K180">
        <f t="shared" ca="1" si="54"/>
        <v>5.5075646542780277</v>
      </c>
      <c r="L180">
        <f t="shared" ca="1" si="55"/>
        <v>158.79012930855606</v>
      </c>
      <c r="M180">
        <f t="shared" ca="1" si="56"/>
        <v>136.75987069144395</v>
      </c>
      <c r="N180">
        <f t="shared" ca="1" si="45"/>
        <v>1.0799999999999841</v>
      </c>
      <c r="O180">
        <f t="shared" ca="1" si="46"/>
        <v>1.0799999999999841</v>
      </c>
      <c r="P180">
        <f t="shared" ca="1" si="47"/>
        <v>0</v>
      </c>
      <c r="Q180">
        <f t="shared" ca="1" si="51"/>
        <v>0.82555956530743135</v>
      </c>
      <c r="R180">
        <f t="shared" ca="1" si="52"/>
        <v>0.4745522526267833</v>
      </c>
      <c r="S180">
        <f t="shared" ca="1" si="49"/>
        <v>1.7396599863086131</v>
      </c>
      <c r="T180">
        <f t="shared" ca="1" si="50"/>
        <v>63.499120146387625</v>
      </c>
      <c r="U180">
        <f>70</f>
        <v>70</v>
      </c>
      <c r="V180">
        <f>30</f>
        <v>30</v>
      </c>
      <c r="W180">
        <f t="shared" ca="1" si="48"/>
        <v>150.81605759476909</v>
      </c>
      <c r="X180">
        <f t="shared" ca="1" si="58"/>
        <v>148.19297782720045</v>
      </c>
      <c r="Y180">
        <f t="shared" ca="1" si="57"/>
        <v>2.3732516005876789</v>
      </c>
      <c r="Z180">
        <f t="shared" ca="1" si="59"/>
        <v>2.2577446866856565</v>
      </c>
      <c r="AA180">
        <f t="shared" ca="1" si="60"/>
        <v>0.11550691390202239</v>
      </c>
      <c r="AB180">
        <f t="shared" ca="1" si="61"/>
        <v>141.68529999999996</v>
      </c>
    </row>
    <row r="181" spans="1:28" x14ac:dyDescent="0.25">
      <c r="A181" s="20">
        <f t="shared" ca="1" si="41"/>
        <v>45957</v>
      </c>
      <c r="B181" vm="531">
        <f ca="1"/>
        <v>45958</v>
      </c>
      <c r="C181" vm="532">
        <f ca="1"/>
        <v>150.12</v>
      </c>
      <c r="D181" vm="533">
        <f ca="1"/>
        <v>5626528</v>
      </c>
      <c r="E181">
        <f t="shared" ca="1" si="42"/>
        <v>844654383.36000001</v>
      </c>
      <c r="F181">
        <f ca="1">SUM($E$2:E181)/SUM($D$2:D181)</f>
        <v>141.29677412837182</v>
      </c>
      <c r="G181">
        <f ca="1">_xlfn.STDEV.P($C$2:C181)</f>
        <v>7.8669638390884122</v>
      </c>
      <c r="H181">
        <f t="shared" ca="1" si="43"/>
        <v>149.16373796746024</v>
      </c>
      <c r="I181">
        <f t="shared" ca="1" si="44"/>
        <v>133.42981028928341</v>
      </c>
      <c r="J181">
        <f t="shared" ca="1" si="53"/>
        <v>148.25900000000001</v>
      </c>
      <c r="K181">
        <f t="shared" ca="1" si="54"/>
        <v>5.2482768099333539</v>
      </c>
      <c r="L181">
        <f t="shared" ca="1" si="55"/>
        <v>158.75555361986673</v>
      </c>
      <c r="M181">
        <f t="shared" ca="1" si="56"/>
        <v>137.7624463801333</v>
      </c>
      <c r="N181">
        <f t="shared" ca="1" si="45"/>
        <v>-2.5099999999999909</v>
      </c>
      <c r="O181">
        <f t="shared" ca="1" si="46"/>
        <v>0</v>
      </c>
      <c r="P181">
        <f t="shared" ca="1" si="47"/>
        <v>2.5099999999999909</v>
      </c>
      <c r="Q181">
        <f t="shared" ca="1" si="51"/>
        <v>0.76659102492832909</v>
      </c>
      <c r="R181">
        <f t="shared" ca="1" si="52"/>
        <v>0.61994137743915523</v>
      </c>
      <c r="S181">
        <f t="shared" ca="1" si="49"/>
        <v>1.2365540562802118</v>
      </c>
      <c r="T181">
        <f t="shared" ca="1" si="50"/>
        <v>55.288359912785722</v>
      </c>
      <c r="U181">
        <f>70</f>
        <v>70</v>
      </c>
      <c r="V181">
        <f>30</f>
        <v>30</v>
      </c>
      <c r="W181">
        <f t="shared" ca="1" si="48"/>
        <v>150.70897181095847</v>
      </c>
      <c r="X181">
        <f t="shared" ca="1" si="58"/>
        <v>148.33572021037079</v>
      </c>
      <c r="Y181">
        <f t="shared" ca="1" si="57"/>
        <v>1.8345742435446084</v>
      </c>
      <c r="Z181">
        <f t="shared" ca="1" si="59"/>
        <v>2.173110598057447</v>
      </c>
      <c r="AA181">
        <f t="shared" ca="1" si="60"/>
        <v>-0.33853635451283859</v>
      </c>
      <c r="AB181">
        <f t="shared" ca="1" si="61"/>
        <v>141.87539999999996</v>
      </c>
    </row>
    <row r="182" spans="1:28" x14ac:dyDescent="0.25">
      <c r="A182" s="20">
        <f t="shared" ca="1" si="41"/>
        <v>45957</v>
      </c>
      <c r="B182" vm="534">
        <f ca="1"/>
        <v>45959</v>
      </c>
      <c r="C182" vm="535">
        <f ca="1"/>
        <v>146.16</v>
      </c>
      <c r="D182" vm="536">
        <f ca="1"/>
        <v>7767556</v>
      </c>
      <c r="E182">
        <f t="shared" ca="1" si="42"/>
        <v>1135305984.96</v>
      </c>
      <c r="F182">
        <f ca="1">SUM($E$2:E182)/SUM($D$2:D182)</f>
        <v>141.32132685769301</v>
      </c>
      <c r="G182">
        <f ca="1">_xlfn.STDEV.P($C$2:C182)</f>
        <v>7.8514067232539952</v>
      </c>
      <c r="H182">
        <f t="shared" ca="1" si="43"/>
        <v>149.17273358094701</v>
      </c>
      <c r="I182">
        <f t="shared" ca="1" si="44"/>
        <v>133.46992013443901</v>
      </c>
      <c r="J182">
        <f t="shared" ca="1" si="53"/>
        <v>148.41000000000003</v>
      </c>
      <c r="K182">
        <f t="shared" ca="1" si="54"/>
        <v>5.1354772237630923</v>
      </c>
      <c r="L182">
        <f t="shared" ca="1" si="55"/>
        <v>158.6809544475262</v>
      </c>
      <c r="M182">
        <f t="shared" ca="1" si="56"/>
        <v>138.13904555247385</v>
      </c>
      <c r="N182">
        <f t="shared" ca="1" si="45"/>
        <v>-3.960000000000008</v>
      </c>
      <c r="O182">
        <f t="shared" ca="1" si="46"/>
        <v>0</v>
      </c>
      <c r="P182">
        <f t="shared" ca="1" si="47"/>
        <v>3.960000000000008</v>
      </c>
      <c r="Q182">
        <f t="shared" ca="1" si="51"/>
        <v>0.71183452314773421</v>
      </c>
      <c r="R182">
        <f t="shared" ca="1" si="52"/>
        <v>0.858516993336359</v>
      </c>
      <c r="S182">
        <f t="shared" ca="1" si="49"/>
        <v>0.8291443601848939</v>
      </c>
      <c r="T182">
        <f t="shared" ca="1" si="50"/>
        <v>45.329629428542326</v>
      </c>
      <c r="U182">
        <f>70</f>
        <v>70</v>
      </c>
      <c r="V182">
        <f>30</f>
        <v>30</v>
      </c>
      <c r="W182">
        <f t="shared" ca="1" si="48"/>
        <v>150.00912999388794</v>
      </c>
      <c r="X182">
        <f t="shared" ca="1" si="58"/>
        <v>148.17455575034333</v>
      </c>
      <c r="Y182">
        <f t="shared" ca="1" si="57"/>
        <v>1.5025099410915743</v>
      </c>
      <c r="Z182">
        <f t="shared" ca="1" si="59"/>
        <v>2.0389904666642726</v>
      </c>
      <c r="AA182">
        <f t="shared" ca="1" si="60"/>
        <v>-0.53648052557269832</v>
      </c>
      <c r="AB182">
        <f t="shared" ca="1" si="61"/>
        <v>142.03669999999994</v>
      </c>
    </row>
    <row r="183" spans="1:28" x14ac:dyDescent="0.25">
      <c r="A183" s="20">
        <f t="shared" ca="1" si="41"/>
        <v>45957</v>
      </c>
      <c r="B183" vm="537">
        <f ca="1"/>
        <v>45960</v>
      </c>
      <c r="C183" vm="538">
        <f ca="1"/>
        <v>147.55000000000001</v>
      </c>
      <c r="D183" vm="539">
        <f ca="1"/>
        <v>5752708</v>
      </c>
      <c r="E183">
        <f t="shared" ca="1" si="42"/>
        <v>848812065.4000001</v>
      </c>
      <c r="F183">
        <f ca="1">SUM($E$2:E183)/SUM($D$2:D183)</f>
        <v>141.34452952890464</v>
      </c>
      <c r="G183">
        <f ca="1">_xlfn.STDEV.P($C$2:C183)</f>
        <v>7.8406530297243924</v>
      </c>
      <c r="H183">
        <f t="shared" ca="1" si="43"/>
        <v>149.18518255862904</v>
      </c>
      <c r="I183">
        <f t="shared" ca="1" si="44"/>
        <v>133.50387649918025</v>
      </c>
      <c r="J183">
        <f t="shared" ca="1" si="53"/>
        <v>148.67200000000003</v>
      </c>
      <c r="K183">
        <f t="shared" ca="1" si="54"/>
        <v>4.937749967023656</v>
      </c>
      <c r="L183">
        <f t="shared" ca="1" si="55"/>
        <v>158.54749993404732</v>
      </c>
      <c r="M183">
        <f t="shared" ca="1" si="56"/>
        <v>138.79650006595273</v>
      </c>
      <c r="N183">
        <f t="shared" ca="1" si="45"/>
        <v>1.3900000000000148</v>
      </c>
      <c r="O183">
        <f t="shared" ca="1" si="46"/>
        <v>1.3900000000000148</v>
      </c>
      <c r="P183">
        <f t="shared" ca="1" si="47"/>
        <v>0</v>
      </c>
      <c r="Q183">
        <f t="shared" ca="1" si="51"/>
        <v>0.76027491435146854</v>
      </c>
      <c r="R183">
        <f t="shared" ca="1" si="52"/>
        <v>0.79719435095519053</v>
      </c>
      <c r="S183">
        <f t="shared" ca="1" si="49"/>
        <v>0.95368828622595547</v>
      </c>
      <c r="T183">
        <f t="shared" ca="1" si="50"/>
        <v>48.814761953056816</v>
      </c>
      <c r="U183">
        <f>70</f>
        <v>70</v>
      </c>
      <c r="V183">
        <f>30</f>
        <v>30</v>
      </c>
      <c r="W183">
        <f t="shared" ca="1" si="48"/>
        <v>149.63080230252058</v>
      </c>
      <c r="X183">
        <f t="shared" ca="1" si="58"/>
        <v>148.128292361429</v>
      </c>
      <c r="Y183">
        <f t="shared" ca="1" si="57"/>
        <v>1.1087557446842879</v>
      </c>
      <c r="Z183">
        <f t="shared" ca="1" si="59"/>
        <v>1.8529435222682757</v>
      </c>
      <c r="AA183">
        <f t="shared" ca="1" si="60"/>
        <v>-0.7441877775839878</v>
      </c>
      <c r="AB183">
        <f t="shared" ca="1" si="61"/>
        <v>142.21259999999995</v>
      </c>
    </row>
    <row r="184" spans="1:28" x14ac:dyDescent="0.25">
      <c r="A184" s="20">
        <f t="shared" ca="1" si="41"/>
        <v>45957</v>
      </c>
      <c r="B184" vm="540">
        <f ca="1"/>
        <v>45961</v>
      </c>
      <c r="C184" vm="541">
        <f ca="1"/>
        <v>146.09</v>
      </c>
      <c r="D184" vm="542">
        <f ca="1"/>
        <v>6313592</v>
      </c>
      <c r="E184">
        <f t="shared" ca="1" si="42"/>
        <v>922352655.27999997</v>
      </c>
      <c r="F184">
        <f ca="1">SUM($E$2:E184)/SUM($D$2:D184)</f>
        <v>141.36385161356347</v>
      </c>
      <c r="G184">
        <f ca="1">_xlfn.STDEV.P($C$2:C184)</f>
        <v>7.8250020660541333</v>
      </c>
      <c r="H184">
        <f t="shared" ca="1" si="43"/>
        <v>149.18885367961761</v>
      </c>
      <c r="I184">
        <f t="shared" ca="1" si="44"/>
        <v>133.53884954750933</v>
      </c>
      <c r="J184">
        <f t="shared" ca="1" si="53"/>
        <v>148.8775</v>
      </c>
      <c r="K184">
        <f t="shared" ca="1" si="54"/>
        <v>4.7255485618630892</v>
      </c>
      <c r="L184">
        <f t="shared" ca="1" si="55"/>
        <v>158.32859712372618</v>
      </c>
      <c r="M184">
        <f t="shared" ca="1" si="56"/>
        <v>139.42640287627381</v>
      </c>
      <c r="N184">
        <f t="shared" ca="1" si="45"/>
        <v>-1.460000000000008</v>
      </c>
      <c r="O184">
        <f t="shared" ca="1" si="46"/>
        <v>0</v>
      </c>
      <c r="P184">
        <f t="shared" ca="1" si="47"/>
        <v>1.460000000000008</v>
      </c>
      <c r="Q184">
        <f t="shared" ca="1" si="51"/>
        <v>0.70596956332636362</v>
      </c>
      <c r="R184">
        <f t="shared" ca="1" si="52"/>
        <v>0.84453761160124885</v>
      </c>
      <c r="S184">
        <f t="shared" ca="1" si="49"/>
        <v>0.83592436100961887</v>
      </c>
      <c r="T184">
        <f t="shared" ca="1" si="50"/>
        <v>45.531525086900857</v>
      </c>
      <c r="U184">
        <f>70</f>
        <v>70</v>
      </c>
      <c r="V184">
        <f>30</f>
        <v>30</v>
      </c>
      <c r="W184">
        <f t="shared" ca="1" si="48"/>
        <v>149.08606348674817</v>
      </c>
      <c r="X184">
        <f t="shared" ca="1" si="58"/>
        <v>147.97730774206389</v>
      </c>
      <c r="Y184">
        <f t="shared" ca="1" si="57"/>
        <v>0.58899099542290401</v>
      </c>
      <c r="Z184">
        <f t="shared" ca="1" si="59"/>
        <v>1.6001530168992015</v>
      </c>
      <c r="AA184">
        <f t="shared" ca="1" si="60"/>
        <v>-1.0111620214762975</v>
      </c>
      <c r="AB184">
        <f t="shared" ca="1" si="61"/>
        <v>142.35519999999994</v>
      </c>
    </row>
    <row r="185" spans="1:28" x14ac:dyDescent="0.25">
      <c r="A185" s="20">
        <f t="shared" ca="1" si="41"/>
        <v>45964</v>
      </c>
      <c r="B185" vm="543">
        <f ca="1"/>
        <v>45964</v>
      </c>
      <c r="C185" vm="544">
        <f ca="1"/>
        <v>143.6</v>
      </c>
      <c r="D185" vm="545">
        <f ca="1"/>
        <v>8331545</v>
      </c>
      <c r="E185">
        <f t="shared" ca="1" si="42"/>
        <v>1196409862</v>
      </c>
      <c r="F185">
        <f ca="1">SUM($E$2:E185)/SUM($D$2:D185)</f>
        <v>141.37580241693283</v>
      </c>
      <c r="G185">
        <f ca="1">_xlfn.STDEV.P($C$2:C185)</f>
        <v>7.8045675471200999</v>
      </c>
      <c r="H185">
        <f t="shared" ca="1" si="43"/>
        <v>149.18036996405291</v>
      </c>
      <c r="I185">
        <f t="shared" ca="1" si="44"/>
        <v>133.57123486981274</v>
      </c>
      <c r="J185">
        <f t="shared" ca="1" si="53"/>
        <v>149.07250000000002</v>
      </c>
      <c r="K185">
        <f t="shared" ca="1" si="54"/>
        <v>4.3958735135770706</v>
      </c>
      <c r="L185">
        <f t="shared" ca="1" si="55"/>
        <v>157.86424702715416</v>
      </c>
      <c r="M185">
        <f t="shared" ca="1" si="56"/>
        <v>140.28075297284587</v>
      </c>
      <c r="N185">
        <f t="shared" ca="1" si="45"/>
        <v>-2.4900000000000091</v>
      </c>
      <c r="O185">
        <f t="shared" ca="1" si="46"/>
        <v>0</v>
      </c>
      <c r="P185">
        <f t="shared" ca="1" si="47"/>
        <v>2.4900000000000091</v>
      </c>
      <c r="Q185">
        <f t="shared" ca="1" si="51"/>
        <v>0.65554316594590911</v>
      </c>
      <c r="R185">
        <f t="shared" ca="1" si="52"/>
        <v>0.96207063934401749</v>
      </c>
      <c r="S185">
        <f t="shared" ca="1" si="49"/>
        <v>0.68138776835855586</v>
      </c>
      <c r="T185">
        <f t="shared" ca="1" si="50"/>
        <v>40.525319690160252</v>
      </c>
      <c r="U185">
        <f>70</f>
        <v>70</v>
      </c>
      <c r="V185">
        <f>30</f>
        <v>30</v>
      </c>
      <c r="W185">
        <f t="shared" ca="1" si="48"/>
        <v>148.24205371955614</v>
      </c>
      <c r="X185">
        <f t="shared" ca="1" si="58"/>
        <v>147.65306272413324</v>
      </c>
      <c r="Y185">
        <f t="shared" ca="1" si="57"/>
        <v>0.11921529733581337</v>
      </c>
      <c r="Z185">
        <f t="shared" ca="1" si="59"/>
        <v>1.303965472986524</v>
      </c>
      <c r="AA185">
        <f t="shared" ca="1" si="60"/>
        <v>-1.1847501756507106</v>
      </c>
      <c r="AB185">
        <f t="shared" ca="1" si="61"/>
        <v>142.49219999999997</v>
      </c>
    </row>
    <row r="186" spans="1:28" x14ac:dyDescent="0.25">
      <c r="A186" s="20">
        <f t="shared" ca="1" si="41"/>
        <v>45964</v>
      </c>
      <c r="B186" vm="546">
        <f ca="1"/>
        <v>45965</v>
      </c>
      <c r="C186" vm="547">
        <f ca="1"/>
        <v>142.9</v>
      </c>
      <c r="D186" vm="548">
        <f ca="1"/>
        <v>8302941</v>
      </c>
      <c r="E186">
        <f t="shared" ca="1" si="42"/>
        <v>1186490268.9000001</v>
      </c>
      <c r="F186">
        <f ca="1">SUM($E$2:E186)/SUM($D$2:D186)</f>
        <v>141.3838773184483</v>
      </c>
      <c r="G186">
        <f ca="1">_xlfn.STDEV.P($C$2:C186)</f>
        <v>7.7837042509074887</v>
      </c>
      <c r="H186">
        <f t="shared" ca="1" si="43"/>
        <v>149.16758156935578</v>
      </c>
      <c r="I186">
        <f t="shared" ca="1" si="44"/>
        <v>133.60017306754082</v>
      </c>
      <c r="J186">
        <f t="shared" ca="1" si="53"/>
        <v>149.178</v>
      </c>
      <c r="K186">
        <f t="shared" ca="1" si="54"/>
        <v>4.2079356108741903</v>
      </c>
      <c r="L186">
        <f t="shared" ca="1" si="55"/>
        <v>157.59387122174837</v>
      </c>
      <c r="M186">
        <f t="shared" ca="1" si="56"/>
        <v>140.76212877825162</v>
      </c>
      <c r="N186">
        <f t="shared" ca="1" si="45"/>
        <v>-0.69999999999998863</v>
      </c>
      <c r="O186">
        <f t="shared" ca="1" si="46"/>
        <v>0</v>
      </c>
      <c r="P186">
        <f t="shared" ca="1" si="47"/>
        <v>0.69999999999998863</v>
      </c>
      <c r="Q186">
        <f t="shared" ca="1" si="51"/>
        <v>0.60871865409262982</v>
      </c>
      <c r="R186">
        <f t="shared" ca="1" si="52"/>
        <v>0.94335130796230104</v>
      </c>
      <c r="S186">
        <f t="shared" ca="1" si="49"/>
        <v>0.64527249705891743</v>
      </c>
      <c r="T186">
        <f t="shared" ca="1" si="50"/>
        <v>39.219794788547425</v>
      </c>
      <c r="U186">
        <f>70</f>
        <v>70</v>
      </c>
      <c r="V186">
        <f>30</f>
        <v>30</v>
      </c>
      <c r="W186">
        <f t="shared" ca="1" si="48"/>
        <v>147.42019930116288</v>
      </c>
      <c r="X186">
        <f t="shared" ca="1" si="58"/>
        <v>147.30098400382707</v>
      </c>
      <c r="Y186">
        <f t="shared" ca="1" si="57"/>
        <v>-0.25339204785873903</v>
      </c>
      <c r="Z186">
        <f t="shared" ca="1" si="59"/>
        <v>0.99249396881747143</v>
      </c>
      <c r="AA186">
        <f t="shared" ca="1" si="60"/>
        <v>-1.2458860166762105</v>
      </c>
      <c r="AB186">
        <f t="shared" ca="1" si="61"/>
        <v>142.59819999999999</v>
      </c>
    </row>
    <row r="187" spans="1:28" x14ac:dyDescent="0.25">
      <c r="A187" s="20">
        <f t="shared" ca="1" si="41"/>
        <v>45964</v>
      </c>
      <c r="B187" vm="549">
        <f ca="1"/>
        <v>45966</v>
      </c>
      <c r="C187" vm="346">
        <f ca="1"/>
        <v>142.86000000000001</v>
      </c>
      <c r="D187" vm="550">
        <f ca="1"/>
        <v>7136424</v>
      </c>
      <c r="E187">
        <f t="shared" ca="1" si="42"/>
        <v>1019509532.6400001</v>
      </c>
      <c r="F187">
        <f ca="1">SUM($E$2:E187)/SUM($D$2:D187)</f>
        <v>141.39056836488984</v>
      </c>
      <c r="G187">
        <f ca="1">_xlfn.STDEV.P($C$2:C187)</f>
        <v>7.7629841796416716</v>
      </c>
      <c r="H187">
        <f t="shared" ca="1" si="43"/>
        <v>149.15355254453152</v>
      </c>
      <c r="I187">
        <f t="shared" ca="1" si="44"/>
        <v>133.62758418524817</v>
      </c>
      <c r="J187">
        <f t="shared" ca="1" si="53"/>
        <v>149.37900000000002</v>
      </c>
      <c r="K187">
        <f t="shared" ca="1" si="54"/>
        <v>3.7603371909276517</v>
      </c>
      <c r="L187">
        <f t="shared" ca="1" si="55"/>
        <v>156.89967438185533</v>
      </c>
      <c r="M187">
        <f t="shared" ca="1" si="56"/>
        <v>141.8583256181447</v>
      </c>
      <c r="N187">
        <f t="shared" ca="1" si="45"/>
        <v>-3.9999999999992042E-2</v>
      </c>
      <c r="O187">
        <f t="shared" ca="1" si="46"/>
        <v>0</v>
      </c>
      <c r="P187">
        <f t="shared" ca="1" si="47"/>
        <v>3.9999999999992042E-2</v>
      </c>
      <c r="Q187">
        <f t="shared" ca="1" si="51"/>
        <v>0.5652387502288706</v>
      </c>
      <c r="R187">
        <f t="shared" ca="1" si="52"/>
        <v>0.87882621453642185</v>
      </c>
      <c r="S187">
        <f t="shared" ca="1" si="49"/>
        <v>0.64317465828785314</v>
      </c>
      <c r="T187">
        <f t="shared" ca="1" si="50"/>
        <v>39.142196786191015</v>
      </c>
      <c r="U187">
        <f>70</f>
        <v>70</v>
      </c>
      <c r="V187">
        <f>30</f>
        <v>30</v>
      </c>
      <c r="W187">
        <f t="shared" ca="1" si="48"/>
        <v>146.71863017790704</v>
      </c>
      <c r="X187">
        <f t="shared" ca="1" si="58"/>
        <v>146.97202222576578</v>
      </c>
      <c r="Y187">
        <f t="shared" ca="1" si="57"/>
        <v>-0.6445414830070888</v>
      </c>
      <c r="Z187">
        <f t="shared" ca="1" si="59"/>
        <v>0.66508687845255943</v>
      </c>
      <c r="AA187">
        <f t="shared" ca="1" si="60"/>
        <v>-1.3096283614596482</v>
      </c>
      <c r="AB187">
        <f t="shared" ca="1" si="61"/>
        <v>142.71829999999997</v>
      </c>
    </row>
    <row r="188" spans="1:28" x14ac:dyDescent="0.25">
      <c r="A188" s="20">
        <f t="shared" ca="1" si="41"/>
        <v>45964</v>
      </c>
      <c r="B188" vm="551">
        <f ca="1"/>
        <v>45967</v>
      </c>
      <c r="C188" vm="552">
        <f ca="1"/>
        <v>141.58000000000001</v>
      </c>
      <c r="D188" vm="553">
        <f ca="1"/>
        <v>6449386</v>
      </c>
      <c r="E188">
        <f t="shared" ca="1" si="42"/>
        <v>913104069.88000011</v>
      </c>
      <c r="F188">
        <f ca="1">SUM($E$2:E188)/SUM($D$2:D188)</f>
        <v>141.39134119918458</v>
      </c>
      <c r="G188">
        <f ca="1">_xlfn.STDEV.P($C$2:C188)</f>
        <v>7.7422735334441999</v>
      </c>
      <c r="H188">
        <f t="shared" ca="1" si="43"/>
        <v>149.13361473262879</v>
      </c>
      <c r="I188">
        <f t="shared" ca="1" si="44"/>
        <v>133.64906766574038</v>
      </c>
      <c r="J188">
        <f t="shared" ca="1" si="53"/>
        <v>149.22250000000003</v>
      </c>
      <c r="K188">
        <f t="shared" ca="1" si="54"/>
        <v>4.020981648932584</v>
      </c>
      <c r="L188">
        <f t="shared" ca="1" si="55"/>
        <v>157.26446329786521</v>
      </c>
      <c r="M188">
        <f t="shared" ca="1" si="56"/>
        <v>141.18053670213484</v>
      </c>
      <c r="N188">
        <f t="shared" ca="1" si="45"/>
        <v>-1.2800000000000011</v>
      </c>
      <c r="O188">
        <f t="shared" ca="1" si="46"/>
        <v>0</v>
      </c>
      <c r="P188">
        <f t="shared" ca="1" si="47"/>
        <v>1.2800000000000011</v>
      </c>
      <c r="Q188">
        <f t="shared" ca="1" si="51"/>
        <v>0.52486455378395125</v>
      </c>
      <c r="R188">
        <f t="shared" ca="1" si="52"/>
        <v>0.90748148492667746</v>
      </c>
      <c r="S188">
        <f t="shared" ca="1" si="49"/>
        <v>0.57837494483577168</v>
      </c>
      <c r="T188">
        <f t="shared" ca="1" si="50"/>
        <v>36.643697793615885</v>
      </c>
      <c r="U188">
        <f>70</f>
        <v>70</v>
      </c>
      <c r="V188">
        <f>30</f>
        <v>30</v>
      </c>
      <c r="W188">
        <f t="shared" ca="1" si="48"/>
        <v>145.92807168899827</v>
      </c>
      <c r="X188">
        <f t="shared" ca="1" si="58"/>
        <v>146.57261317200536</v>
      </c>
      <c r="Y188">
        <f t="shared" ca="1" si="57"/>
        <v>-0.83436464179274594</v>
      </c>
      <c r="Z188">
        <f t="shared" ca="1" si="59"/>
        <v>0.3651965744034984</v>
      </c>
      <c r="AA188">
        <f t="shared" ca="1" si="60"/>
        <v>-1.1995612161962443</v>
      </c>
      <c r="AB188">
        <f t="shared" ca="1" si="61"/>
        <v>142.82</v>
      </c>
    </row>
    <row r="189" spans="1:28" x14ac:dyDescent="0.25">
      <c r="A189" s="20">
        <f t="shared" ca="1" si="41"/>
        <v>45964</v>
      </c>
      <c r="B189" vm="554">
        <f ca="1"/>
        <v>45968</v>
      </c>
      <c r="C189" vm="555">
        <f ca="1"/>
        <v>142.94999999999999</v>
      </c>
      <c r="D189" vm="556">
        <f ca="1"/>
        <v>7592652</v>
      </c>
      <c r="E189">
        <f t="shared" ca="1" si="42"/>
        <v>1085369603.3999999</v>
      </c>
      <c r="F189">
        <f ca="1">SUM($E$2:E189)/SUM($D$2:D189)</f>
        <v>141.39879159167884</v>
      </c>
      <c r="G189">
        <f ca="1">_xlfn.STDEV.P($C$2:C189)</f>
        <v>7.7219379430478625</v>
      </c>
      <c r="H189">
        <f t="shared" ca="1" si="43"/>
        <v>149.12072953472671</v>
      </c>
      <c r="I189">
        <f t="shared" ca="1" si="44"/>
        <v>133.67685364863098</v>
      </c>
      <c r="J189">
        <f t="shared" ca="1" si="53"/>
        <v>148.86599999999999</v>
      </c>
      <c r="K189">
        <f t="shared" ca="1" si="54"/>
        <v>4.2504778678712274</v>
      </c>
      <c r="L189">
        <f t="shared" ca="1" si="55"/>
        <v>157.36695573574244</v>
      </c>
      <c r="M189">
        <f t="shared" ca="1" si="56"/>
        <v>140.36504426425753</v>
      </c>
      <c r="N189">
        <f t="shared" ca="1" si="45"/>
        <v>1.3699999999999761</v>
      </c>
      <c r="O189">
        <f t="shared" ca="1" si="46"/>
        <v>1.3699999999999761</v>
      </c>
      <c r="P189">
        <f t="shared" ca="1" si="47"/>
        <v>0</v>
      </c>
      <c r="Q189">
        <f t="shared" ca="1" si="51"/>
        <v>0.58523137137081016</v>
      </c>
      <c r="R189">
        <f t="shared" ca="1" si="52"/>
        <v>0.84266137886048631</v>
      </c>
      <c r="S189">
        <f t="shared" ca="1" si="49"/>
        <v>0.69450361207037459</v>
      </c>
      <c r="T189">
        <f t="shared" ca="1" si="50"/>
        <v>40.985667255192077</v>
      </c>
      <c r="U189">
        <f>70</f>
        <v>70</v>
      </c>
      <c r="V189">
        <f>30</f>
        <v>30</v>
      </c>
      <c r="W189">
        <f t="shared" ca="1" si="48"/>
        <v>145.46990681376775</v>
      </c>
      <c r="X189">
        <f t="shared" ca="1" si="58"/>
        <v>146.3042714555605</v>
      </c>
      <c r="Y189">
        <f t="shared" ca="1" si="57"/>
        <v>-0.99990284720266231</v>
      </c>
      <c r="Z189">
        <f t="shared" ca="1" si="59"/>
        <v>9.2176690082266283E-2</v>
      </c>
      <c r="AA189">
        <f t="shared" ca="1" si="60"/>
        <v>-1.0920795372849286</v>
      </c>
      <c r="AB189">
        <f t="shared" ca="1" si="61"/>
        <v>142.95660000000001</v>
      </c>
    </row>
    <row r="190" spans="1:28" x14ac:dyDescent="0.25">
      <c r="A190" s="20">
        <f t="shared" ca="1" si="41"/>
        <v>45971</v>
      </c>
      <c r="B190" vm="557">
        <f ca="1"/>
        <v>45971</v>
      </c>
      <c r="C190" vm="558">
        <f ca="1"/>
        <v>142.62</v>
      </c>
      <c r="D190" vm="559">
        <f ca="1"/>
        <v>6617494</v>
      </c>
      <c r="E190">
        <f t="shared" ca="1" si="42"/>
        <v>943786994.27999997</v>
      </c>
      <c r="F190">
        <f ca="1">SUM($E$2:E190)/SUM($D$2:D190)</f>
        <v>141.40385814239164</v>
      </c>
      <c r="G190">
        <f ca="1">_xlfn.STDEV.P($C$2:C190)</f>
        <v>7.701595046712236</v>
      </c>
      <c r="H190">
        <f t="shared" ca="1" si="43"/>
        <v>149.10545318910388</v>
      </c>
      <c r="I190">
        <f t="shared" ca="1" si="44"/>
        <v>133.7022630956794</v>
      </c>
      <c r="J190">
        <f t="shared" ca="1" si="53"/>
        <v>148.55249999999998</v>
      </c>
      <c r="K190">
        <f t="shared" ca="1" si="54"/>
        <v>4.4739654787741863</v>
      </c>
      <c r="L190">
        <f t="shared" ca="1" si="55"/>
        <v>157.50043095754836</v>
      </c>
      <c r="M190">
        <f t="shared" ca="1" si="56"/>
        <v>139.6045690424516</v>
      </c>
      <c r="N190">
        <f t="shared" ca="1" si="45"/>
        <v>-0.32999999999998408</v>
      </c>
      <c r="O190">
        <f t="shared" ca="1" si="46"/>
        <v>0</v>
      </c>
      <c r="P190">
        <f t="shared" ca="1" si="47"/>
        <v>0.32999999999998408</v>
      </c>
      <c r="Q190">
        <f t="shared" ca="1" si="51"/>
        <v>0.54342913055860942</v>
      </c>
      <c r="R190">
        <f t="shared" ca="1" si="52"/>
        <v>0.80604270894187902</v>
      </c>
      <c r="S190">
        <f t="shared" ca="1" si="49"/>
        <v>0.67419396581601509</v>
      </c>
      <c r="T190">
        <f t="shared" ca="1" si="50"/>
        <v>40.269764410924019</v>
      </c>
      <c r="U190">
        <f>70</f>
        <v>70</v>
      </c>
      <c r="V190">
        <f>30</f>
        <v>30</v>
      </c>
      <c r="W190">
        <f t="shared" ca="1" si="48"/>
        <v>145.03145961164964</v>
      </c>
      <c r="X190">
        <f t="shared" ca="1" si="58"/>
        <v>146.0313624588523</v>
      </c>
      <c r="Y190">
        <f t="shared" ca="1" si="57"/>
        <v>-0.92196380190043214</v>
      </c>
      <c r="Z190">
        <f t="shared" ca="1" si="59"/>
        <v>-0.11065140831427342</v>
      </c>
      <c r="AA190">
        <f t="shared" ca="1" si="60"/>
        <v>-0.8113123935861587</v>
      </c>
      <c r="AB190">
        <f t="shared" ca="1" si="61"/>
        <v>143.09210000000002</v>
      </c>
    </row>
    <row r="191" spans="1:28" x14ac:dyDescent="0.25">
      <c r="A191" s="20">
        <f t="shared" ca="1" si="41"/>
        <v>45971</v>
      </c>
      <c r="B191" vm="560">
        <f ca="1"/>
        <v>45972</v>
      </c>
      <c r="C191" vm="561">
        <f ca="1"/>
        <v>145.08000000000001</v>
      </c>
      <c r="D191" vm="562">
        <f ca="1"/>
        <v>7683573</v>
      </c>
      <c r="E191">
        <f t="shared" ca="1" si="42"/>
        <v>1114732770.8400002</v>
      </c>
      <c r="F191">
        <f ca="1">SUM($E$2:E191)/SUM($D$2:D191)</f>
        <v>141.42148185842956</v>
      </c>
      <c r="G191">
        <f ca="1">_xlfn.STDEV.P($C$2:C191)</f>
        <v>7.6844312270486839</v>
      </c>
      <c r="H191">
        <f t="shared" ca="1" si="43"/>
        <v>149.10591308547825</v>
      </c>
      <c r="I191">
        <f t="shared" ca="1" si="44"/>
        <v>133.73705063138087</v>
      </c>
      <c r="J191">
        <f t="shared" ca="1" si="53"/>
        <v>148.22949999999997</v>
      </c>
      <c r="K191">
        <f t="shared" ca="1" si="54"/>
        <v>4.4801168629024772</v>
      </c>
      <c r="L191">
        <f t="shared" ca="1" si="55"/>
        <v>157.18973372580493</v>
      </c>
      <c r="M191">
        <f t="shared" ca="1" si="56"/>
        <v>139.26926627419502</v>
      </c>
      <c r="N191">
        <f t="shared" ca="1" si="45"/>
        <v>2.460000000000008</v>
      </c>
      <c r="O191">
        <f t="shared" ca="1" si="46"/>
        <v>2.460000000000008</v>
      </c>
      <c r="P191">
        <f t="shared" ca="1" si="47"/>
        <v>0</v>
      </c>
      <c r="Q191">
        <f t="shared" ca="1" si="51"/>
        <v>0.6803270498044236</v>
      </c>
      <c r="R191">
        <f t="shared" ca="1" si="52"/>
        <v>0.74846822973174476</v>
      </c>
      <c r="S191">
        <f t="shared" ca="1" si="49"/>
        <v>0.90895915521792647</v>
      </c>
      <c r="T191">
        <f t="shared" ca="1" si="50"/>
        <v>47.61543235398139</v>
      </c>
      <c r="U191">
        <f>70</f>
        <v>70</v>
      </c>
      <c r="V191">
        <f>30</f>
        <v>30</v>
      </c>
      <c r="W191">
        <f t="shared" ca="1" si="48"/>
        <v>145.03892736370355</v>
      </c>
      <c r="X191">
        <f t="shared" ca="1" si="58"/>
        <v>145.96089116560398</v>
      </c>
      <c r="Y191">
        <f t="shared" ca="1" si="57"/>
        <v>-0.90543647236850688</v>
      </c>
      <c r="Z191">
        <f t="shared" ca="1" si="59"/>
        <v>-0.26960842112512012</v>
      </c>
      <c r="AA191">
        <f t="shared" ca="1" si="60"/>
        <v>-0.6358280512433867</v>
      </c>
      <c r="AB191">
        <f t="shared" ca="1" si="61"/>
        <v>143.25220000000002</v>
      </c>
    </row>
    <row r="192" spans="1:28" x14ac:dyDescent="0.25">
      <c r="A192" s="20">
        <f t="shared" ca="1" si="41"/>
        <v>45971</v>
      </c>
      <c r="B192" vm="563">
        <f ca="1"/>
        <v>45973</v>
      </c>
      <c r="C192" vm="564">
        <f ca="1"/>
        <v>144.38999999999999</v>
      </c>
      <c r="D192" vm="565">
        <f ca="1"/>
        <v>5790488</v>
      </c>
      <c r="E192">
        <f t="shared" ca="1" si="42"/>
        <v>836088562.31999993</v>
      </c>
      <c r="F192">
        <f ca="1">SUM($E$2:E192)/SUM($D$2:D192)</f>
        <v>141.43216823901085</v>
      </c>
      <c r="G192">
        <f ca="1">_xlfn.STDEV.P($C$2:C192)</f>
        <v>7.6661250894051172</v>
      </c>
      <c r="H192">
        <f t="shared" ca="1" si="43"/>
        <v>149.09829332841596</v>
      </c>
      <c r="I192">
        <f t="shared" ca="1" si="44"/>
        <v>133.76604314960574</v>
      </c>
      <c r="J192">
        <f t="shared" ca="1" si="53"/>
        <v>147.89099999999996</v>
      </c>
      <c r="K192">
        <f t="shared" ca="1" si="54"/>
        <v>4.5027464133746058</v>
      </c>
      <c r="L192">
        <f t="shared" ca="1" si="55"/>
        <v>156.89649282674918</v>
      </c>
      <c r="M192">
        <f t="shared" ca="1" si="56"/>
        <v>138.88550717325074</v>
      </c>
      <c r="N192">
        <f t="shared" ca="1" si="45"/>
        <v>-0.69000000000002615</v>
      </c>
      <c r="O192">
        <f t="shared" ca="1" si="46"/>
        <v>0</v>
      </c>
      <c r="P192">
        <f t="shared" ca="1" si="47"/>
        <v>0.69000000000002615</v>
      </c>
      <c r="Q192">
        <f t="shared" ca="1" si="51"/>
        <v>0.63173226053267906</v>
      </c>
      <c r="R192">
        <f t="shared" ca="1" si="52"/>
        <v>0.74429192760805052</v>
      </c>
      <c r="S192">
        <f t="shared" ca="1" si="49"/>
        <v>0.84876946410381304</v>
      </c>
      <c r="T192">
        <f t="shared" ca="1" si="50"/>
        <v>45.909967715485401</v>
      </c>
      <c r="U192">
        <f>70</f>
        <v>70</v>
      </c>
      <c r="V192">
        <f>30</f>
        <v>30</v>
      </c>
      <c r="W192">
        <f t="shared" ca="1" si="48"/>
        <v>144.93909238467222</v>
      </c>
      <c r="X192">
        <f t="shared" ca="1" si="58"/>
        <v>145.84452885704073</v>
      </c>
      <c r="Y192">
        <f t="shared" ca="1" si="57"/>
        <v>-0.83191293530080657</v>
      </c>
      <c r="Z192">
        <f t="shared" ca="1" si="59"/>
        <v>-0.38206932396025739</v>
      </c>
      <c r="AA192">
        <f t="shared" ca="1" si="60"/>
        <v>-0.44984361134054918</v>
      </c>
      <c r="AB192">
        <f t="shared" ca="1" si="61"/>
        <v>143.40520000000001</v>
      </c>
    </row>
    <row r="193" spans="1:28" x14ac:dyDescent="0.25">
      <c r="A193" s="20">
        <f t="shared" ca="1" si="41"/>
        <v>45971</v>
      </c>
      <c r="B193" vm="566">
        <f ca="1"/>
        <v>45974</v>
      </c>
      <c r="C193" vm="567">
        <f ca="1"/>
        <v>145.02000000000001</v>
      </c>
      <c r="D193" vm="568">
        <f ca="1"/>
        <v>6663264</v>
      </c>
      <c r="E193">
        <f t="shared" ca="1" si="42"/>
        <v>966306545.28000009</v>
      </c>
      <c r="F193">
        <f ca="1">SUM($E$2:E193)/SUM($D$2:D193)</f>
        <v>141.44696952684521</v>
      </c>
      <c r="G193">
        <f ca="1">_xlfn.STDEV.P($C$2:C193)</f>
        <v>7.6490689448496374</v>
      </c>
      <c r="H193">
        <f t="shared" ca="1" si="43"/>
        <v>149.09603847169484</v>
      </c>
      <c r="I193">
        <f t="shared" ca="1" si="44"/>
        <v>133.79790058199558</v>
      </c>
      <c r="J193">
        <f t="shared" ca="1" si="53"/>
        <v>147.50849999999997</v>
      </c>
      <c r="K193">
        <f t="shared" ca="1" si="54"/>
        <v>4.3991473755239134</v>
      </c>
      <c r="L193">
        <f t="shared" ca="1" si="55"/>
        <v>156.30679475104779</v>
      </c>
      <c r="M193">
        <f t="shared" ca="1" si="56"/>
        <v>138.71020524895215</v>
      </c>
      <c r="N193">
        <f t="shared" ca="1" si="45"/>
        <v>0.63000000000002387</v>
      </c>
      <c r="O193">
        <f t="shared" ca="1" si="46"/>
        <v>0.63000000000002387</v>
      </c>
      <c r="P193">
        <f t="shared" ca="1" si="47"/>
        <v>0</v>
      </c>
      <c r="Q193">
        <f t="shared" ca="1" si="51"/>
        <v>0.63160852763748943</v>
      </c>
      <c r="R193">
        <f t="shared" ca="1" si="52"/>
        <v>0.69112821849318973</v>
      </c>
      <c r="S193">
        <f t="shared" ca="1" si="49"/>
        <v>0.91388039257684162</v>
      </c>
      <c r="T193">
        <f t="shared" ca="1" si="50"/>
        <v>47.750130892265233</v>
      </c>
      <c r="U193">
        <f>70</f>
        <v>70</v>
      </c>
      <c r="V193">
        <f>30</f>
        <v>30</v>
      </c>
      <c r="W193">
        <f t="shared" ca="1" si="48"/>
        <v>144.95153971010726</v>
      </c>
      <c r="X193">
        <f t="shared" ca="1" si="58"/>
        <v>145.78345264540806</v>
      </c>
      <c r="Y193">
        <f t="shared" ca="1" si="57"/>
        <v>-0.69861770899078124</v>
      </c>
      <c r="Z193">
        <f t="shared" ca="1" si="59"/>
        <v>-0.44537900096636218</v>
      </c>
      <c r="AA193">
        <f t="shared" ca="1" si="60"/>
        <v>-0.25323870802441906</v>
      </c>
      <c r="AB193">
        <f t="shared" ca="1" si="61"/>
        <v>143.54489999999998</v>
      </c>
    </row>
    <row r="194" spans="1:28" x14ac:dyDescent="0.25">
      <c r="A194" s="20">
        <f t="shared" ca="1" si="41"/>
        <v>45971</v>
      </c>
      <c r="B194" vm="569">
        <f ca="1"/>
        <v>45975</v>
      </c>
      <c r="C194" vm="570">
        <f ca="1"/>
        <v>145.85</v>
      </c>
      <c r="D194" vm="571">
        <f ca="1"/>
        <v>5770478</v>
      </c>
      <c r="E194">
        <f t="shared" ca="1" si="42"/>
        <v>841624216.29999995</v>
      </c>
      <c r="F194">
        <f ca="1">SUM($E$2:E194)/SUM($D$2:D194)</f>
        <v>141.4626440764722</v>
      </c>
      <c r="G194">
        <f ca="1">_xlfn.STDEV.P($C$2:C194)</f>
        <v>7.633995190153728</v>
      </c>
      <c r="H194">
        <f t="shared" ca="1" si="43"/>
        <v>149.09663926662594</v>
      </c>
      <c r="I194">
        <f t="shared" ca="1" si="44"/>
        <v>133.82864888631846</v>
      </c>
      <c r="J194">
        <f t="shared" ca="1" si="53"/>
        <v>147.11549999999997</v>
      </c>
      <c r="K194">
        <f t="shared" ca="1" si="54"/>
        <v>4.1605951940102308</v>
      </c>
      <c r="L194">
        <f t="shared" ca="1" si="55"/>
        <v>155.43669038802042</v>
      </c>
      <c r="M194">
        <f t="shared" ca="1" si="56"/>
        <v>138.79430961197951</v>
      </c>
      <c r="N194">
        <f t="shared" ca="1" si="45"/>
        <v>0.82999999999998408</v>
      </c>
      <c r="O194">
        <f t="shared" ca="1" si="46"/>
        <v>0.82999999999998408</v>
      </c>
      <c r="P194">
        <f t="shared" ca="1" si="47"/>
        <v>0</v>
      </c>
      <c r="Q194">
        <f t="shared" ca="1" si="51"/>
        <v>0.64577934709195339</v>
      </c>
      <c r="R194">
        <f t="shared" ca="1" si="52"/>
        <v>0.64176191717224762</v>
      </c>
      <c r="S194">
        <f t="shared" ca="1" si="49"/>
        <v>1.0062600004958342</v>
      </c>
      <c r="T194">
        <f t="shared" ca="1" si="50"/>
        <v>50.156011695749484</v>
      </c>
      <c r="U194">
        <f>70</f>
        <v>70</v>
      </c>
      <c r="V194">
        <f>30</f>
        <v>30</v>
      </c>
      <c r="W194">
        <f t="shared" ca="1" si="48"/>
        <v>145.08976437009073</v>
      </c>
      <c r="X194">
        <f t="shared" ca="1" si="58"/>
        <v>145.78838207908152</v>
      </c>
      <c r="Y194">
        <f t="shared" ca="1" si="57"/>
        <v>-0.42827395380211897</v>
      </c>
      <c r="Z194">
        <f t="shared" ca="1" si="59"/>
        <v>-0.44195799153351356</v>
      </c>
      <c r="AA194">
        <f t="shared" ca="1" si="60"/>
        <v>1.3684037731394594E-2</v>
      </c>
      <c r="AB194">
        <f t="shared" ca="1" si="61"/>
        <v>143.72319999999999</v>
      </c>
    </row>
    <row r="195" spans="1:28" x14ac:dyDescent="0.25">
      <c r="A195" s="20">
        <f t="shared" ref="A195:A252" ca="1" si="62">B195 - WEEKDAY(B195, 2) + 1</f>
        <v>45978</v>
      </c>
      <c r="B195" vm="572">
        <f ca="1"/>
        <v>45978</v>
      </c>
      <c r="C195" vm="573">
        <f ca="1"/>
        <v>147.83000000000001</v>
      </c>
      <c r="D195" vm="574">
        <f ca="1"/>
        <v>7320150</v>
      </c>
      <c r="E195">
        <f t="shared" ref="E195:E252" ca="1" si="63">C195*D195</f>
        <v>1082137774.5</v>
      </c>
      <c r="F195">
        <f ca="1">SUM($E$2:E195)/SUM($D$2:D195)</f>
        <v>141.49126962712222</v>
      </c>
      <c r="G195">
        <f ca="1">_xlfn.STDEV.P($C$2:C195)</f>
        <v>7.6252968720357153</v>
      </c>
      <c r="H195">
        <f t="shared" ref="H195:H252" ca="1" si="64">F195 + G195</f>
        <v>149.11656649915793</v>
      </c>
      <c r="I195">
        <f t="shared" ref="I195:I252" ca="1" si="65">F195 - G195</f>
        <v>133.86597275508652</v>
      </c>
      <c r="J195">
        <f t="shared" ca="1" si="53"/>
        <v>146.82499999999996</v>
      </c>
      <c r="K195">
        <f t="shared" ca="1" si="54"/>
        <v>3.8740302691532738</v>
      </c>
      <c r="L195">
        <f t="shared" ca="1" si="55"/>
        <v>154.57306053830652</v>
      </c>
      <c r="M195">
        <f t="shared" ca="1" si="56"/>
        <v>139.0769394616934</v>
      </c>
      <c r="N195">
        <f t="shared" ca="1" si="45"/>
        <v>1.9800000000000182</v>
      </c>
      <c r="O195">
        <f t="shared" ca="1" si="46"/>
        <v>1.9800000000000182</v>
      </c>
      <c r="P195">
        <f t="shared" ca="1" si="47"/>
        <v>0</v>
      </c>
      <c r="Q195">
        <f t="shared" ca="1" si="51"/>
        <v>0.74108082229967231</v>
      </c>
      <c r="R195">
        <f t="shared" ca="1" si="52"/>
        <v>0.59592178023137277</v>
      </c>
      <c r="S195">
        <f t="shared" ca="1" si="49"/>
        <v>1.2435874084211858</v>
      </c>
      <c r="T195">
        <f t="shared" ca="1" si="50"/>
        <v>55.428525037778634</v>
      </c>
      <c r="U195">
        <f>70</f>
        <v>70</v>
      </c>
      <c r="V195">
        <f>30</f>
        <v>30</v>
      </c>
      <c r="W195">
        <f t="shared" ca="1" si="48"/>
        <v>145.51133908238447</v>
      </c>
      <c r="X195">
        <f t="shared" ca="1" si="58"/>
        <v>145.93961303618659</v>
      </c>
      <c r="Y195">
        <f t="shared" ca="1" si="57"/>
        <v>-0.13659979855401616</v>
      </c>
      <c r="Z195">
        <f t="shared" ca="1" si="59"/>
        <v>-0.38088635293761414</v>
      </c>
      <c r="AA195">
        <f t="shared" ca="1" si="60"/>
        <v>0.24428655438359798</v>
      </c>
      <c r="AB195">
        <f t="shared" ca="1" si="61"/>
        <v>143.91929999999999</v>
      </c>
    </row>
    <row r="196" spans="1:28" x14ac:dyDescent="0.25">
      <c r="A196" s="20">
        <f t="shared" ca="1" si="62"/>
        <v>45978</v>
      </c>
      <c r="B196" vm="575">
        <f ca="1"/>
        <v>45979</v>
      </c>
      <c r="C196" vm="576">
        <f ca="1"/>
        <v>148.77000000000001</v>
      </c>
      <c r="D196" vm="577">
        <f ca="1"/>
        <v>10821528</v>
      </c>
      <c r="E196">
        <f t="shared" ca="1" si="63"/>
        <v>1609918720.5600002</v>
      </c>
      <c r="F196">
        <f ca="1">SUM($E$2:E196)/SUM($D$2:D196)</f>
        <v>141.53932502418496</v>
      </c>
      <c r="G196">
        <f ca="1">_xlfn.STDEV.P($C$2:C196)</f>
        <v>7.6204424882870967</v>
      </c>
      <c r="H196">
        <f t="shared" ca="1" si="64"/>
        <v>149.15976751247206</v>
      </c>
      <c r="I196">
        <f t="shared" ca="1" si="65"/>
        <v>133.91888253589786</v>
      </c>
      <c r="J196">
        <f t="shared" ca="1" si="53"/>
        <v>146.60449999999997</v>
      </c>
      <c r="K196">
        <f t="shared" ca="1" si="54"/>
        <v>3.6097725179821158</v>
      </c>
      <c r="L196">
        <f t="shared" ca="1" si="55"/>
        <v>153.82404503596422</v>
      </c>
      <c r="M196">
        <f t="shared" ca="1" si="56"/>
        <v>139.38495496403573</v>
      </c>
      <c r="N196">
        <f t="shared" ref="N196:N252" ca="1" si="66">C196-C195</f>
        <v>0.93999999999999773</v>
      </c>
      <c r="O196">
        <f t="shared" ref="O196:O252" ca="1" si="67">MAX(N196,0)</f>
        <v>0.93999999999999773</v>
      </c>
      <c r="P196">
        <f t="shared" ref="P196:P252" ca="1" si="68">MAX(-N196,0)</f>
        <v>0</v>
      </c>
      <c r="Q196">
        <f t="shared" ca="1" si="51"/>
        <v>0.7552893349925528</v>
      </c>
      <c r="R196">
        <f t="shared" ca="1" si="52"/>
        <v>0.55335593878627465</v>
      </c>
      <c r="S196">
        <f t="shared" ca="1" si="49"/>
        <v>1.3649249642991035</v>
      </c>
      <c r="T196">
        <f t="shared" ca="1" si="50"/>
        <v>57.715360313921352</v>
      </c>
      <c r="U196">
        <f>70</f>
        <v>70</v>
      </c>
      <c r="V196">
        <f>30</f>
        <v>30</v>
      </c>
      <c r="W196">
        <f t="shared" ca="1" si="48"/>
        <v>146.0126715312484</v>
      </c>
      <c r="X196">
        <f t="shared" ca="1" si="58"/>
        <v>146.14927132980242</v>
      </c>
      <c r="Y196">
        <f t="shared" ca="1" si="57"/>
        <v>-3.8945120812002187E-2</v>
      </c>
      <c r="Z196">
        <f t="shared" ca="1" si="59"/>
        <v>-0.31249810651249177</v>
      </c>
      <c r="AA196">
        <f t="shared" ca="1" si="60"/>
        <v>0.27355298570048958</v>
      </c>
      <c r="AB196">
        <f t="shared" ca="1" si="61"/>
        <v>144.0966</v>
      </c>
    </row>
    <row r="197" spans="1:28" x14ac:dyDescent="0.25">
      <c r="A197" s="20">
        <f t="shared" ca="1" si="62"/>
        <v>45978</v>
      </c>
      <c r="B197" vm="578">
        <f ca="1"/>
        <v>45980</v>
      </c>
      <c r="C197" vm="579">
        <f ca="1"/>
        <v>147.11000000000001</v>
      </c>
      <c r="D197" vm="580">
        <f ca="1"/>
        <v>8123236</v>
      </c>
      <c r="E197">
        <f t="shared" ca="1" si="63"/>
        <v>1195009247.96</v>
      </c>
      <c r="F197">
        <f ca="1">SUM($E$2:E197)/SUM($D$2:D197)</f>
        <v>141.56679686838919</v>
      </c>
      <c r="G197">
        <f ca="1">_xlfn.STDEV.P($C$2:C197)</f>
        <v>7.6091041967695485</v>
      </c>
      <c r="H197">
        <f t="shared" ca="1" si="64"/>
        <v>149.17590106515874</v>
      </c>
      <c r="I197">
        <f t="shared" ca="1" si="65"/>
        <v>133.95769267161964</v>
      </c>
      <c r="J197">
        <f t="shared" ca="1" si="53"/>
        <v>146.30849999999998</v>
      </c>
      <c r="K197">
        <f t="shared" ca="1" si="54"/>
        <v>3.2830894868930041</v>
      </c>
      <c r="L197">
        <f t="shared" ca="1" si="55"/>
        <v>152.87467897378599</v>
      </c>
      <c r="M197">
        <f t="shared" ca="1" si="56"/>
        <v>139.74232102621397</v>
      </c>
      <c r="N197">
        <f t="shared" ca="1" si="66"/>
        <v>-1.6599999999999966</v>
      </c>
      <c r="O197">
        <f t="shared" ca="1" si="67"/>
        <v>0</v>
      </c>
      <c r="P197">
        <f t="shared" ca="1" si="68"/>
        <v>1.6599999999999966</v>
      </c>
      <c r="Q197">
        <f t="shared" ca="1" si="51"/>
        <v>0.70134009677879905</v>
      </c>
      <c r="R197">
        <f t="shared" ca="1" si="52"/>
        <v>0.63240194315868337</v>
      </c>
      <c r="S197">
        <f t="shared" ca="1" si="49"/>
        <v>1.1090100281409438</v>
      </c>
      <c r="T197">
        <f t="shared" ca="1" si="50"/>
        <v>52.584388568247689</v>
      </c>
      <c r="U197">
        <f>70</f>
        <v>70</v>
      </c>
      <c r="V197">
        <f>30</f>
        <v>30</v>
      </c>
      <c r="W197">
        <f t="shared" ca="1" si="48"/>
        <v>146.18149129567172</v>
      </c>
      <c r="X197">
        <f t="shared" ca="1" si="58"/>
        <v>146.22043641648372</v>
      </c>
      <c r="Y197">
        <f t="shared" ca="1" si="57"/>
        <v>-4.256102718721877E-2</v>
      </c>
      <c r="Z197">
        <f t="shared" ca="1" si="59"/>
        <v>-0.2585106906474372</v>
      </c>
      <c r="AA197">
        <f t="shared" ca="1" si="60"/>
        <v>0.21594966346021843</v>
      </c>
      <c r="AB197">
        <f t="shared" ca="1" si="61"/>
        <v>144.24730000000002</v>
      </c>
    </row>
    <row r="198" spans="1:28" x14ac:dyDescent="0.25">
      <c r="A198" s="20">
        <f t="shared" ca="1" si="62"/>
        <v>45978</v>
      </c>
      <c r="B198" vm="581">
        <f ca="1"/>
        <v>45981</v>
      </c>
      <c r="C198" vm="582">
        <f ca="1"/>
        <v>146.1</v>
      </c>
      <c r="D198" vm="583">
        <f ca="1"/>
        <v>6878914</v>
      </c>
      <c r="E198">
        <f t="shared" ca="1" si="63"/>
        <v>1005009335.4</v>
      </c>
      <c r="F198">
        <f ca="1">SUM($E$2:E198)/SUM($D$2:D198)</f>
        <v>141.58564924486251</v>
      </c>
      <c r="G198">
        <f ca="1">_xlfn.STDEV.P($C$2:C198)</f>
        <v>7.5948246149429046</v>
      </c>
      <c r="H198">
        <f t="shared" ca="1" si="64"/>
        <v>149.1804738598054</v>
      </c>
      <c r="I198">
        <f t="shared" ca="1" si="65"/>
        <v>133.99082462991962</v>
      </c>
      <c r="J198">
        <f t="shared" ca="1" si="53"/>
        <v>146.03799999999998</v>
      </c>
      <c r="K198">
        <f t="shared" ca="1" si="54"/>
        <v>3.0463033681047467</v>
      </c>
      <c r="L198">
        <f t="shared" ca="1" si="55"/>
        <v>152.13060673620947</v>
      </c>
      <c r="M198">
        <f t="shared" ca="1" si="56"/>
        <v>139.94539326379049</v>
      </c>
      <c r="N198">
        <f t="shared" ca="1" si="66"/>
        <v>-1.0100000000000193</v>
      </c>
      <c r="O198">
        <f t="shared" ca="1" si="67"/>
        <v>0</v>
      </c>
      <c r="P198">
        <f t="shared" ca="1" si="68"/>
        <v>1.0100000000000193</v>
      </c>
      <c r="Q198">
        <f t="shared" ca="1" si="51"/>
        <v>0.65124437558031345</v>
      </c>
      <c r="R198">
        <f t="shared" ca="1" si="52"/>
        <v>0.65937323293306449</v>
      </c>
      <c r="S198">
        <f t="shared" ca="1" si="49"/>
        <v>0.98767184206645486</v>
      </c>
      <c r="T198">
        <f t="shared" ca="1" si="50"/>
        <v>49.68988447507693</v>
      </c>
      <c r="U198">
        <f>70</f>
        <v>70</v>
      </c>
      <c r="V198">
        <f>30</f>
        <v>30</v>
      </c>
      <c r="W198">
        <f t="shared" ca="1" si="48"/>
        <v>146.16895417326069</v>
      </c>
      <c r="X198">
        <f t="shared" ca="1" si="58"/>
        <v>146.21151520044791</v>
      </c>
      <c r="Y198">
        <f t="shared" ca="1" si="57"/>
        <v>-2.6561397969061318E-2</v>
      </c>
      <c r="Z198">
        <f t="shared" ca="1" si="59"/>
        <v>-0.21212083211176203</v>
      </c>
      <c r="AA198">
        <f t="shared" ca="1" si="60"/>
        <v>0.18555943414270071</v>
      </c>
      <c r="AB198">
        <f t="shared" ca="1" si="61"/>
        <v>144.35569999999998</v>
      </c>
    </row>
    <row r="199" spans="1:28" x14ac:dyDescent="0.25">
      <c r="A199" s="20">
        <f t="shared" ca="1" si="62"/>
        <v>45978</v>
      </c>
      <c r="B199" vm="584">
        <f ca="1"/>
        <v>45982</v>
      </c>
      <c r="C199" vm="585">
        <f ca="1"/>
        <v>146.33000000000001</v>
      </c>
      <c r="D199" vm="586">
        <f ca="1"/>
        <v>7911761</v>
      </c>
      <c r="E199">
        <f t="shared" ca="1" si="63"/>
        <v>1157727987.1300001</v>
      </c>
      <c r="F199">
        <f ca="1">SUM($E$2:E199)/SUM($D$2:D199)</f>
        <v>141.60823416963595</v>
      </c>
      <c r="G199">
        <f ca="1">_xlfn.STDEV.P($C$2:C199)</f>
        <v>7.5812208817765558</v>
      </c>
      <c r="H199">
        <f t="shared" ca="1" si="64"/>
        <v>149.18945505141249</v>
      </c>
      <c r="I199">
        <f t="shared" ca="1" si="65"/>
        <v>134.0270132878594</v>
      </c>
      <c r="J199">
        <f t="shared" ca="1" si="53"/>
        <v>145.77699999999999</v>
      </c>
      <c r="K199">
        <f t="shared" ca="1" si="54"/>
        <v>2.7592907174050896</v>
      </c>
      <c r="L199">
        <f t="shared" ca="1" si="55"/>
        <v>151.29558143481017</v>
      </c>
      <c r="M199">
        <f t="shared" ca="1" si="56"/>
        <v>140.2584185651898</v>
      </c>
      <c r="N199">
        <f t="shared" ca="1" si="66"/>
        <v>0.23000000000001819</v>
      </c>
      <c r="O199">
        <f t="shared" ca="1" si="67"/>
        <v>0.23000000000001819</v>
      </c>
      <c r="P199">
        <f t="shared" ca="1" si="68"/>
        <v>0</v>
      </c>
      <c r="Q199">
        <f t="shared" ca="1" si="51"/>
        <v>0.62115549161029227</v>
      </c>
      <c r="R199">
        <f t="shared" ca="1" si="52"/>
        <v>0.61227514486641699</v>
      </c>
      <c r="S199">
        <f t="shared" ca="1" si="49"/>
        <v>1.0145038498105501</v>
      </c>
      <c r="T199">
        <f t="shared" ca="1" si="50"/>
        <v>50.359985656317171</v>
      </c>
      <c r="U199">
        <f>70</f>
        <v>70</v>
      </c>
      <c r="V199">
        <f>30</f>
        <v>30</v>
      </c>
      <c r="W199">
        <f t="shared" ca="1" si="48"/>
        <v>146.19373045429751</v>
      </c>
      <c r="X199">
        <f t="shared" ca="1" si="58"/>
        <v>146.22029185226657</v>
      </c>
      <c r="Y199">
        <f t="shared" ca="1" si="57"/>
        <v>-7.9934208148927155E-2</v>
      </c>
      <c r="Z199">
        <f t="shared" ca="1" si="59"/>
        <v>-0.18568350731919506</v>
      </c>
      <c r="AA199">
        <f t="shared" ca="1" si="60"/>
        <v>0.1057492991702679</v>
      </c>
      <c r="AB199">
        <f t="shared" ca="1" si="61"/>
        <v>144.45420000000001</v>
      </c>
    </row>
    <row r="200" spans="1:28" x14ac:dyDescent="0.25">
      <c r="A200" s="20">
        <f t="shared" ca="1" si="62"/>
        <v>45985</v>
      </c>
      <c r="B200" vm="587">
        <f ca="1"/>
        <v>45985</v>
      </c>
      <c r="C200" vm="588">
        <f ca="1"/>
        <v>145.5</v>
      </c>
      <c r="D200" vm="589">
        <f ca="1"/>
        <v>9391443</v>
      </c>
      <c r="E200">
        <f t="shared" ca="1" si="63"/>
        <v>1366454956.5</v>
      </c>
      <c r="F200">
        <f ca="1">SUM($E$2:E200)/SUM($D$2:D200)</f>
        <v>141.63010174206414</v>
      </c>
      <c r="G200">
        <f ca="1">_xlfn.STDEV.P($C$2:C200)</f>
        <v>7.5656587737447198</v>
      </c>
      <c r="H200">
        <f t="shared" ca="1" si="64"/>
        <v>149.19576051580887</v>
      </c>
      <c r="I200">
        <f t="shared" ca="1" si="65"/>
        <v>134.06444296831941</v>
      </c>
      <c r="J200">
        <f t="shared" ca="1" si="53"/>
        <v>145.42049999999998</v>
      </c>
      <c r="K200">
        <f t="shared" ca="1" si="54"/>
        <v>2.2387883823739663</v>
      </c>
      <c r="L200">
        <f t="shared" ca="1" si="55"/>
        <v>149.89807676474791</v>
      </c>
      <c r="M200">
        <f t="shared" ca="1" si="56"/>
        <v>140.94292323525204</v>
      </c>
      <c r="N200">
        <f t="shared" ca="1" si="66"/>
        <v>-0.83000000000001251</v>
      </c>
      <c r="O200">
        <f t="shared" ca="1" si="67"/>
        <v>0</v>
      </c>
      <c r="P200">
        <f t="shared" ca="1" si="68"/>
        <v>0.83000000000001251</v>
      </c>
      <c r="Q200">
        <f t="shared" ca="1" si="51"/>
        <v>0.57678724220955702</v>
      </c>
      <c r="R200">
        <f t="shared" ca="1" si="52"/>
        <v>0.62782692023310227</v>
      </c>
      <c r="S200">
        <f t="shared" ca="1" si="49"/>
        <v>0.91870422185051415</v>
      </c>
      <c r="T200">
        <f t="shared" ca="1" si="50"/>
        <v>47.881492696381329</v>
      </c>
      <c r="U200">
        <f>70</f>
        <v>70</v>
      </c>
      <c r="V200">
        <f>30</f>
        <v>30</v>
      </c>
      <c r="W200">
        <f t="shared" ca="1" si="48"/>
        <v>146.08700269209788</v>
      </c>
      <c r="X200">
        <f t="shared" ca="1" si="58"/>
        <v>146.16693690024681</v>
      </c>
      <c r="Y200">
        <f t="shared" ca="1" si="57"/>
        <v>-7.2178612612958659E-2</v>
      </c>
      <c r="Z200">
        <f t="shared" ca="1" si="59"/>
        <v>-0.16298252837794777</v>
      </c>
      <c r="AA200">
        <f t="shared" ca="1" si="60"/>
        <v>9.0803915764989113E-2</v>
      </c>
      <c r="AB200">
        <f t="shared" ca="1" si="61"/>
        <v>144.55539999999999</v>
      </c>
    </row>
    <row r="201" spans="1:28" x14ac:dyDescent="0.25">
      <c r="A201" s="20">
        <f t="shared" ca="1" si="62"/>
        <v>45985</v>
      </c>
      <c r="B201" vm="590">
        <f ca="1"/>
        <v>45986</v>
      </c>
      <c r="C201" vm="591">
        <f ca="1"/>
        <v>146.11000000000001</v>
      </c>
      <c r="D201" vm="592">
        <f ca="1"/>
        <v>8953952</v>
      </c>
      <c r="E201">
        <f t="shared" ca="1" si="63"/>
        <v>1308261926.72</v>
      </c>
      <c r="F201">
        <f ca="1">SUM($E$2:E201)/SUM($D$2:D201)</f>
        <v>141.65397348200511</v>
      </c>
      <c r="G201">
        <f ca="1">_xlfn.STDEV.P($C$2:C201)</f>
        <v>7.551611476987877</v>
      </c>
      <c r="H201">
        <f t="shared" ca="1" si="64"/>
        <v>149.205584958993</v>
      </c>
      <c r="I201">
        <f t="shared" ca="1" si="65"/>
        <v>134.10236200501723</v>
      </c>
      <c r="J201">
        <f t="shared" ca="1" si="53"/>
        <v>145.21999999999997</v>
      </c>
      <c r="K201">
        <f t="shared" ca="1" si="54"/>
        <v>1.9576758508093504</v>
      </c>
      <c r="L201">
        <f t="shared" ca="1" si="55"/>
        <v>149.13535170161867</v>
      </c>
      <c r="M201">
        <f t="shared" ca="1" si="56"/>
        <v>141.30464829838127</v>
      </c>
      <c r="N201">
        <f t="shared" ca="1" si="66"/>
        <v>0.61000000000001364</v>
      </c>
      <c r="O201">
        <f t="shared" ca="1" si="67"/>
        <v>0.61000000000001364</v>
      </c>
      <c r="P201">
        <f t="shared" ca="1" si="68"/>
        <v>0</v>
      </c>
      <c r="Q201">
        <f t="shared" ca="1" si="51"/>
        <v>0.57915958205173246</v>
      </c>
      <c r="R201">
        <f t="shared" ca="1" si="52"/>
        <v>0.58298214021645212</v>
      </c>
      <c r="S201">
        <f t="shared" ca="1" si="49"/>
        <v>0.99344309559243027</v>
      </c>
      <c r="T201">
        <f t="shared" ca="1" si="50"/>
        <v>49.835538209691883</v>
      </c>
      <c r="U201">
        <f>70</f>
        <v>70</v>
      </c>
      <c r="V201">
        <f>30</f>
        <v>30</v>
      </c>
      <c r="W201">
        <f t="shared" ca="1" si="48"/>
        <v>146.09054073946743</v>
      </c>
      <c r="X201">
        <f t="shared" ca="1" si="58"/>
        <v>146.16271935208039</v>
      </c>
      <c r="Y201">
        <f t="shared" ca="1" si="57"/>
        <v>8.3894046141608669E-2</v>
      </c>
      <c r="Z201">
        <f t="shared" ca="1" si="59"/>
        <v>-0.11360721347403649</v>
      </c>
      <c r="AA201">
        <f t="shared" ca="1" si="60"/>
        <v>0.19750125961564516</v>
      </c>
      <c r="AB201">
        <f t="shared" ca="1" si="61"/>
        <v>144.672</v>
      </c>
    </row>
    <row r="202" spans="1:28" x14ac:dyDescent="0.25">
      <c r="A202" s="20">
        <f t="shared" ca="1" si="62"/>
        <v>45985</v>
      </c>
      <c r="B202" vm="593">
        <f ca="1"/>
        <v>45987</v>
      </c>
      <c r="C202" vm="594">
        <f ca="1"/>
        <v>147.97999999999999</v>
      </c>
      <c r="D202" vm="595">
        <f ca="1"/>
        <v>5180946</v>
      </c>
      <c r="E202">
        <f t="shared" ca="1" si="63"/>
        <v>766676389.07999992</v>
      </c>
      <c r="F202">
        <f ca="1">SUM($E$2:E202)/SUM($D$2:D202)</f>
        <v>141.67341831657365</v>
      </c>
      <c r="G202">
        <f ca="1">_xlfn.STDEV.P($C$2:C202)</f>
        <v>7.543483464300091</v>
      </c>
      <c r="H202">
        <f t="shared" ca="1" si="64"/>
        <v>149.21690178087374</v>
      </c>
      <c r="I202">
        <f t="shared" ca="1" si="65"/>
        <v>134.12993485227355</v>
      </c>
      <c r="J202">
        <f t="shared" ca="1" si="53"/>
        <v>145.31099999999998</v>
      </c>
      <c r="K202">
        <f t="shared" ca="1" si="54"/>
        <v>2.0440643207512883</v>
      </c>
      <c r="L202">
        <f t="shared" ca="1" si="55"/>
        <v>149.39912864150256</v>
      </c>
      <c r="M202">
        <f t="shared" ca="1" si="56"/>
        <v>141.2228713584974</v>
      </c>
      <c r="N202">
        <f t="shared" ca="1" si="66"/>
        <v>1.8699999999999761</v>
      </c>
      <c r="O202">
        <f t="shared" ca="1" si="67"/>
        <v>1.8699999999999761</v>
      </c>
      <c r="P202">
        <f t="shared" ca="1" si="68"/>
        <v>0</v>
      </c>
      <c r="Q202">
        <f t="shared" ca="1" si="51"/>
        <v>0.67136246904803554</v>
      </c>
      <c r="R202">
        <f t="shared" ca="1" si="52"/>
        <v>0.54134055877241982</v>
      </c>
      <c r="S202">
        <f t="shared" ca="1" si="49"/>
        <v>1.2401850520316862</v>
      </c>
      <c r="T202">
        <f t="shared" ca="1" si="50"/>
        <v>55.360830611155436</v>
      </c>
      <c r="U202">
        <f>70</f>
        <v>70</v>
      </c>
      <c r="V202">
        <f>30</f>
        <v>30</v>
      </c>
      <c r="W202">
        <f t="shared" ca="1" si="48"/>
        <v>146.38122677954937</v>
      </c>
      <c r="X202">
        <f t="shared" ca="1" si="58"/>
        <v>146.29733273340776</v>
      </c>
      <c r="Y202">
        <f t="shared" ca="1" si="57"/>
        <v>0.265843917859371</v>
      </c>
      <c r="Z202">
        <f t="shared" ca="1" si="59"/>
        <v>-3.7716987207354995E-2</v>
      </c>
      <c r="AA202">
        <f t="shared" ca="1" si="60"/>
        <v>0.30356090506672601</v>
      </c>
      <c r="AB202">
        <f t="shared" ca="1" si="61"/>
        <v>144.8014</v>
      </c>
    </row>
    <row r="203" spans="1:28" x14ac:dyDescent="0.25">
      <c r="A203" s="20">
        <f t="shared" ca="1" si="62"/>
        <v>45985</v>
      </c>
      <c r="B203" vm="596">
        <f ca="1"/>
        <v>45989</v>
      </c>
      <c r="C203" vm="597">
        <f ca="1"/>
        <v>148.74</v>
      </c>
      <c r="D203" vm="598">
        <f ca="1"/>
        <v>2969300</v>
      </c>
      <c r="E203">
        <f t="shared" ca="1" si="63"/>
        <v>441653682</v>
      </c>
      <c r="F203">
        <f ca="1">SUM($E$2:E203)/SUM($D$2:D203)</f>
        <v>141.68584522909373</v>
      </c>
      <c r="G203">
        <f ca="1">_xlfn.STDEV.P($C$2:C203)</f>
        <v>7.5383296639094572</v>
      </c>
      <c r="H203">
        <f t="shared" ca="1" si="64"/>
        <v>149.22417489300318</v>
      </c>
      <c r="I203">
        <f t="shared" ca="1" si="65"/>
        <v>134.14751556518428</v>
      </c>
      <c r="J203">
        <f t="shared" ca="1" si="53"/>
        <v>145.37049999999999</v>
      </c>
      <c r="K203">
        <f t="shared" ca="1" si="54"/>
        <v>2.1282547211024205</v>
      </c>
      <c r="L203">
        <f t="shared" ca="1" si="55"/>
        <v>149.62700944220484</v>
      </c>
      <c r="M203">
        <f t="shared" ca="1" si="56"/>
        <v>141.11399055779515</v>
      </c>
      <c r="N203">
        <f t="shared" ca="1" si="66"/>
        <v>0.76000000000001933</v>
      </c>
      <c r="O203">
        <f t="shared" ca="1" si="67"/>
        <v>0.76000000000001933</v>
      </c>
      <c r="P203">
        <f t="shared" ca="1" si="68"/>
        <v>0</v>
      </c>
      <c r="Q203">
        <f t="shared" ca="1" si="51"/>
        <v>0.67769372125889149</v>
      </c>
      <c r="R203">
        <f t="shared" ca="1" si="52"/>
        <v>0.50267337600296125</v>
      </c>
      <c r="S203">
        <f t="shared" ca="1" si="49"/>
        <v>1.3481790634061732</v>
      </c>
      <c r="T203">
        <f t="shared" ca="1" si="50"/>
        <v>57.413809892783874</v>
      </c>
      <c r="U203">
        <f>70</f>
        <v>70</v>
      </c>
      <c r="V203">
        <f>30</f>
        <v>30</v>
      </c>
      <c r="W203">
        <f t="shared" ca="1" si="48"/>
        <v>146.74411496731099</v>
      </c>
      <c r="X203">
        <f t="shared" ca="1" si="58"/>
        <v>146.47827104945162</v>
      </c>
      <c r="Y203">
        <f t="shared" ca="1" si="57"/>
        <v>0.46679217726378397</v>
      </c>
      <c r="Z203">
        <f t="shared" ca="1" si="59"/>
        <v>6.3184845686872798E-2</v>
      </c>
      <c r="AA203">
        <f t="shared" ca="1" si="60"/>
        <v>0.4036073315769112</v>
      </c>
      <c r="AB203">
        <f t="shared" ca="1" si="61"/>
        <v>144.94399999999999</v>
      </c>
    </row>
    <row r="204" spans="1:28" x14ac:dyDescent="0.25">
      <c r="A204" s="20">
        <f t="shared" ca="1" si="62"/>
        <v>45992</v>
      </c>
      <c r="B204" vm="599">
        <f ca="1"/>
        <v>45992</v>
      </c>
      <c r="C204" vm="600">
        <f ca="1"/>
        <v>149.51</v>
      </c>
      <c r="D204" vm="601">
        <f ca="1"/>
        <v>7623275</v>
      </c>
      <c r="E204">
        <f t="shared" ca="1" si="63"/>
        <v>1139755845.25</v>
      </c>
      <c r="F204">
        <f ca="1">SUM($E$2:E204)/SUM($D$2:D204)</f>
        <v>141.72101118653927</v>
      </c>
      <c r="G204">
        <f ca="1">_xlfn.STDEV.P($C$2:C204)</f>
        <v>7.536490788044973</v>
      </c>
      <c r="H204">
        <f t="shared" ca="1" si="64"/>
        <v>149.25750197458424</v>
      </c>
      <c r="I204">
        <f t="shared" ca="1" si="65"/>
        <v>134.1845203984943</v>
      </c>
      <c r="J204">
        <f t="shared" ca="1" si="53"/>
        <v>145.54149999999998</v>
      </c>
      <c r="K204">
        <f t="shared" ca="1" si="54"/>
        <v>2.3180397231054379</v>
      </c>
      <c r="L204">
        <f t="shared" ca="1" si="55"/>
        <v>150.17757944621087</v>
      </c>
      <c r="M204">
        <f t="shared" ca="1" si="56"/>
        <v>140.9054205537891</v>
      </c>
      <c r="N204">
        <f t="shared" ca="1" si="66"/>
        <v>0.76999999999998181</v>
      </c>
      <c r="O204">
        <f t="shared" ca="1" si="67"/>
        <v>0.76999999999998181</v>
      </c>
      <c r="P204">
        <f t="shared" ca="1" si="68"/>
        <v>0</v>
      </c>
      <c r="Q204">
        <f t="shared" ca="1" si="51"/>
        <v>0.68428702688325505</v>
      </c>
      <c r="R204">
        <f t="shared" ca="1" si="52"/>
        <v>0.4667681348598926</v>
      </c>
      <c r="S204">
        <f t="shared" ca="1" si="49"/>
        <v>1.4660105859382495</v>
      </c>
      <c r="T204">
        <f t="shared" ca="1" si="50"/>
        <v>59.44867367146653</v>
      </c>
      <c r="U204">
        <f>70</f>
        <v>70</v>
      </c>
      <c r="V204">
        <f>30</f>
        <v>30</v>
      </c>
      <c r="W204">
        <f t="shared" ca="1" si="48"/>
        <v>147.16963574157083</v>
      </c>
      <c r="X204">
        <f t="shared" ca="1" si="58"/>
        <v>146.70284356430705</v>
      </c>
      <c r="Y204">
        <f t="shared" ca="1" si="57"/>
        <v>0.54711583147224019</v>
      </c>
      <c r="Z204">
        <f t="shared" ca="1" si="59"/>
        <v>0.15997104284394628</v>
      </c>
      <c r="AA204">
        <f t="shared" ca="1" si="60"/>
        <v>0.38714478862829393</v>
      </c>
      <c r="AB204">
        <f t="shared" ca="1" si="61"/>
        <v>145.07830000000001</v>
      </c>
    </row>
    <row r="205" spans="1:28" x14ac:dyDescent="0.25">
      <c r="A205" s="20">
        <f t="shared" ca="1" si="62"/>
        <v>45992</v>
      </c>
      <c r="B205" vm="602">
        <f ca="1"/>
        <v>45993</v>
      </c>
      <c r="C205" vm="603">
        <f ca="1"/>
        <v>148.61000000000001</v>
      </c>
      <c r="D205" vm="604">
        <f ca="1"/>
        <v>6830290</v>
      </c>
      <c r="E205">
        <f t="shared" ca="1" si="63"/>
        <v>1015049396.9000001</v>
      </c>
      <c r="F205">
        <f ca="1">SUM($E$2:E205)/SUM($D$2:D205)</f>
        <v>141.74864193530513</v>
      </c>
      <c r="G205">
        <f ca="1">_xlfn.STDEV.P($C$2:C205)</f>
        <v>7.5306084719611404</v>
      </c>
      <c r="H205">
        <f t="shared" ca="1" si="64"/>
        <v>149.27925040726626</v>
      </c>
      <c r="I205">
        <f t="shared" ca="1" si="65"/>
        <v>134.218033463344</v>
      </c>
      <c r="J205">
        <f t="shared" ca="1" si="53"/>
        <v>145.79200000000003</v>
      </c>
      <c r="K205">
        <f t="shared" ca="1" si="54"/>
        <v>2.3673671807349725</v>
      </c>
      <c r="L205">
        <f t="shared" ca="1" si="55"/>
        <v>150.52673436146998</v>
      </c>
      <c r="M205">
        <f t="shared" ca="1" si="56"/>
        <v>141.05726563853008</v>
      </c>
      <c r="N205">
        <f t="shared" ca="1" si="66"/>
        <v>-0.89999999999997726</v>
      </c>
      <c r="O205">
        <f t="shared" ca="1" si="67"/>
        <v>0</v>
      </c>
      <c r="P205">
        <f t="shared" ca="1" si="68"/>
        <v>0.89999999999997726</v>
      </c>
      <c r="Q205">
        <f t="shared" ca="1" si="51"/>
        <v>0.63540938210587961</v>
      </c>
      <c r="R205">
        <f t="shared" ca="1" si="52"/>
        <v>0.49771326808418437</v>
      </c>
      <c r="S205">
        <f t="shared" ca="1" si="49"/>
        <v>1.2766575111644503</v>
      </c>
      <c r="T205">
        <f t="shared" ca="1" si="50"/>
        <v>56.075958061494887</v>
      </c>
      <c r="U205">
        <f>70</f>
        <v>70</v>
      </c>
      <c r="V205">
        <f>30</f>
        <v>30</v>
      </c>
      <c r="W205">
        <f t="shared" ca="1" si="48"/>
        <v>147.39123024286764</v>
      </c>
      <c r="X205">
        <f t="shared" ca="1" si="58"/>
        <v>146.8441144113954</v>
      </c>
      <c r="Y205">
        <f t="shared" ca="1" si="57"/>
        <v>0.55993788725976401</v>
      </c>
      <c r="Z205">
        <f t="shared" ca="1" si="59"/>
        <v>0.23996441172710983</v>
      </c>
      <c r="AA205">
        <f t="shared" ca="1" si="60"/>
        <v>0.31997347553265421</v>
      </c>
      <c r="AB205">
        <f t="shared" ca="1" si="61"/>
        <v>145.21180000000001</v>
      </c>
    </row>
    <row r="206" spans="1:28" x14ac:dyDescent="0.25">
      <c r="A206" s="20">
        <f t="shared" ca="1" si="62"/>
        <v>45992</v>
      </c>
      <c r="B206" vm="605">
        <f ca="1"/>
        <v>45994</v>
      </c>
      <c r="C206" vm="606">
        <f ca="1"/>
        <v>148.06</v>
      </c>
      <c r="D206" vm="607">
        <f ca="1"/>
        <v>5109218</v>
      </c>
      <c r="E206">
        <f t="shared" ca="1" si="63"/>
        <v>756470817.08000004</v>
      </c>
      <c r="F206">
        <f ca="1">SUM($E$2:E206)/SUM($D$2:D206)</f>
        <v>141.76752072976666</v>
      </c>
      <c r="G206">
        <f ca="1">_xlfn.STDEV.P($C$2:C206)</f>
        <v>7.5225514875478137</v>
      </c>
      <c r="H206">
        <f t="shared" ca="1" si="64"/>
        <v>149.29007221731447</v>
      </c>
      <c r="I206">
        <f t="shared" ca="1" si="65"/>
        <v>134.24496924221884</v>
      </c>
      <c r="J206">
        <f t="shared" ca="1" si="53"/>
        <v>146.05000000000001</v>
      </c>
      <c r="K206">
        <f t="shared" ca="1" si="54"/>
        <v>2.3162242414848584</v>
      </c>
      <c r="L206">
        <f t="shared" ca="1" si="55"/>
        <v>150.68244848296973</v>
      </c>
      <c r="M206">
        <f t="shared" ca="1" si="56"/>
        <v>141.41755151703029</v>
      </c>
      <c r="N206">
        <f t="shared" ca="1" si="66"/>
        <v>-0.55000000000001137</v>
      </c>
      <c r="O206">
        <f t="shared" ca="1" si="67"/>
        <v>0</v>
      </c>
      <c r="P206">
        <f t="shared" ca="1" si="68"/>
        <v>0.55000000000001137</v>
      </c>
      <c r="Q206">
        <f t="shared" ca="1" si="51"/>
        <v>0.59002299766974531</v>
      </c>
      <c r="R206">
        <f t="shared" ca="1" si="52"/>
        <v>0.50144803464960064</v>
      </c>
      <c r="S206">
        <f t="shared" ca="1" si="49"/>
        <v>1.1766383690825284</v>
      </c>
      <c r="T206">
        <f t="shared" ca="1" si="50"/>
        <v>54.057595684968632</v>
      </c>
      <c r="U206">
        <f>70</f>
        <v>70</v>
      </c>
      <c r="V206">
        <f>30</f>
        <v>30</v>
      </c>
      <c r="W206">
        <f t="shared" ca="1" si="48"/>
        <v>147.49411789781107</v>
      </c>
      <c r="X206">
        <f t="shared" ca="1" si="58"/>
        <v>146.9341800105513</v>
      </c>
      <c r="Y206">
        <f t="shared" ca="1" si="57"/>
        <v>0.47186470718150986</v>
      </c>
      <c r="Z206">
        <f t="shared" ca="1" si="59"/>
        <v>0.28634447081798986</v>
      </c>
      <c r="AA206">
        <f t="shared" ca="1" si="60"/>
        <v>0.18552023636352</v>
      </c>
      <c r="AB206">
        <f t="shared" ca="1" si="61"/>
        <v>145.33670000000001</v>
      </c>
    </row>
    <row r="207" spans="1:28" x14ac:dyDescent="0.25">
      <c r="A207" s="20">
        <f t="shared" ca="1" si="62"/>
        <v>45992</v>
      </c>
      <c r="B207" vm="608">
        <f ca="1"/>
        <v>45995</v>
      </c>
      <c r="C207" vm="609">
        <f ca="1"/>
        <v>146.91</v>
      </c>
      <c r="D207" vm="610">
        <f ca="1"/>
        <v>6802969</v>
      </c>
      <c r="E207">
        <f t="shared" ca="1" si="63"/>
        <v>999424175.78999996</v>
      </c>
      <c r="F207">
        <f ca="1">SUM($E$2:E207)/SUM($D$2:D207)</f>
        <v>141.78792127365338</v>
      </c>
      <c r="G207">
        <f ca="1">_xlfn.STDEV.P($C$2:C207)</f>
        <v>7.5107266076508949</v>
      </c>
      <c r="H207">
        <f t="shared" ca="1" si="64"/>
        <v>149.29864788130428</v>
      </c>
      <c r="I207">
        <f t="shared" ca="1" si="65"/>
        <v>134.27719466600249</v>
      </c>
      <c r="J207">
        <f t="shared" ca="1" si="53"/>
        <v>146.2525</v>
      </c>
      <c r="K207">
        <f t="shared" ca="1" si="54"/>
        <v>2.1966047365015529</v>
      </c>
      <c r="L207">
        <f t="shared" ca="1" si="55"/>
        <v>150.64570947300311</v>
      </c>
      <c r="M207">
        <f t="shared" ca="1" si="56"/>
        <v>141.85929052699689</v>
      </c>
      <c r="N207">
        <f t="shared" ca="1" si="66"/>
        <v>-1.1500000000000057</v>
      </c>
      <c r="O207">
        <f t="shared" ca="1" si="67"/>
        <v>0</v>
      </c>
      <c r="P207">
        <f t="shared" ca="1" si="68"/>
        <v>1.1500000000000057</v>
      </c>
      <c r="Q207">
        <f t="shared" ca="1" si="51"/>
        <v>0.54787849783619202</v>
      </c>
      <c r="R207">
        <f t="shared" ca="1" si="52"/>
        <v>0.54777317503177236</v>
      </c>
      <c r="S207">
        <f t="shared" ca="1" si="49"/>
        <v>1.0001922744837104</v>
      </c>
      <c r="T207">
        <f t="shared" ca="1" si="50"/>
        <v>50.004806400018722</v>
      </c>
      <c r="U207">
        <f>70</f>
        <v>70</v>
      </c>
      <c r="V207">
        <f>30</f>
        <v>30</v>
      </c>
      <c r="W207">
        <f t="shared" ref="W207:W252" ca="1" si="69">C207*(2/(12+1)) + W206*(1-(2/(12+1)))</f>
        <v>147.40425360584013</v>
      </c>
      <c r="X207">
        <f t="shared" ca="1" si="58"/>
        <v>146.93238889865862</v>
      </c>
      <c r="Y207">
        <f t="shared" ca="1" si="57"/>
        <v>0.24671489706688021</v>
      </c>
      <c r="Z207">
        <f t="shared" ca="1" si="59"/>
        <v>0.27841855606776794</v>
      </c>
      <c r="AA207">
        <f t="shared" ca="1" si="60"/>
        <v>-3.1703659000887729E-2</v>
      </c>
      <c r="AB207">
        <f t="shared" ca="1" si="61"/>
        <v>145.46770000000004</v>
      </c>
    </row>
    <row r="208" spans="1:28" x14ac:dyDescent="0.25">
      <c r="A208" s="20">
        <f t="shared" ca="1" si="62"/>
        <v>45992</v>
      </c>
      <c r="B208" vm="611">
        <f ca="1"/>
        <v>45996</v>
      </c>
      <c r="C208" vm="567">
        <f ca="1"/>
        <v>145.02000000000001</v>
      </c>
      <c r="D208" vm="612">
        <f ca="1"/>
        <v>5971510</v>
      </c>
      <c r="E208">
        <f t="shared" ca="1" si="63"/>
        <v>865988380.20000005</v>
      </c>
      <c r="F208">
        <f ca="1">SUM($E$2:E208)/SUM($D$2:D208)</f>
        <v>141.79913699270048</v>
      </c>
      <c r="G208">
        <f ca="1">_xlfn.STDEV.P($C$2:C208)</f>
        <v>7.494677860151822</v>
      </c>
      <c r="H208">
        <f t="shared" ca="1" si="64"/>
        <v>149.29381485285231</v>
      </c>
      <c r="I208">
        <f t="shared" ca="1" si="65"/>
        <v>134.30445913254866</v>
      </c>
      <c r="J208">
        <f t="shared" ca="1" si="53"/>
        <v>146.42450000000002</v>
      </c>
      <c r="K208">
        <f t="shared" ca="1" si="54"/>
        <v>1.9299781155017783</v>
      </c>
      <c r="L208">
        <f t="shared" ca="1" si="55"/>
        <v>150.28445623100359</v>
      </c>
      <c r="M208">
        <f t="shared" ca="1" si="56"/>
        <v>142.56454376899646</v>
      </c>
      <c r="N208">
        <f t="shared" ca="1" si="66"/>
        <v>-1.8899999999999864</v>
      </c>
      <c r="O208">
        <f t="shared" ca="1" si="67"/>
        <v>0</v>
      </c>
      <c r="P208">
        <f t="shared" ca="1" si="68"/>
        <v>1.8899999999999864</v>
      </c>
      <c r="Q208">
        <f t="shared" ca="1" si="51"/>
        <v>0.50874431941932119</v>
      </c>
      <c r="R208">
        <f t="shared" ca="1" si="52"/>
        <v>0.64364651967235909</v>
      </c>
      <c r="S208">
        <f t="shared" ref="S208:S252" ca="1" si="70">IF(R208=0,NA(),Q208/R208)</f>
        <v>0.79040949320799825</v>
      </c>
      <c r="T208">
        <f t="shared" ref="T208:T252" ca="1" si="71">100-(100/(1+S208))</f>
        <v>44.14685557725501</v>
      </c>
      <c r="U208">
        <f>70</f>
        <v>70</v>
      </c>
      <c r="V208">
        <f>30</f>
        <v>30</v>
      </c>
      <c r="W208">
        <f t="shared" ca="1" si="69"/>
        <v>147.03744535878781</v>
      </c>
      <c r="X208">
        <f t="shared" ca="1" si="58"/>
        <v>146.79073046172093</v>
      </c>
      <c r="Y208">
        <f t="shared" ca="1" si="57"/>
        <v>0.11616487607031445</v>
      </c>
      <c r="Z208">
        <f t="shared" ca="1" si="59"/>
        <v>0.24596782006827725</v>
      </c>
      <c r="AA208">
        <f t="shared" ca="1" si="60"/>
        <v>-0.1298029439979628</v>
      </c>
      <c r="AB208">
        <f t="shared" ca="1" si="61"/>
        <v>145.56440000000001</v>
      </c>
    </row>
    <row r="209" spans="1:28" x14ac:dyDescent="0.25">
      <c r="A209" s="20">
        <f t="shared" ca="1" si="62"/>
        <v>45999</v>
      </c>
      <c r="B209" vm="613">
        <f ca="1"/>
        <v>45999</v>
      </c>
      <c r="C209" vm="614">
        <f ca="1"/>
        <v>145.63</v>
      </c>
      <c r="D209" vm="615">
        <f ca="1"/>
        <v>6327412</v>
      </c>
      <c r="E209">
        <f t="shared" ca="1" si="63"/>
        <v>921461009.55999994</v>
      </c>
      <c r="F209">
        <f ca="1">SUM($E$2:E209)/SUM($D$2:D209)</f>
        <v>141.8131712622766</v>
      </c>
      <c r="G209">
        <f ca="1">_xlfn.STDEV.P($C$2:C209)</f>
        <v>7.4798453935297724</v>
      </c>
      <c r="H209">
        <f t="shared" ca="1" si="64"/>
        <v>149.29301665580638</v>
      </c>
      <c r="I209">
        <f t="shared" ca="1" si="65"/>
        <v>134.33332586874681</v>
      </c>
      <c r="J209">
        <f t="shared" ca="1" si="53"/>
        <v>146.55850000000001</v>
      </c>
      <c r="K209">
        <f t="shared" ca="1" si="54"/>
        <v>1.761749354895209</v>
      </c>
      <c r="L209">
        <f t="shared" ca="1" si="55"/>
        <v>150.08199870979044</v>
      </c>
      <c r="M209">
        <f t="shared" ca="1" si="56"/>
        <v>143.03500129020958</v>
      </c>
      <c r="N209">
        <f t="shared" ca="1" si="66"/>
        <v>0.60999999999998522</v>
      </c>
      <c r="O209">
        <f t="shared" ca="1" si="67"/>
        <v>0.60999999999998522</v>
      </c>
      <c r="P209">
        <f t="shared" ca="1" si="68"/>
        <v>0</v>
      </c>
      <c r="Q209">
        <f t="shared" ref="Q209:Q252" ca="1" si="72">(Q208*13+O209)/14</f>
        <v>0.51597686803222576</v>
      </c>
      <c r="R209">
        <f t="shared" ref="R209:R252" ca="1" si="73">(R208*13+P209)/14</f>
        <v>0.5976717682671906</v>
      </c>
      <c r="S209">
        <f t="shared" ca="1" si="70"/>
        <v>0.86331142849223064</v>
      </c>
      <c r="T209">
        <f t="shared" ca="1" si="71"/>
        <v>46.332106125212356</v>
      </c>
      <c r="U209">
        <f>70</f>
        <v>70</v>
      </c>
      <c r="V209">
        <f>30</f>
        <v>30</v>
      </c>
      <c r="W209">
        <f t="shared" ca="1" si="69"/>
        <v>146.82091530358969</v>
      </c>
      <c r="X209">
        <f t="shared" ca="1" si="58"/>
        <v>146.70475042751937</v>
      </c>
      <c r="Y209">
        <f t="shared" ca="1" si="57"/>
        <v>-6.6416079138605255E-2</v>
      </c>
      <c r="Z209">
        <f t="shared" ca="1" si="59"/>
        <v>0.18349104022690077</v>
      </c>
      <c r="AA209">
        <f t="shared" ca="1" si="60"/>
        <v>-0.24990711936550603</v>
      </c>
      <c r="AB209">
        <f t="shared" ca="1" si="61"/>
        <v>145.56629999999998</v>
      </c>
    </row>
    <row r="210" spans="1:28" x14ac:dyDescent="0.25">
      <c r="A210" s="20">
        <f t="shared" ca="1" si="62"/>
        <v>45999</v>
      </c>
      <c r="B210" vm="616">
        <f ca="1"/>
        <v>46000</v>
      </c>
      <c r="C210" vm="617">
        <f ca="1"/>
        <v>144.63999999999999</v>
      </c>
      <c r="D210" vm="618">
        <f ca="1"/>
        <v>10035178</v>
      </c>
      <c r="E210">
        <f t="shared" ca="1" si="63"/>
        <v>1451488145.9199998</v>
      </c>
      <c r="F210">
        <f ca="1">SUM($E$2:E210)/SUM($D$2:D210)</f>
        <v>141.82950086484709</v>
      </c>
      <c r="G210">
        <f ca="1">_xlfn.STDEV.P($C$2:C210)</f>
        <v>7.4634183193918133</v>
      </c>
      <c r="H210">
        <f t="shared" ca="1" si="64"/>
        <v>149.29291918423891</v>
      </c>
      <c r="I210">
        <f t="shared" ca="1" si="65"/>
        <v>134.36608254545527</v>
      </c>
      <c r="J210">
        <f t="shared" ca="1" si="53"/>
        <v>146.65950000000001</v>
      </c>
      <c r="K210">
        <f t="shared" ca="1" si="54"/>
        <v>1.5717287666100279</v>
      </c>
      <c r="L210">
        <f t="shared" ca="1" si="55"/>
        <v>149.80295753322005</v>
      </c>
      <c r="M210">
        <f t="shared" ca="1" si="56"/>
        <v>143.51604246677996</v>
      </c>
      <c r="N210">
        <f t="shared" ca="1" si="66"/>
        <v>-0.99000000000000909</v>
      </c>
      <c r="O210">
        <f t="shared" ca="1" si="67"/>
        <v>0</v>
      </c>
      <c r="P210">
        <f t="shared" ca="1" si="68"/>
        <v>0.99000000000000909</v>
      </c>
      <c r="Q210">
        <f t="shared" ca="1" si="72"/>
        <v>0.47912137745849531</v>
      </c>
      <c r="R210">
        <f t="shared" ca="1" si="73"/>
        <v>0.62569521339096335</v>
      </c>
      <c r="S210">
        <f t="shared" ca="1" si="70"/>
        <v>0.76574243689973398</v>
      </c>
      <c r="T210">
        <f t="shared" ca="1" si="71"/>
        <v>43.366598712109678</v>
      </c>
      <c r="U210">
        <f>70</f>
        <v>70</v>
      </c>
      <c r="V210">
        <f>30</f>
        <v>30</v>
      </c>
      <c r="W210">
        <f t="shared" ca="1" si="69"/>
        <v>146.4853898722682</v>
      </c>
      <c r="X210">
        <f t="shared" ca="1" si="58"/>
        <v>146.55180595140681</v>
      </c>
      <c r="Y210">
        <f t="shared" ca="1" si="57"/>
        <v>0.19493976597280493</v>
      </c>
      <c r="Z210">
        <f t="shared" ca="1" si="59"/>
        <v>0.18578078537608161</v>
      </c>
      <c r="AA210">
        <f t="shared" ca="1" si="60"/>
        <v>9.1589805967233207E-3</v>
      </c>
      <c r="AB210">
        <f t="shared" ca="1" si="61"/>
        <v>145.58029999999997</v>
      </c>
    </row>
    <row r="211" spans="1:28" x14ac:dyDescent="0.25">
      <c r="A211" s="20">
        <f t="shared" ca="1" si="62"/>
        <v>45999</v>
      </c>
      <c r="B211" vm="619">
        <f ca="1"/>
        <v>46001</v>
      </c>
      <c r="C211" vm="620">
        <f ca="1"/>
        <v>149.69999999999999</v>
      </c>
      <c r="D211" vm="621">
        <f ca="1"/>
        <v>18526426</v>
      </c>
      <c r="E211">
        <f t="shared" ca="1" si="63"/>
        <v>2773405972.1999998</v>
      </c>
      <c r="F211">
        <f ca="1">SUM($E$2:E211)/SUM($D$2:D211)</f>
        <v>141.91255053738982</v>
      </c>
      <c r="G211">
        <f ca="1">_xlfn.STDEV.P($C$2:C211)</f>
        <v>7.4621522085343006</v>
      </c>
      <c r="H211">
        <f t="shared" ca="1" si="64"/>
        <v>149.37470274592411</v>
      </c>
      <c r="I211">
        <f t="shared" ca="1" si="65"/>
        <v>134.45039832885553</v>
      </c>
      <c r="J211">
        <f t="shared" ca="1" si="53"/>
        <v>146.89049999999997</v>
      </c>
      <c r="K211">
        <f t="shared" ca="1" si="54"/>
        <v>1.6641561003450946</v>
      </c>
      <c r="L211">
        <f t="shared" ca="1" si="55"/>
        <v>150.21881220069017</v>
      </c>
      <c r="M211">
        <f t="shared" ca="1" si="56"/>
        <v>143.56218779930978</v>
      </c>
      <c r="N211">
        <f t="shared" ca="1" si="66"/>
        <v>5.0600000000000023</v>
      </c>
      <c r="O211">
        <f t="shared" ca="1" si="67"/>
        <v>5.0600000000000023</v>
      </c>
      <c r="P211">
        <f t="shared" ca="1" si="68"/>
        <v>0</v>
      </c>
      <c r="Q211">
        <f t="shared" ca="1" si="72"/>
        <v>0.80632699335431723</v>
      </c>
      <c r="R211">
        <f t="shared" ca="1" si="73"/>
        <v>0.58100269814875172</v>
      </c>
      <c r="S211">
        <f t="shared" ca="1" si="70"/>
        <v>1.3878197053533763</v>
      </c>
      <c r="T211">
        <f t="shared" ca="1" si="71"/>
        <v>58.12079120722354</v>
      </c>
      <c r="U211">
        <f>70</f>
        <v>70</v>
      </c>
      <c r="V211">
        <f>30</f>
        <v>30</v>
      </c>
      <c r="W211">
        <f t="shared" ca="1" si="69"/>
        <v>146.97994527653464</v>
      </c>
      <c r="X211">
        <f t="shared" ca="1" si="58"/>
        <v>146.78500551056183</v>
      </c>
      <c r="Y211">
        <f t="shared" ca="1" si="57"/>
        <v>0.34483463304329121</v>
      </c>
      <c r="Z211">
        <f t="shared" ca="1" si="59"/>
        <v>0.21759155490952353</v>
      </c>
      <c r="AA211">
        <f t="shared" ca="1" si="60"/>
        <v>0.12724307813376767</v>
      </c>
      <c r="AB211">
        <f t="shared" ca="1" si="61"/>
        <v>145.66029999999998</v>
      </c>
    </row>
    <row r="212" spans="1:28" x14ac:dyDescent="0.25">
      <c r="A212" s="20">
        <f t="shared" ca="1" si="62"/>
        <v>45999</v>
      </c>
      <c r="B212" vm="622">
        <f ca="1"/>
        <v>46002</v>
      </c>
      <c r="C212" vm="623">
        <f ca="1"/>
        <v>149.04</v>
      </c>
      <c r="D212" vm="624">
        <f ca="1"/>
        <v>7854008</v>
      </c>
      <c r="E212">
        <f t="shared" ca="1" si="63"/>
        <v>1170561352.3199999</v>
      </c>
      <c r="F212">
        <f ca="1">SUM($E$2:E212)/SUM($D$2:D212)</f>
        <v>141.94429230143172</v>
      </c>
      <c r="G212">
        <f ca="1">_xlfn.STDEV.P($C$2:C212)</f>
        <v>7.4578851746355372</v>
      </c>
      <c r="H212">
        <f t="shared" ca="1" si="64"/>
        <v>149.40217747606727</v>
      </c>
      <c r="I212">
        <f t="shared" ca="1" si="65"/>
        <v>134.48640712679617</v>
      </c>
      <c r="J212">
        <f t="shared" ca="1" si="53"/>
        <v>147.12299999999999</v>
      </c>
      <c r="K212">
        <f t="shared" ca="1" si="54"/>
        <v>1.6206824423517909</v>
      </c>
      <c r="L212">
        <f t="shared" ca="1" si="55"/>
        <v>150.36436488470358</v>
      </c>
      <c r="M212">
        <f t="shared" ca="1" si="56"/>
        <v>143.8816351152964</v>
      </c>
      <c r="N212">
        <f t="shared" ca="1" si="66"/>
        <v>-0.65999999999999659</v>
      </c>
      <c r="O212">
        <f t="shared" ca="1" si="67"/>
        <v>0</v>
      </c>
      <c r="P212">
        <f t="shared" ca="1" si="68"/>
        <v>0.65999999999999659</v>
      </c>
      <c r="Q212">
        <f t="shared" ca="1" si="72"/>
        <v>0.74873220811472319</v>
      </c>
      <c r="R212">
        <f t="shared" ca="1" si="73"/>
        <v>0.58664536256669775</v>
      </c>
      <c r="S212">
        <f t="shared" ca="1" si="70"/>
        <v>1.2762944291230074</v>
      </c>
      <c r="T212">
        <f t="shared" ca="1" si="71"/>
        <v>56.068951924410236</v>
      </c>
      <c r="U212">
        <f>70</f>
        <v>70</v>
      </c>
      <c r="V212">
        <f>30</f>
        <v>30</v>
      </c>
      <c r="W212">
        <f t="shared" ca="1" si="69"/>
        <v>147.29687677245238</v>
      </c>
      <c r="X212">
        <f t="shared" ca="1" si="58"/>
        <v>146.95204213940909</v>
      </c>
      <c r="Y212">
        <f t="shared" ca="1" si="57"/>
        <v>0.58677694048546414</v>
      </c>
      <c r="Z212">
        <f t="shared" ca="1" si="59"/>
        <v>0.2914286320247117</v>
      </c>
      <c r="AA212">
        <f t="shared" ca="1" si="60"/>
        <v>0.29534830846075244</v>
      </c>
      <c r="AB212">
        <f t="shared" ca="1" si="61"/>
        <v>145.69030000000001</v>
      </c>
    </row>
    <row r="213" spans="1:28" x14ac:dyDescent="0.25">
      <c r="A213" s="20">
        <f t="shared" ca="1" si="62"/>
        <v>45999</v>
      </c>
      <c r="B213" vm="625">
        <f ca="1"/>
        <v>46003</v>
      </c>
      <c r="C213" vm="626">
        <f ca="1"/>
        <v>150.65</v>
      </c>
      <c r="D213" vm="627">
        <f ca="1"/>
        <v>8143100</v>
      </c>
      <c r="E213">
        <f t="shared" ca="1" si="63"/>
        <v>1226758015</v>
      </c>
      <c r="F213">
        <f ca="1">SUM($E$2:E213)/SUM($D$2:D213)</f>
        <v>141.98430508236714</v>
      </c>
      <c r="G213">
        <f ca="1">_xlfn.STDEV.P($C$2:C213)</f>
        <v>7.4609185016155468</v>
      </c>
      <c r="H213">
        <f t="shared" ca="1" si="64"/>
        <v>149.44522358398268</v>
      </c>
      <c r="I213">
        <f t="shared" ca="1" si="65"/>
        <v>134.52338658075161</v>
      </c>
      <c r="J213">
        <f t="shared" ca="1" si="53"/>
        <v>147.40450000000001</v>
      </c>
      <c r="K213">
        <f t="shared" ca="1" si="54"/>
        <v>1.7219617790244512</v>
      </c>
      <c r="L213">
        <f t="shared" ca="1" si="55"/>
        <v>150.84842355804892</v>
      </c>
      <c r="M213">
        <f t="shared" ca="1" si="56"/>
        <v>143.9605764419511</v>
      </c>
      <c r="N213">
        <f t="shared" ca="1" si="66"/>
        <v>1.6100000000000136</v>
      </c>
      <c r="O213">
        <f t="shared" ca="1" si="67"/>
        <v>1.6100000000000136</v>
      </c>
      <c r="P213">
        <f t="shared" ca="1" si="68"/>
        <v>0</v>
      </c>
      <c r="Q213">
        <f t="shared" ca="1" si="72"/>
        <v>0.81025133610652966</v>
      </c>
      <c r="R213">
        <f t="shared" ca="1" si="73"/>
        <v>0.54474212238336217</v>
      </c>
      <c r="S213">
        <f t="shared" ca="1" si="70"/>
        <v>1.4874034938981926</v>
      </c>
      <c r="T213">
        <f t="shared" ca="1" si="71"/>
        <v>59.797435259173547</v>
      </c>
      <c r="U213">
        <f>70</f>
        <v>70</v>
      </c>
      <c r="V213">
        <f>30</f>
        <v>30</v>
      </c>
      <c r="W213">
        <f t="shared" ca="1" si="69"/>
        <v>147.81274188438277</v>
      </c>
      <c r="X213">
        <f t="shared" ca="1" si="58"/>
        <v>147.22596494389731</v>
      </c>
      <c r="Y213">
        <f t="shared" ca="1" si="57"/>
        <v>0.81511604813405825</v>
      </c>
      <c r="Z213">
        <f t="shared" ca="1" si="59"/>
        <v>0.39616611524658102</v>
      </c>
      <c r="AA213">
        <f t="shared" ca="1" si="60"/>
        <v>0.41894993288747723</v>
      </c>
      <c r="AB213">
        <f t="shared" ca="1" si="61"/>
        <v>145.74020000000002</v>
      </c>
    </row>
    <row r="214" spans="1:28" x14ac:dyDescent="0.25">
      <c r="A214" s="20">
        <f t="shared" ca="1" si="62"/>
        <v>46006</v>
      </c>
      <c r="B214" vm="628">
        <f ca="1"/>
        <v>46006</v>
      </c>
      <c r="C214" vm="629">
        <f ca="1"/>
        <v>151.22</v>
      </c>
      <c r="D214" vm="630">
        <f ca="1"/>
        <v>8409625</v>
      </c>
      <c r="E214">
        <f t="shared" ca="1" si="63"/>
        <v>1271703492.5</v>
      </c>
      <c r="F214">
        <f ca="1">SUM($E$2:E214)/SUM($D$2:D214)</f>
        <v>142.02793602097236</v>
      </c>
      <c r="G214">
        <f ca="1">_xlfn.STDEV.P($C$2:C214)</f>
        <v>7.46670566478537</v>
      </c>
      <c r="H214">
        <f t="shared" ca="1" si="64"/>
        <v>149.49464168575773</v>
      </c>
      <c r="I214">
        <f t="shared" ca="1" si="65"/>
        <v>134.561230356187</v>
      </c>
      <c r="J214">
        <f t="shared" ref="J214:J252" ca="1" si="74">AVERAGE(C195:C214)</f>
        <v>147.673</v>
      </c>
      <c r="K214">
        <f t="shared" ref="K214:K252" ca="1" si="75">_xlfn.STDEV.S(C195:C214)</f>
        <v>1.8783758381840634</v>
      </c>
      <c r="L214">
        <f t="shared" ref="L214:L252" ca="1" si="76">J214 + 2*K214</f>
        <v>151.42975167636814</v>
      </c>
      <c r="M214">
        <f t="shared" ref="M214:M252" ca="1" si="77">J214-2*K214</f>
        <v>143.91624832363186</v>
      </c>
      <c r="N214">
        <f t="shared" ca="1" si="66"/>
        <v>0.56999999999999318</v>
      </c>
      <c r="O214">
        <f t="shared" ca="1" si="67"/>
        <v>0.56999999999999318</v>
      </c>
      <c r="P214">
        <f t="shared" ca="1" si="68"/>
        <v>0</v>
      </c>
      <c r="Q214">
        <f t="shared" ca="1" si="72"/>
        <v>0.79309052638463418</v>
      </c>
      <c r="R214">
        <f t="shared" ca="1" si="73"/>
        <v>0.50583197078455056</v>
      </c>
      <c r="S214">
        <f t="shared" ca="1" si="70"/>
        <v>1.5678932376586294</v>
      </c>
      <c r="T214">
        <f t="shared" ca="1" si="71"/>
        <v>61.057571033919366</v>
      </c>
      <c r="U214">
        <f>70</f>
        <v>70</v>
      </c>
      <c r="V214">
        <f>30</f>
        <v>30</v>
      </c>
      <c r="W214">
        <f t="shared" ca="1" si="69"/>
        <v>148.33693544063158</v>
      </c>
      <c r="X214">
        <f t="shared" ca="1" si="58"/>
        <v>147.52181939249752</v>
      </c>
      <c r="Y214">
        <f t="shared" ca="1" si="57"/>
        <v>0.91691886981735138</v>
      </c>
      <c r="Z214">
        <f t="shared" ca="1" si="59"/>
        <v>0.50031666616073511</v>
      </c>
      <c r="AA214">
        <f t="shared" ca="1" si="60"/>
        <v>0.41660220365661627</v>
      </c>
      <c r="AB214">
        <f t="shared" ca="1" si="61"/>
        <v>145.8073</v>
      </c>
    </row>
    <row r="215" spans="1:28" x14ac:dyDescent="0.25">
      <c r="A215" s="20">
        <f t="shared" ca="1" si="62"/>
        <v>46006</v>
      </c>
      <c r="B215" vm="631">
        <f ca="1"/>
        <v>46007</v>
      </c>
      <c r="C215" vm="632">
        <f ca="1"/>
        <v>150.37</v>
      </c>
      <c r="D215" vm="633">
        <f ca="1"/>
        <v>7520334</v>
      </c>
      <c r="E215">
        <f t="shared" ca="1" si="63"/>
        <v>1130832623.5799999</v>
      </c>
      <c r="F215">
        <f ca="1">SUM($E$2:E215)/SUM($D$2:D215)</f>
        <v>142.06302963840074</v>
      </c>
      <c r="G215">
        <f ca="1">_xlfn.STDEV.P($C$2:C215)</f>
        <v>7.467898844836931</v>
      </c>
      <c r="H215">
        <f t="shared" ca="1" si="64"/>
        <v>149.53092848323766</v>
      </c>
      <c r="I215">
        <f t="shared" ca="1" si="65"/>
        <v>134.59513079356381</v>
      </c>
      <c r="J215">
        <f t="shared" ca="1" si="74"/>
        <v>147.79999999999998</v>
      </c>
      <c r="K215">
        <f t="shared" ca="1" si="75"/>
        <v>1.973031330612605</v>
      </c>
      <c r="L215">
        <f t="shared" ca="1" si="76"/>
        <v>151.74606266122518</v>
      </c>
      <c r="M215">
        <f t="shared" ca="1" si="77"/>
        <v>143.85393733877478</v>
      </c>
      <c r="N215">
        <f t="shared" ca="1" si="66"/>
        <v>-0.84999999999999432</v>
      </c>
      <c r="O215">
        <f t="shared" ca="1" si="67"/>
        <v>0</v>
      </c>
      <c r="P215">
        <f t="shared" ca="1" si="68"/>
        <v>0.84999999999999432</v>
      </c>
      <c r="Q215">
        <f t="shared" ca="1" si="72"/>
        <v>0.736441203071446</v>
      </c>
      <c r="R215">
        <f t="shared" ca="1" si="73"/>
        <v>0.53041540144279653</v>
      </c>
      <c r="S215">
        <f t="shared" ca="1" si="70"/>
        <v>1.3884234904722477</v>
      </c>
      <c r="T215">
        <f t="shared" ca="1" si="71"/>
        <v>58.13137812497915</v>
      </c>
      <c r="U215">
        <f>70</f>
        <v>70</v>
      </c>
      <c r="V215">
        <f>30</f>
        <v>30</v>
      </c>
      <c r="W215">
        <f t="shared" ca="1" si="69"/>
        <v>148.64971460361133</v>
      </c>
      <c r="X215">
        <f t="shared" ca="1" si="58"/>
        <v>147.73279573379398</v>
      </c>
      <c r="Y215">
        <f t="shared" ca="1" si="57"/>
        <v>0.96309579427213521</v>
      </c>
      <c r="Z215">
        <f t="shared" ca="1" si="59"/>
        <v>0.59287249178301515</v>
      </c>
      <c r="AA215">
        <f t="shared" ca="1" si="60"/>
        <v>0.37022330248912005</v>
      </c>
      <c r="AB215">
        <f t="shared" ca="1" si="61"/>
        <v>145.87649999999999</v>
      </c>
    </row>
    <row r="216" spans="1:28" x14ac:dyDescent="0.25">
      <c r="A216" s="20">
        <f t="shared" ca="1" si="62"/>
        <v>46006</v>
      </c>
      <c r="B216" vm="634">
        <f ca="1"/>
        <v>46008</v>
      </c>
      <c r="C216" vm="497">
        <f ca="1"/>
        <v>150.08000000000001</v>
      </c>
      <c r="D216" vm="635">
        <f ca="1"/>
        <v>8067133</v>
      </c>
      <c r="E216">
        <f t="shared" ca="1" si="63"/>
        <v>1210715320.6400001</v>
      </c>
      <c r="F216">
        <f ca="1">SUM($E$2:E216)/SUM($D$2:D216)</f>
        <v>142.09904531299813</v>
      </c>
      <c r="G216">
        <f ca="1">_xlfn.STDEV.P($C$2:C216)</f>
        <v>7.4675500877196264</v>
      </c>
      <c r="H216">
        <f t="shared" ca="1" si="64"/>
        <v>149.56659540071774</v>
      </c>
      <c r="I216">
        <f t="shared" ca="1" si="65"/>
        <v>134.63149522527851</v>
      </c>
      <c r="J216">
        <f t="shared" ca="1" si="74"/>
        <v>147.86549999999997</v>
      </c>
      <c r="K216">
        <f t="shared" ca="1" si="75"/>
        <v>2.0279091513960363</v>
      </c>
      <c r="L216">
        <f t="shared" ca="1" si="76"/>
        <v>151.92131830279203</v>
      </c>
      <c r="M216">
        <f t="shared" ca="1" si="77"/>
        <v>143.80968169720791</v>
      </c>
      <c r="N216">
        <f t="shared" ca="1" si="66"/>
        <v>-0.28999999999999204</v>
      </c>
      <c r="O216">
        <f t="shared" ca="1" si="67"/>
        <v>0</v>
      </c>
      <c r="P216">
        <f t="shared" ca="1" si="68"/>
        <v>0.28999999999999204</v>
      </c>
      <c r="Q216">
        <f t="shared" ca="1" si="72"/>
        <v>0.68383825999491421</v>
      </c>
      <c r="R216">
        <f t="shared" ca="1" si="73"/>
        <v>0.51324287276831049</v>
      </c>
      <c r="S216">
        <f t="shared" ca="1" si="70"/>
        <v>1.332387250321573</v>
      </c>
      <c r="T216">
        <f t="shared" ca="1" si="71"/>
        <v>57.125473059324641</v>
      </c>
      <c r="U216">
        <f>70</f>
        <v>70</v>
      </c>
      <c r="V216">
        <f>30</f>
        <v>30</v>
      </c>
      <c r="W216">
        <f t="shared" ca="1" si="69"/>
        <v>148.86975851074806</v>
      </c>
      <c r="X216">
        <f t="shared" ca="1" si="58"/>
        <v>147.90666271647592</v>
      </c>
      <c r="Y216">
        <f t="shared" ca="1" si="57"/>
        <v>0.93166066905271805</v>
      </c>
      <c r="Z216">
        <f t="shared" ca="1" si="59"/>
        <v>0.6606301272369558</v>
      </c>
      <c r="AA216">
        <f t="shared" ca="1" si="60"/>
        <v>0.27103054181576225</v>
      </c>
      <c r="AB216">
        <f t="shared" ca="1" si="61"/>
        <v>145.9616</v>
      </c>
    </row>
    <row r="217" spans="1:28" x14ac:dyDescent="0.25">
      <c r="A217" s="20">
        <f t="shared" ca="1" si="62"/>
        <v>46006</v>
      </c>
      <c r="B217" vm="636">
        <f ca="1"/>
        <v>46009</v>
      </c>
      <c r="C217" vm="637">
        <f ca="1"/>
        <v>149.37</v>
      </c>
      <c r="D217" vm="638">
        <f ca="1"/>
        <v>6643173</v>
      </c>
      <c r="E217">
        <f t="shared" ca="1" si="63"/>
        <v>992290751.00999999</v>
      </c>
      <c r="F217">
        <f ca="1">SUM($E$2:E217)/SUM($D$2:D217)</f>
        <v>142.12584473153757</v>
      </c>
      <c r="G217">
        <f ca="1">_xlfn.STDEV.P($C$2:C217)</f>
        <v>7.4639709648259362</v>
      </c>
      <c r="H217">
        <f t="shared" ca="1" si="64"/>
        <v>149.5898156963635</v>
      </c>
      <c r="I217">
        <f t="shared" ca="1" si="65"/>
        <v>134.66187376671164</v>
      </c>
      <c r="J217">
        <f t="shared" ca="1" si="74"/>
        <v>147.97849999999997</v>
      </c>
      <c r="K217">
        <f t="shared" ca="1" si="75"/>
        <v>2.0464764969653526</v>
      </c>
      <c r="L217">
        <f t="shared" ca="1" si="76"/>
        <v>152.07145299393068</v>
      </c>
      <c r="M217">
        <f t="shared" ca="1" si="77"/>
        <v>143.88554700606926</v>
      </c>
      <c r="N217">
        <f t="shared" ca="1" si="66"/>
        <v>-0.71000000000000796</v>
      </c>
      <c r="O217">
        <f t="shared" ca="1" si="67"/>
        <v>0</v>
      </c>
      <c r="P217">
        <f t="shared" ca="1" si="68"/>
        <v>0.71000000000000796</v>
      </c>
      <c r="Q217">
        <f t="shared" ca="1" si="72"/>
        <v>0.63499266999527748</v>
      </c>
      <c r="R217">
        <f t="shared" ca="1" si="73"/>
        <v>0.52729695328486037</v>
      </c>
      <c r="S217">
        <f t="shared" ca="1" si="70"/>
        <v>1.2042411131706974</v>
      </c>
      <c r="T217">
        <f t="shared" ca="1" si="71"/>
        <v>54.632912251530101</v>
      </c>
      <c r="U217">
        <f>70</f>
        <v>70</v>
      </c>
      <c r="V217">
        <f>30</f>
        <v>30</v>
      </c>
      <c r="W217">
        <f t="shared" ca="1" si="69"/>
        <v>148.94671873986374</v>
      </c>
      <c r="X217">
        <f t="shared" ca="1" si="58"/>
        <v>148.01505807081102</v>
      </c>
      <c r="Y217">
        <f t="shared" ca="1" si="57"/>
        <v>0.79989057756679927</v>
      </c>
      <c r="Z217">
        <f t="shared" ca="1" si="59"/>
        <v>0.68848221730292447</v>
      </c>
      <c r="AA217">
        <f t="shared" ca="1" si="60"/>
        <v>0.11140836026387479</v>
      </c>
      <c r="AB217">
        <f t="shared" ca="1" si="61"/>
        <v>146.0164</v>
      </c>
    </row>
    <row r="218" spans="1:28" x14ac:dyDescent="0.25">
      <c r="A218" s="20">
        <f t="shared" ca="1" si="62"/>
        <v>46006</v>
      </c>
      <c r="B218" vm="639">
        <f ca="1"/>
        <v>46010</v>
      </c>
      <c r="C218" vm="640">
        <f ca="1"/>
        <v>148.16</v>
      </c>
      <c r="D218" vm="641">
        <f ca="1"/>
        <v>17543516</v>
      </c>
      <c r="E218">
        <f t="shared" ca="1" si="63"/>
        <v>2599247330.5599999</v>
      </c>
      <c r="F218">
        <f ca="1">SUM($E$2:E218)/SUM($D$2:D218)</f>
        <v>142.18401280317556</v>
      </c>
      <c r="G218">
        <f ca="1">_xlfn.STDEV.P($C$2:C218)</f>
        <v>7.4558100821990907</v>
      </c>
      <c r="H218">
        <f t="shared" ca="1" si="64"/>
        <v>149.63982288537466</v>
      </c>
      <c r="I218">
        <f t="shared" ca="1" si="65"/>
        <v>134.72820272097647</v>
      </c>
      <c r="J218">
        <f t="shared" ca="1" si="74"/>
        <v>148.08149999999998</v>
      </c>
      <c r="K218">
        <f t="shared" ca="1" si="75"/>
        <v>1.9982262529290162</v>
      </c>
      <c r="L218">
        <f t="shared" ca="1" si="76"/>
        <v>152.07795250585801</v>
      </c>
      <c r="M218">
        <f t="shared" ca="1" si="77"/>
        <v>144.08504749414195</v>
      </c>
      <c r="N218">
        <f t="shared" ca="1" si="66"/>
        <v>-1.210000000000008</v>
      </c>
      <c r="O218">
        <f t="shared" ca="1" si="67"/>
        <v>0</v>
      </c>
      <c r="P218">
        <f t="shared" ca="1" si="68"/>
        <v>1.210000000000008</v>
      </c>
      <c r="Q218">
        <f t="shared" ca="1" si="72"/>
        <v>0.58963605070990055</v>
      </c>
      <c r="R218">
        <f t="shared" ca="1" si="73"/>
        <v>0.57606145662165653</v>
      </c>
      <c r="S218">
        <f t="shared" ca="1" si="70"/>
        <v>1.0235644893998861</v>
      </c>
      <c r="T218">
        <f t="shared" ca="1" si="71"/>
        <v>50.582251999462457</v>
      </c>
      <c r="U218">
        <f>70</f>
        <v>70</v>
      </c>
      <c r="V218">
        <f>30</f>
        <v>30</v>
      </c>
      <c r="W218">
        <f t="shared" ca="1" si="69"/>
        <v>148.825685087577</v>
      </c>
      <c r="X218">
        <f t="shared" ca="1" si="58"/>
        <v>148.0257945100102</v>
      </c>
      <c r="Y218">
        <f t="shared" ca="1" si="57"/>
        <v>0.59898933121669984</v>
      </c>
      <c r="Z218">
        <f t="shared" ca="1" si="59"/>
        <v>0.67058364008567961</v>
      </c>
      <c r="AA218">
        <f t="shared" ca="1" si="60"/>
        <v>-7.1594308868979772E-2</v>
      </c>
      <c r="AB218">
        <f t="shared" ca="1" si="61"/>
        <v>146.06940000000003</v>
      </c>
    </row>
    <row r="219" spans="1:28" x14ac:dyDescent="0.25">
      <c r="A219" s="20">
        <f t="shared" ca="1" si="62"/>
        <v>46013</v>
      </c>
      <c r="B219" vm="642">
        <f ca="1"/>
        <v>46013</v>
      </c>
      <c r="C219" vm="643">
        <f ca="1"/>
        <v>147.05000000000001</v>
      </c>
      <c r="D219" vm="644">
        <f ca="1"/>
        <v>8818726</v>
      </c>
      <c r="E219">
        <f t="shared" ca="1" si="63"/>
        <v>1296793658.3000002</v>
      </c>
      <c r="F219">
        <f ca="1">SUM($E$2:E219)/SUM($D$2:D219)</f>
        <v>142.20747825800925</v>
      </c>
      <c r="G219">
        <f ca="1">_xlfn.STDEV.P($C$2:C219)</f>
        <v>7.4443349299405623</v>
      </c>
      <c r="H219">
        <f t="shared" ca="1" si="64"/>
        <v>149.65181318794981</v>
      </c>
      <c r="I219">
        <f t="shared" ca="1" si="65"/>
        <v>134.76314332806868</v>
      </c>
      <c r="J219">
        <f t="shared" ca="1" si="74"/>
        <v>148.11749999999998</v>
      </c>
      <c r="K219">
        <f t="shared" ca="1" si="75"/>
        <v>1.9713150166162801</v>
      </c>
      <c r="L219">
        <f t="shared" ca="1" si="76"/>
        <v>152.06013003323253</v>
      </c>
      <c r="M219">
        <f t="shared" ca="1" si="77"/>
        <v>144.17486996676743</v>
      </c>
      <c r="N219">
        <f t="shared" ca="1" si="66"/>
        <v>-1.1099999999999852</v>
      </c>
      <c r="O219">
        <f t="shared" ca="1" si="67"/>
        <v>0</v>
      </c>
      <c r="P219">
        <f t="shared" ca="1" si="68"/>
        <v>1.1099999999999852</v>
      </c>
      <c r="Q219">
        <f t="shared" ca="1" si="72"/>
        <v>0.54751918994490767</v>
      </c>
      <c r="R219">
        <f t="shared" ca="1" si="73"/>
        <v>0.61419992400582291</v>
      </c>
      <c r="S219">
        <f t="shared" ca="1" si="70"/>
        <v>0.89143480574529821</v>
      </c>
      <c r="T219">
        <f t="shared" ca="1" si="71"/>
        <v>47.130083629503616</v>
      </c>
      <c r="U219">
        <f>70</f>
        <v>70</v>
      </c>
      <c r="V219">
        <f>30</f>
        <v>30</v>
      </c>
      <c r="W219">
        <f t="shared" ca="1" si="69"/>
        <v>148.55250276641132</v>
      </c>
      <c r="X219">
        <f t="shared" ca="1" si="58"/>
        <v>147.95351343519462</v>
      </c>
      <c r="Y219">
        <f t="shared" ca="1" si="57"/>
        <v>0.1659300717547012</v>
      </c>
      <c r="Z219">
        <f t="shared" ca="1" si="59"/>
        <v>0.56965292641948395</v>
      </c>
      <c r="AA219">
        <f t="shared" ca="1" si="60"/>
        <v>-0.40372285466478275</v>
      </c>
      <c r="AB219">
        <f t="shared" ca="1" si="61"/>
        <v>146.16070000000002</v>
      </c>
    </row>
    <row r="220" spans="1:28" x14ac:dyDescent="0.25">
      <c r="A220" s="20">
        <f t="shared" ca="1" si="62"/>
        <v>46013</v>
      </c>
      <c r="B220" vm="645">
        <f ca="1"/>
        <v>46014</v>
      </c>
      <c r="C220" vm="646">
        <f ca="1"/>
        <v>143.68</v>
      </c>
      <c r="D220" vm="647">
        <f ca="1"/>
        <v>7254772</v>
      </c>
      <c r="E220">
        <f t="shared" ca="1" si="63"/>
        <v>1042365640.96</v>
      </c>
      <c r="F220">
        <f ca="1">SUM($E$2:E220)/SUM($D$2:D220)</f>
        <v>142.21329685338407</v>
      </c>
      <c r="G220">
        <f ca="1">_xlfn.STDEV.P($C$2:C220)</f>
        <v>7.4275670184774381</v>
      </c>
      <c r="H220">
        <f t="shared" ca="1" si="64"/>
        <v>149.64086387186151</v>
      </c>
      <c r="I220">
        <f t="shared" ca="1" si="65"/>
        <v>134.78572983490662</v>
      </c>
      <c r="J220">
        <f t="shared" ca="1" si="74"/>
        <v>148.0265</v>
      </c>
      <c r="K220">
        <f t="shared" ca="1" si="75"/>
        <v>2.133813672623194</v>
      </c>
      <c r="L220">
        <f t="shared" ca="1" si="76"/>
        <v>152.29412734524638</v>
      </c>
      <c r="M220">
        <f t="shared" ca="1" si="77"/>
        <v>143.75887265475362</v>
      </c>
      <c r="N220">
        <f t="shared" ca="1" si="66"/>
        <v>-3.3700000000000045</v>
      </c>
      <c r="O220">
        <f t="shared" ca="1" si="67"/>
        <v>0</v>
      </c>
      <c r="P220">
        <f t="shared" ca="1" si="68"/>
        <v>3.3700000000000045</v>
      </c>
      <c r="Q220">
        <f t="shared" ca="1" si="72"/>
        <v>0.50841067637741422</v>
      </c>
      <c r="R220">
        <f t="shared" ca="1" si="73"/>
        <v>0.81104278657683593</v>
      </c>
      <c r="S220">
        <f t="shared" ca="1" si="70"/>
        <v>0.62686048725402088</v>
      </c>
      <c r="T220">
        <f t="shared" ca="1" si="71"/>
        <v>38.531914209318536</v>
      </c>
      <c r="U220">
        <f>70</f>
        <v>70</v>
      </c>
      <c r="V220">
        <f>30</f>
        <v>30</v>
      </c>
      <c r="W220">
        <f t="shared" ca="1" si="69"/>
        <v>147.80288695619419</v>
      </c>
      <c r="X220">
        <f t="shared" ca="1" si="58"/>
        <v>147.63695688443948</v>
      </c>
      <c r="Y220">
        <f t="shared" ref="Y220:Y251" ca="1" si="78">W221-X221</f>
        <v>-0.17046598704601479</v>
      </c>
      <c r="Z220">
        <f t="shared" ca="1" si="59"/>
        <v>0.42162914372638421</v>
      </c>
      <c r="AA220">
        <f t="shared" ca="1" si="60"/>
        <v>-0.59209513077239895</v>
      </c>
      <c r="AB220">
        <f t="shared" ca="1" si="61"/>
        <v>146.2047</v>
      </c>
    </row>
    <row r="221" spans="1:28" x14ac:dyDescent="0.25">
      <c r="A221" s="20">
        <f t="shared" ca="1" si="62"/>
        <v>46013</v>
      </c>
      <c r="B221" vm="648">
        <f ca="1"/>
        <v>46015</v>
      </c>
      <c r="C221" vm="649">
        <f ca="1"/>
        <v>143.74</v>
      </c>
      <c r="D221" vm="650">
        <f ca="1"/>
        <v>2618700</v>
      </c>
      <c r="E221">
        <f t="shared" ca="1" si="63"/>
        <v>376411938</v>
      </c>
      <c r="F221">
        <f ca="1">SUM($E$2:E221)/SUM($D$2:D221)</f>
        <v>142.21547132637963</v>
      </c>
      <c r="G221">
        <f ca="1">_xlfn.STDEV.P($C$2:C221)</f>
        <v>7.4109457835358832</v>
      </c>
      <c r="H221">
        <f t="shared" ca="1" si="64"/>
        <v>149.62641710991551</v>
      </c>
      <c r="I221">
        <f t="shared" ca="1" si="65"/>
        <v>134.80452554284375</v>
      </c>
      <c r="J221">
        <f t="shared" ca="1" si="74"/>
        <v>147.90799999999999</v>
      </c>
      <c r="K221">
        <f t="shared" ca="1" si="75"/>
        <v>2.304804135987081</v>
      </c>
      <c r="L221">
        <f t="shared" ca="1" si="76"/>
        <v>152.51760827197415</v>
      </c>
      <c r="M221">
        <f t="shared" ca="1" si="77"/>
        <v>143.29839172802582</v>
      </c>
      <c r="N221">
        <f t="shared" ca="1" si="66"/>
        <v>6.0000000000002274E-2</v>
      </c>
      <c r="O221">
        <f t="shared" ca="1" si="67"/>
        <v>6.0000000000002274E-2</v>
      </c>
      <c r="P221">
        <f t="shared" ca="1" si="68"/>
        <v>0</v>
      </c>
      <c r="Q221">
        <f t="shared" ca="1" si="72"/>
        <v>0.47638134235045626</v>
      </c>
      <c r="R221">
        <f t="shared" ca="1" si="73"/>
        <v>0.75311115896420477</v>
      </c>
      <c r="S221">
        <f t="shared" ca="1" si="70"/>
        <v>0.63255116682330104</v>
      </c>
      <c r="T221">
        <f t="shared" ca="1" si="71"/>
        <v>38.746177129268816</v>
      </c>
      <c r="U221">
        <f>70</f>
        <v>70</v>
      </c>
      <c r="V221">
        <f>30</f>
        <v>30</v>
      </c>
      <c r="W221">
        <f t="shared" ca="1" si="69"/>
        <v>147.17782742447201</v>
      </c>
      <c r="X221">
        <f t="shared" ref="X221:X252" ca="1" si="79">C221*(2/(26+1)) + X220*(1-(2/(26+1)))</f>
        <v>147.34829341151803</v>
      </c>
      <c r="Y221">
        <f t="shared" ca="1" si="78"/>
        <v>-0.42889063725121446</v>
      </c>
      <c r="Z221">
        <f t="shared" ca="1" si="59"/>
        <v>0.2515251875308645</v>
      </c>
      <c r="AA221">
        <f t="shared" ca="1" si="60"/>
        <v>-0.68041582478207896</v>
      </c>
      <c r="AB221">
        <f t="shared" ca="1" si="61"/>
        <v>146.24650000000003</v>
      </c>
    </row>
    <row r="222" spans="1:28" x14ac:dyDescent="0.25">
      <c r="A222" s="20">
        <f t="shared" ca="1" si="62"/>
        <v>46013</v>
      </c>
      <c r="B222" vm="651">
        <f ca="1"/>
        <v>46017</v>
      </c>
      <c r="C222" vm="652">
        <f ca="1"/>
        <v>143.78</v>
      </c>
      <c r="D222" vm="653">
        <f ca="1"/>
        <v>4975533</v>
      </c>
      <c r="E222">
        <f t="shared" ca="1" si="63"/>
        <v>715382134.74000001</v>
      </c>
      <c r="F222">
        <f ca="1">SUM($E$2:E222)/SUM($D$2:D222)</f>
        <v>142.21969376286199</v>
      </c>
      <c r="G222">
        <f ca="1">_xlfn.STDEV.P($C$2:C222)</f>
        <v>7.3944592621731955</v>
      </c>
      <c r="H222">
        <f t="shared" ca="1" si="64"/>
        <v>149.61415302503519</v>
      </c>
      <c r="I222">
        <f t="shared" ca="1" si="65"/>
        <v>134.82523450068879</v>
      </c>
      <c r="J222">
        <f t="shared" ca="1" si="74"/>
        <v>147.69799999999998</v>
      </c>
      <c r="K222">
        <f t="shared" ca="1" si="75"/>
        <v>2.4823961259871052</v>
      </c>
      <c r="L222">
        <f t="shared" ca="1" si="76"/>
        <v>152.6627922519742</v>
      </c>
      <c r="M222">
        <f t="shared" ca="1" si="77"/>
        <v>142.73320774802576</v>
      </c>
      <c r="N222">
        <f t="shared" ca="1" si="66"/>
        <v>3.9999999999992042E-2</v>
      </c>
      <c r="O222">
        <f t="shared" ca="1" si="67"/>
        <v>3.9999999999992042E-2</v>
      </c>
      <c r="P222">
        <f t="shared" ca="1" si="68"/>
        <v>0</v>
      </c>
      <c r="Q222">
        <f t="shared" ca="1" si="72"/>
        <v>0.4452112464682802</v>
      </c>
      <c r="R222">
        <f t="shared" ca="1" si="73"/>
        <v>0.69931750475247589</v>
      </c>
      <c r="S222">
        <f t="shared" ca="1" si="70"/>
        <v>0.63663678292432158</v>
      </c>
      <c r="T222">
        <f t="shared" ca="1" si="71"/>
        <v>38.899088030197341</v>
      </c>
      <c r="U222">
        <f>70</f>
        <v>70</v>
      </c>
      <c r="V222">
        <f>30</f>
        <v>30</v>
      </c>
      <c r="W222">
        <f t="shared" ca="1" si="69"/>
        <v>146.65508474378402</v>
      </c>
      <c r="X222">
        <f t="shared" ca="1" si="79"/>
        <v>147.08397538103523</v>
      </c>
      <c r="Y222">
        <f t="shared" ca="1" si="78"/>
        <v>-0.58977729325522432</v>
      </c>
      <c r="Z222">
        <f t="shared" ca="1" si="59"/>
        <v>8.3264691373646754E-2</v>
      </c>
      <c r="AA222">
        <f t="shared" ca="1" si="60"/>
        <v>-0.6730419846288711</v>
      </c>
      <c r="AB222">
        <f t="shared" ca="1" si="61"/>
        <v>146.28980000000004</v>
      </c>
    </row>
    <row r="223" spans="1:28" x14ac:dyDescent="0.25">
      <c r="A223" s="20">
        <f t="shared" ca="1" si="62"/>
        <v>46020</v>
      </c>
      <c r="B223" vm="654">
        <f ca="1"/>
        <v>46020</v>
      </c>
      <c r="C223" vm="655">
        <f ca="1"/>
        <v>144.24</v>
      </c>
      <c r="D223" vm="656">
        <f ca="1"/>
        <v>7201890</v>
      </c>
      <c r="E223">
        <f t="shared" ca="1" si="63"/>
        <v>1038800613.6</v>
      </c>
      <c r="F223">
        <f ca="1">SUM($E$2:E223)/SUM($D$2:D223)</f>
        <v>142.22755535329802</v>
      </c>
      <c r="G223">
        <f ca="1">_xlfn.STDEV.P($C$2:C223)</f>
        <v>7.3784224307127966</v>
      </c>
      <c r="H223">
        <f t="shared" ca="1" si="64"/>
        <v>149.6059777840108</v>
      </c>
      <c r="I223">
        <f t="shared" ca="1" si="65"/>
        <v>134.84913292258523</v>
      </c>
      <c r="J223">
        <f t="shared" ca="1" si="74"/>
        <v>147.47300000000001</v>
      </c>
      <c r="K223">
        <f t="shared" ca="1" si="75"/>
        <v>2.5848039730214287</v>
      </c>
      <c r="L223">
        <f t="shared" ca="1" si="76"/>
        <v>152.64260794604286</v>
      </c>
      <c r="M223">
        <f t="shared" ca="1" si="77"/>
        <v>142.30339205395717</v>
      </c>
      <c r="N223">
        <f t="shared" ca="1" si="66"/>
        <v>0.46000000000000796</v>
      </c>
      <c r="O223">
        <f t="shared" ca="1" si="67"/>
        <v>0.46000000000000796</v>
      </c>
      <c r="P223">
        <f t="shared" ca="1" si="68"/>
        <v>0</v>
      </c>
      <c r="Q223">
        <f t="shared" ca="1" si="72"/>
        <v>0.44626758600626071</v>
      </c>
      <c r="R223">
        <f t="shared" ca="1" si="73"/>
        <v>0.64936625441301332</v>
      </c>
      <c r="S223">
        <f t="shared" ca="1" si="70"/>
        <v>0.68723556694466492</v>
      </c>
      <c r="T223">
        <f t="shared" ca="1" si="71"/>
        <v>40.731453296065069</v>
      </c>
      <c r="U223">
        <f>70</f>
        <v>70</v>
      </c>
      <c r="V223">
        <f>30</f>
        <v>30</v>
      </c>
      <c r="W223">
        <f t="shared" ca="1" si="69"/>
        <v>146.28353324474034</v>
      </c>
      <c r="X223">
        <f t="shared" ca="1" si="79"/>
        <v>146.87331053799556</v>
      </c>
      <c r="Y223">
        <f t="shared" ca="1" si="78"/>
        <v>-0.715488749745532</v>
      </c>
      <c r="Z223">
        <f t="shared" ca="1" si="59"/>
        <v>-7.6485996850188989E-2</v>
      </c>
      <c r="AA223">
        <f t="shared" ca="1" si="60"/>
        <v>-0.63900275289534303</v>
      </c>
      <c r="AB223">
        <f t="shared" ca="1" si="61"/>
        <v>146.32420000000005</v>
      </c>
    </row>
    <row r="224" spans="1:28" x14ac:dyDescent="0.25">
      <c r="A224" s="20">
        <f t="shared" ca="1" si="62"/>
        <v>46020</v>
      </c>
      <c r="B224" vm="657">
        <f ca="1"/>
        <v>46021</v>
      </c>
      <c r="C224" vm="658">
        <f ca="1"/>
        <v>144.16</v>
      </c>
      <c r="D224" vm="659">
        <f ca="1"/>
        <v>4713783</v>
      </c>
      <c r="E224">
        <f t="shared" ca="1" si="63"/>
        <v>679538957.27999997</v>
      </c>
      <c r="F224">
        <f ca="1">SUM($E$2:E224)/SUM($D$2:D224)</f>
        <v>142.23246464304793</v>
      </c>
      <c r="G224">
        <f ca="1">_xlfn.STDEV.P($C$2:C224)</f>
        <v>7.3624213458317316</v>
      </c>
      <c r="H224">
        <f t="shared" ca="1" si="64"/>
        <v>149.59488598887967</v>
      </c>
      <c r="I224">
        <f t="shared" ca="1" si="65"/>
        <v>134.8700432972162</v>
      </c>
      <c r="J224">
        <f t="shared" ca="1" si="74"/>
        <v>147.20549999999997</v>
      </c>
      <c r="K224">
        <f t="shared" ca="1" si="75"/>
        <v>2.6391634938685442</v>
      </c>
      <c r="L224">
        <f t="shared" ca="1" si="76"/>
        <v>152.48382698773707</v>
      </c>
      <c r="M224">
        <f t="shared" ca="1" si="77"/>
        <v>141.92717301226287</v>
      </c>
      <c r="N224">
        <f t="shared" ca="1" si="66"/>
        <v>-8.0000000000012506E-2</v>
      </c>
      <c r="O224">
        <f t="shared" ca="1" si="67"/>
        <v>0</v>
      </c>
      <c r="P224">
        <f t="shared" ca="1" si="68"/>
        <v>8.0000000000012506E-2</v>
      </c>
      <c r="Q224">
        <f t="shared" ca="1" si="72"/>
        <v>0.41439132986295635</v>
      </c>
      <c r="R224">
        <f t="shared" ca="1" si="73"/>
        <v>0.60869723624065608</v>
      </c>
      <c r="S224">
        <f t="shared" ca="1" si="70"/>
        <v>0.6807839845343433</v>
      </c>
      <c r="T224">
        <f t="shared" ca="1" si="71"/>
        <v>40.503954749601725</v>
      </c>
      <c r="U224">
        <f>70</f>
        <v>70</v>
      </c>
      <c r="V224">
        <f>30</f>
        <v>30</v>
      </c>
      <c r="W224">
        <f t="shared" ca="1" si="69"/>
        <v>145.95683582247258</v>
      </c>
      <c r="X224">
        <f t="shared" ca="1" si="79"/>
        <v>146.67232457221812</v>
      </c>
      <c r="Y224">
        <f t="shared" ca="1" si="78"/>
        <v>-0.85688104471947213</v>
      </c>
      <c r="Z224">
        <f t="shared" ca="1" si="59"/>
        <v>-0.23256500642404562</v>
      </c>
      <c r="AA224">
        <f t="shared" ca="1" si="60"/>
        <v>-0.62431603829542648</v>
      </c>
      <c r="AB224">
        <f t="shared" ca="1" si="61"/>
        <v>146.32660000000004</v>
      </c>
    </row>
    <row r="225" spans="1:28" x14ac:dyDescent="0.25">
      <c r="A225" s="20">
        <f t="shared" ca="1" si="62"/>
        <v>46020</v>
      </c>
      <c r="B225" vm="660">
        <f ca="1"/>
        <v>46022</v>
      </c>
      <c r="C225" vm="661">
        <f ca="1"/>
        <v>143.52000000000001</v>
      </c>
      <c r="D225" vm="662">
        <f ca="1"/>
        <v>4380343</v>
      </c>
      <c r="E225">
        <f t="shared" ca="1" si="63"/>
        <v>628666827.36000001</v>
      </c>
      <c r="F225">
        <f ca="1">SUM($E$2:E225)/SUM($D$2:D225)</f>
        <v>142.23549703438272</v>
      </c>
      <c r="G225">
        <f ca="1">_xlfn.STDEV.P($C$2:C225)</f>
        <v>7.3461233029680297</v>
      </c>
      <c r="H225">
        <f t="shared" ca="1" si="64"/>
        <v>149.58162033735076</v>
      </c>
      <c r="I225">
        <f t="shared" ca="1" si="65"/>
        <v>134.88937373141468</v>
      </c>
      <c r="J225">
        <f t="shared" ca="1" si="74"/>
        <v>146.95099999999999</v>
      </c>
      <c r="K225">
        <f t="shared" ca="1" si="75"/>
        <v>2.7400862452811485</v>
      </c>
      <c r="L225">
        <f t="shared" ca="1" si="76"/>
        <v>152.43117249056229</v>
      </c>
      <c r="M225">
        <f t="shared" ca="1" si="77"/>
        <v>141.4708275094377</v>
      </c>
      <c r="N225">
        <f t="shared" ca="1" si="66"/>
        <v>-0.63999999999998636</v>
      </c>
      <c r="O225">
        <f t="shared" ca="1" si="67"/>
        <v>0</v>
      </c>
      <c r="P225">
        <f t="shared" ca="1" si="68"/>
        <v>0.63999999999998636</v>
      </c>
      <c r="Q225">
        <f t="shared" ca="1" si="72"/>
        <v>0.38479194915845943</v>
      </c>
      <c r="R225">
        <f t="shared" ca="1" si="73"/>
        <v>0.61093314793775111</v>
      </c>
      <c r="S225">
        <f t="shared" ca="1" si="70"/>
        <v>0.62984297129293509</v>
      </c>
      <c r="T225">
        <f t="shared" ca="1" si="71"/>
        <v>38.644395956334868</v>
      </c>
      <c r="U225">
        <f>70</f>
        <v>70</v>
      </c>
      <c r="V225">
        <f>30</f>
        <v>30</v>
      </c>
      <c r="W225">
        <f t="shared" ca="1" si="69"/>
        <v>145.58193800363065</v>
      </c>
      <c r="X225">
        <f t="shared" ca="1" si="79"/>
        <v>146.43881904835013</v>
      </c>
      <c r="Y225">
        <f t="shared" ca="1" si="78"/>
        <v>-1.0607994405569343</v>
      </c>
      <c r="Z225">
        <f t="shared" ca="1" si="59"/>
        <v>-0.39821189325062334</v>
      </c>
      <c r="AA225">
        <f t="shared" ca="1" si="60"/>
        <v>-0.66258754730631098</v>
      </c>
      <c r="AB225">
        <f t="shared" ca="1" si="61"/>
        <v>146.30970000000005</v>
      </c>
    </row>
    <row r="226" spans="1:28" x14ac:dyDescent="0.25">
      <c r="A226" s="20">
        <f t="shared" ca="1" si="62"/>
        <v>46020</v>
      </c>
      <c r="B226" vm="663">
        <f ca="1"/>
        <v>46024</v>
      </c>
      <c r="C226" vm="664">
        <f ca="1"/>
        <v>142.22999999999999</v>
      </c>
      <c r="D226" vm="665">
        <f ca="1"/>
        <v>7182054</v>
      </c>
      <c r="E226">
        <f t="shared" ca="1" si="63"/>
        <v>1021503540.42</v>
      </c>
      <c r="F226">
        <f ca="1">SUM($E$2:E226)/SUM($D$2:D226)</f>
        <v>142.23547588872276</v>
      </c>
      <c r="G226">
        <f ca="1">_xlfn.STDEV.P($C$2:C226)</f>
        <v>7.3298815733616172</v>
      </c>
      <c r="H226">
        <f t="shared" ca="1" si="64"/>
        <v>149.56535746208436</v>
      </c>
      <c r="I226">
        <f t="shared" ca="1" si="65"/>
        <v>134.90559431536116</v>
      </c>
      <c r="J226">
        <f t="shared" ca="1" si="74"/>
        <v>146.65950000000004</v>
      </c>
      <c r="K226">
        <f t="shared" ca="1" si="75"/>
        <v>2.9200927797084231</v>
      </c>
      <c r="L226">
        <f t="shared" ca="1" si="76"/>
        <v>152.49968555941689</v>
      </c>
      <c r="M226">
        <f t="shared" ca="1" si="77"/>
        <v>140.81931444058318</v>
      </c>
      <c r="N226">
        <f t="shared" ca="1" si="66"/>
        <v>-1.2900000000000205</v>
      </c>
      <c r="O226">
        <f t="shared" ca="1" si="67"/>
        <v>0</v>
      </c>
      <c r="P226">
        <f t="shared" ca="1" si="68"/>
        <v>1.2900000000000205</v>
      </c>
      <c r="Q226">
        <f t="shared" ca="1" si="72"/>
        <v>0.35730680993285518</v>
      </c>
      <c r="R226">
        <f t="shared" ca="1" si="73"/>
        <v>0.659437923085056</v>
      </c>
      <c r="S226">
        <f t="shared" ca="1" si="70"/>
        <v>0.54183539863959085</v>
      </c>
      <c r="T226">
        <f t="shared" ca="1" si="71"/>
        <v>35.142233672781742</v>
      </c>
      <c r="U226">
        <f>70</f>
        <v>70</v>
      </c>
      <c r="V226">
        <f>30</f>
        <v>30</v>
      </c>
      <c r="W226">
        <f t="shared" ca="1" si="69"/>
        <v>145.06625523384133</v>
      </c>
      <c r="X226">
        <f t="shared" ca="1" si="79"/>
        <v>146.12705467439827</v>
      </c>
      <c r="Y226">
        <f t="shared" ca="1" si="78"/>
        <v>-1.3927491872608471</v>
      </c>
      <c r="Z226">
        <f t="shared" ca="1" si="59"/>
        <v>-0.59711935205266808</v>
      </c>
      <c r="AA226">
        <f t="shared" ca="1" si="60"/>
        <v>-0.79562983520817898</v>
      </c>
      <c r="AB226">
        <f t="shared" ca="1" si="61"/>
        <v>146.28330000000003</v>
      </c>
    </row>
    <row r="227" spans="1:28" x14ac:dyDescent="0.25">
      <c r="A227" s="20">
        <f t="shared" ca="1" si="62"/>
        <v>46027</v>
      </c>
      <c r="B227" vm="666">
        <f ca="1"/>
        <v>46027</v>
      </c>
      <c r="C227" vm="465">
        <f ca="1"/>
        <v>139.91999999999999</v>
      </c>
      <c r="D227" vm="667">
        <f ca="1"/>
        <v>9031377</v>
      </c>
      <c r="E227">
        <f t="shared" ca="1" si="63"/>
        <v>1263670269.8399999</v>
      </c>
      <c r="F227">
        <f ca="1">SUM($E$2:E227)/SUM($D$2:D227)</f>
        <v>142.22432928311542</v>
      </c>
      <c r="G227">
        <f ca="1">_xlfn.STDEV.P($C$2:C227)</f>
        <v>7.3161556548611175</v>
      </c>
      <c r="H227">
        <f t="shared" ca="1" si="64"/>
        <v>149.54048493797654</v>
      </c>
      <c r="I227">
        <f t="shared" ca="1" si="65"/>
        <v>134.9081736282543</v>
      </c>
      <c r="J227">
        <f t="shared" ca="1" si="74"/>
        <v>146.31</v>
      </c>
      <c r="K227">
        <f t="shared" ca="1" si="75"/>
        <v>3.2841485318035448</v>
      </c>
      <c r="L227">
        <f t="shared" ca="1" si="76"/>
        <v>152.87829706360708</v>
      </c>
      <c r="M227">
        <f t="shared" ca="1" si="77"/>
        <v>139.74170293639293</v>
      </c>
      <c r="N227">
        <f t="shared" ca="1" si="66"/>
        <v>-2.3100000000000023</v>
      </c>
      <c r="O227">
        <f t="shared" ca="1" si="67"/>
        <v>0</v>
      </c>
      <c r="P227">
        <f t="shared" ca="1" si="68"/>
        <v>2.3100000000000023</v>
      </c>
      <c r="Q227">
        <f t="shared" ca="1" si="72"/>
        <v>0.33178489493765129</v>
      </c>
      <c r="R227">
        <f t="shared" ca="1" si="73"/>
        <v>0.77733521429326646</v>
      </c>
      <c r="S227">
        <f t="shared" ca="1" si="70"/>
        <v>0.42682344609757805</v>
      </c>
      <c r="T227">
        <f t="shared" ca="1" si="71"/>
        <v>29.914243928704579</v>
      </c>
      <c r="U227">
        <f>70</f>
        <v>70</v>
      </c>
      <c r="V227">
        <f>30</f>
        <v>30</v>
      </c>
      <c r="W227">
        <f t="shared" ca="1" si="69"/>
        <v>144.27452365940422</v>
      </c>
      <c r="X227">
        <f t="shared" ca="1" si="79"/>
        <v>145.66727284666507</v>
      </c>
      <c r="Y227">
        <f t="shared" ca="1" si="78"/>
        <v>-1.7135331861056784</v>
      </c>
      <c r="Z227">
        <f t="shared" ca="1" si="59"/>
        <v>-0.82040211886327019</v>
      </c>
      <c r="AA227">
        <f t="shared" ca="1" si="60"/>
        <v>-0.89313106724240821</v>
      </c>
      <c r="AB227">
        <f t="shared" ca="1" si="61"/>
        <v>146.21380000000005</v>
      </c>
    </row>
    <row r="228" spans="1:28" x14ac:dyDescent="0.25">
      <c r="A228" s="20">
        <f t="shared" ca="1" si="62"/>
        <v>46027</v>
      </c>
      <c r="B228" vm="668">
        <f ca="1"/>
        <v>46028</v>
      </c>
      <c r="C228" vm="669">
        <f ca="1"/>
        <v>138.96</v>
      </c>
      <c r="D228" vm="670">
        <f ca="1"/>
        <v>9576481</v>
      </c>
      <c r="E228">
        <f t="shared" ca="1" si="63"/>
        <v>1330747799.76</v>
      </c>
      <c r="F228">
        <f ca="1">SUM($E$2:E228)/SUM($D$2:D228)</f>
        <v>142.20775109399858</v>
      </c>
      <c r="G228">
        <f ca="1">_xlfn.STDEV.P($C$2:C228)</f>
        <v>7.3044365192150185</v>
      </c>
      <c r="H228">
        <f t="shared" ca="1" si="64"/>
        <v>149.5121876132136</v>
      </c>
      <c r="I228">
        <f t="shared" ca="1" si="65"/>
        <v>134.90331457478356</v>
      </c>
      <c r="J228">
        <f t="shared" ca="1" si="74"/>
        <v>146.00700000000001</v>
      </c>
      <c r="K228">
        <f t="shared" ca="1" si="75"/>
        <v>3.6667009408286479</v>
      </c>
      <c r="L228">
        <f t="shared" ca="1" si="76"/>
        <v>153.3404018816573</v>
      </c>
      <c r="M228">
        <f t="shared" ca="1" si="77"/>
        <v>138.67359811834271</v>
      </c>
      <c r="N228">
        <f t="shared" ca="1" si="66"/>
        <v>-0.95999999999997954</v>
      </c>
      <c r="O228">
        <f t="shared" ca="1" si="67"/>
        <v>0</v>
      </c>
      <c r="P228">
        <f t="shared" ca="1" si="68"/>
        <v>0.95999999999997954</v>
      </c>
      <c r="Q228">
        <f t="shared" ca="1" si="72"/>
        <v>0.30808597387067621</v>
      </c>
      <c r="R228">
        <f t="shared" ca="1" si="73"/>
        <v>0.79038269898660307</v>
      </c>
      <c r="S228">
        <f t="shared" ca="1" si="70"/>
        <v>0.38979341813237012</v>
      </c>
      <c r="T228">
        <f t="shared" ca="1" si="71"/>
        <v>28.046860277708149</v>
      </c>
      <c r="U228">
        <f>70</f>
        <v>70</v>
      </c>
      <c r="V228">
        <f>30</f>
        <v>30</v>
      </c>
      <c r="W228">
        <f t="shared" ca="1" si="69"/>
        <v>143.45690463488049</v>
      </c>
      <c r="X228">
        <f t="shared" ca="1" si="79"/>
        <v>145.17043782098617</v>
      </c>
      <c r="Y228">
        <f t="shared" ca="1" si="78"/>
        <v>-2.1008877927663718</v>
      </c>
      <c r="Z228">
        <f t="shared" ca="1" si="59"/>
        <v>-1.0764992536438907</v>
      </c>
      <c r="AA228">
        <f t="shared" ca="1" si="60"/>
        <v>-1.0243885391224812</v>
      </c>
      <c r="AB228">
        <f t="shared" ca="1" si="61"/>
        <v>146.10990000000004</v>
      </c>
    </row>
    <row r="229" spans="1:28" x14ac:dyDescent="0.25">
      <c r="A229" s="20">
        <f t="shared" ca="1" si="62"/>
        <v>46027</v>
      </c>
      <c r="B229" vm="671">
        <f ca="1"/>
        <v>46029</v>
      </c>
      <c r="C229" vm="672">
        <f ca="1"/>
        <v>137.01</v>
      </c>
      <c r="D229" vm="673">
        <f ca="1"/>
        <v>8539847</v>
      </c>
      <c r="E229">
        <f t="shared" ca="1" si="63"/>
        <v>1170044437.47</v>
      </c>
      <c r="F229">
        <f ca="1">SUM($E$2:E229)/SUM($D$2:D229)</f>
        <v>142.18431742266043</v>
      </c>
      <c r="G229">
        <f ca="1">_xlfn.STDEV.P($C$2:C229)</f>
        <v>7.2983557273805113</v>
      </c>
      <c r="H229">
        <f t="shared" ca="1" si="64"/>
        <v>149.48267315004094</v>
      </c>
      <c r="I229">
        <f t="shared" ca="1" si="65"/>
        <v>134.88596169527992</v>
      </c>
      <c r="J229">
        <f t="shared" ca="1" si="74"/>
        <v>145.57600000000002</v>
      </c>
      <c r="K229">
        <f t="shared" ca="1" si="75"/>
        <v>4.1835384167245966</v>
      </c>
      <c r="L229">
        <f t="shared" ca="1" si="76"/>
        <v>153.94307683344923</v>
      </c>
      <c r="M229">
        <f t="shared" ca="1" si="77"/>
        <v>137.20892316655082</v>
      </c>
      <c r="N229">
        <f t="shared" ca="1" si="66"/>
        <v>-1.9500000000000171</v>
      </c>
      <c r="O229">
        <f t="shared" ca="1" si="67"/>
        <v>0</v>
      </c>
      <c r="P229">
        <f t="shared" ca="1" si="68"/>
        <v>1.9500000000000171</v>
      </c>
      <c r="Q229">
        <f t="shared" ca="1" si="72"/>
        <v>0.28607983287991362</v>
      </c>
      <c r="R229">
        <f t="shared" ca="1" si="73"/>
        <v>0.87321250620184698</v>
      </c>
      <c r="S229">
        <f t="shared" ca="1" si="70"/>
        <v>0.32761765417705202</v>
      </c>
      <c r="T229">
        <f t="shared" ca="1" si="71"/>
        <v>24.677108890972974</v>
      </c>
      <c r="U229">
        <f>70</f>
        <v>70</v>
      </c>
      <c r="V229">
        <f>30</f>
        <v>30</v>
      </c>
      <c r="W229">
        <f t="shared" ca="1" si="69"/>
        <v>142.46507315259117</v>
      </c>
      <c r="X229">
        <f t="shared" ca="1" si="79"/>
        <v>144.56596094535755</v>
      </c>
      <c r="Y229">
        <f t="shared" ca="1" si="78"/>
        <v>-2.1921668972126156</v>
      </c>
      <c r="Z229">
        <f t="shared" ca="1" si="59"/>
        <v>-1.2996327823576357</v>
      </c>
      <c r="AA229">
        <f t="shared" ca="1" si="60"/>
        <v>-0.89253411485497991</v>
      </c>
      <c r="AB229">
        <f t="shared" ca="1" si="61"/>
        <v>145.99380000000005</v>
      </c>
    </row>
    <row r="230" spans="1:28" x14ac:dyDescent="0.25">
      <c r="A230" s="20">
        <f t="shared" ca="1" si="62"/>
        <v>46027</v>
      </c>
      <c r="B230" vm="674">
        <f ca="1"/>
        <v>46030</v>
      </c>
      <c r="C230" vm="675">
        <f ca="1"/>
        <v>139.37</v>
      </c>
      <c r="D230" vm="676">
        <f ca="1"/>
        <v>8762824</v>
      </c>
      <c r="E230">
        <f t="shared" ca="1" si="63"/>
        <v>1221274780.8800001</v>
      </c>
      <c r="F230">
        <f ca="1">SUM($E$2:E230)/SUM($D$2:D230)</f>
        <v>142.17135794611778</v>
      </c>
      <c r="G230">
        <f ca="1">_xlfn.STDEV.P($C$2:C230)</f>
        <v>7.285815395688652</v>
      </c>
      <c r="H230">
        <f t="shared" ca="1" si="64"/>
        <v>149.45717334180642</v>
      </c>
      <c r="I230">
        <f t="shared" ca="1" si="65"/>
        <v>134.88554255042914</v>
      </c>
      <c r="J230">
        <f t="shared" ca="1" si="74"/>
        <v>145.3125</v>
      </c>
      <c r="K230">
        <f t="shared" ca="1" si="75"/>
        <v>4.4056636694624185</v>
      </c>
      <c r="L230">
        <f t="shared" ca="1" si="76"/>
        <v>154.12382733892483</v>
      </c>
      <c r="M230">
        <f t="shared" ca="1" si="77"/>
        <v>136.50117266107517</v>
      </c>
      <c r="N230">
        <f t="shared" ca="1" si="66"/>
        <v>2.3600000000000136</v>
      </c>
      <c r="O230">
        <f t="shared" ca="1" si="67"/>
        <v>2.3600000000000136</v>
      </c>
      <c r="P230">
        <f t="shared" ca="1" si="68"/>
        <v>0</v>
      </c>
      <c r="Q230">
        <f t="shared" ca="1" si="72"/>
        <v>0.43421698767420647</v>
      </c>
      <c r="R230">
        <f t="shared" ca="1" si="73"/>
        <v>0.81084018433028648</v>
      </c>
      <c r="S230">
        <f t="shared" ca="1" si="70"/>
        <v>0.53551488451802376</v>
      </c>
      <c r="T230">
        <f t="shared" ca="1" si="71"/>
        <v>34.875264962743373</v>
      </c>
      <c r="U230">
        <f>70</f>
        <v>70</v>
      </c>
      <c r="V230">
        <f>30</f>
        <v>30</v>
      </c>
      <c r="W230">
        <f t="shared" ca="1" si="69"/>
        <v>141.98890805219253</v>
      </c>
      <c r="X230">
        <f t="shared" ca="1" si="79"/>
        <v>144.18107494940514</v>
      </c>
      <c r="Y230">
        <f t="shared" ca="1" si="78"/>
        <v>-2.1956229830640837</v>
      </c>
      <c r="Z230">
        <f t="shared" ref="Z230:Z251" ca="1" si="80">Y230*(2/(9+1)) + Z229*(1-(2/(9+1)))</f>
        <v>-1.4788308224989253</v>
      </c>
      <c r="AA230">
        <f t="shared" ref="AA230:AA251" ca="1" si="81">Y230-Z230</f>
        <v>-0.71679216056515838</v>
      </c>
      <c r="AB230">
        <f t="shared" ref="AB230:AB252" ca="1" si="82">AVERAGE(C131:C230)</f>
        <v>145.88350000000005</v>
      </c>
    </row>
    <row r="231" spans="1:28" x14ac:dyDescent="0.25">
      <c r="A231" s="20">
        <f t="shared" ca="1" si="62"/>
        <v>46027</v>
      </c>
      <c r="B231" vm="677">
        <f ca="1"/>
        <v>46031</v>
      </c>
      <c r="C231" vm="678">
        <f ca="1"/>
        <v>139.91</v>
      </c>
      <c r="D231" vm="679">
        <f ca="1"/>
        <v>6767560</v>
      </c>
      <c r="E231">
        <f t="shared" ca="1" si="63"/>
        <v>946849319.60000002</v>
      </c>
      <c r="F231">
        <f ca="1">SUM($E$2:E231)/SUM($D$2:D231)</f>
        <v>142.16334430365515</v>
      </c>
      <c r="G231">
        <f ca="1">_xlfn.STDEV.P($C$2:C231)</f>
        <v>7.2723378615213727</v>
      </c>
      <c r="H231">
        <f t="shared" ca="1" si="64"/>
        <v>149.43568216517653</v>
      </c>
      <c r="I231">
        <f t="shared" ca="1" si="65"/>
        <v>134.89100644213377</v>
      </c>
      <c r="J231">
        <f t="shared" ca="1" si="74"/>
        <v>144.82300000000001</v>
      </c>
      <c r="K231">
        <f t="shared" ca="1" si="75"/>
        <v>4.4362870914645232</v>
      </c>
      <c r="L231">
        <f t="shared" ca="1" si="76"/>
        <v>153.69557418292905</v>
      </c>
      <c r="M231">
        <f t="shared" ca="1" si="77"/>
        <v>135.95042581707096</v>
      </c>
      <c r="N231">
        <f t="shared" ca="1" si="66"/>
        <v>0.53999999999999204</v>
      </c>
      <c r="O231">
        <f t="shared" ca="1" si="67"/>
        <v>0.53999999999999204</v>
      </c>
      <c r="P231">
        <f t="shared" ca="1" si="68"/>
        <v>0</v>
      </c>
      <c r="Q231">
        <f t="shared" ca="1" si="72"/>
        <v>0.44177291712604827</v>
      </c>
      <c r="R231">
        <f t="shared" ca="1" si="73"/>
        <v>0.75292302830669466</v>
      </c>
      <c r="S231">
        <f t="shared" ca="1" si="70"/>
        <v>0.58674379786149544</v>
      </c>
      <c r="T231">
        <f t="shared" ca="1" si="71"/>
        <v>36.977853554699152</v>
      </c>
      <c r="U231">
        <f>70</f>
        <v>70</v>
      </c>
      <c r="V231">
        <f>30</f>
        <v>30</v>
      </c>
      <c r="W231">
        <f t="shared" ca="1" si="69"/>
        <v>141.66907604416289</v>
      </c>
      <c r="X231">
        <f t="shared" ca="1" si="79"/>
        <v>143.86469902722698</v>
      </c>
      <c r="Y231">
        <f t="shared" ca="1" si="78"/>
        <v>-2.0576398824284468</v>
      </c>
      <c r="Z231">
        <f t="shared" ca="1" si="80"/>
        <v>-1.5945926344848296</v>
      </c>
      <c r="AA231">
        <f t="shared" ca="1" si="81"/>
        <v>-0.46304724794361718</v>
      </c>
      <c r="AB231">
        <f t="shared" ca="1" si="82"/>
        <v>145.78710000000004</v>
      </c>
    </row>
    <row r="232" spans="1:28" x14ac:dyDescent="0.25">
      <c r="A232" s="20">
        <f t="shared" ca="1" si="62"/>
        <v>46034</v>
      </c>
      <c r="B232" vm="680">
        <f ca="1"/>
        <v>46034</v>
      </c>
      <c r="C232" vm="681">
        <f ca="1"/>
        <v>141.36000000000001</v>
      </c>
      <c r="D232" vm="682">
        <f ca="1"/>
        <v>12223436</v>
      </c>
      <c r="E232">
        <f t="shared" ca="1" si="63"/>
        <v>1727904912.9600003</v>
      </c>
      <c r="F232">
        <f ca="1">SUM($E$2:E232)/SUM($D$2:D232)</f>
        <v>142.15823510648582</v>
      </c>
      <c r="G232">
        <f ca="1">_xlfn.STDEV.P($C$2:C232)</f>
        <v>7.2571326250081478</v>
      </c>
      <c r="H232">
        <f t="shared" ca="1" si="64"/>
        <v>149.41536773149397</v>
      </c>
      <c r="I232">
        <f t="shared" ca="1" si="65"/>
        <v>134.90110248147766</v>
      </c>
      <c r="J232">
        <f t="shared" ca="1" si="74"/>
        <v>144.43900000000002</v>
      </c>
      <c r="K232">
        <f t="shared" ca="1" si="75"/>
        <v>4.3841363549674623</v>
      </c>
      <c r="L232">
        <f t="shared" ca="1" si="76"/>
        <v>153.20727270993495</v>
      </c>
      <c r="M232">
        <f t="shared" ca="1" si="77"/>
        <v>135.67072729006509</v>
      </c>
      <c r="N232">
        <f t="shared" ca="1" si="66"/>
        <v>1.4500000000000171</v>
      </c>
      <c r="O232">
        <f t="shared" ca="1" si="67"/>
        <v>1.4500000000000171</v>
      </c>
      <c r="P232">
        <f t="shared" ca="1" si="68"/>
        <v>0</v>
      </c>
      <c r="Q232">
        <f t="shared" ca="1" si="72"/>
        <v>0.5137891373313318</v>
      </c>
      <c r="R232">
        <f t="shared" ca="1" si="73"/>
        <v>0.69914281199907358</v>
      </c>
      <c r="S232">
        <f t="shared" ca="1" si="70"/>
        <v>0.7348843877293737</v>
      </c>
      <c r="T232">
        <f t="shared" ca="1" si="71"/>
        <v>42.359271483859189</v>
      </c>
      <c r="U232">
        <f>70</f>
        <v>70</v>
      </c>
      <c r="V232">
        <f>30</f>
        <v>30</v>
      </c>
      <c r="W232">
        <f t="shared" ca="1" si="69"/>
        <v>141.62152588352245</v>
      </c>
      <c r="X232">
        <f t="shared" ca="1" si="79"/>
        <v>143.6791657659509</v>
      </c>
      <c r="Y232">
        <f t="shared" ca="1" si="78"/>
        <v>-1.7569677678856692</v>
      </c>
      <c r="Z232">
        <f t="shared" ca="1" si="80"/>
        <v>-1.6270676611649977</v>
      </c>
      <c r="AA232">
        <f t="shared" ca="1" si="81"/>
        <v>-0.12990010672067154</v>
      </c>
      <c r="AB232">
        <f t="shared" ca="1" si="82"/>
        <v>145.67910000000006</v>
      </c>
    </row>
    <row r="233" spans="1:28" x14ac:dyDescent="0.25">
      <c r="A233" s="20">
        <f t="shared" ca="1" si="62"/>
        <v>46034</v>
      </c>
      <c r="B233" vm="683">
        <f ca="1"/>
        <v>46035</v>
      </c>
      <c r="C233" vm="684">
        <f ca="1"/>
        <v>143.47999999999999</v>
      </c>
      <c r="D233" vm="685">
        <f ca="1"/>
        <v>9030241</v>
      </c>
      <c r="E233">
        <f t="shared" ca="1" si="63"/>
        <v>1295658978.6799998</v>
      </c>
      <c r="F233">
        <f ca="1">SUM($E$2:E233)/SUM($D$2:D233)</f>
        <v>142.16441634428466</v>
      </c>
      <c r="G233">
        <f ca="1">_xlfn.STDEV.P($C$2:C233)</f>
        <v>7.2416472150963331</v>
      </c>
      <c r="H233">
        <f t="shared" ca="1" si="64"/>
        <v>149.40606355938098</v>
      </c>
      <c r="I233">
        <f t="shared" ca="1" si="65"/>
        <v>134.92276912918834</v>
      </c>
      <c r="J233">
        <f t="shared" ca="1" si="74"/>
        <v>144.08049999999997</v>
      </c>
      <c r="K233">
        <f t="shared" ca="1" si="75"/>
        <v>4.1356288581824661</v>
      </c>
      <c r="L233">
        <f t="shared" ca="1" si="76"/>
        <v>152.35175771636492</v>
      </c>
      <c r="M233">
        <f t="shared" ca="1" si="77"/>
        <v>135.80924228363503</v>
      </c>
      <c r="N233">
        <f t="shared" ca="1" si="66"/>
        <v>2.1199999999999761</v>
      </c>
      <c r="O233">
        <f t="shared" ca="1" si="67"/>
        <v>2.1199999999999761</v>
      </c>
      <c r="P233">
        <f t="shared" ca="1" si="68"/>
        <v>0</v>
      </c>
      <c r="Q233">
        <f t="shared" ca="1" si="72"/>
        <v>0.62851848466480642</v>
      </c>
      <c r="R233">
        <f t="shared" ca="1" si="73"/>
        <v>0.64920403971342544</v>
      </c>
      <c r="S233">
        <f t="shared" ca="1" si="70"/>
        <v>0.96813705124547567</v>
      </c>
      <c r="T233">
        <f t="shared" ca="1" si="71"/>
        <v>49.190530234305562</v>
      </c>
      <c r="U233">
        <f>70</f>
        <v>70</v>
      </c>
      <c r="V233">
        <f>30</f>
        <v>30</v>
      </c>
      <c r="W233">
        <f t="shared" ca="1" si="69"/>
        <v>141.90744497836516</v>
      </c>
      <c r="X233">
        <f t="shared" ca="1" si="79"/>
        <v>143.66441274625083</v>
      </c>
      <c r="Y233">
        <f t="shared" ca="1" si="78"/>
        <v>-1.3067321480258158</v>
      </c>
      <c r="Z233">
        <f t="shared" ca="1" si="80"/>
        <v>-1.5630005585371616</v>
      </c>
      <c r="AA233">
        <f t="shared" ca="1" si="81"/>
        <v>0.25626841051134575</v>
      </c>
      <c r="AB233">
        <f t="shared" ca="1" si="82"/>
        <v>145.60660000000004</v>
      </c>
    </row>
    <row r="234" spans="1:28" x14ac:dyDescent="0.25">
      <c r="A234" s="20">
        <f t="shared" ca="1" si="62"/>
        <v>46034</v>
      </c>
      <c r="B234" vm="686">
        <f ca="1"/>
        <v>46036</v>
      </c>
      <c r="C234" vm="687">
        <f ca="1"/>
        <v>145.91999999999999</v>
      </c>
      <c r="D234" vm="688">
        <f ca="1"/>
        <v>8329463</v>
      </c>
      <c r="E234">
        <f t="shared" ca="1" si="63"/>
        <v>1215435240.9599998</v>
      </c>
      <c r="F234">
        <f ca="1">SUM($E$2:E234)/SUM($D$2:D234)</f>
        <v>142.18054681355488</v>
      </c>
      <c r="G234">
        <f ca="1">_xlfn.STDEV.P($C$2:C234)</f>
        <v>7.2291144626750636</v>
      </c>
      <c r="H234">
        <f t="shared" ca="1" si="64"/>
        <v>149.40966127622994</v>
      </c>
      <c r="I234">
        <f t="shared" ca="1" si="65"/>
        <v>134.95143235087983</v>
      </c>
      <c r="J234">
        <f t="shared" ca="1" si="74"/>
        <v>143.81550000000001</v>
      </c>
      <c r="K234">
        <f t="shared" ca="1" si="75"/>
        <v>3.8111463602107158</v>
      </c>
      <c r="L234">
        <f t="shared" ca="1" si="76"/>
        <v>151.43779272042144</v>
      </c>
      <c r="M234">
        <f t="shared" ca="1" si="77"/>
        <v>136.19320727957859</v>
      </c>
      <c r="N234">
        <f t="shared" ca="1" si="66"/>
        <v>2.4399999999999977</v>
      </c>
      <c r="O234">
        <f t="shared" ca="1" si="67"/>
        <v>2.4399999999999977</v>
      </c>
      <c r="P234">
        <f t="shared" ca="1" si="68"/>
        <v>0</v>
      </c>
      <c r="Q234">
        <f t="shared" ca="1" si="72"/>
        <v>0.75791002147446296</v>
      </c>
      <c r="R234">
        <f t="shared" ca="1" si="73"/>
        <v>0.60283232259103792</v>
      </c>
      <c r="S234">
        <f t="shared" ca="1" si="70"/>
        <v>1.2572484803351029</v>
      </c>
      <c r="T234">
        <f t="shared" ca="1" si="71"/>
        <v>55.698275634610525</v>
      </c>
      <c r="U234">
        <f>70</f>
        <v>70</v>
      </c>
      <c r="V234">
        <f>30</f>
        <v>30</v>
      </c>
      <c r="W234">
        <f t="shared" ca="1" si="69"/>
        <v>142.52476113553976</v>
      </c>
      <c r="X234">
        <f t="shared" ca="1" si="79"/>
        <v>143.83149328356558</v>
      </c>
      <c r="Y234">
        <f t="shared" ca="1" si="78"/>
        <v>-0.88724005670513861</v>
      </c>
      <c r="Z234">
        <f t="shared" ca="1" si="80"/>
        <v>-1.4278484581707571</v>
      </c>
      <c r="AA234">
        <f t="shared" ca="1" si="81"/>
        <v>0.5406084014656185</v>
      </c>
      <c r="AB234">
        <f t="shared" ca="1" si="82"/>
        <v>145.57600000000005</v>
      </c>
    </row>
    <row r="235" spans="1:28" x14ac:dyDescent="0.25">
      <c r="A235" s="20">
        <f t="shared" ca="1" si="62"/>
        <v>46034</v>
      </c>
      <c r="B235" vm="689">
        <f ca="1"/>
        <v>46037</v>
      </c>
      <c r="C235" vm="690">
        <f ca="1"/>
        <v>146.57</v>
      </c>
      <c r="D235" vm="691">
        <f ca="1"/>
        <v>5797798</v>
      </c>
      <c r="E235">
        <f t="shared" ca="1" si="63"/>
        <v>849783252.86000001</v>
      </c>
      <c r="F235">
        <f ca="1">SUM($E$2:E235)/SUM($D$2:D235)</f>
        <v>142.19363048479056</v>
      </c>
      <c r="G235">
        <f ca="1">_xlfn.STDEV.P($C$2:C235)</f>
        <v>7.2179865306770168</v>
      </c>
      <c r="H235">
        <f t="shared" ca="1" si="64"/>
        <v>149.41161701546758</v>
      </c>
      <c r="I235">
        <f t="shared" ca="1" si="65"/>
        <v>134.97564395411354</v>
      </c>
      <c r="J235">
        <f t="shared" ca="1" si="74"/>
        <v>143.62550000000005</v>
      </c>
      <c r="K235">
        <f t="shared" ca="1" si="75"/>
        <v>3.5531727482557587</v>
      </c>
      <c r="L235">
        <f t="shared" ca="1" si="76"/>
        <v>150.73184549651157</v>
      </c>
      <c r="M235">
        <f t="shared" ca="1" si="77"/>
        <v>136.51915450348852</v>
      </c>
      <c r="N235">
        <f t="shared" ca="1" si="66"/>
        <v>0.65000000000000568</v>
      </c>
      <c r="O235">
        <f t="shared" ca="1" si="67"/>
        <v>0.65000000000000568</v>
      </c>
      <c r="P235">
        <f t="shared" ca="1" si="68"/>
        <v>0</v>
      </c>
      <c r="Q235">
        <f t="shared" ca="1" si="72"/>
        <v>0.7502021627977159</v>
      </c>
      <c r="R235">
        <f t="shared" ca="1" si="73"/>
        <v>0.55977287097739237</v>
      </c>
      <c r="S235">
        <f t="shared" ca="1" si="70"/>
        <v>1.3401902837624555</v>
      </c>
      <c r="T235">
        <f t="shared" ca="1" si="71"/>
        <v>57.268432104066179</v>
      </c>
      <c r="U235">
        <f>70</f>
        <v>70</v>
      </c>
      <c r="V235">
        <f>30</f>
        <v>30</v>
      </c>
      <c r="W235">
        <f t="shared" ca="1" si="69"/>
        <v>143.14710557622595</v>
      </c>
      <c r="X235">
        <f t="shared" ca="1" si="79"/>
        <v>144.03434563293109</v>
      </c>
      <c r="Y235">
        <f t="shared" ca="1" si="78"/>
        <v>-0.56841018394158027</v>
      </c>
      <c r="Z235">
        <f t="shared" ca="1" si="80"/>
        <v>-1.2559608033249217</v>
      </c>
      <c r="AA235">
        <f t="shared" ca="1" si="81"/>
        <v>0.68755061938334139</v>
      </c>
      <c r="AB235">
        <f t="shared" ca="1" si="82"/>
        <v>145.54530000000003</v>
      </c>
    </row>
    <row r="236" spans="1:28" x14ac:dyDescent="0.25">
      <c r="A236" s="20">
        <f t="shared" ca="1" si="62"/>
        <v>46034</v>
      </c>
      <c r="B236" vm="692">
        <f ca="1"/>
        <v>46038</v>
      </c>
      <c r="C236" vm="693">
        <f ca="1"/>
        <v>146.32</v>
      </c>
      <c r="D236" vm="694">
        <f ca="1"/>
        <v>10313487</v>
      </c>
      <c r="E236">
        <f t="shared" ca="1" si="63"/>
        <v>1509069417.8399999</v>
      </c>
      <c r="F236">
        <f ca="1">SUM($E$2:E236)/SUM($D$2:D236)</f>
        <v>142.2153942033236</v>
      </c>
      <c r="G236">
        <f ca="1">_xlfn.STDEV.P($C$2:C236)</f>
        <v>7.2063567002894224</v>
      </c>
      <c r="H236">
        <f t="shared" ca="1" si="64"/>
        <v>149.42175090361303</v>
      </c>
      <c r="I236">
        <f t="shared" ca="1" si="65"/>
        <v>135.00903750303416</v>
      </c>
      <c r="J236">
        <f t="shared" ca="1" si="74"/>
        <v>143.43750000000003</v>
      </c>
      <c r="K236">
        <f t="shared" ca="1" si="75"/>
        <v>3.2828788313083743</v>
      </c>
      <c r="L236">
        <f t="shared" ca="1" si="76"/>
        <v>150.00325766261679</v>
      </c>
      <c r="M236">
        <f t="shared" ca="1" si="77"/>
        <v>136.87174233738327</v>
      </c>
      <c r="N236">
        <f t="shared" ca="1" si="66"/>
        <v>-0.25</v>
      </c>
      <c r="O236">
        <f t="shared" ca="1" si="67"/>
        <v>0</v>
      </c>
      <c r="P236">
        <f t="shared" ca="1" si="68"/>
        <v>0.25</v>
      </c>
      <c r="Q236">
        <f t="shared" ca="1" si="72"/>
        <v>0.69661629402645053</v>
      </c>
      <c r="R236">
        <f t="shared" ca="1" si="73"/>
        <v>0.53764623733615002</v>
      </c>
      <c r="S236">
        <f t="shared" ca="1" si="70"/>
        <v>1.2956778001050315</v>
      </c>
      <c r="T236">
        <f t="shared" ca="1" si="71"/>
        <v>56.439880197724257</v>
      </c>
      <c r="U236">
        <f>70</f>
        <v>70</v>
      </c>
      <c r="V236">
        <f>30</f>
        <v>30</v>
      </c>
      <c r="W236">
        <f t="shared" ca="1" si="69"/>
        <v>143.6352431798835</v>
      </c>
      <c r="X236">
        <f t="shared" ca="1" si="79"/>
        <v>144.20365336382508</v>
      </c>
      <c r="Y236">
        <f t="shared" ca="1" si="78"/>
        <v>-0.20524250375427755</v>
      </c>
      <c r="Z236">
        <f t="shared" ca="1" si="80"/>
        <v>-1.0458171434107928</v>
      </c>
      <c r="AA236">
        <f t="shared" ca="1" si="81"/>
        <v>0.84057463965651524</v>
      </c>
      <c r="AB236">
        <f t="shared" ca="1" si="82"/>
        <v>145.52650000000003</v>
      </c>
    </row>
    <row r="237" spans="1:28" x14ac:dyDescent="0.25">
      <c r="A237" s="20">
        <f t="shared" ca="1" si="62"/>
        <v>46041</v>
      </c>
      <c r="B237" vm="695">
        <f ca="1"/>
        <v>46042</v>
      </c>
      <c r="C237" vm="696">
        <f ca="1"/>
        <v>147.66</v>
      </c>
      <c r="D237" vm="697">
        <f ca="1"/>
        <v>9982823</v>
      </c>
      <c r="E237">
        <f t="shared" ca="1" si="63"/>
        <v>1474063644.1800001</v>
      </c>
      <c r="F237">
        <f ca="1">SUM($E$2:E237)/SUM($D$2:D237)</f>
        <v>142.24304882685647</v>
      </c>
      <c r="G237">
        <f ca="1">_xlfn.STDEV.P($C$2:C237)</f>
        <v>7.1980930140245185</v>
      </c>
      <c r="H237">
        <f t="shared" ca="1" si="64"/>
        <v>149.44114184088099</v>
      </c>
      <c r="I237">
        <f t="shared" ca="1" si="65"/>
        <v>135.04495581283194</v>
      </c>
      <c r="J237">
        <f t="shared" ca="1" si="74"/>
        <v>143.35200000000003</v>
      </c>
      <c r="K237">
        <f t="shared" ca="1" si="75"/>
        <v>3.1393707046241981</v>
      </c>
      <c r="L237">
        <f t="shared" ca="1" si="76"/>
        <v>149.63074140924843</v>
      </c>
      <c r="M237">
        <f t="shared" ca="1" si="77"/>
        <v>137.07325859075164</v>
      </c>
      <c r="N237">
        <f t="shared" ca="1" si="66"/>
        <v>1.3400000000000034</v>
      </c>
      <c r="O237">
        <f t="shared" ca="1" si="67"/>
        <v>1.3400000000000034</v>
      </c>
      <c r="P237">
        <f t="shared" ca="1" si="68"/>
        <v>0</v>
      </c>
      <c r="Q237">
        <f t="shared" ca="1" si="72"/>
        <v>0.74257227302456141</v>
      </c>
      <c r="R237">
        <f t="shared" ca="1" si="73"/>
        <v>0.49924293466928216</v>
      </c>
      <c r="S237">
        <f t="shared" ca="1" si="70"/>
        <v>1.4873966589361349</v>
      </c>
      <c r="T237">
        <f t="shared" ca="1" si="71"/>
        <v>59.797324789054663</v>
      </c>
      <c r="U237">
        <f>70</f>
        <v>70</v>
      </c>
      <c r="V237">
        <f>30</f>
        <v>30</v>
      </c>
      <c r="W237">
        <f t="shared" ca="1" si="69"/>
        <v>144.2544365368245</v>
      </c>
      <c r="X237">
        <f t="shared" ca="1" si="79"/>
        <v>144.45967904057878</v>
      </c>
      <c r="Y237">
        <f t="shared" ca="1" si="78"/>
        <v>8.2392115349705364E-3</v>
      </c>
      <c r="Z237">
        <f t="shared" ca="1" si="80"/>
        <v>-0.83500587242164015</v>
      </c>
      <c r="AA237">
        <f t="shared" ca="1" si="81"/>
        <v>0.84324508395661069</v>
      </c>
      <c r="AB237">
        <f t="shared" ca="1" si="82"/>
        <v>145.53310000000002</v>
      </c>
    </row>
    <row r="238" spans="1:28" x14ac:dyDescent="0.25">
      <c r="A238" s="20">
        <f t="shared" ca="1" si="62"/>
        <v>46041</v>
      </c>
      <c r="B238" vm="698">
        <f ca="1"/>
        <v>46043</v>
      </c>
      <c r="C238" vm="699">
        <f ca="1"/>
        <v>146.74</v>
      </c>
      <c r="D238" vm="700">
        <f ca="1"/>
        <v>7679571</v>
      </c>
      <c r="E238">
        <f t="shared" ca="1" si="63"/>
        <v>1126900248.54</v>
      </c>
      <c r="F238">
        <f ca="1">SUM($E$2:E238)/SUM($D$2:D238)</f>
        <v>142.26055170328669</v>
      </c>
      <c r="G238">
        <f ca="1">_xlfn.STDEV.P($C$2:C238)</f>
        <v>7.1874581132346096</v>
      </c>
      <c r="H238">
        <f t="shared" ca="1" si="64"/>
        <v>149.44800981652131</v>
      </c>
      <c r="I238">
        <f t="shared" ca="1" si="65"/>
        <v>135.07309359005208</v>
      </c>
      <c r="J238">
        <f t="shared" ca="1" si="74"/>
        <v>143.28100000000001</v>
      </c>
      <c r="K238">
        <f t="shared" ca="1" si="75"/>
        <v>3.0393747625734515</v>
      </c>
      <c r="L238">
        <f t="shared" ca="1" si="76"/>
        <v>149.3597495251469</v>
      </c>
      <c r="M238">
        <f t="shared" ca="1" si="77"/>
        <v>137.20225047485312</v>
      </c>
      <c r="N238">
        <f t="shared" ca="1" si="66"/>
        <v>-0.91999999999998749</v>
      </c>
      <c r="O238">
        <f t="shared" ca="1" si="67"/>
        <v>0</v>
      </c>
      <c r="P238">
        <f t="shared" ca="1" si="68"/>
        <v>0.91999999999998749</v>
      </c>
      <c r="Q238">
        <f t="shared" ca="1" si="72"/>
        <v>0.68953139637994987</v>
      </c>
      <c r="R238">
        <f t="shared" ca="1" si="73"/>
        <v>0.52929701076433255</v>
      </c>
      <c r="S238">
        <f t="shared" ca="1" si="70"/>
        <v>1.3027305697121367</v>
      </c>
      <c r="T238">
        <f t="shared" ca="1" si="71"/>
        <v>56.573295497396828</v>
      </c>
      <c r="U238">
        <f>70</f>
        <v>70</v>
      </c>
      <c r="V238">
        <f>30</f>
        <v>30</v>
      </c>
      <c r="W238">
        <f t="shared" ca="1" si="69"/>
        <v>144.63683091577457</v>
      </c>
      <c r="X238">
        <f t="shared" ca="1" si="79"/>
        <v>144.6285917042396</v>
      </c>
      <c r="Y238">
        <f t="shared" ca="1" si="78"/>
        <v>-1.1263595136227877E-2</v>
      </c>
      <c r="Z238">
        <f t="shared" ca="1" si="80"/>
        <v>-0.67025741696455776</v>
      </c>
      <c r="AA238">
        <f t="shared" ca="1" si="81"/>
        <v>0.65899382182832988</v>
      </c>
      <c r="AB238">
        <f t="shared" ca="1" si="82"/>
        <v>145.52410000000003</v>
      </c>
    </row>
    <row r="239" spans="1:28" x14ac:dyDescent="0.25">
      <c r="A239" s="20">
        <f t="shared" ca="1" si="62"/>
        <v>46041</v>
      </c>
      <c r="B239" vm="701">
        <f ca="1"/>
        <v>46044</v>
      </c>
      <c r="C239" vm="702">
        <f ca="1"/>
        <v>144.4</v>
      </c>
      <c r="D239" vm="703">
        <f ca="1"/>
        <v>8167356</v>
      </c>
      <c r="E239">
        <f t="shared" ca="1" si="63"/>
        <v>1179366206.4000001</v>
      </c>
      <c r="F239">
        <f ca="1">SUM($E$2:E239)/SUM($D$2:D239)</f>
        <v>142.26937119537183</v>
      </c>
      <c r="G239">
        <f ca="1">_xlfn.STDEV.P($C$2:C239)</f>
        <v>7.1730850245866442</v>
      </c>
      <c r="H239">
        <f t="shared" ca="1" si="64"/>
        <v>149.44245621995847</v>
      </c>
      <c r="I239">
        <f t="shared" ca="1" si="65"/>
        <v>135.09628617078519</v>
      </c>
      <c r="J239">
        <f t="shared" ca="1" si="74"/>
        <v>143.14850000000004</v>
      </c>
      <c r="K239">
        <f t="shared" ca="1" si="75"/>
        <v>2.9219122703786766</v>
      </c>
      <c r="L239">
        <f t="shared" ca="1" si="76"/>
        <v>148.99232454075741</v>
      </c>
      <c r="M239">
        <f t="shared" ca="1" si="77"/>
        <v>137.30467545924267</v>
      </c>
      <c r="N239">
        <f t="shared" ca="1" si="66"/>
        <v>-2.3400000000000034</v>
      </c>
      <c r="O239">
        <f t="shared" ca="1" si="67"/>
        <v>0</v>
      </c>
      <c r="P239">
        <f t="shared" ca="1" si="68"/>
        <v>2.3400000000000034</v>
      </c>
      <c r="Q239">
        <f t="shared" ca="1" si="72"/>
        <v>0.640279153781382</v>
      </c>
      <c r="R239">
        <f t="shared" ca="1" si="73"/>
        <v>0.65863293856688043</v>
      </c>
      <c r="S239">
        <f t="shared" ca="1" si="70"/>
        <v>0.97213351517852353</v>
      </c>
      <c r="T239">
        <f t="shared" ca="1" si="71"/>
        <v>49.293493959536661</v>
      </c>
      <c r="U239">
        <f>70</f>
        <v>70</v>
      </c>
      <c r="V239">
        <f>30</f>
        <v>30</v>
      </c>
      <c r="W239">
        <f t="shared" ca="1" si="69"/>
        <v>144.60039539027079</v>
      </c>
      <c r="X239">
        <f t="shared" ca="1" si="79"/>
        <v>144.61165898540702</v>
      </c>
      <c r="Y239">
        <f t="shared" ca="1" si="78"/>
        <v>-1.2056237455425389E-2</v>
      </c>
      <c r="Z239">
        <f t="shared" ca="1" si="80"/>
        <v>-0.53861718106273138</v>
      </c>
      <c r="AA239">
        <f t="shared" ca="1" si="81"/>
        <v>0.52656094360730599</v>
      </c>
      <c r="AB239">
        <f t="shared" ca="1" si="82"/>
        <v>145.49830000000003</v>
      </c>
    </row>
    <row r="240" spans="1:28" x14ac:dyDescent="0.25">
      <c r="A240" s="20">
        <f t="shared" ca="1" si="62"/>
        <v>46041</v>
      </c>
      <c r="B240" vm="704">
        <f ca="1"/>
        <v>46045</v>
      </c>
      <c r="C240" vm="8">
        <f ca="1"/>
        <v>144.58000000000001</v>
      </c>
      <c r="D240" vm="705">
        <f ca="1"/>
        <v>5870098</v>
      </c>
      <c r="E240">
        <f t="shared" ca="1" si="63"/>
        <v>848698768.84000003</v>
      </c>
      <c r="F240">
        <f ca="1">SUM($E$2:E240)/SUM($D$2:D240)</f>
        <v>142.27619695504035</v>
      </c>
      <c r="G240">
        <f ca="1">_xlfn.STDEV.P($C$2:C240)</f>
        <v>7.1589733979753136</v>
      </c>
      <c r="H240">
        <f t="shared" ca="1" si="64"/>
        <v>149.43517035301565</v>
      </c>
      <c r="I240">
        <f t="shared" ca="1" si="65"/>
        <v>135.11722355706505</v>
      </c>
      <c r="J240">
        <f t="shared" ca="1" si="74"/>
        <v>143.19350000000003</v>
      </c>
      <c r="K240">
        <f t="shared" ca="1" si="75"/>
        <v>2.9374179047878806</v>
      </c>
      <c r="L240">
        <f t="shared" ca="1" si="76"/>
        <v>149.06833580957579</v>
      </c>
      <c r="M240">
        <f t="shared" ca="1" si="77"/>
        <v>137.31866419042427</v>
      </c>
      <c r="N240">
        <f t="shared" ca="1" si="66"/>
        <v>0.18000000000000682</v>
      </c>
      <c r="O240">
        <f t="shared" ca="1" si="67"/>
        <v>0.18000000000000682</v>
      </c>
      <c r="P240">
        <f t="shared" ca="1" si="68"/>
        <v>0</v>
      </c>
      <c r="Q240">
        <f t="shared" ca="1" si="72"/>
        <v>0.60740207136842661</v>
      </c>
      <c r="R240">
        <f t="shared" ca="1" si="73"/>
        <v>0.61158772866924604</v>
      </c>
      <c r="S240">
        <f t="shared" ca="1" si="70"/>
        <v>0.99315608030604696</v>
      </c>
      <c r="T240">
        <f t="shared" ca="1" si="71"/>
        <v>49.828314506787095</v>
      </c>
      <c r="U240">
        <f>70</f>
        <v>70</v>
      </c>
      <c r="V240">
        <f>30</f>
        <v>30</v>
      </c>
      <c r="W240">
        <f t="shared" ca="1" si="69"/>
        <v>144.59725763792144</v>
      </c>
      <c r="X240">
        <f t="shared" ca="1" si="79"/>
        <v>144.60931387537687</v>
      </c>
      <c r="Y240">
        <f t="shared" ca="1" si="78"/>
        <v>9.0366122407942839E-2</v>
      </c>
      <c r="Z240">
        <f t="shared" ca="1" si="80"/>
        <v>-0.41282052036859657</v>
      </c>
      <c r="AA240">
        <f t="shared" ca="1" si="81"/>
        <v>0.50318664277653946</v>
      </c>
      <c r="AB240">
        <f t="shared" ca="1" si="82"/>
        <v>145.45760000000001</v>
      </c>
    </row>
    <row r="241" spans="1:28" x14ac:dyDescent="0.25">
      <c r="A241" s="20">
        <f t="shared" ca="1" si="62"/>
        <v>46048</v>
      </c>
      <c r="B241" vm="706">
        <f ca="1"/>
        <v>46048</v>
      </c>
      <c r="C241" vm="707">
        <f ca="1"/>
        <v>145.87</v>
      </c>
      <c r="D241" vm="708">
        <f ca="1"/>
        <v>6589570</v>
      </c>
      <c r="E241">
        <f t="shared" ca="1" si="63"/>
        <v>961220575.89999998</v>
      </c>
      <c r="F241">
        <f ca="1">SUM($E$2:E241)/SUM($D$2:D241)</f>
        <v>142.2880751106016</v>
      </c>
      <c r="G241">
        <f ca="1">_xlfn.STDEV.P($C$2:C241)</f>
        <v>7.1467468232627329</v>
      </c>
      <c r="H241">
        <f t="shared" ca="1" si="64"/>
        <v>149.43482193386433</v>
      </c>
      <c r="I241">
        <f t="shared" ca="1" si="65"/>
        <v>135.14132828733887</v>
      </c>
      <c r="J241">
        <f t="shared" ca="1" si="74"/>
        <v>143.29999999999998</v>
      </c>
      <c r="K241">
        <f t="shared" ca="1" si="75"/>
        <v>2.9962977155149324</v>
      </c>
      <c r="L241">
        <f t="shared" ca="1" si="76"/>
        <v>149.29259543102984</v>
      </c>
      <c r="M241">
        <f t="shared" ca="1" si="77"/>
        <v>137.30740456897013</v>
      </c>
      <c r="N241">
        <f t="shared" ca="1" si="66"/>
        <v>1.289999999999992</v>
      </c>
      <c r="O241">
        <f t="shared" ca="1" si="67"/>
        <v>1.289999999999992</v>
      </c>
      <c r="P241">
        <f t="shared" ca="1" si="68"/>
        <v>0</v>
      </c>
      <c r="Q241">
        <f t="shared" ca="1" si="72"/>
        <v>0.65615906627068121</v>
      </c>
      <c r="R241">
        <f t="shared" ca="1" si="73"/>
        <v>0.56790289090715707</v>
      </c>
      <c r="S241">
        <f t="shared" ca="1" si="70"/>
        <v>1.1554071598800024</v>
      </c>
      <c r="T241">
        <f t="shared" ca="1" si="71"/>
        <v>53.605053438920898</v>
      </c>
      <c r="U241">
        <f>70</f>
        <v>70</v>
      </c>
      <c r="V241">
        <f>30</f>
        <v>30</v>
      </c>
      <c r="W241">
        <f t="shared" ca="1" si="69"/>
        <v>144.7930641551643</v>
      </c>
      <c r="X241">
        <f t="shared" ca="1" si="79"/>
        <v>144.70269803275636</v>
      </c>
      <c r="Y241">
        <f t="shared" ca="1" si="78"/>
        <v>0.40171849982331764</v>
      </c>
      <c r="Z241">
        <f t="shared" ca="1" si="80"/>
        <v>-0.24991271633021375</v>
      </c>
      <c r="AA241">
        <f t="shared" ca="1" si="81"/>
        <v>0.65163121615353137</v>
      </c>
      <c r="AB241">
        <f t="shared" ca="1" si="82"/>
        <v>145.41350000000003</v>
      </c>
    </row>
    <row r="242" spans="1:28" x14ac:dyDescent="0.25">
      <c r="A242" s="20">
        <f t="shared" ca="1" si="62"/>
        <v>46048</v>
      </c>
      <c r="B242" vm="709">
        <f ca="1"/>
        <v>46049</v>
      </c>
      <c r="C242" vm="710">
        <f ca="1"/>
        <v>148.78</v>
      </c>
      <c r="D242" vm="711">
        <f ca="1"/>
        <v>7114901</v>
      </c>
      <c r="E242">
        <f t="shared" ca="1" si="63"/>
        <v>1058554970.78</v>
      </c>
      <c r="F242">
        <f ca="1">SUM($E$2:E242)/SUM($D$2:D242)</f>
        <v>142.31116027189469</v>
      </c>
      <c r="G242">
        <f ca="1">_xlfn.STDEV.P($C$2:C242)</f>
        <v>7.1421483397245655</v>
      </c>
      <c r="H242">
        <f t="shared" ca="1" si="64"/>
        <v>149.45330861161926</v>
      </c>
      <c r="I242">
        <f t="shared" ca="1" si="65"/>
        <v>135.16901193217012</v>
      </c>
      <c r="J242">
        <f t="shared" ca="1" si="74"/>
        <v>143.55000000000001</v>
      </c>
      <c r="K242">
        <f t="shared" ca="1" si="75"/>
        <v>3.2373494681525155</v>
      </c>
      <c r="L242">
        <f t="shared" ca="1" si="76"/>
        <v>150.02469893630504</v>
      </c>
      <c r="M242">
        <f t="shared" ca="1" si="77"/>
        <v>137.07530106369498</v>
      </c>
      <c r="N242">
        <f t="shared" ca="1" si="66"/>
        <v>2.9099999999999966</v>
      </c>
      <c r="O242">
        <f t="shared" ca="1" si="67"/>
        <v>2.9099999999999966</v>
      </c>
      <c r="P242">
        <f t="shared" ca="1" si="68"/>
        <v>0</v>
      </c>
      <c r="Q242">
        <f t="shared" ca="1" si="72"/>
        <v>0.8171477043942037</v>
      </c>
      <c r="R242">
        <f t="shared" ca="1" si="73"/>
        <v>0.52733839869950294</v>
      </c>
      <c r="S242">
        <f t="shared" ca="1" si="70"/>
        <v>1.5495698898646766</v>
      </c>
      <c r="T242">
        <f t="shared" ca="1" si="71"/>
        <v>60.777698074671058</v>
      </c>
      <c r="U242">
        <f>70</f>
        <v>70</v>
      </c>
      <c r="V242">
        <f>30</f>
        <v>30</v>
      </c>
      <c r="W242">
        <f t="shared" ca="1" si="69"/>
        <v>145.40643890052365</v>
      </c>
      <c r="X242">
        <f t="shared" ca="1" si="79"/>
        <v>145.00472040070034</v>
      </c>
      <c r="Y242">
        <f t="shared" ca="1" si="78"/>
        <v>0.61874137671770768</v>
      </c>
      <c r="Z242">
        <f t="shared" ca="1" si="80"/>
        <v>-7.6181897720629471E-2</v>
      </c>
      <c r="AA242">
        <f t="shared" ca="1" si="81"/>
        <v>0.69492327443833712</v>
      </c>
      <c r="AB242">
        <f t="shared" ca="1" si="82"/>
        <v>145.41490000000005</v>
      </c>
    </row>
    <row r="243" spans="1:28" x14ac:dyDescent="0.25">
      <c r="A243" s="20">
        <f t="shared" ca="1" si="62"/>
        <v>46048</v>
      </c>
      <c r="B243" vm="712">
        <f ca="1"/>
        <v>46050</v>
      </c>
      <c r="C243" vm="713">
        <f ca="1"/>
        <v>148.5</v>
      </c>
      <c r="D243" vm="714">
        <f ca="1"/>
        <v>5954075</v>
      </c>
      <c r="E243">
        <f t="shared" ca="1" si="63"/>
        <v>884180137.5</v>
      </c>
      <c r="F243">
        <f ca="1">SUM($E$2:E243)/SUM($D$2:D243)</f>
        <v>142.32952242669759</v>
      </c>
      <c r="G243">
        <f ca="1">_xlfn.STDEV.P($C$2:C243)</f>
        <v>7.13656681773596</v>
      </c>
      <c r="H243">
        <f t="shared" ca="1" si="64"/>
        <v>149.46608924443356</v>
      </c>
      <c r="I243">
        <f t="shared" ca="1" si="65"/>
        <v>135.19295560896163</v>
      </c>
      <c r="J243">
        <f t="shared" ca="1" si="74"/>
        <v>143.76300000000001</v>
      </c>
      <c r="K243">
        <f t="shared" ca="1" si="75"/>
        <v>3.4201201887160577</v>
      </c>
      <c r="L243">
        <f t="shared" ca="1" si="76"/>
        <v>150.60324037743212</v>
      </c>
      <c r="M243">
        <f t="shared" ca="1" si="77"/>
        <v>136.9227596225679</v>
      </c>
      <c r="N243">
        <f t="shared" ca="1" si="66"/>
        <v>-0.28000000000000114</v>
      </c>
      <c r="O243">
        <f t="shared" ca="1" si="67"/>
        <v>0</v>
      </c>
      <c r="P243">
        <f t="shared" ca="1" si="68"/>
        <v>0.28000000000000114</v>
      </c>
      <c r="Q243">
        <f t="shared" ca="1" si="72"/>
        <v>0.75878001122318917</v>
      </c>
      <c r="R243">
        <f t="shared" ca="1" si="73"/>
        <v>0.50967137022096709</v>
      </c>
      <c r="S243">
        <f t="shared" ca="1" si="70"/>
        <v>1.4887632611072925</v>
      </c>
      <c r="T243">
        <f t="shared" ca="1" si="71"/>
        <v>59.819400437666253</v>
      </c>
      <c r="U243">
        <f>70</f>
        <v>70</v>
      </c>
      <c r="V243">
        <f>30</f>
        <v>30</v>
      </c>
      <c r="W243">
        <f t="shared" ca="1" si="69"/>
        <v>145.88237137736616</v>
      </c>
      <c r="X243">
        <f t="shared" ca="1" si="79"/>
        <v>145.26363000064845</v>
      </c>
      <c r="Y243">
        <f t="shared" ca="1" si="78"/>
        <v>0.79687905660114211</v>
      </c>
      <c r="Z243">
        <f t="shared" ca="1" si="80"/>
        <v>9.8430293143724853E-2</v>
      </c>
      <c r="AA243">
        <f t="shared" ca="1" si="81"/>
        <v>0.69844876345741724</v>
      </c>
      <c r="AB243">
        <f t="shared" ca="1" si="82"/>
        <v>145.43100000000004</v>
      </c>
    </row>
    <row r="244" spans="1:28" x14ac:dyDescent="0.25">
      <c r="A244" s="20">
        <f t="shared" ca="1" si="62"/>
        <v>46048</v>
      </c>
      <c r="B244" vm="715">
        <f ca="1"/>
        <v>46051</v>
      </c>
      <c r="C244" vm="716">
        <f ca="1"/>
        <v>148.69</v>
      </c>
      <c r="D244" vm="717">
        <f ca="1"/>
        <v>9062259</v>
      </c>
      <c r="E244">
        <f t="shared" ca="1" si="63"/>
        <v>1347467290.71</v>
      </c>
      <c r="F244">
        <f ca="1">SUM($E$2:E244)/SUM($D$2:D244)</f>
        <v>142.35811607182018</v>
      </c>
      <c r="G244">
        <f ca="1">_xlfn.STDEV.P($C$2:C244)</f>
        <v>7.1315756901436353</v>
      </c>
      <c r="H244">
        <f t="shared" ca="1" si="64"/>
        <v>149.48969176196383</v>
      </c>
      <c r="I244">
        <f t="shared" ca="1" si="65"/>
        <v>135.22654038167653</v>
      </c>
      <c r="J244">
        <f t="shared" ca="1" si="74"/>
        <v>143.98949999999999</v>
      </c>
      <c r="K244">
        <f t="shared" ca="1" si="75"/>
        <v>3.593406937858922</v>
      </c>
      <c r="L244">
        <f t="shared" ca="1" si="76"/>
        <v>151.17631387571782</v>
      </c>
      <c r="M244">
        <f t="shared" ca="1" si="77"/>
        <v>136.80268612428216</v>
      </c>
      <c r="N244">
        <f t="shared" ca="1" si="66"/>
        <v>0.18999999999999773</v>
      </c>
      <c r="O244">
        <f t="shared" ca="1" si="67"/>
        <v>0.18999999999999773</v>
      </c>
      <c r="P244">
        <f t="shared" ca="1" si="68"/>
        <v>0</v>
      </c>
      <c r="Q244">
        <f t="shared" ca="1" si="72"/>
        <v>0.71815286756438979</v>
      </c>
      <c r="R244">
        <f t="shared" ca="1" si="73"/>
        <v>0.47326627234804086</v>
      </c>
      <c r="S244">
        <f t="shared" ca="1" si="70"/>
        <v>1.5174393560761898</v>
      </c>
      <c r="T244">
        <f t="shared" ca="1" si="71"/>
        <v>60.27709674172047</v>
      </c>
      <c r="U244">
        <f>70</f>
        <v>70</v>
      </c>
      <c r="V244">
        <f>30</f>
        <v>30</v>
      </c>
      <c r="W244">
        <f t="shared" ca="1" si="69"/>
        <v>146.31431424238673</v>
      </c>
      <c r="X244">
        <f t="shared" ca="1" si="79"/>
        <v>145.51743518578559</v>
      </c>
      <c r="Y244">
        <f t="shared" ca="1" si="78"/>
        <v>1.3214384461781776</v>
      </c>
      <c r="Z244">
        <f t="shared" ca="1" si="80"/>
        <v>0.34303192375061542</v>
      </c>
      <c r="AA244">
        <f t="shared" ca="1" si="81"/>
        <v>0.97840652242756221</v>
      </c>
      <c r="AB244">
        <f t="shared" ca="1" si="82"/>
        <v>145.45400000000001</v>
      </c>
    </row>
    <row r="245" spans="1:28" x14ac:dyDescent="0.25">
      <c r="A245" s="20">
        <f t="shared" ca="1" si="62"/>
        <v>46048</v>
      </c>
      <c r="B245" vm="718">
        <f ca="1"/>
        <v>46052</v>
      </c>
      <c r="C245" vm="719">
        <f ca="1"/>
        <v>153.63</v>
      </c>
      <c r="D245" vm="720">
        <f ca="1"/>
        <v>12641264</v>
      </c>
      <c r="E245">
        <f t="shared" ca="1" si="63"/>
        <v>1942077388.3199999</v>
      </c>
      <c r="F245">
        <f ca="1">SUM($E$2:E245)/SUM($D$2:D245)</f>
        <v>142.42836106875635</v>
      </c>
      <c r="G245">
        <f ca="1">_xlfn.STDEV.P($C$2:C245)</f>
        <v>7.1498653676965027</v>
      </c>
      <c r="H245">
        <f t="shared" ca="1" si="64"/>
        <v>149.57822643645284</v>
      </c>
      <c r="I245">
        <f t="shared" ca="1" si="65"/>
        <v>135.27849570105985</v>
      </c>
      <c r="J245">
        <f t="shared" ca="1" si="74"/>
        <v>144.49500000000003</v>
      </c>
      <c r="K245">
        <f t="shared" ca="1" si="75"/>
        <v>4.1861117494576474</v>
      </c>
      <c r="L245">
        <f t="shared" ca="1" si="76"/>
        <v>152.86722349891534</v>
      </c>
      <c r="M245">
        <f t="shared" ca="1" si="77"/>
        <v>136.12277650108473</v>
      </c>
      <c r="N245">
        <f t="shared" ca="1" si="66"/>
        <v>4.9399999999999977</v>
      </c>
      <c r="O245">
        <f t="shared" ca="1" si="67"/>
        <v>4.9399999999999977</v>
      </c>
      <c r="P245">
        <f t="shared" ca="1" si="68"/>
        <v>0</v>
      </c>
      <c r="Q245">
        <f t="shared" ca="1" si="72"/>
        <v>1.0197133770240761</v>
      </c>
      <c r="R245">
        <f t="shared" ca="1" si="73"/>
        <v>0.43946153860889509</v>
      </c>
      <c r="S245">
        <f t="shared" ca="1" si="70"/>
        <v>2.3203700152053219</v>
      </c>
      <c r="T245">
        <f t="shared" ca="1" si="71"/>
        <v>69.882874636844861</v>
      </c>
      <c r="U245">
        <f>70</f>
        <v>70</v>
      </c>
      <c r="V245">
        <f>30</f>
        <v>30</v>
      </c>
      <c r="W245">
        <f t="shared" ca="1" si="69"/>
        <v>147.43980435894261</v>
      </c>
      <c r="X245">
        <f t="shared" ca="1" si="79"/>
        <v>146.11836591276443</v>
      </c>
      <c r="Y245">
        <f t="shared" ca="1" si="78"/>
        <v>1.8426010625570086</v>
      </c>
      <c r="Z245">
        <f t="shared" ca="1" si="80"/>
        <v>0.64294575151189415</v>
      </c>
      <c r="AA245">
        <f t="shared" ca="1" si="81"/>
        <v>1.1996553110451145</v>
      </c>
      <c r="AB245">
        <f t="shared" ca="1" si="82"/>
        <v>145.57320000000001</v>
      </c>
    </row>
    <row r="246" spans="1:28" x14ac:dyDescent="0.25">
      <c r="A246" s="20">
        <f t="shared" ca="1" si="62"/>
        <v>46055</v>
      </c>
      <c r="B246" vm="721">
        <f ca="1"/>
        <v>46055</v>
      </c>
      <c r="C246" vm="722">
        <f ca="1"/>
        <v>155.19999999999999</v>
      </c>
      <c r="D246" vm="723">
        <f ca="1"/>
        <v>14660510</v>
      </c>
      <c r="E246">
        <f t="shared" ca="1" si="63"/>
        <v>2275311152</v>
      </c>
      <c r="F246">
        <f ca="1">SUM($E$2:E246)/SUM($D$2:D246)</f>
        <v>142.52000349968617</v>
      </c>
      <c r="G246">
        <f ca="1">_xlfn.STDEV.P($C$2:C246)</f>
        <v>7.1778968420690816</v>
      </c>
      <c r="H246">
        <f t="shared" ca="1" si="64"/>
        <v>149.69790034175526</v>
      </c>
      <c r="I246">
        <f t="shared" ca="1" si="65"/>
        <v>135.34210665761708</v>
      </c>
      <c r="J246">
        <f t="shared" ca="1" si="74"/>
        <v>145.14350000000002</v>
      </c>
      <c r="K246">
        <f t="shared" ca="1" si="75"/>
        <v>4.7793572294102242</v>
      </c>
      <c r="L246">
        <f t="shared" ca="1" si="76"/>
        <v>154.70221445882046</v>
      </c>
      <c r="M246">
        <f t="shared" ca="1" si="77"/>
        <v>135.58478554117957</v>
      </c>
      <c r="N246">
        <f t="shared" ca="1" si="66"/>
        <v>1.5699999999999932</v>
      </c>
      <c r="O246">
        <f t="shared" ca="1" si="67"/>
        <v>1.5699999999999932</v>
      </c>
      <c r="P246">
        <f t="shared" ca="1" si="68"/>
        <v>0</v>
      </c>
      <c r="Q246">
        <f t="shared" ca="1" si="72"/>
        <v>1.0590195643794986</v>
      </c>
      <c r="R246">
        <f t="shared" ca="1" si="73"/>
        <v>0.40807142870825969</v>
      </c>
      <c r="S246">
        <f t="shared" ca="1" si="70"/>
        <v>2.595181847775522</v>
      </c>
      <c r="T246">
        <f t="shared" ca="1" si="71"/>
        <v>72.184995298117158</v>
      </c>
      <c r="U246">
        <f>70</f>
        <v>70</v>
      </c>
      <c r="V246">
        <f>30</f>
        <v>30</v>
      </c>
      <c r="W246">
        <f t="shared" ca="1" si="69"/>
        <v>148.63368061141296</v>
      </c>
      <c r="X246">
        <f t="shared" ca="1" si="79"/>
        <v>146.79107954885595</v>
      </c>
      <c r="Y246">
        <f t="shared" ca="1" si="78"/>
        <v>2.8401774592919367</v>
      </c>
      <c r="Z246">
        <f t="shared" ca="1" si="80"/>
        <v>1.0823920930679027</v>
      </c>
      <c r="AA246">
        <f t="shared" ca="1" si="81"/>
        <v>1.7577853662240339</v>
      </c>
      <c r="AB246">
        <f t="shared" ca="1" si="82"/>
        <v>145.69420000000002</v>
      </c>
    </row>
    <row r="247" spans="1:28" x14ac:dyDescent="0.25">
      <c r="A247" s="20">
        <f t="shared" ca="1" si="62"/>
        <v>46055</v>
      </c>
      <c r="B247" vm="724">
        <f ca="1"/>
        <v>46056</v>
      </c>
      <c r="C247" vm="725">
        <f ca="1"/>
        <v>162.85</v>
      </c>
      <c r="D247" vm="726">
        <f ca="1"/>
        <v>19096432</v>
      </c>
      <c r="E247">
        <f t="shared" ca="1" si="63"/>
        <v>3109853951.1999998</v>
      </c>
      <c r="F247">
        <f ca="1">SUM($E$2:E247)/SUM($D$2:D247)</f>
        <v>142.70826005399269</v>
      </c>
      <c r="G247">
        <f ca="1">_xlfn.STDEV.P($C$2:C247)</f>
        <v>7.2738178165490437</v>
      </c>
      <c r="H247">
        <f t="shared" ca="1" si="64"/>
        <v>149.98207787054173</v>
      </c>
      <c r="I247">
        <f t="shared" ca="1" si="65"/>
        <v>135.43444223744365</v>
      </c>
      <c r="J247">
        <f t="shared" ca="1" si="74"/>
        <v>146.29000000000002</v>
      </c>
      <c r="K247">
        <f t="shared" ca="1" si="75"/>
        <v>6.0434775628467046</v>
      </c>
      <c r="L247">
        <f t="shared" ca="1" si="76"/>
        <v>158.37695512569343</v>
      </c>
      <c r="M247">
        <f t="shared" ca="1" si="77"/>
        <v>134.20304487430661</v>
      </c>
      <c r="N247">
        <f t="shared" ca="1" si="66"/>
        <v>7.6500000000000057</v>
      </c>
      <c r="O247">
        <f t="shared" ca="1" si="67"/>
        <v>7.6500000000000057</v>
      </c>
      <c r="P247">
        <f t="shared" ca="1" si="68"/>
        <v>0</v>
      </c>
      <c r="Q247">
        <f t="shared" ca="1" si="72"/>
        <v>1.5298038812095349</v>
      </c>
      <c r="R247">
        <f t="shared" ca="1" si="73"/>
        <v>0.37892346951481259</v>
      </c>
      <c r="S247">
        <f t="shared" ca="1" si="70"/>
        <v>4.037237078949877</v>
      </c>
      <c r="T247">
        <f t="shared" ca="1" si="71"/>
        <v>80.147847235959915</v>
      </c>
      <c r="U247">
        <f>70</f>
        <v>70</v>
      </c>
      <c r="V247">
        <f>30</f>
        <v>30</v>
      </c>
      <c r="W247">
        <f t="shared" ca="1" si="69"/>
        <v>150.82080667119558</v>
      </c>
      <c r="X247">
        <f t="shared" ca="1" si="79"/>
        <v>147.98062921190365</v>
      </c>
      <c r="Y247">
        <f t="shared" ca="1" si="78"/>
        <v>3.8550287392490077</v>
      </c>
      <c r="Z247">
        <f t="shared" ca="1" si="80"/>
        <v>1.6369194223041239</v>
      </c>
      <c r="AA247">
        <f t="shared" ca="1" si="81"/>
        <v>2.2181093169448838</v>
      </c>
      <c r="AB247">
        <f t="shared" ca="1" si="82"/>
        <v>145.89610000000002</v>
      </c>
    </row>
    <row r="248" spans="1:28" x14ac:dyDescent="0.25">
      <c r="A248" s="20">
        <f t="shared" ca="1" si="62"/>
        <v>46055</v>
      </c>
      <c r="B248" vm="727">
        <f ca="1"/>
        <v>46057</v>
      </c>
      <c r="C248" vm="728">
        <f ca="1"/>
        <v>166.18</v>
      </c>
      <c r="D248" vm="729">
        <f ca="1"/>
        <v>13322904</v>
      </c>
      <c r="E248">
        <f t="shared" ca="1" si="63"/>
        <v>2214000186.7200003</v>
      </c>
      <c r="F248">
        <f ca="1">SUM($E$2:E248)/SUM($D$2:D248)</f>
        <v>142.85892355737721</v>
      </c>
      <c r="G248">
        <f ca="1">_xlfn.STDEV.P($C$2:C248)</f>
        <v>7.4058245332082819</v>
      </c>
      <c r="H248">
        <f t="shared" ca="1" si="64"/>
        <v>150.2647480905855</v>
      </c>
      <c r="I248">
        <f t="shared" ca="1" si="65"/>
        <v>135.45309902416892</v>
      </c>
      <c r="J248">
        <f t="shared" ca="1" si="74"/>
        <v>147.65100000000001</v>
      </c>
      <c r="K248">
        <f t="shared" ca="1" si="75"/>
        <v>7.2503559985191872</v>
      </c>
      <c r="L248">
        <f t="shared" ca="1" si="76"/>
        <v>162.15171199703838</v>
      </c>
      <c r="M248">
        <f t="shared" ca="1" si="77"/>
        <v>133.15028800296164</v>
      </c>
      <c r="N248">
        <f t="shared" ca="1" si="66"/>
        <v>3.3300000000000125</v>
      </c>
      <c r="O248">
        <f t="shared" ca="1" si="67"/>
        <v>3.3300000000000125</v>
      </c>
      <c r="P248">
        <f t="shared" ca="1" si="68"/>
        <v>0</v>
      </c>
      <c r="Q248">
        <f t="shared" ca="1" si="72"/>
        <v>1.6583893182659977</v>
      </c>
      <c r="R248">
        <f t="shared" ca="1" si="73"/>
        <v>0.3518575074066117</v>
      </c>
      <c r="S248">
        <f t="shared" ca="1" si="70"/>
        <v>4.7132412506678127</v>
      </c>
      <c r="T248">
        <f t="shared" ca="1" si="71"/>
        <v>82.496800745406802</v>
      </c>
      <c r="U248">
        <f>70</f>
        <v>70</v>
      </c>
      <c r="V248">
        <f>30</f>
        <v>30</v>
      </c>
      <c r="W248">
        <f t="shared" ca="1" si="69"/>
        <v>153.18375949101164</v>
      </c>
      <c r="X248">
        <f t="shared" ca="1" si="79"/>
        <v>149.32873075176263</v>
      </c>
      <c r="Y248">
        <f t="shared" ca="1" si="78"/>
        <v>4.7139004971726592</v>
      </c>
      <c r="Z248">
        <f t="shared" ca="1" si="80"/>
        <v>2.2523156372778308</v>
      </c>
      <c r="AA248">
        <f t="shared" ca="1" si="81"/>
        <v>2.4615848598948284</v>
      </c>
      <c r="AB248">
        <f t="shared" ca="1" si="82"/>
        <v>146.1156</v>
      </c>
    </row>
    <row r="249" spans="1:28" x14ac:dyDescent="0.25">
      <c r="A249" s="20">
        <f t="shared" ca="1" si="62"/>
        <v>46055</v>
      </c>
      <c r="B249" vm="730">
        <f ca="1"/>
        <v>46058</v>
      </c>
      <c r="C249" vm="731">
        <f ca="1"/>
        <v>167.53</v>
      </c>
      <c r="D249" vm="732">
        <f ca="1"/>
        <v>11038833</v>
      </c>
      <c r="E249">
        <f t="shared" ca="1" si="63"/>
        <v>1849335692.49</v>
      </c>
      <c r="F249">
        <f ca="1">SUM($E$2:E249)/SUM($D$2:D249)</f>
        <v>142.98944187808155</v>
      </c>
      <c r="G249">
        <f ca="1">_xlfn.STDEV.P($C$2:C249)</f>
        <v>7.5503603814355724</v>
      </c>
      <c r="H249">
        <f t="shared" ca="1" si="64"/>
        <v>150.53980225951713</v>
      </c>
      <c r="I249">
        <f t="shared" ca="1" si="65"/>
        <v>135.43908149664597</v>
      </c>
      <c r="J249">
        <f t="shared" ca="1" si="74"/>
        <v>149.17699999999996</v>
      </c>
      <c r="K249">
        <f t="shared" ca="1" si="75"/>
        <v>8.0595018129958991</v>
      </c>
      <c r="L249">
        <f t="shared" ca="1" si="76"/>
        <v>165.29600362599177</v>
      </c>
      <c r="M249">
        <f t="shared" ca="1" si="77"/>
        <v>133.05799637400816</v>
      </c>
      <c r="N249">
        <f t="shared" ca="1" si="66"/>
        <v>1.3499999999999943</v>
      </c>
      <c r="O249">
        <f t="shared" ca="1" si="67"/>
        <v>1.3499999999999943</v>
      </c>
      <c r="P249">
        <f t="shared" ca="1" si="68"/>
        <v>0</v>
      </c>
      <c r="Q249">
        <f t="shared" ca="1" si="72"/>
        <v>1.6363615098184261</v>
      </c>
      <c r="R249">
        <f t="shared" ca="1" si="73"/>
        <v>0.32672482830613941</v>
      </c>
      <c r="S249">
        <f t="shared" ca="1" si="70"/>
        <v>5.0083782071351006</v>
      </c>
      <c r="T249">
        <f t="shared" ca="1" si="71"/>
        <v>83.356573678859377</v>
      </c>
      <c r="U249">
        <f>70</f>
        <v>70</v>
      </c>
      <c r="V249">
        <f>30</f>
        <v>30</v>
      </c>
      <c r="W249">
        <f t="shared" ca="1" si="69"/>
        <v>155.39087341547139</v>
      </c>
      <c r="X249">
        <f t="shared" ca="1" si="79"/>
        <v>150.67697291829873</v>
      </c>
      <c r="Y249">
        <f t="shared" ca="1" si="78"/>
        <v>5.5692114129570314</v>
      </c>
      <c r="Z249">
        <f t="shared" ca="1" si="80"/>
        <v>2.9156947924136709</v>
      </c>
      <c r="AA249">
        <f t="shared" ca="1" si="81"/>
        <v>2.6535166205433605</v>
      </c>
      <c r="AB249">
        <f t="shared" ca="1" si="82"/>
        <v>146.35560000000004</v>
      </c>
    </row>
    <row r="250" spans="1:28" x14ac:dyDescent="0.25">
      <c r="A250" s="20">
        <f t="shared" ca="1" si="62"/>
        <v>46055</v>
      </c>
      <c r="B250" vm="733">
        <f ca="1"/>
        <v>46059</v>
      </c>
      <c r="C250" vm="734">
        <f ca="1"/>
        <v>170.49</v>
      </c>
      <c r="D250" vm="735">
        <f ca="1"/>
        <v>10960439</v>
      </c>
      <c r="E250">
        <f t="shared" ca="1" si="63"/>
        <v>1868645245.1100001</v>
      </c>
      <c r="F250">
        <f ca="1">SUM($E$2:E250)/SUM($D$2:D250)</f>
        <v>143.13314109290161</v>
      </c>
      <c r="G250">
        <f ca="1">_xlfn.STDEV.P($C$2:C250)</f>
        <v>7.7293430216333281</v>
      </c>
      <c r="H250">
        <f t="shared" ca="1" si="64"/>
        <v>150.86248411453494</v>
      </c>
      <c r="I250">
        <f t="shared" ca="1" si="65"/>
        <v>135.40379807126828</v>
      </c>
      <c r="J250">
        <f t="shared" ca="1" si="74"/>
        <v>150.733</v>
      </c>
      <c r="K250">
        <f t="shared" ca="1" si="75"/>
        <v>9.0140236357169137</v>
      </c>
      <c r="L250">
        <f t="shared" ca="1" si="76"/>
        <v>168.76104727143382</v>
      </c>
      <c r="M250">
        <f t="shared" ca="1" si="77"/>
        <v>132.70495272856618</v>
      </c>
      <c r="N250">
        <f t="shared" ca="1" si="66"/>
        <v>2.960000000000008</v>
      </c>
      <c r="O250">
        <f t="shared" ca="1" si="67"/>
        <v>2.960000000000008</v>
      </c>
      <c r="P250">
        <f t="shared" ca="1" si="68"/>
        <v>0</v>
      </c>
      <c r="Q250">
        <f t="shared" ca="1" si="72"/>
        <v>1.7309071162599676</v>
      </c>
      <c r="R250">
        <f t="shared" ca="1" si="73"/>
        <v>0.30338734056998662</v>
      </c>
      <c r="S250">
        <f t="shared" ca="1" si="70"/>
        <v>5.7052713966510247</v>
      </c>
      <c r="T250">
        <f t="shared" ca="1" si="71"/>
        <v>85.086360553586928</v>
      </c>
      <c r="U250">
        <f>70</f>
        <v>70</v>
      </c>
      <c r="V250">
        <f>30</f>
        <v>30</v>
      </c>
      <c r="W250">
        <f t="shared" ca="1" si="69"/>
        <v>157.71381596693735</v>
      </c>
      <c r="X250">
        <f t="shared" ca="1" si="79"/>
        <v>152.14460455398032</v>
      </c>
      <c r="Y250">
        <f t="shared" ca="1" si="78"/>
        <v>5.8551762454039533</v>
      </c>
      <c r="Z250">
        <f t="shared" ca="1" si="80"/>
        <v>3.5035910830117274</v>
      </c>
      <c r="AA250">
        <f t="shared" ca="1" si="81"/>
        <v>2.3515851623922259</v>
      </c>
      <c r="AB250">
        <f t="shared" ca="1" si="82"/>
        <v>146.65410000000003</v>
      </c>
    </row>
    <row r="251" spans="1:28" x14ac:dyDescent="0.25">
      <c r="A251" s="20">
        <f t="shared" ca="1" si="62"/>
        <v>46062</v>
      </c>
      <c r="B251" vm="736">
        <f ca="1"/>
        <v>46062</v>
      </c>
      <c r="C251" vm="737">
        <f ca="1"/>
        <v>166.47</v>
      </c>
      <c r="D251" vm="738">
        <f ca="1"/>
        <v>10316236</v>
      </c>
      <c r="E251">
        <f t="shared" ca="1" si="63"/>
        <v>1717343806.9200001</v>
      </c>
      <c r="F251">
        <f ca="1">SUM($E$2:E251)/SUM($D$2:D251)</f>
        <v>143.24735471251824</v>
      </c>
      <c r="G251">
        <f ca="1">_xlfn.STDEV.P($C$2:C251)</f>
        <v>7.8503522475109353</v>
      </c>
      <c r="H251">
        <f t="shared" ca="1" si="64"/>
        <v>151.09770696002917</v>
      </c>
      <c r="I251">
        <f t="shared" ca="1" si="65"/>
        <v>135.39700246500732</v>
      </c>
      <c r="J251">
        <f t="shared" ca="1" si="74"/>
        <v>152.06099999999995</v>
      </c>
      <c r="K251">
        <f t="shared" ca="1" si="75"/>
        <v>9.2879207916292525</v>
      </c>
      <c r="L251">
        <f t="shared" ca="1" si="76"/>
        <v>170.63684158325844</v>
      </c>
      <c r="M251">
        <f t="shared" ca="1" si="77"/>
        <v>133.48515841674146</v>
      </c>
      <c r="N251">
        <f t="shared" ca="1" si="66"/>
        <v>-4.0200000000000102</v>
      </c>
      <c r="O251">
        <f t="shared" ca="1" si="67"/>
        <v>0</v>
      </c>
      <c r="P251">
        <f t="shared" ca="1" si="68"/>
        <v>4.0200000000000102</v>
      </c>
      <c r="Q251">
        <f t="shared" ca="1" si="72"/>
        <v>1.60727089366997</v>
      </c>
      <c r="R251">
        <f t="shared" ca="1" si="73"/>
        <v>0.56885967338641685</v>
      </c>
      <c r="S251">
        <f t="shared" ca="1" si="70"/>
        <v>2.8254259685906367</v>
      </c>
      <c r="T251">
        <f t="shared" ca="1" si="71"/>
        <v>73.859120312072861</v>
      </c>
      <c r="U251">
        <f>70</f>
        <v>70</v>
      </c>
      <c r="V251">
        <f>30</f>
        <v>30</v>
      </c>
      <c r="W251">
        <f t="shared" ca="1" si="69"/>
        <v>159.06092120279314</v>
      </c>
      <c r="X251">
        <f t="shared" ca="1" si="79"/>
        <v>153.20574495738919</v>
      </c>
      <c r="Y251">
        <f t="shared" ca="1" si="78"/>
        <v>6.0523831512196011</v>
      </c>
      <c r="Z251">
        <f t="shared" ca="1" si="80"/>
        <v>4.0133494966533023</v>
      </c>
      <c r="AA251">
        <f t="shared" ca="1" si="81"/>
        <v>2.0390336545662988</v>
      </c>
      <c r="AB251">
        <f t="shared" ca="1" si="82"/>
        <v>146.91850000000002</v>
      </c>
    </row>
    <row r="252" spans="1:28" x14ac:dyDescent="0.25">
      <c r="A252" s="20">
        <f t="shared" ca="1" si="62"/>
        <v>46062</v>
      </c>
      <c r="B252" vm="739">
        <f ca="1"/>
        <v>46063</v>
      </c>
      <c r="C252" vm="740">
        <f ca="1"/>
        <v>166.97</v>
      </c>
      <c r="D252" vm="741">
        <f ca="1"/>
        <v>10352922</v>
      </c>
      <c r="E252">
        <f t="shared" ca="1" si="63"/>
        <v>1728627386.3399999</v>
      </c>
      <c r="F252">
        <f ca="1">SUM($E$2:E252)/SUM($D$2:D252)</f>
        <v>143.36329982657776</v>
      </c>
      <c r="G252">
        <f ca="1">_xlfn.STDEV.P($C$2:C252)</f>
        <v>7.9733111959783569</v>
      </c>
      <c r="H252">
        <f t="shared" ca="1" si="64"/>
        <v>151.33661102255613</v>
      </c>
      <c r="I252">
        <f t="shared" ca="1" si="65"/>
        <v>135.38998863059939</v>
      </c>
      <c r="J252">
        <f t="shared" ca="1" si="74"/>
        <v>153.34149999999994</v>
      </c>
      <c r="K252">
        <f t="shared" ca="1" si="75"/>
        <v>9.497970018571559</v>
      </c>
      <c r="L252">
        <f t="shared" ca="1" si="76"/>
        <v>172.33744003714307</v>
      </c>
      <c r="M252">
        <f t="shared" ca="1" si="77"/>
        <v>134.34555996285681</v>
      </c>
      <c r="N252">
        <f t="shared" ca="1" si="66"/>
        <v>0.5</v>
      </c>
      <c r="O252">
        <f t="shared" ca="1" si="67"/>
        <v>0.5</v>
      </c>
      <c r="P252">
        <f t="shared" ca="1" si="68"/>
        <v>0</v>
      </c>
      <c r="Q252">
        <f t="shared" ca="1" si="72"/>
        <v>1.5281801155506864</v>
      </c>
      <c r="R252">
        <f t="shared" ca="1" si="73"/>
        <v>0.52822683957310135</v>
      </c>
      <c r="S252">
        <f t="shared" ca="1" si="70"/>
        <v>2.8930376138889882</v>
      </c>
      <c r="T252">
        <f t="shared" ca="1" si="71"/>
        <v>74.313117437336032</v>
      </c>
      <c r="U252">
        <f>70</f>
        <v>70</v>
      </c>
      <c r="V252">
        <f>30</f>
        <v>30</v>
      </c>
      <c r="W252">
        <f t="shared" ca="1" si="69"/>
        <v>160.27770255620959</v>
      </c>
      <c r="X252">
        <f t="shared" ca="1" si="79"/>
        <v>154.22531940498999</v>
      </c>
      <c r="Y252">
        <v>6.0523831512196011</v>
      </c>
      <c r="Z252">
        <f t="shared" ref="Z252" ca="1" si="83">Y252*(2/(9+1)) + Z251*(1-(2/(9+1)))</f>
        <v>4.4211562275665619</v>
      </c>
      <c r="AA252">
        <f t="shared" ref="AA252" ca="1" si="84">Y252-Z252</f>
        <v>1.6312269236530392</v>
      </c>
      <c r="AB252">
        <f t="shared" ca="1" si="82"/>
        <v>147.17590000000001</v>
      </c>
    </row>
    <row r="253" spans="1:28" x14ac:dyDescent="0.25">
      <c r="B253" vm="742">
        <f ca="1"/>
        <v>46064</v>
      </c>
      <c r="C253" vm="743">
        <f ca="1"/>
        <v>169.15</v>
      </c>
      <c r="D253" vm="744">
        <f ca="1"/>
        <v>6733819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E05F-7C54-467B-B8F1-6765FE10A7C4}">
  <dimension ref="A1:E62"/>
  <sheetViews>
    <sheetView workbookViewId="0">
      <selection activeCell="M4" sqref="M4"/>
    </sheetView>
  </sheetViews>
  <sheetFormatPr defaultRowHeight="15" x14ac:dyDescent="0.25"/>
  <cols>
    <col min="1" max="1" width="10.42578125" bestFit="1" customWidth="1"/>
    <col min="2" max="2" width="10.28515625" customWidth="1"/>
    <col min="3" max="3" width="19.42578125" customWidth="1"/>
    <col min="4" max="4" width="12.85546875" bestFit="1" customWidth="1"/>
    <col min="5" max="5" width="15.7109375" bestFit="1" customWidth="1"/>
  </cols>
  <sheetData>
    <row r="1" spans="1:5" x14ac:dyDescent="0.25">
      <c r="A1" t="s">
        <v>45</v>
      </c>
      <c r="B1" t="s">
        <v>46</v>
      </c>
      <c r="C1" t="s">
        <v>47</v>
      </c>
      <c r="D1" t="s">
        <v>48</v>
      </c>
      <c r="E1" t="s">
        <v>51</v>
      </c>
    </row>
    <row r="2" spans="1:5" x14ac:dyDescent="0.25">
      <c r="A2" s="23">
        <v>45698</v>
      </c>
      <c r="B2">
        <v>144.4</v>
      </c>
    </row>
    <row r="3" spans="1:5" x14ac:dyDescent="0.25">
      <c r="A3" s="23">
        <v>45705</v>
      </c>
      <c r="B3">
        <v>148.1275</v>
      </c>
    </row>
    <row r="4" spans="1:5" x14ac:dyDescent="0.25">
      <c r="A4" s="23">
        <v>45712</v>
      </c>
      <c r="B4">
        <v>153.45400000000001</v>
      </c>
    </row>
    <row r="5" spans="1:5" x14ac:dyDescent="0.25">
      <c r="A5" s="23">
        <v>45719</v>
      </c>
      <c r="B5">
        <v>154.62200000000001</v>
      </c>
    </row>
    <row r="6" spans="1:5" x14ac:dyDescent="0.25">
      <c r="A6" s="23">
        <v>45726</v>
      </c>
      <c r="B6">
        <v>150.73599999999999</v>
      </c>
    </row>
    <row r="7" spans="1:5" x14ac:dyDescent="0.25">
      <c r="A7" s="23">
        <v>45733</v>
      </c>
      <c r="B7">
        <v>148.208</v>
      </c>
    </row>
    <row r="8" spans="1:5" x14ac:dyDescent="0.25">
      <c r="A8" s="23">
        <v>45740</v>
      </c>
      <c r="B8">
        <v>147.91399999999999</v>
      </c>
    </row>
    <row r="9" spans="1:5" x14ac:dyDescent="0.25">
      <c r="A9" s="23">
        <v>45747</v>
      </c>
      <c r="B9">
        <v>149.34200000000001</v>
      </c>
    </row>
    <row r="10" spans="1:5" x14ac:dyDescent="0.25">
      <c r="A10" s="23">
        <v>45754</v>
      </c>
      <c r="B10">
        <v>143.53</v>
      </c>
    </row>
    <row r="11" spans="1:5" x14ac:dyDescent="0.25">
      <c r="A11" s="23">
        <v>45761</v>
      </c>
      <c r="B11">
        <v>143.13</v>
      </c>
    </row>
    <row r="12" spans="1:5" x14ac:dyDescent="0.25">
      <c r="A12" s="23">
        <v>45768</v>
      </c>
      <c r="B12">
        <v>139.22800000000001</v>
      </c>
    </row>
    <row r="13" spans="1:5" x14ac:dyDescent="0.25">
      <c r="A13" s="23">
        <v>45775</v>
      </c>
      <c r="B13">
        <v>134.19</v>
      </c>
    </row>
    <row r="14" spans="1:5" x14ac:dyDescent="0.25">
      <c r="A14" s="23">
        <v>45782</v>
      </c>
      <c r="B14">
        <v>131.303</v>
      </c>
    </row>
    <row r="15" spans="1:5" x14ac:dyDescent="0.25">
      <c r="A15" s="23">
        <v>45789</v>
      </c>
      <c r="B15">
        <v>130.78399999999999</v>
      </c>
    </row>
    <row r="16" spans="1:5" x14ac:dyDescent="0.25">
      <c r="A16" s="23">
        <v>45796</v>
      </c>
      <c r="B16">
        <v>130.64000000000001</v>
      </c>
    </row>
    <row r="17" spans="1:2" x14ac:dyDescent="0.25">
      <c r="A17" s="23">
        <v>45803</v>
      </c>
      <c r="B17">
        <v>131.35249999999999</v>
      </c>
    </row>
    <row r="18" spans="1:2" x14ac:dyDescent="0.25">
      <c r="A18" s="23">
        <v>45810</v>
      </c>
      <c r="B18">
        <v>131.12800000000001</v>
      </c>
    </row>
    <row r="19" spans="1:2" x14ac:dyDescent="0.25">
      <c r="A19" s="23">
        <v>45817</v>
      </c>
      <c r="B19">
        <v>130.96800000000002</v>
      </c>
    </row>
    <row r="20" spans="1:2" x14ac:dyDescent="0.25">
      <c r="A20" s="23">
        <v>45824</v>
      </c>
      <c r="B20">
        <v>129.70999999999998</v>
      </c>
    </row>
    <row r="21" spans="1:2" x14ac:dyDescent="0.25">
      <c r="A21" s="23">
        <v>45831</v>
      </c>
      <c r="B21">
        <v>129.48400000000001</v>
      </c>
    </row>
    <row r="22" spans="1:2" x14ac:dyDescent="0.25">
      <c r="A22" s="23">
        <v>45838</v>
      </c>
      <c r="B22">
        <v>134.79</v>
      </c>
    </row>
    <row r="23" spans="1:2" x14ac:dyDescent="0.25">
      <c r="A23" s="23">
        <v>45845</v>
      </c>
      <c r="B23">
        <v>135.06199999999998</v>
      </c>
    </row>
    <row r="24" spans="1:2" x14ac:dyDescent="0.25">
      <c r="A24" s="23">
        <v>45852</v>
      </c>
      <c r="B24">
        <v>138.68199999999999</v>
      </c>
    </row>
    <row r="25" spans="1:2" x14ac:dyDescent="0.25">
      <c r="A25" s="23">
        <v>45859</v>
      </c>
      <c r="B25">
        <v>144.27199999999999</v>
      </c>
    </row>
    <row r="26" spans="1:2" x14ac:dyDescent="0.25">
      <c r="A26" s="23">
        <v>45866</v>
      </c>
      <c r="B26">
        <v>141.10399999999998</v>
      </c>
    </row>
    <row r="27" spans="1:2" x14ac:dyDescent="0.25">
      <c r="A27" s="23">
        <v>45873</v>
      </c>
      <c r="B27">
        <v>141.78800000000001</v>
      </c>
    </row>
    <row r="28" spans="1:2" x14ac:dyDescent="0.25">
      <c r="A28" s="23">
        <v>45880</v>
      </c>
      <c r="B28">
        <v>148.02199999999999</v>
      </c>
    </row>
    <row r="29" spans="1:2" x14ac:dyDescent="0.25">
      <c r="A29" s="23">
        <v>45887</v>
      </c>
      <c r="B29">
        <v>150.21199999999999</v>
      </c>
    </row>
    <row r="30" spans="1:2" x14ac:dyDescent="0.25">
      <c r="A30" s="23">
        <v>45894</v>
      </c>
      <c r="B30">
        <v>147.69399999999999</v>
      </c>
    </row>
    <row r="31" spans="1:2" x14ac:dyDescent="0.25">
      <c r="A31" s="23">
        <v>45901</v>
      </c>
      <c r="B31">
        <v>148.04999999999998</v>
      </c>
    </row>
    <row r="32" spans="1:2" x14ac:dyDescent="0.25">
      <c r="A32" s="23">
        <v>45908</v>
      </c>
      <c r="B32">
        <v>143.04599999999999</v>
      </c>
    </row>
    <row r="33" spans="1:2" x14ac:dyDescent="0.25">
      <c r="A33" s="23">
        <v>45915</v>
      </c>
      <c r="B33">
        <v>140.87799999999999</v>
      </c>
    </row>
    <row r="34" spans="1:2" x14ac:dyDescent="0.25">
      <c r="A34" s="23">
        <v>45922</v>
      </c>
      <c r="B34">
        <v>141.09199999999998</v>
      </c>
    </row>
    <row r="35" spans="1:2" x14ac:dyDescent="0.25">
      <c r="A35" s="23">
        <v>45929</v>
      </c>
      <c r="B35">
        <v>141.608</v>
      </c>
    </row>
    <row r="36" spans="1:2" x14ac:dyDescent="0.25">
      <c r="A36" s="23">
        <v>45936</v>
      </c>
      <c r="B36">
        <v>142.82400000000001</v>
      </c>
    </row>
    <row r="37" spans="1:2" x14ac:dyDescent="0.25">
      <c r="A37" s="23">
        <v>45943</v>
      </c>
      <c r="B37">
        <v>151.59399999999999</v>
      </c>
    </row>
    <row r="38" spans="1:2" x14ac:dyDescent="0.25">
      <c r="A38" s="23">
        <v>45950</v>
      </c>
      <c r="B38">
        <v>152.58199999999999</v>
      </c>
    </row>
    <row r="39" spans="1:2" x14ac:dyDescent="0.25">
      <c r="A39" s="23">
        <v>45957</v>
      </c>
      <c r="B39">
        <v>148.51</v>
      </c>
    </row>
    <row r="40" spans="1:2" x14ac:dyDescent="0.25">
      <c r="A40" s="23">
        <v>45964</v>
      </c>
      <c r="B40">
        <v>142.77799999999999</v>
      </c>
    </row>
    <row r="41" spans="1:2" x14ac:dyDescent="0.25">
      <c r="A41" s="23">
        <v>45971</v>
      </c>
      <c r="B41">
        <v>144.59200000000001</v>
      </c>
    </row>
    <row r="42" spans="1:2" x14ac:dyDescent="0.25">
      <c r="A42" s="23">
        <v>45978</v>
      </c>
      <c r="B42">
        <v>147.22800000000001</v>
      </c>
    </row>
    <row r="43" spans="1:2" x14ac:dyDescent="0.25">
      <c r="A43" s="23">
        <v>45985</v>
      </c>
      <c r="B43">
        <v>147.08250000000001</v>
      </c>
    </row>
    <row r="44" spans="1:2" x14ac:dyDescent="0.25">
      <c r="A44" s="23">
        <v>45992</v>
      </c>
      <c r="B44">
        <v>147.62200000000001</v>
      </c>
    </row>
    <row r="45" spans="1:2" x14ac:dyDescent="0.25">
      <c r="A45" s="23">
        <v>45999</v>
      </c>
      <c r="B45">
        <v>147.93199999999999</v>
      </c>
    </row>
    <row r="46" spans="1:2" x14ac:dyDescent="0.25">
      <c r="A46" s="23">
        <v>46006</v>
      </c>
      <c r="B46">
        <v>149.84</v>
      </c>
    </row>
    <row r="47" spans="1:2" x14ac:dyDescent="0.25">
      <c r="A47" s="23">
        <v>46013</v>
      </c>
      <c r="B47">
        <v>144.5625</v>
      </c>
    </row>
    <row r="48" spans="1:2" x14ac:dyDescent="0.25">
      <c r="A48" s="23">
        <v>46020</v>
      </c>
      <c r="B48">
        <v>143.53749999999999</v>
      </c>
    </row>
    <row r="49" spans="1:5" x14ac:dyDescent="0.25">
      <c r="A49" s="23">
        <v>46027</v>
      </c>
      <c r="B49">
        <v>139.03399999999999</v>
      </c>
    </row>
    <row r="50" spans="1:5" x14ac:dyDescent="0.25">
      <c r="A50" s="23">
        <v>46034</v>
      </c>
      <c r="B50">
        <v>144.72999999999999</v>
      </c>
    </row>
    <row r="51" spans="1:5" x14ac:dyDescent="0.25">
      <c r="A51" s="23">
        <v>46041</v>
      </c>
      <c r="B51">
        <v>145.845</v>
      </c>
    </row>
    <row r="52" spans="1:5" x14ac:dyDescent="0.25">
      <c r="A52" s="23">
        <v>46048</v>
      </c>
      <c r="B52">
        <v>149.09399999999999</v>
      </c>
    </row>
    <row r="53" spans="1:5" x14ac:dyDescent="0.25">
      <c r="A53" s="23">
        <v>46055</v>
      </c>
      <c r="B53">
        <v>164.45</v>
      </c>
    </row>
    <row r="54" spans="1:5" ht="15.75" thickBot="1" x14ac:dyDescent="0.3">
      <c r="A54" s="23">
        <v>46062</v>
      </c>
      <c r="B54">
        <v>166.72</v>
      </c>
      <c r="C54">
        <f>_xlfn.FORECAST.ETS(Table5[[#This Row],[Week]],B2:B53,A2:A53,1,1,1)</f>
        <v>163.0392220353117</v>
      </c>
      <c r="D54">
        <v>154.968596808451</v>
      </c>
    </row>
    <row r="55" spans="1:5" ht="15.75" thickBot="1" x14ac:dyDescent="0.3">
      <c r="A55" s="23">
        <v>46069</v>
      </c>
      <c r="C55">
        <f>_xlfn.FORECAST.ETS(Table5[[#This Row],[Week]],B3:B54,A3:A54,1,1,1)</f>
        <v>166.90464772048151</v>
      </c>
      <c r="D55">
        <v>157.96720239796301</v>
      </c>
      <c r="E55" s="29">
        <v>164.43016299999999</v>
      </c>
    </row>
    <row r="56" spans="1:5" ht="15.75" thickBot="1" x14ac:dyDescent="0.3">
      <c r="A56" s="23">
        <v>46076</v>
      </c>
      <c r="C56">
        <f>_xlfn.FORECAST.ETS(Table5[[#This Row],[Week]],B4:B55,A4:A55,1,1,1)</f>
        <v>167.13207954751132</v>
      </c>
      <c r="D56">
        <v>160.42030542280699</v>
      </c>
      <c r="E56" s="30">
        <v>167.248266</v>
      </c>
    </row>
    <row r="57" spans="1:5" ht="15.75" thickBot="1" x14ac:dyDescent="0.3">
      <c r="A57" s="23">
        <v>46083</v>
      </c>
      <c r="C57">
        <f>_xlfn.FORECAST.ETS(Table5[[#This Row],[Week]],B5:B56,A5:A56,1,1,1)</f>
        <v>167.44793066026409</v>
      </c>
      <c r="D57">
        <v>166.37323318432101</v>
      </c>
      <c r="E57" s="29">
        <v>166.50167400000001</v>
      </c>
    </row>
    <row r="58" spans="1:5" ht="15.75" thickBot="1" x14ac:dyDescent="0.3">
      <c r="A58" s="23">
        <v>46090</v>
      </c>
      <c r="C58">
        <f>_xlfn.FORECAST.ETS(Table5[[#This Row],[Week]],B6:B57,A6:A57,1,1,1)</f>
        <v>167.86510714285714</v>
      </c>
      <c r="D58">
        <v>169.31618331708</v>
      </c>
      <c r="E58" s="30">
        <v>167.669611</v>
      </c>
    </row>
    <row r="59" spans="1:5" ht="15.75" thickBot="1" x14ac:dyDescent="0.3">
      <c r="A59" s="23">
        <v>46097</v>
      </c>
      <c r="C59">
        <f>_xlfn.FORECAST.ETS(Table5[[#This Row],[Week]],B7:B58,A7:A58,1,1,1)</f>
        <v>168.01435032213732</v>
      </c>
      <c r="D59">
        <v>171.57613543514299</v>
      </c>
      <c r="E59" s="29">
        <v>166.896096</v>
      </c>
    </row>
    <row r="60" spans="1:5" ht="15.75" thickBot="1" x14ac:dyDescent="0.3">
      <c r="A60" s="23">
        <v>46104</v>
      </c>
      <c r="C60">
        <f>_xlfn.FORECAST.ETS(Table5[[#This Row],[Week]],B8:B59,A8:A59,1,1,1)</f>
        <v>172.52484734252397</v>
      </c>
      <c r="D60">
        <v>169.502214686499</v>
      </c>
      <c r="E60" s="30">
        <v>171.31114299999999</v>
      </c>
    </row>
    <row r="61" spans="1:5" ht="15.75" thickBot="1" x14ac:dyDescent="0.3">
      <c r="A61" s="23">
        <v>46111</v>
      </c>
      <c r="C61">
        <f>_xlfn.FORECAST.ETS(Table5[[#This Row],[Week]],B9:B60,A9:A60,1,1,1)</f>
        <v>167.32695079839414</v>
      </c>
      <c r="D61">
        <v>166.264365195956</v>
      </c>
      <c r="E61" s="29">
        <v>171.77056899999999</v>
      </c>
    </row>
    <row r="62" spans="1:5" ht="15.75" thickBot="1" x14ac:dyDescent="0.3">
      <c r="A62" s="23">
        <v>46113</v>
      </c>
      <c r="C62">
        <f>_xlfn.FORECAST.ETS(Table5[[#This Row],[Week]],B10:B61,A10:A61,1,1,1)</f>
        <v>170.04254799861016</v>
      </c>
      <c r="D62">
        <v>167.12110965010299</v>
      </c>
      <c r="E62" s="30">
        <v>167.983035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3CC6-CBA4-42B6-AA03-95C824783EB6}">
  <dimension ref="A1:B252"/>
  <sheetViews>
    <sheetView topLeftCell="A249" workbookViewId="0">
      <selection sqref="A1:B252"/>
    </sheetView>
  </sheetViews>
  <sheetFormatPr defaultRowHeight="15" x14ac:dyDescent="0.25"/>
  <cols>
    <col min="1" max="1" width="13.28515625" style="20" customWidth="1"/>
    <col min="2" max="2" width="10.5703125" bestFit="1" customWidth="1"/>
  </cols>
  <sheetData>
    <row r="1" spans="1:2" x14ac:dyDescent="0.25">
      <c r="A1" s="19" t="s">
        <v>45</v>
      </c>
      <c r="B1" s="4" t="s">
        <v>43</v>
      </c>
    </row>
    <row r="2" spans="1:2" x14ac:dyDescent="0.25">
      <c r="A2" s="20">
        <v>45698</v>
      </c>
      <c r="B2" vm="2">
        <v>145.63999999999999</v>
      </c>
    </row>
    <row r="3" spans="1:2" x14ac:dyDescent="0.25">
      <c r="A3" s="20">
        <v>45698</v>
      </c>
      <c r="B3" vm="5">
        <v>143.99</v>
      </c>
    </row>
    <row r="4" spans="1:2" x14ac:dyDescent="0.25">
      <c r="A4" s="20">
        <v>45698</v>
      </c>
      <c r="B4" vm="8">
        <v>144.58000000000001</v>
      </c>
    </row>
    <row r="5" spans="1:2" x14ac:dyDescent="0.25">
      <c r="A5" s="20">
        <v>45698</v>
      </c>
      <c r="B5" vm="11">
        <v>143.38999999999999</v>
      </c>
    </row>
    <row r="6" spans="1:2" x14ac:dyDescent="0.25">
      <c r="A6" s="20">
        <v>45705</v>
      </c>
      <c r="B6" vm="14">
        <v>144.1</v>
      </c>
    </row>
    <row r="7" spans="1:2" x14ac:dyDescent="0.25">
      <c r="A7" s="20">
        <v>45705</v>
      </c>
      <c r="B7" vm="17">
        <v>145.81</v>
      </c>
    </row>
    <row r="8" spans="1:2" x14ac:dyDescent="0.25">
      <c r="A8" s="20">
        <v>45705</v>
      </c>
      <c r="B8" vm="20">
        <v>149.1</v>
      </c>
    </row>
    <row r="9" spans="1:2" x14ac:dyDescent="0.25">
      <c r="A9" s="20">
        <v>45705</v>
      </c>
      <c r="B9" vm="23">
        <v>153.5</v>
      </c>
    </row>
    <row r="10" spans="1:2" x14ac:dyDescent="0.25">
      <c r="A10" s="20">
        <v>45712</v>
      </c>
      <c r="B10" vm="26">
        <v>153.85</v>
      </c>
    </row>
    <row r="11" spans="1:2" x14ac:dyDescent="0.25">
      <c r="A11" s="20">
        <v>45712</v>
      </c>
      <c r="B11" vm="29">
        <v>156.41999999999999</v>
      </c>
    </row>
    <row r="12" spans="1:2" x14ac:dyDescent="0.25">
      <c r="A12" s="20">
        <v>45712</v>
      </c>
      <c r="B12" vm="32">
        <v>151.51</v>
      </c>
    </row>
    <row r="13" spans="1:2" x14ac:dyDescent="0.25">
      <c r="A13" s="20">
        <v>45712</v>
      </c>
      <c r="B13" vm="35">
        <v>152.02000000000001</v>
      </c>
    </row>
    <row r="14" spans="1:2" x14ac:dyDescent="0.25">
      <c r="A14" s="20">
        <v>45712</v>
      </c>
      <c r="B14" vm="38">
        <v>153.47</v>
      </c>
    </row>
    <row r="15" spans="1:2" x14ac:dyDescent="0.25">
      <c r="A15" s="20">
        <v>45719</v>
      </c>
      <c r="B15" vm="41">
        <v>155.99</v>
      </c>
    </row>
    <row r="16" spans="1:2" x14ac:dyDescent="0.25">
      <c r="A16" s="20">
        <v>45719</v>
      </c>
      <c r="B16" vm="44">
        <v>154.19</v>
      </c>
    </row>
    <row r="17" spans="1:2" x14ac:dyDescent="0.25">
      <c r="A17" s="20">
        <v>45719</v>
      </c>
      <c r="B17" vm="47">
        <v>153.88</v>
      </c>
    </row>
    <row r="18" spans="1:2" x14ac:dyDescent="0.25">
      <c r="A18" s="20">
        <v>45719</v>
      </c>
      <c r="B18" vm="50">
        <v>154.61000000000001</v>
      </c>
    </row>
    <row r="19" spans="1:2" x14ac:dyDescent="0.25">
      <c r="A19" s="20">
        <v>45719</v>
      </c>
      <c r="B19" vm="53">
        <v>154.44</v>
      </c>
    </row>
    <row r="20" spans="1:2" x14ac:dyDescent="0.25">
      <c r="A20" s="20">
        <v>45726</v>
      </c>
      <c r="B20" vm="56">
        <v>156.25</v>
      </c>
    </row>
    <row r="21" spans="1:2" x14ac:dyDescent="0.25">
      <c r="A21" s="20">
        <v>45726</v>
      </c>
      <c r="B21" vm="59">
        <v>152.33000000000001</v>
      </c>
    </row>
    <row r="22" spans="1:2" x14ac:dyDescent="0.25">
      <c r="A22" s="20">
        <v>45726</v>
      </c>
      <c r="B22" vm="62">
        <v>148.16999999999999</v>
      </c>
    </row>
    <row r="23" spans="1:2" x14ac:dyDescent="0.25">
      <c r="A23" s="20">
        <v>45726</v>
      </c>
      <c r="B23" vm="65">
        <v>148.34</v>
      </c>
    </row>
    <row r="24" spans="1:2" x14ac:dyDescent="0.25">
      <c r="A24" s="20">
        <v>45726</v>
      </c>
      <c r="B24" vm="68">
        <v>148.59</v>
      </c>
    </row>
    <row r="25" spans="1:2" x14ac:dyDescent="0.25">
      <c r="A25" s="20">
        <v>45733</v>
      </c>
      <c r="B25" vm="71">
        <v>151.34</v>
      </c>
    </row>
    <row r="26" spans="1:2" x14ac:dyDescent="0.25">
      <c r="A26" s="20">
        <v>45733</v>
      </c>
      <c r="B26" vm="74">
        <v>148.99</v>
      </c>
    </row>
    <row r="27" spans="1:2" x14ac:dyDescent="0.25">
      <c r="A27" s="20">
        <v>45733</v>
      </c>
      <c r="B27" vm="77">
        <v>148.11000000000001</v>
      </c>
    </row>
    <row r="28" spans="1:2" x14ac:dyDescent="0.25">
      <c r="A28" s="20">
        <v>45733</v>
      </c>
      <c r="B28" vm="80">
        <v>147.15</v>
      </c>
    </row>
    <row r="29" spans="1:2" x14ac:dyDescent="0.25">
      <c r="A29" s="20">
        <v>45733</v>
      </c>
      <c r="B29" vm="83">
        <v>145.44999999999999</v>
      </c>
    </row>
    <row r="30" spans="1:2" x14ac:dyDescent="0.25">
      <c r="A30" s="20">
        <v>45740</v>
      </c>
      <c r="B30" vm="86">
        <v>146.44999999999999</v>
      </c>
    </row>
    <row r="31" spans="1:2" x14ac:dyDescent="0.25">
      <c r="A31" s="20">
        <v>45740</v>
      </c>
      <c r="B31" vm="89">
        <v>145.54</v>
      </c>
    </row>
    <row r="32" spans="1:2" x14ac:dyDescent="0.25">
      <c r="A32" s="20">
        <v>45740</v>
      </c>
      <c r="B32" vm="92">
        <v>148.63999999999999</v>
      </c>
    </row>
    <row r="33" spans="1:2" x14ac:dyDescent="0.25">
      <c r="A33" s="20">
        <v>45740</v>
      </c>
      <c r="B33" vm="95">
        <v>149.66999999999999</v>
      </c>
    </row>
    <row r="34" spans="1:2" x14ac:dyDescent="0.25">
      <c r="A34" s="20">
        <v>45740</v>
      </c>
      <c r="B34" vm="98">
        <v>149.27000000000001</v>
      </c>
    </row>
    <row r="35" spans="1:2" x14ac:dyDescent="0.25">
      <c r="A35" s="20">
        <v>45747</v>
      </c>
      <c r="B35" vm="101">
        <v>149.94</v>
      </c>
    </row>
    <row r="36" spans="1:2" x14ac:dyDescent="0.25">
      <c r="A36" s="20">
        <v>45747</v>
      </c>
      <c r="B36" vm="95">
        <v>149.66999999999999</v>
      </c>
    </row>
    <row r="37" spans="1:2" x14ac:dyDescent="0.25">
      <c r="A37" s="20">
        <v>45747</v>
      </c>
      <c r="B37" vm="106">
        <v>149.12</v>
      </c>
    </row>
    <row r="38" spans="1:2" x14ac:dyDescent="0.25">
      <c r="A38" s="20">
        <v>45747</v>
      </c>
      <c r="B38" vm="109">
        <v>151.37</v>
      </c>
    </row>
    <row r="39" spans="1:2" x14ac:dyDescent="0.25">
      <c r="A39" s="20">
        <v>45747</v>
      </c>
      <c r="B39" vm="112">
        <v>146.61000000000001</v>
      </c>
    </row>
    <row r="40" spans="1:2" x14ac:dyDescent="0.25">
      <c r="A40" s="20">
        <v>45754</v>
      </c>
      <c r="B40" vm="115">
        <v>143.19</v>
      </c>
    </row>
    <row r="41" spans="1:2" x14ac:dyDescent="0.25">
      <c r="A41" s="20">
        <v>45754</v>
      </c>
      <c r="B41" vm="118">
        <v>140.30000000000001</v>
      </c>
    </row>
    <row r="42" spans="1:2" x14ac:dyDescent="0.25">
      <c r="A42" s="20">
        <v>45754</v>
      </c>
      <c r="B42" vm="121">
        <v>145.59</v>
      </c>
    </row>
    <row r="43" spans="1:2" x14ac:dyDescent="0.25">
      <c r="A43" s="20">
        <v>45754</v>
      </c>
      <c r="B43" vm="124">
        <v>144.13999999999999</v>
      </c>
    </row>
    <row r="44" spans="1:2" x14ac:dyDescent="0.25">
      <c r="A44" s="20">
        <v>45754</v>
      </c>
      <c r="B44" vm="127">
        <v>144.43</v>
      </c>
    </row>
    <row r="45" spans="1:2" x14ac:dyDescent="0.25">
      <c r="A45" s="20">
        <v>45761</v>
      </c>
      <c r="B45" vm="130">
        <v>146.75</v>
      </c>
    </row>
    <row r="46" spans="1:2" x14ac:dyDescent="0.25">
      <c r="A46" s="20">
        <v>45761</v>
      </c>
      <c r="B46" vm="133">
        <v>142.84</v>
      </c>
    </row>
    <row r="47" spans="1:2" x14ac:dyDescent="0.25">
      <c r="A47" s="20">
        <v>45761</v>
      </c>
      <c r="B47" vm="136">
        <v>140.09</v>
      </c>
    </row>
    <row r="48" spans="1:2" x14ac:dyDescent="0.25">
      <c r="A48" s="20">
        <v>45761</v>
      </c>
      <c r="B48" vm="133">
        <v>142.84</v>
      </c>
    </row>
    <row r="49" spans="1:2" x14ac:dyDescent="0.25">
      <c r="A49" s="20">
        <v>45768</v>
      </c>
      <c r="B49" vm="141">
        <v>141.72999999999999</v>
      </c>
    </row>
    <row r="50" spans="1:2" x14ac:dyDescent="0.25">
      <c r="A50" s="20">
        <v>45768</v>
      </c>
      <c r="B50" vm="144">
        <v>143.46</v>
      </c>
    </row>
    <row r="51" spans="1:2" x14ac:dyDescent="0.25">
      <c r="A51" s="20">
        <v>45768</v>
      </c>
      <c r="B51" vm="147">
        <v>142.26</v>
      </c>
    </row>
    <row r="52" spans="1:2" x14ac:dyDescent="0.25">
      <c r="A52" s="20">
        <v>45768</v>
      </c>
      <c r="B52" vm="150">
        <v>135.31</v>
      </c>
    </row>
    <row r="53" spans="1:2" x14ac:dyDescent="0.25">
      <c r="A53" s="20">
        <v>45768</v>
      </c>
      <c r="B53" vm="153">
        <v>133.38</v>
      </c>
    </row>
    <row r="54" spans="1:2" x14ac:dyDescent="0.25">
      <c r="A54" s="20">
        <v>45775</v>
      </c>
      <c r="B54" vm="156">
        <v>133.76</v>
      </c>
    </row>
    <row r="55" spans="1:2" x14ac:dyDescent="0.25">
      <c r="A55" s="20">
        <v>45775</v>
      </c>
      <c r="B55" vm="159">
        <v>134.31</v>
      </c>
    </row>
    <row r="56" spans="1:2" x14ac:dyDescent="0.25">
      <c r="A56" s="20">
        <v>45775</v>
      </c>
      <c r="B56" vm="162">
        <v>135.58000000000001</v>
      </c>
    </row>
    <row r="57" spans="1:2" x14ac:dyDescent="0.25">
      <c r="A57" s="20">
        <v>45775</v>
      </c>
      <c r="B57" vm="165">
        <v>133.55000000000001</v>
      </c>
    </row>
    <row r="58" spans="1:2" x14ac:dyDescent="0.25">
      <c r="A58" s="20">
        <v>45775</v>
      </c>
      <c r="B58" vm="168">
        <v>133.75</v>
      </c>
    </row>
    <row r="59" spans="1:2" x14ac:dyDescent="0.25">
      <c r="A59" s="20">
        <v>45782</v>
      </c>
      <c r="B59" vm="171">
        <v>131.99</v>
      </c>
    </row>
    <row r="60" spans="1:2" x14ac:dyDescent="0.25">
      <c r="A60" s="20">
        <v>45782</v>
      </c>
      <c r="B60" vm="174">
        <v>130.74</v>
      </c>
    </row>
    <row r="61" spans="1:2" x14ac:dyDescent="0.25">
      <c r="A61" s="20">
        <v>45782</v>
      </c>
      <c r="B61" vm="177">
        <v>131.91499999999999</v>
      </c>
    </row>
    <row r="62" spans="1:2" x14ac:dyDescent="0.25">
      <c r="A62" s="20">
        <v>45782</v>
      </c>
      <c r="B62" vm="180">
        <v>131.43</v>
      </c>
    </row>
    <row r="63" spans="1:2" x14ac:dyDescent="0.25">
      <c r="A63" s="20">
        <v>45782</v>
      </c>
      <c r="B63" vm="183">
        <v>130.44</v>
      </c>
    </row>
    <row r="64" spans="1:2" x14ac:dyDescent="0.25">
      <c r="A64" s="20">
        <v>45789</v>
      </c>
      <c r="B64" vm="186">
        <v>131.68</v>
      </c>
    </row>
    <row r="65" spans="1:2" x14ac:dyDescent="0.25">
      <c r="A65" s="20">
        <v>45789</v>
      </c>
      <c r="B65" vm="189">
        <v>130.31</v>
      </c>
    </row>
    <row r="66" spans="1:2" x14ac:dyDescent="0.25">
      <c r="A66" s="20">
        <v>45789</v>
      </c>
      <c r="B66" vm="192">
        <v>128.44999999999999</v>
      </c>
    </row>
    <row r="67" spans="1:2" x14ac:dyDescent="0.25">
      <c r="A67" s="20">
        <v>45789</v>
      </c>
      <c r="B67" vm="195">
        <v>131.5</v>
      </c>
    </row>
    <row r="68" spans="1:2" x14ac:dyDescent="0.25">
      <c r="A68" s="20">
        <v>45789</v>
      </c>
      <c r="B68" vm="198">
        <v>131.97999999999999</v>
      </c>
    </row>
    <row r="69" spans="1:2" x14ac:dyDescent="0.25">
      <c r="A69" s="20">
        <v>45796</v>
      </c>
      <c r="B69" vm="201">
        <v>131.79</v>
      </c>
    </row>
    <row r="70" spans="1:2" x14ac:dyDescent="0.25">
      <c r="A70" s="20">
        <v>45796</v>
      </c>
      <c r="B70" vm="204">
        <v>131.80000000000001</v>
      </c>
    </row>
    <row r="71" spans="1:2" x14ac:dyDescent="0.25">
      <c r="A71" s="20">
        <v>45796</v>
      </c>
      <c r="B71" vm="207">
        <v>130.15</v>
      </c>
    </row>
    <row r="72" spans="1:2" x14ac:dyDescent="0.25">
      <c r="A72" s="20">
        <v>45796</v>
      </c>
      <c r="B72" vm="210">
        <v>130.12</v>
      </c>
    </row>
    <row r="73" spans="1:2" x14ac:dyDescent="0.25">
      <c r="A73" s="20">
        <v>45796</v>
      </c>
      <c r="B73" vm="213">
        <v>129.34</v>
      </c>
    </row>
    <row r="74" spans="1:2" x14ac:dyDescent="0.25">
      <c r="A74" s="20">
        <v>45803</v>
      </c>
      <c r="B74" vm="216">
        <v>131.37</v>
      </c>
    </row>
    <row r="75" spans="1:2" x14ac:dyDescent="0.25">
      <c r="A75" s="20">
        <v>45803</v>
      </c>
      <c r="B75" vm="219">
        <v>130.66999999999999</v>
      </c>
    </row>
    <row r="76" spans="1:2" x14ac:dyDescent="0.25">
      <c r="A76" s="20">
        <v>45803</v>
      </c>
      <c r="B76" vm="222">
        <v>131.91999999999999</v>
      </c>
    </row>
    <row r="77" spans="1:2" x14ac:dyDescent="0.25">
      <c r="A77" s="20">
        <v>45803</v>
      </c>
      <c r="B77" vm="225">
        <v>131.44999999999999</v>
      </c>
    </row>
    <row r="78" spans="1:2" x14ac:dyDescent="0.25">
      <c r="A78" s="20">
        <v>45810</v>
      </c>
      <c r="B78" vm="228">
        <v>130.91</v>
      </c>
    </row>
    <row r="79" spans="1:2" x14ac:dyDescent="0.25">
      <c r="A79" s="20">
        <v>45810</v>
      </c>
      <c r="B79" vm="231">
        <v>131.85</v>
      </c>
    </row>
    <row r="80" spans="1:2" x14ac:dyDescent="0.25">
      <c r="A80" s="20">
        <v>45810</v>
      </c>
      <c r="B80" vm="234">
        <v>131.74</v>
      </c>
    </row>
    <row r="81" spans="1:2" x14ac:dyDescent="0.25">
      <c r="A81" s="20">
        <v>45810</v>
      </c>
      <c r="B81" vm="237">
        <v>131.11000000000001</v>
      </c>
    </row>
    <row r="82" spans="1:2" x14ac:dyDescent="0.25">
      <c r="A82" s="20">
        <v>45810</v>
      </c>
      <c r="B82" vm="240">
        <v>130.03</v>
      </c>
    </row>
    <row r="83" spans="1:2" x14ac:dyDescent="0.25">
      <c r="A83" s="20">
        <v>45817</v>
      </c>
      <c r="B83" vm="243">
        <v>129.96</v>
      </c>
    </row>
    <row r="84" spans="1:2" x14ac:dyDescent="0.25">
      <c r="A84" s="20">
        <v>45817</v>
      </c>
      <c r="B84" vm="246">
        <v>131.83000000000001</v>
      </c>
    </row>
    <row r="85" spans="1:2" x14ac:dyDescent="0.25">
      <c r="A85" s="20">
        <v>45817</v>
      </c>
      <c r="B85" vm="249">
        <v>129.9</v>
      </c>
    </row>
    <row r="86" spans="1:2" x14ac:dyDescent="0.25">
      <c r="A86" s="20">
        <v>45817</v>
      </c>
      <c r="B86" vm="252">
        <v>132.30000000000001</v>
      </c>
    </row>
    <row r="87" spans="1:2" x14ac:dyDescent="0.25">
      <c r="A87" s="20">
        <v>45817</v>
      </c>
      <c r="B87" vm="255">
        <v>130.85</v>
      </c>
    </row>
    <row r="88" spans="1:2" x14ac:dyDescent="0.25">
      <c r="A88" s="20">
        <v>45824</v>
      </c>
      <c r="B88" vm="258">
        <v>131.41</v>
      </c>
    </row>
    <row r="89" spans="1:2" x14ac:dyDescent="0.25">
      <c r="A89" s="20">
        <v>45824</v>
      </c>
      <c r="B89" vm="261">
        <v>129.29</v>
      </c>
    </row>
    <row r="90" spans="1:2" x14ac:dyDescent="0.25">
      <c r="A90" s="20">
        <v>45824</v>
      </c>
      <c r="B90" vm="264">
        <v>129.07</v>
      </c>
    </row>
    <row r="91" spans="1:2" x14ac:dyDescent="0.25">
      <c r="A91" s="20">
        <v>45824</v>
      </c>
      <c r="B91" vm="264">
        <v>129.07</v>
      </c>
    </row>
    <row r="92" spans="1:2" x14ac:dyDescent="0.25">
      <c r="A92" s="20">
        <v>45831</v>
      </c>
      <c r="B92" vm="269">
        <v>129.09</v>
      </c>
    </row>
    <row r="93" spans="1:2" x14ac:dyDescent="0.25">
      <c r="A93" s="20">
        <v>45831</v>
      </c>
      <c r="B93" vm="272">
        <v>131.05000000000001</v>
      </c>
    </row>
    <row r="94" spans="1:2" x14ac:dyDescent="0.25">
      <c r="A94" s="20">
        <v>45831</v>
      </c>
      <c r="B94" vm="275">
        <v>128.02000000000001</v>
      </c>
    </row>
    <row r="95" spans="1:2" x14ac:dyDescent="0.25">
      <c r="A95" s="20">
        <v>45831</v>
      </c>
      <c r="B95" vm="278">
        <v>128.22</v>
      </c>
    </row>
    <row r="96" spans="1:2" x14ac:dyDescent="0.25">
      <c r="A96" s="20">
        <v>45831</v>
      </c>
      <c r="B96" vm="281">
        <v>131.04</v>
      </c>
    </row>
    <row r="97" spans="1:2" x14ac:dyDescent="0.25">
      <c r="A97" s="20">
        <v>45838</v>
      </c>
      <c r="B97" vm="284">
        <v>132.04</v>
      </c>
    </row>
    <row r="98" spans="1:2" x14ac:dyDescent="0.25">
      <c r="A98" s="20">
        <v>45838</v>
      </c>
      <c r="B98" vm="287">
        <v>135.26</v>
      </c>
    </row>
    <row r="99" spans="1:2" x14ac:dyDescent="0.25">
      <c r="A99" s="20">
        <v>45838</v>
      </c>
      <c r="B99" vm="290">
        <v>136.47999999999999</v>
      </c>
    </row>
    <row r="100" spans="1:2" x14ac:dyDescent="0.25">
      <c r="A100" s="20">
        <v>45838</v>
      </c>
      <c r="B100" vm="293">
        <v>135.38</v>
      </c>
    </row>
    <row r="101" spans="1:2" x14ac:dyDescent="0.25">
      <c r="A101" s="20">
        <v>45845</v>
      </c>
      <c r="B101" vm="296">
        <v>134.44999999999999</v>
      </c>
    </row>
    <row r="102" spans="1:2" x14ac:dyDescent="0.25">
      <c r="A102" s="20">
        <v>45845</v>
      </c>
      <c r="B102" vm="299">
        <v>135.04</v>
      </c>
    </row>
    <row r="103" spans="1:2" x14ac:dyDescent="0.25">
      <c r="A103" s="20">
        <v>45845</v>
      </c>
      <c r="B103" vm="302">
        <v>134.47999999999999</v>
      </c>
    </row>
    <row r="104" spans="1:2" x14ac:dyDescent="0.25">
      <c r="A104" s="20">
        <v>45845</v>
      </c>
      <c r="B104" vm="305">
        <v>136.08000000000001</v>
      </c>
    </row>
    <row r="105" spans="1:2" x14ac:dyDescent="0.25">
      <c r="A105" s="20">
        <v>45845</v>
      </c>
      <c r="B105" vm="287">
        <v>135.26</v>
      </c>
    </row>
    <row r="106" spans="1:2" x14ac:dyDescent="0.25">
      <c r="A106" s="20">
        <v>45852</v>
      </c>
      <c r="B106" vm="310">
        <v>135.57</v>
      </c>
    </row>
    <row r="107" spans="1:2" x14ac:dyDescent="0.25">
      <c r="A107" s="20">
        <v>45852</v>
      </c>
      <c r="B107" vm="313">
        <v>133.81</v>
      </c>
    </row>
    <row r="108" spans="1:2" x14ac:dyDescent="0.25">
      <c r="A108" s="20">
        <v>45852</v>
      </c>
      <c r="B108" vm="316">
        <v>135.35</v>
      </c>
    </row>
    <row r="109" spans="1:2" x14ac:dyDescent="0.25">
      <c r="A109" s="20">
        <v>45852</v>
      </c>
      <c r="B109" vm="319">
        <v>145.44</v>
      </c>
    </row>
    <row r="110" spans="1:2" x14ac:dyDescent="0.25">
      <c r="A110" s="20">
        <v>45852</v>
      </c>
      <c r="B110" vm="322">
        <v>143.24</v>
      </c>
    </row>
    <row r="111" spans="1:2" x14ac:dyDescent="0.25">
      <c r="A111" s="20">
        <v>45859</v>
      </c>
      <c r="B111" vm="325">
        <v>141.69999999999999</v>
      </c>
    </row>
    <row r="112" spans="1:2" x14ac:dyDescent="0.25">
      <c r="A112" s="20">
        <v>45859</v>
      </c>
      <c r="B112" vm="328">
        <v>146.04</v>
      </c>
    </row>
    <row r="113" spans="1:2" x14ac:dyDescent="0.25">
      <c r="A113" s="20">
        <v>45859</v>
      </c>
      <c r="B113" vm="331">
        <v>145.66</v>
      </c>
    </row>
    <row r="114" spans="1:2" x14ac:dyDescent="0.25">
      <c r="A114" s="20">
        <v>45859</v>
      </c>
      <c r="B114" vm="334">
        <v>144.51</v>
      </c>
    </row>
    <row r="115" spans="1:2" x14ac:dyDescent="0.25">
      <c r="A115" s="20">
        <v>45859</v>
      </c>
      <c r="B115" vm="337">
        <v>143.44999999999999</v>
      </c>
    </row>
    <row r="116" spans="1:2" x14ac:dyDescent="0.25">
      <c r="A116" s="20">
        <v>45866</v>
      </c>
      <c r="B116" vm="340">
        <v>141.57</v>
      </c>
    </row>
    <row r="117" spans="1:2" x14ac:dyDescent="0.25">
      <c r="A117" s="20">
        <v>45866</v>
      </c>
      <c r="B117" vm="343">
        <v>143.88999999999999</v>
      </c>
    </row>
    <row r="118" spans="1:2" x14ac:dyDescent="0.25">
      <c r="A118" s="20">
        <v>45866</v>
      </c>
      <c r="B118" vm="346">
        <v>142.86000000000001</v>
      </c>
    </row>
    <row r="119" spans="1:2" x14ac:dyDescent="0.25">
      <c r="A119" s="20">
        <v>45866</v>
      </c>
      <c r="B119" vm="349">
        <v>137.91999999999999</v>
      </c>
    </row>
    <row r="120" spans="1:2" x14ac:dyDescent="0.25">
      <c r="A120" s="20">
        <v>45866</v>
      </c>
      <c r="B120" vm="352">
        <v>139.28</v>
      </c>
    </row>
    <row r="121" spans="1:2" x14ac:dyDescent="0.25">
      <c r="A121" s="20">
        <v>45873</v>
      </c>
      <c r="B121" vm="355">
        <v>139.56</v>
      </c>
    </row>
    <row r="122" spans="1:2" x14ac:dyDescent="0.25">
      <c r="A122" s="20">
        <v>45873</v>
      </c>
      <c r="B122" vm="358">
        <v>139.44999999999999</v>
      </c>
    </row>
    <row r="123" spans="1:2" x14ac:dyDescent="0.25">
      <c r="A123" s="20">
        <v>45873</v>
      </c>
      <c r="B123" vm="361">
        <v>140.80000000000001</v>
      </c>
    </row>
    <row r="124" spans="1:2" x14ac:dyDescent="0.25">
      <c r="A124" s="20">
        <v>45873</v>
      </c>
      <c r="B124" vm="364">
        <v>143.91999999999999</v>
      </c>
    </row>
    <row r="125" spans="1:2" x14ac:dyDescent="0.25">
      <c r="A125" s="20">
        <v>45873</v>
      </c>
      <c r="B125" vm="367">
        <v>145.21</v>
      </c>
    </row>
    <row r="126" spans="1:2" x14ac:dyDescent="0.25">
      <c r="A126" s="20">
        <v>45880</v>
      </c>
      <c r="B126" vm="370">
        <v>144.87</v>
      </c>
    </row>
    <row r="127" spans="1:2" x14ac:dyDescent="0.25">
      <c r="A127" s="20">
        <v>45880</v>
      </c>
      <c r="B127" vm="373">
        <v>146.87</v>
      </c>
    </row>
    <row r="128" spans="1:2" x14ac:dyDescent="0.25">
      <c r="A128" s="20">
        <v>45880</v>
      </c>
      <c r="B128" vm="376">
        <v>149.35</v>
      </c>
    </row>
    <row r="129" spans="1:2" x14ac:dyDescent="0.25">
      <c r="A129" s="20">
        <v>45880</v>
      </c>
      <c r="B129" vm="379">
        <v>148.62</v>
      </c>
    </row>
    <row r="130" spans="1:2" x14ac:dyDescent="0.25">
      <c r="A130" s="20">
        <v>45880</v>
      </c>
      <c r="B130" vm="382">
        <v>150.4</v>
      </c>
    </row>
    <row r="131" spans="1:2" x14ac:dyDescent="0.25">
      <c r="A131" s="20">
        <v>45887</v>
      </c>
      <c r="B131" vm="385">
        <v>149.55000000000001</v>
      </c>
    </row>
    <row r="132" spans="1:2" x14ac:dyDescent="0.25">
      <c r="A132" s="20">
        <v>45887</v>
      </c>
      <c r="B132" vm="388">
        <v>152.16</v>
      </c>
    </row>
    <row r="133" spans="1:2" x14ac:dyDescent="0.25">
      <c r="A133" s="20">
        <v>45887</v>
      </c>
      <c r="B133" vm="391">
        <v>150.72999999999999</v>
      </c>
    </row>
    <row r="134" spans="1:2" x14ac:dyDescent="0.25">
      <c r="A134" s="20">
        <v>45887</v>
      </c>
      <c r="B134" vm="394">
        <v>148.97999999999999</v>
      </c>
    </row>
    <row r="135" spans="1:2" x14ac:dyDescent="0.25">
      <c r="A135" s="20">
        <v>45887</v>
      </c>
      <c r="B135" vm="397">
        <v>149.63999999999999</v>
      </c>
    </row>
    <row r="136" spans="1:2" x14ac:dyDescent="0.25">
      <c r="A136" s="20">
        <v>45894</v>
      </c>
      <c r="B136" vm="400">
        <v>148.19999999999999</v>
      </c>
    </row>
    <row r="137" spans="1:2" x14ac:dyDescent="0.25">
      <c r="A137" s="20">
        <v>45894</v>
      </c>
      <c r="B137" vm="403">
        <v>147</v>
      </c>
    </row>
    <row r="138" spans="1:2" x14ac:dyDescent="0.25">
      <c r="A138" s="20">
        <v>45894</v>
      </c>
      <c r="B138" vm="406">
        <v>147.63999999999999</v>
      </c>
    </row>
    <row r="139" spans="1:2" x14ac:dyDescent="0.25">
      <c r="A139" s="20">
        <v>45894</v>
      </c>
      <c r="B139" vm="409">
        <v>146.97999999999999</v>
      </c>
    </row>
    <row r="140" spans="1:2" x14ac:dyDescent="0.25">
      <c r="A140" s="20">
        <v>45894</v>
      </c>
      <c r="B140" vm="412">
        <v>148.65</v>
      </c>
    </row>
    <row r="141" spans="1:2" x14ac:dyDescent="0.25">
      <c r="A141" s="20">
        <v>45901</v>
      </c>
      <c r="B141" vm="415">
        <v>150.28</v>
      </c>
    </row>
    <row r="142" spans="1:2" x14ac:dyDescent="0.25">
      <c r="A142" s="20">
        <v>45901</v>
      </c>
      <c r="B142" vm="92">
        <v>148.63999999999999</v>
      </c>
    </row>
    <row r="143" spans="1:2" x14ac:dyDescent="0.25">
      <c r="A143" s="20">
        <v>45901</v>
      </c>
      <c r="B143" vm="420">
        <v>146.88999999999999</v>
      </c>
    </row>
    <row r="144" spans="1:2" x14ac:dyDescent="0.25">
      <c r="A144" s="20">
        <v>45901</v>
      </c>
      <c r="B144" vm="423">
        <v>146.38999999999999</v>
      </c>
    </row>
    <row r="145" spans="1:2" x14ac:dyDescent="0.25">
      <c r="A145" s="20">
        <v>45908</v>
      </c>
      <c r="B145" vm="426">
        <v>141.71</v>
      </c>
    </row>
    <row r="146" spans="1:2" x14ac:dyDescent="0.25">
      <c r="A146" s="20">
        <v>45908</v>
      </c>
      <c r="B146" vm="429">
        <v>143.1</v>
      </c>
    </row>
    <row r="147" spans="1:2" x14ac:dyDescent="0.25">
      <c r="A147" s="20">
        <v>45908</v>
      </c>
      <c r="B147" vm="432">
        <v>142.66</v>
      </c>
    </row>
    <row r="148" spans="1:2" x14ac:dyDescent="0.25">
      <c r="A148" s="20">
        <v>45908</v>
      </c>
      <c r="B148" vm="435">
        <v>144.22999999999999</v>
      </c>
    </row>
    <row r="149" spans="1:2" x14ac:dyDescent="0.25">
      <c r="A149" s="20">
        <v>45908</v>
      </c>
      <c r="B149" vm="438">
        <v>143.53</v>
      </c>
    </row>
    <row r="150" spans="1:2" x14ac:dyDescent="0.25">
      <c r="A150" s="20">
        <v>45915</v>
      </c>
      <c r="B150" vm="441">
        <v>140.63999999999999</v>
      </c>
    </row>
    <row r="151" spans="1:2" x14ac:dyDescent="0.25">
      <c r="A151" s="20">
        <v>45915</v>
      </c>
      <c r="B151" vm="444">
        <v>140.03</v>
      </c>
    </row>
    <row r="152" spans="1:2" x14ac:dyDescent="0.25">
      <c r="A152" s="20">
        <v>45915</v>
      </c>
      <c r="B152" vm="447">
        <v>141.22999999999999</v>
      </c>
    </row>
    <row r="153" spans="1:2" x14ac:dyDescent="0.25">
      <c r="A153" s="20">
        <v>45915</v>
      </c>
      <c r="B153" vm="450">
        <v>140.72999999999999</v>
      </c>
    </row>
    <row r="154" spans="1:2" x14ac:dyDescent="0.25">
      <c r="A154" s="20">
        <v>45915</v>
      </c>
      <c r="B154" vm="453">
        <v>141.76</v>
      </c>
    </row>
    <row r="155" spans="1:2" x14ac:dyDescent="0.25">
      <c r="A155" s="20">
        <v>45922</v>
      </c>
      <c r="B155" vm="456">
        <v>141.03</v>
      </c>
    </row>
    <row r="156" spans="1:2" x14ac:dyDescent="0.25">
      <c r="A156" s="20">
        <v>45922</v>
      </c>
      <c r="B156" vm="459">
        <v>141.9</v>
      </c>
    </row>
    <row r="157" spans="1:2" x14ac:dyDescent="0.25">
      <c r="A157" s="20">
        <v>45922</v>
      </c>
      <c r="B157" vm="462">
        <v>142.16999999999999</v>
      </c>
    </row>
    <row r="158" spans="1:2" x14ac:dyDescent="0.25">
      <c r="A158" s="20">
        <v>45922</v>
      </c>
      <c r="B158" vm="465">
        <v>139.91999999999999</v>
      </c>
    </row>
    <row r="159" spans="1:2" x14ac:dyDescent="0.25">
      <c r="A159" s="20">
        <v>45922</v>
      </c>
      <c r="B159" vm="468">
        <v>140.44</v>
      </c>
    </row>
    <row r="160" spans="1:2" x14ac:dyDescent="0.25">
      <c r="A160" s="20">
        <v>45929</v>
      </c>
      <c r="B160" vm="471">
        <v>140.16999999999999</v>
      </c>
    </row>
    <row r="161" spans="1:2" x14ac:dyDescent="0.25">
      <c r="A161" s="20">
        <v>45929</v>
      </c>
      <c r="B161" vm="468">
        <v>140.44</v>
      </c>
    </row>
    <row r="162" spans="1:2" x14ac:dyDescent="0.25">
      <c r="A162" s="20">
        <v>45929</v>
      </c>
      <c r="B162" vm="476">
        <v>143.13999999999999</v>
      </c>
    </row>
    <row r="163" spans="1:2" x14ac:dyDescent="0.25">
      <c r="A163" s="20">
        <v>45929</v>
      </c>
      <c r="B163" vm="479">
        <v>142.31</v>
      </c>
    </row>
    <row r="164" spans="1:2" x14ac:dyDescent="0.25">
      <c r="A164" s="20">
        <v>45929</v>
      </c>
      <c r="B164" vm="482">
        <v>141.97999999999999</v>
      </c>
    </row>
    <row r="165" spans="1:2" x14ac:dyDescent="0.25">
      <c r="A165" s="20">
        <v>45936</v>
      </c>
      <c r="B165" vm="485">
        <v>139.69999999999999</v>
      </c>
    </row>
    <row r="166" spans="1:2" x14ac:dyDescent="0.25">
      <c r="A166" s="20">
        <v>45936</v>
      </c>
      <c r="B166" vm="488">
        <v>140.79</v>
      </c>
    </row>
    <row r="167" spans="1:2" x14ac:dyDescent="0.25">
      <c r="A167" s="20">
        <v>45936</v>
      </c>
      <c r="B167" vm="491">
        <v>138.84</v>
      </c>
    </row>
    <row r="168" spans="1:2" x14ac:dyDescent="0.25">
      <c r="A168" s="20">
        <v>45936</v>
      </c>
      <c r="B168" vm="494">
        <v>144.71</v>
      </c>
    </row>
    <row r="169" spans="1:2" x14ac:dyDescent="0.25">
      <c r="A169" s="20">
        <v>45936</v>
      </c>
      <c r="B169" vm="497">
        <v>150.08000000000001</v>
      </c>
    </row>
    <row r="170" spans="1:2" x14ac:dyDescent="0.25">
      <c r="A170" s="20">
        <v>45943</v>
      </c>
      <c r="B170" vm="500">
        <v>148.88999999999999</v>
      </c>
    </row>
    <row r="171" spans="1:2" x14ac:dyDescent="0.25">
      <c r="A171" s="20">
        <v>45943</v>
      </c>
      <c r="B171" vm="503">
        <v>151.54</v>
      </c>
    </row>
    <row r="172" spans="1:2" x14ac:dyDescent="0.25">
      <c r="A172" s="20">
        <v>45943</v>
      </c>
      <c r="B172" vm="506">
        <v>151.16</v>
      </c>
    </row>
    <row r="173" spans="1:2" x14ac:dyDescent="0.25">
      <c r="A173" s="20">
        <v>45943</v>
      </c>
      <c r="B173" vm="509">
        <v>152.66999999999999</v>
      </c>
    </row>
    <row r="174" spans="1:2" x14ac:dyDescent="0.25">
      <c r="A174" s="20">
        <v>45943</v>
      </c>
      <c r="B174" vm="512">
        <v>153.71</v>
      </c>
    </row>
    <row r="175" spans="1:2" x14ac:dyDescent="0.25">
      <c r="A175" s="20">
        <v>45950</v>
      </c>
      <c r="B175" vm="515">
        <v>153.63999999999999</v>
      </c>
    </row>
    <row r="176" spans="1:2" x14ac:dyDescent="0.25">
      <c r="A176" s="20">
        <v>45950</v>
      </c>
      <c r="B176" vm="518">
        <v>153.18</v>
      </c>
    </row>
    <row r="177" spans="1:2" x14ac:dyDescent="0.25">
      <c r="A177" s="20">
        <v>45950</v>
      </c>
      <c r="B177" vm="521">
        <v>153.03</v>
      </c>
    </row>
    <row r="178" spans="1:2" x14ac:dyDescent="0.25">
      <c r="A178" s="20">
        <v>45950</v>
      </c>
      <c r="B178" vm="32">
        <v>151.51</v>
      </c>
    </row>
    <row r="179" spans="1:2" x14ac:dyDescent="0.25">
      <c r="A179" s="20">
        <v>45950</v>
      </c>
      <c r="B179" vm="526">
        <v>151.55000000000001</v>
      </c>
    </row>
    <row r="180" spans="1:2" x14ac:dyDescent="0.25">
      <c r="A180" s="20">
        <v>45957</v>
      </c>
      <c r="B180" vm="529">
        <v>152.63</v>
      </c>
    </row>
    <row r="181" spans="1:2" x14ac:dyDescent="0.25">
      <c r="A181" s="20">
        <v>45957</v>
      </c>
      <c r="B181" vm="532">
        <v>150.12</v>
      </c>
    </row>
    <row r="182" spans="1:2" x14ac:dyDescent="0.25">
      <c r="A182" s="20">
        <v>45957</v>
      </c>
      <c r="B182" vm="535">
        <v>146.16</v>
      </c>
    </row>
    <row r="183" spans="1:2" x14ac:dyDescent="0.25">
      <c r="A183" s="20">
        <v>45957</v>
      </c>
      <c r="B183" vm="538">
        <v>147.55000000000001</v>
      </c>
    </row>
    <row r="184" spans="1:2" x14ac:dyDescent="0.25">
      <c r="A184" s="20">
        <v>45957</v>
      </c>
      <c r="B184" vm="541">
        <v>146.09</v>
      </c>
    </row>
    <row r="185" spans="1:2" x14ac:dyDescent="0.25">
      <c r="A185" s="20">
        <v>45964</v>
      </c>
      <c r="B185" vm="544">
        <v>143.6</v>
      </c>
    </row>
    <row r="186" spans="1:2" x14ac:dyDescent="0.25">
      <c r="A186" s="20">
        <v>45964</v>
      </c>
      <c r="B186" vm="547">
        <v>142.9</v>
      </c>
    </row>
    <row r="187" spans="1:2" x14ac:dyDescent="0.25">
      <c r="A187" s="20">
        <v>45964</v>
      </c>
      <c r="B187" vm="346">
        <v>142.86000000000001</v>
      </c>
    </row>
    <row r="188" spans="1:2" x14ac:dyDescent="0.25">
      <c r="A188" s="20">
        <v>45964</v>
      </c>
      <c r="B188" vm="552">
        <v>141.58000000000001</v>
      </c>
    </row>
    <row r="189" spans="1:2" x14ac:dyDescent="0.25">
      <c r="A189" s="20">
        <v>45964</v>
      </c>
      <c r="B189" vm="555">
        <v>142.94999999999999</v>
      </c>
    </row>
    <row r="190" spans="1:2" x14ac:dyDescent="0.25">
      <c r="A190" s="20">
        <v>45971</v>
      </c>
      <c r="B190" vm="558">
        <v>142.62</v>
      </c>
    </row>
    <row r="191" spans="1:2" x14ac:dyDescent="0.25">
      <c r="A191" s="20">
        <v>45971</v>
      </c>
      <c r="B191" vm="561">
        <v>145.08000000000001</v>
      </c>
    </row>
    <row r="192" spans="1:2" x14ac:dyDescent="0.25">
      <c r="A192" s="20">
        <v>45971</v>
      </c>
      <c r="B192" vm="564">
        <v>144.38999999999999</v>
      </c>
    </row>
    <row r="193" spans="1:2" x14ac:dyDescent="0.25">
      <c r="A193" s="20">
        <v>45971</v>
      </c>
      <c r="B193" vm="567">
        <v>145.02000000000001</v>
      </c>
    </row>
    <row r="194" spans="1:2" x14ac:dyDescent="0.25">
      <c r="A194" s="20">
        <v>45971</v>
      </c>
      <c r="B194" vm="570">
        <v>145.85</v>
      </c>
    </row>
    <row r="195" spans="1:2" x14ac:dyDescent="0.25">
      <c r="A195" s="20">
        <v>45978</v>
      </c>
      <c r="B195" vm="573">
        <v>147.83000000000001</v>
      </c>
    </row>
    <row r="196" spans="1:2" x14ac:dyDescent="0.25">
      <c r="A196" s="20">
        <v>45978</v>
      </c>
      <c r="B196" vm="576">
        <v>148.77000000000001</v>
      </c>
    </row>
    <row r="197" spans="1:2" x14ac:dyDescent="0.25">
      <c r="A197" s="20">
        <v>45978</v>
      </c>
      <c r="B197" vm="579">
        <v>147.11000000000001</v>
      </c>
    </row>
    <row r="198" spans="1:2" x14ac:dyDescent="0.25">
      <c r="A198" s="20">
        <v>45978</v>
      </c>
      <c r="B198" vm="582">
        <v>146.1</v>
      </c>
    </row>
    <row r="199" spans="1:2" x14ac:dyDescent="0.25">
      <c r="A199" s="20">
        <v>45978</v>
      </c>
      <c r="B199" vm="585">
        <v>146.33000000000001</v>
      </c>
    </row>
    <row r="200" spans="1:2" x14ac:dyDescent="0.25">
      <c r="A200" s="20">
        <v>45985</v>
      </c>
      <c r="B200" vm="588">
        <v>145.5</v>
      </c>
    </row>
    <row r="201" spans="1:2" x14ac:dyDescent="0.25">
      <c r="A201" s="20">
        <v>45985</v>
      </c>
      <c r="B201" vm="591">
        <v>146.11000000000001</v>
      </c>
    </row>
    <row r="202" spans="1:2" x14ac:dyDescent="0.25">
      <c r="A202" s="20">
        <v>45985</v>
      </c>
      <c r="B202" vm="594">
        <v>147.97999999999999</v>
      </c>
    </row>
    <row r="203" spans="1:2" x14ac:dyDescent="0.25">
      <c r="A203" s="20">
        <v>45985</v>
      </c>
      <c r="B203" vm="597">
        <v>148.74</v>
      </c>
    </row>
    <row r="204" spans="1:2" x14ac:dyDescent="0.25">
      <c r="A204" s="20">
        <v>45992</v>
      </c>
      <c r="B204" vm="600">
        <v>149.51</v>
      </c>
    </row>
    <row r="205" spans="1:2" x14ac:dyDescent="0.25">
      <c r="A205" s="20">
        <v>45992</v>
      </c>
      <c r="B205" vm="603">
        <v>148.61000000000001</v>
      </c>
    </row>
    <row r="206" spans="1:2" x14ac:dyDescent="0.25">
      <c r="A206" s="20">
        <v>45992</v>
      </c>
      <c r="B206" vm="606">
        <v>148.06</v>
      </c>
    </row>
    <row r="207" spans="1:2" x14ac:dyDescent="0.25">
      <c r="A207" s="20">
        <v>45992</v>
      </c>
      <c r="B207" vm="609">
        <v>146.91</v>
      </c>
    </row>
    <row r="208" spans="1:2" x14ac:dyDescent="0.25">
      <c r="A208" s="20">
        <v>45992</v>
      </c>
      <c r="B208" vm="567">
        <v>145.02000000000001</v>
      </c>
    </row>
    <row r="209" spans="1:2" x14ac:dyDescent="0.25">
      <c r="A209" s="20">
        <v>45999</v>
      </c>
      <c r="B209" vm="614">
        <v>145.63</v>
      </c>
    </row>
    <row r="210" spans="1:2" x14ac:dyDescent="0.25">
      <c r="A210" s="20">
        <v>45999</v>
      </c>
      <c r="B210" vm="617">
        <v>144.63999999999999</v>
      </c>
    </row>
    <row r="211" spans="1:2" x14ac:dyDescent="0.25">
      <c r="A211" s="20">
        <v>45999</v>
      </c>
      <c r="B211" vm="620">
        <v>149.69999999999999</v>
      </c>
    </row>
    <row r="212" spans="1:2" x14ac:dyDescent="0.25">
      <c r="A212" s="20">
        <v>45999</v>
      </c>
      <c r="B212" vm="623">
        <v>149.04</v>
      </c>
    </row>
    <row r="213" spans="1:2" x14ac:dyDescent="0.25">
      <c r="A213" s="20">
        <v>45999</v>
      </c>
      <c r="B213" vm="626">
        <v>150.65</v>
      </c>
    </row>
    <row r="214" spans="1:2" x14ac:dyDescent="0.25">
      <c r="A214" s="20">
        <v>46006</v>
      </c>
      <c r="B214" vm="629">
        <v>151.22</v>
      </c>
    </row>
    <row r="215" spans="1:2" x14ac:dyDescent="0.25">
      <c r="A215" s="20">
        <v>46006</v>
      </c>
      <c r="B215" vm="632">
        <v>150.37</v>
      </c>
    </row>
    <row r="216" spans="1:2" x14ac:dyDescent="0.25">
      <c r="A216" s="20">
        <v>46006</v>
      </c>
      <c r="B216" vm="497">
        <v>150.08000000000001</v>
      </c>
    </row>
    <row r="217" spans="1:2" x14ac:dyDescent="0.25">
      <c r="A217" s="20">
        <v>46006</v>
      </c>
      <c r="B217" vm="637">
        <v>149.37</v>
      </c>
    </row>
    <row r="218" spans="1:2" x14ac:dyDescent="0.25">
      <c r="A218" s="20">
        <v>46006</v>
      </c>
      <c r="B218" vm="640">
        <v>148.16</v>
      </c>
    </row>
    <row r="219" spans="1:2" x14ac:dyDescent="0.25">
      <c r="A219" s="20">
        <v>46013</v>
      </c>
      <c r="B219" vm="643">
        <v>147.05000000000001</v>
      </c>
    </row>
    <row r="220" spans="1:2" x14ac:dyDescent="0.25">
      <c r="A220" s="20">
        <v>46013</v>
      </c>
      <c r="B220" vm="646">
        <v>143.68</v>
      </c>
    </row>
    <row r="221" spans="1:2" x14ac:dyDescent="0.25">
      <c r="A221" s="20">
        <v>46013</v>
      </c>
      <c r="B221" vm="649">
        <v>143.74</v>
      </c>
    </row>
    <row r="222" spans="1:2" x14ac:dyDescent="0.25">
      <c r="A222" s="20">
        <v>46013</v>
      </c>
      <c r="B222" vm="652">
        <v>143.78</v>
      </c>
    </row>
    <row r="223" spans="1:2" x14ac:dyDescent="0.25">
      <c r="A223" s="20">
        <v>46020</v>
      </c>
      <c r="B223" vm="655">
        <v>144.24</v>
      </c>
    </row>
    <row r="224" spans="1:2" x14ac:dyDescent="0.25">
      <c r="A224" s="20">
        <v>46020</v>
      </c>
      <c r="B224" vm="658">
        <v>144.16</v>
      </c>
    </row>
    <row r="225" spans="1:2" x14ac:dyDescent="0.25">
      <c r="A225" s="20">
        <v>46020</v>
      </c>
      <c r="B225" vm="661">
        <v>143.52000000000001</v>
      </c>
    </row>
    <row r="226" spans="1:2" x14ac:dyDescent="0.25">
      <c r="A226" s="20">
        <v>46020</v>
      </c>
      <c r="B226" vm="664">
        <v>142.22999999999999</v>
      </c>
    </row>
    <row r="227" spans="1:2" x14ac:dyDescent="0.25">
      <c r="A227" s="20">
        <v>46027</v>
      </c>
      <c r="B227" vm="465">
        <v>139.91999999999999</v>
      </c>
    </row>
    <row r="228" spans="1:2" x14ac:dyDescent="0.25">
      <c r="A228" s="20">
        <v>46027</v>
      </c>
      <c r="B228" vm="669">
        <v>138.96</v>
      </c>
    </row>
    <row r="229" spans="1:2" x14ac:dyDescent="0.25">
      <c r="A229" s="20">
        <v>46027</v>
      </c>
      <c r="B229" vm="672">
        <v>137.01</v>
      </c>
    </row>
    <row r="230" spans="1:2" x14ac:dyDescent="0.25">
      <c r="A230" s="20">
        <v>46027</v>
      </c>
      <c r="B230" vm="675">
        <v>139.37</v>
      </c>
    </row>
    <row r="231" spans="1:2" x14ac:dyDescent="0.25">
      <c r="A231" s="20">
        <v>46027</v>
      </c>
      <c r="B231" vm="678">
        <v>139.91</v>
      </c>
    </row>
    <row r="232" spans="1:2" x14ac:dyDescent="0.25">
      <c r="A232" s="20">
        <v>46034</v>
      </c>
      <c r="B232" vm="681">
        <v>141.36000000000001</v>
      </c>
    </row>
    <row r="233" spans="1:2" x14ac:dyDescent="0.25">
      <c r="A233" s="20">
        <v>46034</v>
      </c>
      <c r="B233" vm="684">
        <v>143.47999999999999</v>
      </c>
    </row>
    <row r="234" spans="1:2" x14ac:dyDescent="0.25">
      <c r="A234" s="20">
        <v>46034</v>
      </c>
      <c r="B234" vm="687">
        <v>145.91999999999999</v>
      </c>
    </row>
    <row r="235" spans="1:2" x14ac:dyDescent="0.25">
      <c r="A235" s="20">
        <v>46034</v>
      </c>
      <c r="B235" vm="690">
        <v>146.57</v>
      </c>
    </row>
    <row r="236" spans="1:2" x14ac:dyDescent="0.25">
      <c r="A236" s="20">
        <v>46034</v>
      </c>
      <c r="B236" vm="693">
        <v>146.32</v>
      </c>
    </row>
    <row r="237" spans="1:2" x14ac:dyDescent="0.25">
      <c r="A237" s="20">
        <v>46041</v>
      </c>
      <c r="B237" vm="696">
        <v>147.66</v>
      </c>
    </row>
    <row r="238" spans="1:2" x14ac:dyDescent="0.25">
      <c r="A238" s="20">
        <v>46041</v>
      </c>
      <c r="B238" vm="699">
        <v>146.74</v>
      </c>
    </row>
    <row r="239" spans="1:2" x14ac:dyDescent="0.25">
      <c r="A239" s="20">
        <v>46041</v>
      </c>
      <c r="B239" vm="702">
        <v>144.4</v>
      </c>
    </row>
    <row r="240" spans="1:2" x14ac:dyDescent="0.25">
      <c r="A240" s="20">
        <v>46041</v>
      </c>
      <c r="B240" vm="8">
        <v>144.58000000000001</v>
      </c>
    </row>
    <row r="241" spans="1:2" x14ac:dyDescent="0.25">
      <c r="A241" s="20">
        <v>46048</v>
      </c>
      <c r="B241" vm="707">
        <v>145.87</v>
      </c>
    </row>
    <row r="242" spans="1:2" x14ac:dyDescent="0.25">
      <c r="A242" s="20">
        <v>46048</v>
      </c>
      <c r="B242" vm="710">
        <v>148.78</v>
      </c>
    </row>
    <row r="243" spans="1:2" x14ac:dyDescent="0.25">
      <c r="A243" s="20">
        <v>46048</v>
      </c>
      <c r="B243" vm="713">
        <v>148.5</v>
      </c>
    </row>
    <row r="244" spans="1:2" x14ac:dyDescent="0.25">
      <c r="A244" s="20">
        <v>46048</v>
      </c>
      <c r="B244" vm="716">
        <v>148.69</v>
      </c>
    </row>
    <row r="245" spans="1:2" x14ac:dyDescent="0.25">
      <c r="A245" s="20">
        <v>46048</v>
      </c>
      <c r="B245" vm="719">
        <v>153.63</v>
      </c>
    </row>
    <row r="246" spans="1:2" x14ac:dyDescent="0.25">
      <c r="A246" s="20">
        <v>46055</v>
      </c>
      <c r="B246" vm="722">
        <v>155.19999999999999</v>
      </c>
    </row>
    <row r="247" spans="1:2" x14ac:dyDescent="0.25">
      <c r="A247" s="20">
        <v>46055</v>
      </c>
      <c r="B247" vm="725">
        <v>162.85</v>
      </c>
    </row>
    <row r="248" spans="1:2" x14ac:dyDescent="0.25">
      <c r="A248" s="20">
        <v>46055</v>
      </c>
      <c r="B248" vm="728">
        <v>166.18</v>
      </c>
    </row>
    <row r="249" spans="1:2" x14ac:dyDescent="0.25">
      <c r="A249" s="20">
        <v>46055</v>
      </c>
      <c r="B249" vm="731">
        <v>167.53</v>
      </c>
    </row>
    <row r="250" spans="1:2" x14ac:dyDescent="0.25">
      <c r="A250" s="20">
        <v>46055</v>
      </c>
      <c r="B250" vm="734">
        <v>170.49</v>
      </c>
    </row>
    <row r="251" spans="1:2" x14ac:dyDescent="0.25">
      <c r="A251" s="20">
        <v>46062</v>
      </c>
      <c r="B251" vm="737">
        <v>166.47</v>
      </c>
    </row>
    <row r="252" spans="1:2" x14ac:dyDescent="0.25">
      <c r="A252" s="20">
        <v>46062</v>
      </c>
      <c r="B252" vm="740">
        <v>166.97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4C35-70BE-41E7-92F0-6607B2127896}">
  <dimension ref="A1:B1000"/>
  <sheetViews>
    <sheetView workbookViewId="0">
      <selection activeCell="B1" activeCellId="1" sqref="A1:A1048576 B1:B1048576"/>
    </sheetView>
  </sheetViews>
  <sheetFormatPr defaultRowHeight="15" x14ac:dyDescent="0.25"/>
  <cols>
    <col min="1" max="1" width="10.7109375" style="20" bestFit="1" customWidth="1"/>
    <col min="2" max="2" width="9.85546875" bestFit="1" customWidth="1"/>
  </cols>
  <sheetData>
    <row r="1" spans="1:2" ht="18" customHeight="1" thickBot="1" x14ac:dyDescent="0.3">
      <c r="A1" s="26" t="s">
        <v>49</v>
      </c>
      <c r="B1" s="22" t="s">
        <v>50</v>
      </c>
    </row>
    <row r="2" spans="1:2" ht="15.75" thickBot="1" x14ac:dyDescent="0.3">
      <c r="A2" s="27">
        <v>36593</v>
      </c>
      <c r="B2" s="24">
        <v>0.14000000000000001</v>
      </c>
    </row>
    <row r="3" spans="1:2" ht="15.75" thickBot="1" x14ac:dyDescent="0.3">
      <c r="A3" s="27">
        <v>36684</v>
      </c>
      <c r="B3" s="24">
        <v>0.14000000000000001</v>
      </c>
    </row>
    <row r="4" spans="1:2" ht="15.75" thickBot="1" x14ac:dyDescent="0.3">
      <c r="A4" s="27">
        <v>36775</v>
      </c>
      <c r="B4" s="24">
        <v>0.14000000000000001</v>
      </c>
    </row>
    <row r="5" spans="1:2" ht="15.75" thickBot="1" x14ac:dyDescent="0.3">
      <c r="A5" s="27">
        <v>36866</v>
      </c>
      <c r="B5" s="24">
        <v>0.14000000000000001</v>
      </c>
    </row>
    <row r="6" spans="1:2" ht="15.75" thickBot="1" x14ac:dyDescent="0.3">
      <c r="A6" s="27">
        <v>36957</v>
      </c>
      <c r="B6" s="24">
        <v>0.14000000000000001</v>
      </c>
    </row>
    <row r="7" spans="1:2" ht="15.75" thickBot="1" x14ac:dyDescent="0.3">
      <c r="A7" s="27">
        <v>37048</v>
      </c>
      <c r="B7" s="24">
        <v>0.15</v>
      </c>
    </row>
    <row r="8" spans="1:2" ht="15.75" thickBot="1" x14ac:dyDescent="0.3">
      <c r="A8" s="27">
        <v>37139</v>
      </c>
      <c r="B8" s="24">
        <v>0.15</v>
      </c>
    </row>
    <row r="9" spans="1:2" ht="15.75" thickBot="1" x14ac:dyDescent="0.3">
      <c r="A9" s="27">
        <v>37230</v>
      </c>
      <c r="B9" s="24">
        <v>0.15</v>
      </c>
    </row>
    <row r="10" spans="1:2" ht="15.75" thickBot="1" x14ac:dyDescent="0.3">
      <c r="A10" s="27">
        <v>37321</v>
      </c>
      <c r="B10" s="24">
        <v>0.15</v>
      </c>
    </row>
    <row r="11" spans="1:2" ht="15.75" thickBot="1" x14ac:dyDescent="0.3">
      <c r="A11" s="27">
        <v>37412</v>
      </c>
      <c r="B11" s="24">
        <v>0.15</v>
      </c>
    </row>
    <row r="12" spans="1:2" ht="15.75" thickBot="1" x14ac:dyDescent="0.3">
      <c r="A12" s="27">
        <v>37503</v>
      </c>
      <c r="B12" s="24">
        <v>0.15</v>
      </c>
    </row>
    <row r="13" spans="1:2" ht="15.75" thickBot="1" x14ac:dyDescent="0.3">
      <c r="A13" s="27">
        <v>37594</v>
      </c>
      <c r="B13" s="24">
        <v>0.15</v>
      </c>
    </row>
    <row r="14" spans="1:2" ht="15.75" thickBot="1" x14ac:dyDescent="0.3">
      <c r="A14" s="27">
        <v>37692</v>
      </c>
      <c r="B14" s="24">
        <v>0.15</v>
      </c>
    </row>
    <row r="15" spans="1:2" ht="15.75" thickBot="1" x14ac:dyDescent="0.3">
      <c r="A15" s="27">
        <v>37783</v>
      </c>
      <c r="B15" s="24">
        <v>0.16</v>
      </c>
    </row>
    <row r="16" spans="1:2" ht="15.75" thickBot="1" x14ac:dyDescent="0.3">
      <c r="A16" s="27">
        <v>37874</v>
      </c>
      <c r="B16" s="24">
        <v>0.16</v>
      </c>
    </row>
    <row r="17" spans="1:2" ht="15.75" thickBot="1" x14ac:dyDescent="0.3">
      <c r="A17" s="27">
        <v>37965</v>
      </c>
      <c r="B17" s="24">
        <v>0.16</v>
      </c>
    </row>
    <row r="18" spans="1:2" ht="15.75" thickBot="1" x14ac:dyDescent="0.3">
      <c r="A18" s="27">
        <v>38056</v>
      </c>
      <c r="B18" s="24">
        <v>0.16</v>
      </c>
    </row>
    <row r="19" spans="1:2" ht="15.75" thickBot="1" x14ac:dyDescent="0.3">
      <c r="A19" s="27">
        <v>38147</v>
      </c>
      <c r="B19" s="24">
        <v>0.23</v>
      </c>
    </row>
    <row r="20" spans="1:2" ht="15.75" thickBot="1" x14ac:dyDescent="0.3">
      <c r="A20" s="27">
        <v>38238</v>
      </c>
      <c r="B20" s="24">
        <v>0.23</v>
      </c>
    </row>
    <row r="21" spans="1:2" ht="15.75" thickBot="1" x14ac:dyDescent="0.3">
      <c r="A21" s="27">
        <v>38329</v>
      </c>
      <c r="B21" s="24">
        <v>0.23</v>
      </c>
    </row>
    <row r="22" spans="1:2" ht="15.75" thickBot="1" x14ac:dyDescent="0.3">
      <c r="A22" s="27">
        <v>38420</v>
      </c>
      <c r="B22" s="24">
        <v>0.23</v>
      </c>
    </row>
    <row r="23" spans="1:2" ht="15.75" thickBot="1" x14ac:dyDescent="0.3">
      <c r="A23" s="27">
        <v>38511</v>
      </c>
      <c r="B23" s="24">
        <v>0.26</v>
      </c>
    </row>
    <row r="24" spans="1:2" ht="15.75" thickBot="1" x14ac:dyDescent="0.3">
      <c r="A24" s="27">
        <v>38602</v>
      </c>
      <c r="B24" s="24">
        <v>0.26</v>
      </c>
    </row>
    <row r="25" spans="1:2" ht="15.75" thickBot="1" x14ac:dyDescent="0.3">
      <c r="A25" s="27">
        <v>38693</v>
      </c>
      <c r="B25" s="24">
        <v>0.26</v>
      </c>
    </row>
    <row r="26" spans="1:2" ht="15.75" thickBot="1" x14ac:dyDescent="0.3">
      <c r="A26" s="27">
        <v>38784</v>
      </c>
      <c r="B26" s="24">
        <v>0.26</v>
      </c>
    </row>
    <row r="27" spans="1:2" ht="15.75" thickBot="1" x14ac:dyDescent="0.3">
      <c r="A27" s="27">
        <v>38875</v>
      </c>
      <c r="B27" s="24">
        <v>0.3</v>
      </c>
    </row>
    <row r="28" spans="1:2" ht="15.75" thickBot="1" x14ac:dyDescent="0.3">
      <c r="A28" s="27">
        <v>38966</v>
      </c>
      <c r="B28" s="24">
        <v>0.3</v>
      </c>
    </row>
    <row r="29" spans="1:2" ht="15.75" thickBot="1" x14ac:dyDescent="0.3">
      <c r="A29" s="27">
        <v>39057</v>
      </c>
      <c r="B29" s="24">
        <v>0.3</v>
      </c>
    </row>
    <row r="30" spans="1:2" ht="15.75" thickBot="1" x14ac:dyDescent="0.3">
      <c r="A30" s="27">
        <v>39148</v>
      </c>
      <c r="B30" s="24">
        <v>0.3</v>
      </c>
    </row>
    <row r="31" spans="1:2" ht="15.75" thickBot="1" x14ac:dyDescent="0.3">
      <c r="A31" s="27">
        <v>39239</v>
      </c>
      <c r="B31" s="24">
        <v>0.38</v>
      </c>
    </row>
    <row r="32" spans="1:2" ht="15.75" thickBot="1" x14ac:dyDescent="0.3">
      <c r="A32" s="27">
        <v>39330</v>
      </c>
      <c r="B32" s="24">
        <v>0.38</v>
      </c>
    </row>
    <row r="33" spans="1:2" ht="15.75" thickBot="1" x14ac:dyDescent="0.3">
      <c r="A33" s="27">
        <v>39421</v>
      </c>
      <c r="B33" s="24">
        <v>0.38</v>
      </c>
    </row>
    <row r="34" spans="1:2" ht="15.75" thickBot="1" x14ac:dyDescent="0.3">
      <c r="A34" s="27">
        <v>39512</v>
      </c>
      <c r="B34" s="24">
        <v>0.38</v>
      </c>
    </row>
    <row r="35" spans="1:2" ht="15.75" thickBot="1" x14ac:dyDescent="0.3">
      <c r="A35" s="27">
        <v>39603</v>
      </c>
      <c r="B35" s="24">
        <v>0.43</v>
      </c>
    </row>
    <row r="36" spans="1:2" ht="15.75" thickBot="1" x14ac:dyDescent="0.3">
      <c r="A36" s="27">
        <v>39694</v>
      </c>
      <c r="B36" s="24">
        <v>0.43</v>
      </c>
    </row>
    <row r="37" spans="1:2" ht="15.75" thickBot="1" x14ac:dyDescent="0.3">
      <c r="A37" s="27">
        <v>39785</v>
      </c>
      <c r="B37" s="24">
        <v>0.43</v>
      </c>
    </row>
    <row r="38" spans="1:2" ht="15.75" thickBot="1" x14ac:dyDescent="0.3">
      <c r="A38" s="27">
        <v>39876</v>
      </c>
      <c r="B38" s="24">
        <v>0.43</v>
      </c>
    </row>
    <row r="39" spans="1:2" ht="15.75" thickBot="1" x14ac:dyDescent="0.3">
      <c r="A39" s="27">
        <v>39967</v>
      </c>
      <c r="B39" s="24">
        <v>0.45</v>
      </c>
    </row>
    <row r="40" spans="1:2" ht="15.75" thickBot="1" x14ac:dyDescent="0.3">
      <c r="A40" s="27">
        <v>40058</v>
      </c>
      <c r="B40" s="24">
        <v>0.45</v>
      </c>
    </row>
    <row r="41" spans="1:2" ht="15.75" thickBot="1" x14ac:dyDescent="0.3">
      <c r="A41" s="27">
        <v>40149</v>
      </c>
      <c r="B41" s="24">
        <v>0.45</v>
      </c>
    </row>
    <row r="42" spans="1:2" ht="15.75" thickBot="1" x14ac:dyDescent="0.3">
      <c r="A42" s="27">
        <v>40240</v>
      </c>
      <c r="B42" s="24">
        <v>0.45</v>
      </c>
    </row>
    <row r="43" spans="1:2" ht="15.75" thickBot="1" x14ac:dyDescent="0.3">
      <c r="A43" s="27">
        <v>40331</v>
      </c>
      <c r="B43" s="24">
        <v>0.48</v>
      </c>
    </row>
    <row r="44" spans="1:2" ht="15.75" thickBot="1" x14ac:dyDescent="0.3">
      <c r="A44" s="27">
        <v>40422</v>
      </c>
      <c r="B44" s="24">
        <v>0.48</v>
      </c>
    </row>
    <row r="45" spans="1:2" ht="15.75" thickBot="1" x14ac:dyDescent="0.3">
      <c r="A45" s="27">
        <v>40513</v>
      </c>
      <c r="B45" s="24">
        <v>0.48</v>
      </c>
    </row>
    <row r="46" spans="1:2" ht="15.75" thickBot="1" x14ac:dyDescent="0.3">
      <c r="A46" s="27">
        <v>40604</v>
      </c>
      <c r="B46" s="24">
        <v>0.48</v>
      </c>
    </row>
    <row r="47" spans="1:2" ht="15.75" thickBot="1" x14ac:dyDescent="0.3">
      <c r="A47" s="27">
        <v>40695</v>
      </c>
      <c r="B47" s="24">
        <v>0.52</v>
      </c>
    </row>
    <row r="48" spans="1:2" ht="15.75" thickBot="1" x14ac:dyDescent="0.3">
      <c r="A48" s="27">
        <v>40786</v>
      </c>
      <c r="B48" s="24">
        <v>0.52</v>
      </c>
    </row>
    <row r="49" spans="1:2" ht="15.75" thickBot="1" x14ac:dyDescent="0.3">
      <c r="A49" s="27">
        <v>40877</v>
      </c>
      <c r="B49" s="24">
        <v>0.52</v>
      </c>
    </row>
    <row r="50" spans="1:2" ht="15.75" thickBot="1" x14ac:dyDescent="0.3">
      <c r="A50" s="27">
        <v>40968</v>
      </c>
      <c r="B50" s="24">
        <v>0.52</v>
      </c>
    </row>
    <row r="51" spans="1:2" ht="15.75" thickBot="1" x14ac:dyDescent="0.3">
      <c r="A51" s="27">
        <v>41059</v>
      </c>
      <c r="B51" s="24">
        <v>0.54</v>
      </c>
    </row>
    <row r="52" spans="1:2" ht="15.75" thickBot="1" x14ac:dyDescent="0.3">
      <c r="A52" s="27">
        <v>41157</v>
      </c>
      <c r="B52" s="24">
        <v>0.54</v>
      </c>
    </row>
    <row r="53" spans="1:2" ht="15.75" thickBot="1" x14ac:dyDescent="0.3">
      <c r="A53" s="27">
        <v>41248</v>
      </c>
      <c r="B53" s="24">
        <v>0.54</v>
      </c>
    </row>
    <row r="54" spans="1:2" ht="15.75" thickBot="1" x14ac:dyDescent="0.3">
      <c r="A54" s="27">
        <v>41332</v>
      </c>
      <c r="B54" s="24">
        <v>0.54</v>
      </c>
    </row>
    <row r="55" spans="1:2" ht="15.75" thickBot="1" x14ac:dyDescent="0.3">
      <c r="A55" s="27">
        <v>41430</v>
      </c>
      <c r="B55" s="24">
        <v>0.56999999999999995</v>
      </c>
    </row>
    <row r="56" spans="1:2" ht="15.75" thickBot="1" x14ac:dyDescent="0.3">
      <c r="A56" s="27">
        <v>41521</v>
      </c>
      <c r="B56" s="24">
        <v>0.56999999999999995</v>
      </c>
    </row>
    <row r="57" spans="1:2" ht="15.75" thickBot="1" x14ac:dyDescent="0.3">
      <c r="A57" s="27">
        <v>41612</v>
      </c>
      <c r="B57" s="24">
        <v>0.56999999999999995</v>
      </c>
    </row>
    <row r="58" spans="1:2" ht="15.75" thickBot="1" x14ac:dyDescent="0.3">
      <c r="A58" s="27">
        <v>41703</v>
      </c>
      <c r="B58" s="24">
        <v>0.56999999999999995</v>
      </c>
    </row>
    <row r="59" spans="1:2" ht="15.75" thickBot="1" x14ac:dyDescent="0.3">
      <c r="A59" s="27">
        <v>41794</v>
      </c>
      <c r="B59" s="24">
        <v>0.66</v>
      </c>
    </row>
    <row r="60" spans="1:2" ht="15.75" thickBot="1" x14ac:dyDescent="0.3">
      <c r="A60" s="27">
        <v>41885</v>
      </c>
      <c r="B60" s="24">
        <v>0.66</v>
      </c>
    </row>
    <row r="61" spans="1:2" ht="15.75" thickBot="1" x14ac:dyDescent="0.3">
      <c r="A61" s="27">
        <v>41976</v>
      </c>
      <c r="B61" s="24">
        <v>0.66</v>
      </c>
    </row>
    <row r="62" spans="1:2" ht="15.75" thickBot="1" x14ac:dyDescent="0.3">
      <c r="A62" s="27">
        <v>42067</v>
      </c>
      <c r="B62" s="24">
        <v>0.66</v>
      </c>
    </row>
    <row r="63" spans="1:2" ht="15.75" thickBot="1" x14ac:dyDescent="0.3">
      <c r="A63" s="27">
        <v>42158</v>
      </c>
      <c r="B63" s="24">
        <v>0.7</v>
      </c>
    </row>
    <row r="64" spans="1:2" ht="15.75" thickBot="1" x14ac:dyDescent="0.3">
      <c r="A64" s="27">
        <v>42249</v>
      </c>
      <c r="B64" s="24">
        <v>0.7</v>
      </c>
    </row>
    <row r="65" spans="1:2" ht="15.75" thickBot="1" x14ac:dyDescent="0.3">
      <c r="A65" s="27">
        <v>42340</v>
      </c>
      <c r="B65" s="24">
        <v>0.7</v>
      </c>
    </row>
    <row r="66" spans="1:2" ht="15.75" thickBot="1" x14ac:dyDescent="0.3">
      <c r="A66" s="27">
        <v>42431</v>
      </c>
      <c r="B66" s="24">
        <v>0.7</v>
      </c>
    </row>
    <row r="67" spans="1:2" ht="15.75" thickBot="1" x14ac:dyDescent="0.3">
      <c r="A67" s="27">
        <v>42522</v>
      </c>
      <c r="B67" s="24">
        <v>0.75</v>
      </c>
    </row>
    <row r="68" spans="1:2" ht="15.75" thickBot="1" x14ac:dyDescent="0.3">
      <c r="A68" s="27">
        <v>42613</v>
      </c>
      <c r="B68" s="24">
        <v>0.75</v>
      </c>
    </row>
    <row r="69" spans="1:2" ht="15.75" thickBot="1" x14ac:dyDescent="0.3">
      <c r="A69" s="27">
        <v>42704</v>
      </c>
      <c r="B69" s="24">
        <v>0.75</v>
      </c>
    </row>
    <row r="70" spans="1:2" ht="15.75" thickBot="1" x14ac:dyDescent="0.3">
      <c r="A70" s="27">
        <v>42795</v>
      </c>
      <c r="B70" s="24">
        <v>0.75</v>
      </c>
    </row>
    <row r="71" spans="1:2" ht="15.75" thickBot="1" x14ac:dyDescent="0.3">
      <c r="A71" s="27">
        <v>42886</v>
      </c>
      <c r="B71" s="24">
        <v>0.81</v>
      </c>
    </row>
    <row r="72" spans="1:2" ht="15.75" thickBot="1" x14ac:dyDescent="0.3">
      <c r="A72" s="27">
        <v>42977</v>
      </c>
      <c r="B72" s="24">
        <v>0.81</v>
      </c>
    </row>
    <row r="73" spans="1:2" ht="15.75" thickBot="1" x14ac:dyDescent="0.3">
      <c r="A73" s="27">
        <v>43069</v>
      </c>
      <c r="B73" s="24">
        <v>0.81</v>
      </c>
    </row>
    <row r="74" spans="1:2" ht="15.75" thickBot="1" x14ac:dyDescent="0.3">
      <c r="A74" s="27">
        <v>43160</v>
      </c>
      <c r="B74" s="24">
        <v>0.81</v>
      </c>
    </row>
    <row r="75" spans="1:2" ht="15.75" thickBot="1" x14ac:dyDescent="0.3">
      <c r="A75" s="27">
        <v>43251</v>
      </c>
      <c r="B75" s="24">
        <v>0.93</v>
      </c>
    </row>
    <row r="76" spans="1:2" ht="15.75" thickBot="1" x14ac:dyDescent="0.3">
      <c r="A76" s="27">
        <v>43349</v>
      </c>
      <c r="B76" s="24">
        <v>0.93</v>
      </c>
    </row>
    <row r="77" spans="1:2" ht="15.75" thickBot="1" x14ac:dyDescent="0.3">
      <c r="A77" s="27">
        <v>43440</v>
      </c>
      <c r="B77" s="24">
        <v>0.93</v>
      </c>
    </row>
    <row r="78" spans="1:2" ht="15.75" thickBot="1" x14ac:dyDescent="0.3">
      <c r="A78" s="27">
        <v>43524</v>
      </c>
      <c r="B78" s="24">
        <v>0.93</v>
      </c>
    </row>
    <row r="79" spans="1:2" ht="15.75" thickBot="1" x14ac:dyDescent="0.3">
      <c r="A79" s="27">
        <v>43622</v>
      </c>
      <c r="B79" s="24">
        <v>0.96</v>
      </c>
    </row>
    <row r="80" spans="1:2" ht="15.75" thickBot="1" x14ac:dyDescent="0.3">
      <c r="A80" s="27">
        <v>43713</v>
      </c>
      <c r="B80" s="24">
        <v>0.96</v>
      </c>
    </row>
    <row r="81" spans="1:2" ht="15.75" thickBot="1" x14ac:dyDescent="0.3">
      <c r="A81" s="27">
        <v>43804</v>
      </c>
      <c r="B81" s="24">
        <v>0.96</v>
      </c>
    </row>
    <row r="82" spans="1:2" ht="15.75" thickBot="1" x14ac:dyDescent="0.3">
      <c r="A82" s="27">
        <v>43895</v>
      </c>
      <c r="B82" s="24">
        <v>0.96</v>
      </c>
    </row>
    <row r="83" spans="1:2" ht="15.75" thickBot="1" x14ac:dyDescent="0.3">
      <c r="A83" s="27">
        <v>43986</v>
      </c>
      <c r="B83" s="24">
        <v>1.02</v>
      </c>
    </row>
    <row r="84" spans="1:2" ht="15.75" thickBot="1" x14ac:dyDescent="0.3">
      <c r="A84" s="27">
        <v>44077</v>
      </c>
      <c r="B84" s="24">
        <v>1.02</v>
      </c>
    </row>
    <row r="85" spans="1:2" ht="15.75" thickBot="1" x14ac:dyDescent="0.3">
      <c r="A85" s="27">
        <v>44168</v>
      </c>
      <c r="B85" s="24">
        <v>1.02</v>
      </c>
    </row>
    <row r="86" spans="1:2" ht="15.75" thickBot="1" x14ac:dyDescent="0.3">
      <c r="A86" s="27">
        <v>44259</v>
      </c>
      <c r="B86" s="24">
        <v>1.02</v>
      </c>
    </row>
    <row r="87" spans="1:2" ht="15.75" thickBot="1" x14ac:dyDescent="0.3">
      <c r="A87" s="27">
        <v>44350</v>
      </c>
      <c r="B87" s="24">
        <v>1.08</v>
      </c>
    </row>
    <row r="88" spans="1:2" ht="15.75" thickBot="1" x14ac:dyDescent="0.3">
      <c r="A88" s="27">
        <v>44441</v>
      </c>
      <c r="B88" s="24">
        <v>1.08</v>
      </c>
    </row>
    <row r="89" spans="1:2" ht="15.75" thickBot="1" x14ac:dyDescent="0.3">
      <c r="A89" s="27">
        <v>44532</v>
      </c>
      <c r="B89" s="24">
        <v>1.08</v>
      </c>
    </row>
    <row r="90" spans="1:2" ht="15.75" thickBot="1" x14ac:dyDescent="0.3">
      <c r="A90" s="27">
        <v>44623</v>
      </c>
      <c r="B90" s="24">
        <v>1.08</v>
      </c>
    </row>
    <row r="91" spans="1:2" ht="15.75" thickBot="1" x14ac:dyDescent="0.3">
      <c r="A91" s="27">
        <v>44714</v>
      </c>
      <c r="B91" s="24">
        <v>1.1499999999999999</v>
      </c>
    </row>
    <row r="92" spans="1:2" ht="15.75" thickBot="1" x14ac:dyDescent="0.3">
      <c r="A92" s="27">
        <v>44805</v>
      </c>
      <c r="B92" s="24">
        <v>1.1499999999999999</v>
      </c>
    </row>
    <row r="93" spans="1:2" ht="15.75" thickBot="1" x14ac:dyDescent="0.3">
      <c r="A93" s="27">
        <v>44896</v>
      </c>
      <c r="B93" s="24">
        <v>1.1499999999999999</v>
      </c>
    </row>
    <row r="94" spans="1:2" ht="15.75" thickBot="1" x14ac:dyDescent="0.3">
      <c r="A94" s="27">
        <v>44987</v>
      </c>
      <c r="B94" s="24">
        <v>1.1499999999999999</v>
      </c>
    </row>
    <row r="95" spans="1:2" ht="15.75" thickBot="1" x14ac:dyDescent="0.3">
      <c r="A95" s="27">
        <v>45078</v>
      </c>
      <c r="B95" s="24">
        <v>1.27</v>
      </c>
    </row>
    <row r="96" spans="1:2" ht="15.75" thickBot="1" x14ac:dyDescent="0.3">
      <c r="A96" s="27">
        <v>45169</v>
      </c>
      <c r="B96" s="24">
        <v>1.27</v>
      </c>
    </row>
    <row r="97" spans="1:2" ht="15.75" thickBot="1" x14ac:dyDescent="0.3">
      <c r="A97" s="27">
        <v>45260</v>
      </c>
      <c r="B97" s="24">
        <v>1.27</v>
      </c>
    </row>
    <row r="98" spans="1:2" ht="15.75" thickBot="1" x14ac:dyDescent="0.3">
      <c r="A98" s="27">
        <v>45351</v>
      </c>
      <c r="B98" s="24">
        <v>1.27</v>
      </c>
    </row>
    <row r="99" spans="1:2" ht="15.75" thickBot="1" x14ac:dyDescent="0.3">
      <c r="A99" s="27">
        <v>45450</v>
      </c>
      <c r="B99" s="24">
        <v>1.36</v>
      </c>
    </row>
    <row r="100" spans="1:2" ht="15.75" thickBot="1" x14ac:dyDescent="0.3">
      <c r="A100" s="27">
        <v>45541</v>
      </c>
      <c r="B100" s="24">
        <v>1.36</v>
      </c>
    </row>
    <row r="101" spans="1:2" ht="15.75" thickBot="1" x14ac:dyDescent="0.3">
      <c r="A101" s="27">
        <v>45632</v>
      </c>
      <c r="B101" s="24">
        <v>1.36</v>
      </c>
    </row>
    <row r="102" spans="1:2" ht="15.75" thickBot="1" x14ac:dyDescent="0.3">
      <c r="A102" s="27">
        <v>45723</v>
      </c>
      <c r="B102" s="24">
        <v>1.36</v>
      </c>
    </row>
    <row r="103" spans="1:2" ht="15.75" thickBot="1" x14ac:dyDescent="0.3">
      <c r="A103" s="27">
        <v>45814</v>
      </c>
      <c r="B103" s="24">
        <v>1.42</v>
      </c>
    </row>
    <row r="104" spans="1:2" ht="15.75" thickBot="1" x14ac:dyDescent="0.3">
      <c r="A104" s="27">
        <v>45905</v>
      </c>
      <c r="B104" s="24">
        <v>1.42</v>
      </c>
    </row>
    <row r="105" spans="1:2" ht="15.75" thickBot="1" x14ac:dyDescent="0.3">
      <c r="A105" s="27">
        <v>45996</v>
      </c>
      <c r="B105" s="24">
        <v>1.42</v>
      </c>
    </row>
    <row r="106" spans="1:2" ht="15.75" thickBot="1" x14ac:dyDescent="0.3">
      <c r="A106" s="28"/>
      <c r="B106" s="25"/>
    </row>
    <row r="107" spans="1:2" ht="15.75" thickBot="1" x14ac:dyDescent="0.3">
      <c r="A107" s="28"/>
      <c r="B107" s="25"/>
    </row>
    <row r="108" spans="1:2" ht="15.75" thickBot="1" x14ac:dyDescent="0.3">
      <c r="A108" s="28"/>
      <c r="B108" s="25"/>
    </row>
    <row r="109" spans="1:2" ht="15.75" thickBot="1" x14ac:dyDescent="0.3">
      <c r="A109" s="28"/>
      <c r="B109" s="25"/>
    </row>
    <row r="110" spans="1:2" ht="15.75" thickBot="1" x14ac:dyDescent="0.3">
      <c r="A110" s="28"/>
      <c r="B110" s="25"/>
    </row>
    <row r="111" spans="1:2" ht="15.75" thickBot="1" x14ac:dyDescent="0.3">
      <c r="A111" s="28"/>
      <c r="B111" s="25"/>
    </row>
    <row r="112" spans="1:2" ht="15.75" thickBot="1" x14ac:dyDescent="0.3">
      <c r="A112" s="28"/>
      <c r="B112" s="25"/>
    </row>
    <row r="113" spans="1:2" ht="15.75" thickBot="1" x14ac:dyDescent="0.3">
      <c r="A113" s="28"/>
      <c r="B113" s="25"/>
    </row>
    <row r="114" spans="1:2" ht="15.75" thickBot="1" x14ac:dyDescent="0.3">
      <c r="A114" s="28"/>
      <c r="B114" s="25"/>
    </row>
    <row r="115" spans="1:2" ht="15.75" thickBot="1" x14ac:dyDescent="0.3">
      <c r="A115" s="28"/>
      <c r="B115" s="25"/>
    </row>
    <row r="116" spans="1:2" ht="15.75" thickBot="1" x14ac:dyDescent="0.3">
      <c r="A116" s="28"/>
      <c r="B116" s="25"/>
    </row>
    <row r="117" spans="1:2" ht="15.75" thickBot="1" x14ac:dyDescent="0.3">
      <c r="A117" s="28"/>
      <c r="B117" s="25"/>
    </row>
    <row r="118" spans="1:2" ht="15.75" thickBot="1" x14ac:dyDescent="0.3">
      <c r="A118" s="28"/>
      <c r="B118" s="25"/>
    </row>
    <row r="119" spans="1:2" ht="15.75" thickBot="1" x14ac:dyDescent="0.3">
      <c r="A119" s="28"/>
      <c r="B119" s="25"/>
    </row>
    <row r="120" spans="1:2" ht="15.75" thickBot="1" x14ac:dyDescent="0.3">
      <c r="A120" s="28"/>
      <c r="B120" s="25"/>
    </row>
    <row r="121" spans="1:2" ht="15.75" thickBot="1" x14ac:dyDescent="0.3">
      <c r="A121" s="28"/>
      <c r="B121" s="25"/>
    </row>
    <row r="122" spans="1:2" ht="15.75" thickBot="1" x14ac:dyDescent="0.3">
      <c r="A122" s="28"/>
      <c r="B122" s="25"/>
    </row>
    <row r="123" spans="1:2" ht="15.75" thickBot="1" x14ac:dyDescent="0.3">
      <c r="A123" s="28"/>
      <c r="B123" s="25"/>
    </row>
    <row r="124" spans="1:2" ht="15.75" thickBot="1" x14ac:dyDescent="0.3">
      <c r="A124" s="28"/>
      <c r="B124" s="25"/>
    </row>
    <row r="125" spans="1:2" ht="15.75" thickBot="1" x14ac:dyDescent="0.3">
      <c r="A125" s="28"/>
      <c r="B125" s="25"/>
    </row>
    <row r="126" spans="1:2" ht="15.75" thickBot="1" x14ac:dyDescent="0.3">
      <c r="A126" s="28"/>
      <c r="B126" s="25"/>
    </row>
    <row r="127" spans="1:2" ht="15.75" thickBot="1" x14ac:dyDescent="0.3">
      <c r="A127" s="28"/>
      <c r="B127" s="25"/>
    </row>
    <row r="128" spans="1:2" ht="15.75" thickBot="1" x14ac:dyDescent="0.3">
      <c r="A128" s="28"/>
      <c r="B128" s="25"/>
    </row>
    <row r="129" spans="1:2" ht="15.75" thickBot="1" x14ac:dyDescent="0.3">
      <c r="A129" s="28"/>
      <c r="B129" s="25"/>
    </row>
    <row r="130" spans="1:2" ht="15.75" thickBot="1" x14ac:dyDescent="0.3">
      <c r="A130" s="28"/>
      <c r="B130" s="25"/>
    </row>
    <row r="131" spans="1:2" ht="15.75" thickBot="1" x14ac:dyDescent="0.3">
      <c r="A131" s="28"/>
      <c r="B131" s="25"/>
    </row>
    <row r="132" spans="1:2" ht="15.75" thickBot="1" x14ac:dyDescent="0.3">
      <c r="A132" s="28"/>
      <c r="B132" s="25"/>
    </row>
    <row r="133" spans="1:2" ht="15.75" thickBot="1" x14ac:dyDescent="0.3">
      <c r="A133" s="28"/>
      <c r="B133" s="25"/>
    </row>
    <row r="134" spans="1:2" ht="15.75" thickBot="1" x14ac:dyDescent="0.3">
      <c r="A134" s="28"/>
      <c r="B134" s="25"/>
    </row>
    <row r="135" spans="1:2" ht="15.75" thickBot="1" x14ac:dyDescent="0.3">
      <c r="A135" s="28"/>
      <c r="B135" s="25"/>
    </row>
    <row r="136" spans="1:2" ht="15.75" thickBot="1" x14ac:dyDescent="0.3">
      <c r="A136" s="28"/>
      <c r="B136" s="25"/>
    </row>
    <row r="137" spans="1:2" ht="15.75" thickBot="1" x14ac:dyDescent="0.3">
      <c r="A137" s="28"/>
      <c r="B137" s="25"/>
    </row>
    <row r="138" spans="1:2" ht="15.75" thickBot="1" x14ac:dyDescent="0.3">
      <c r="A138" s="28"/>
      <c r="B138" s="25"/>
    </row>
    <row r="139" spans="1:2" ht="15.75" thickBot="1" x14ac:dyDescent="0.3">
      <c r="A139" s="28"/>
      <c r="B139" s="25"/>
    </row>
    <row r="140" spans="1:2" ht="15.75" thickBot="1" x14ac:dyDescent="0.3">
      <c r="A140" s="28"/>
      <c r="B140" s="25"/>
    </row>
    <row r="141" spans="1:2" ht="15.75" thickBot="1" x14ac:dyDescent="0.3">
      <c r="A141" s="28"/>
      <c r="B141" s="25"/>
    </row>
    <row r="142" spans="1:2" ht="15.75" thickBot="1" x14ac:dyDescent="0.3">
      <c r="A142" s="28"/>
      <c r="B142" s="25"/>
    </row>
    <row r="143" spans="1:2" ht="15.75" thickBot="1" x14ac:dyDescent="0.3">
      <c r="A143" s="28"/>
      <c r="B143" s="25"/>
    </row>
    <row r="144" spans="1:2" ht="15.75" thickBot="1" x14ac:dyDescent="0.3">
      <c r="A144" s="28"/>
      <c r="B144" s="25"/>
    </row>
    <row r="145" spans="1:2" ht="15.75" thickBot="1" x14ac:dyDescent="0.3">
      <c r="A145" s="28"/>
      <c r="B145" s="25"/>
    </row>
    <row r="146" spans="1:2" ht="15.75" thickBot="1" x14ac:dyDescent="0.3">
      <c r="A146" s="28"/>
      <c r="B146" s="25"/>
    </row>
    <row r="147" spans="1:2" ht="15.75" thickBot="1" x14ac:dyDescent="0.3">
      <c r="A147" s="28"/>
      <c r="B147" s="25"/>
    </row>
    <row r="148" spans="1:2" ht="15.75" thickBot="1" x14ac:dyDescent="0.3">
      <c r="A148" s="28"/>
      <c r="B148" s="25"/>
    </row>
    <row r="149" spans="1:2" ht="15.75" thickBot="1" x14ac:dyDescent="0.3">
      <c r="A149" s="28"/>
      <c r="B149" s="25"/>
    </row>
    <row r="150" spans="1:2" ht="15.75" thickBot="1" x14ac:dyDescent="0.3">
      <c r="A150" s="28"/>
      <c r="B150" s="25"/>
    </row>
    <row r="151" spans="1:2" ht="15.75" thickBot="1" x14ac:dyDescent="0.3">
      <c r="A151" s="28"/>
      <c r="B151" s="25"/>
    </row>
    <row r="152" spans="1:2" ht="15.75" thickBot="1" x14ac:dyDescent="0.3">
      <c r="A152" s="28"/>
      <c r="B152" s="25"/>
    </row>
    <row r="153" spans="1:2" ht="15.75" thickBot="1" x14ac:dyDescent="0.3">
      <c r="A153" s="28"/>
      <c r="B153" s="25"/>
    </row>
    <row r="154" spans="1:2" ht="15.75" thickBot="1" x14ac:dyDescent="0.3">
      <c r="A154" s="28"/>
      <c r="B154" s="25"/>
    </row>
    <row r="155" spans="1:2" ht="15.75" thickBot="1" x14ac:dyDescent="0.3">
      <c r="A155" s="28"/>
      <c r="B155" s="25"/>
    </row>
    <row r="156" spans="1:2" ht="15.75" thickBot="1" x14ac:dyDescent="0.3">
      <c r="A156" s="28"/>
      <c r="B156" s="25"/>
    </row>
    <row r="157" spans="1:2" ht="15.75" thickBot="1" x14ac:dyDescent="0.3">
      <c r="A157" s="28"/>
      <c r="B157" s="25"/>
    </row>
    <row r="158" spans="1:2" ht="15.75" thickBot="1" x14ac:dyDescent="0.3">
      <c r="A158" s="28"/>
      <c r="B158" s="25"/>
    </row>
    <row r="159" spans="1:2" ht="15.75" thickBot="1" x14ac:dyDescent="0.3">
      <c r="A159" s="28"/>
      <c r="B159" s="25"/>
    </row>
    <row r="160" spans="1:2" ht="15.75" thickBot="1" x14ac:dyDescent="0.3">
      <c r="A160" s="28"/>
      <c r="B160" s="25"/>
    </row>
    <row r="161" spans="1:2" ht="15.75" thickBot="1" x14ac:dyDescent="0.3">
      <c r="A161" s="28"/>
      <c r="B161" s="25"/>
    </row>
    <row r="162" spans="1:2" ht="15.75" thickBot="1" x14ac:dyDescent="0.3">
      <c r="A162" s="28"/>
      <c r="B162" s="25"/>
    </row>
    <row r="163" spans="1:2" ht="15.75" thickBot="1" x14ac:dyDescent="0.3">
      <c r="A163" s="28"/>
      <c r="B163" s="25"/>
    </row>
    <row r="164" spans="1:2" ht="15.75" thickBot="1" x14ac:dyDescent="0.3">
      <c r="A164" s="28"/>
      <c r="B164" s="25"/>
    </row>
    <row r="165" spans="1:2" ht="15.75" thickBot="1" x14ac:dyDescent="0.3">
      <c r="A165" s="28"/>
      <c r="B165" s="25"/>
    </row>
    <row r="166" spans="1:2" ht="15.75" thickBot="1" x14ac:dyDescent="0.3">
      <c r="A166" s="28"/>
      <c r="B166" s="25"/>
    </row>
    <row r="167" spans="1:2" ht="15.75" thickBot="1" x14ac:dyDescent="0.3">
      <c r="A167" s="28"/>
      <c r="B167" s="25"/>
    </row>
    <row r="168" spans="1:2" ht="15.75" thickBot="1" x14ac:dyDescent="0.3">
      <c r="A168" s="28"/>
      <c r="B168" s="25"/>
    </row>
    <row r="169" spans="1:2" ht="15.75" thickBot="1" x14ac:dyDescent="0.3">
      <c r="A169" s="28"/>
      <c r="B169" s="25"/>
    </row>
    <row r="170" spans="1:2" ht="15.75" thickBot="1" x14ac:dyDescent="0.3">
      <c r="A170" s="28"/>
      <c r="B170" s="25"/>
    </row>
    <row r="171" spans="1:2" ht="15.75" thickBot="1" x14ac:dyDescent="0.3">
      <c r="A171" s="28"/>
      <c r="B171" s="25"/>
    </row>
    <row r="172" spans="1:2" ht="15.75" thickBot="1" x14ac:dyDescent="0.3">
      <c r="A172" s="28"/>
      <c r="B172" s="25"/>
    </row>
    <row r="173" spans="1:2" ht="15.75" thickBot="1" x14ac:dyDescent="0.3">
      <c r="A173" s="28"/>
      <c r="B173" s="25"/>
    </row>
    <row r="174" spans="1:2" ht="15.75" thickBot="1" x14ac:dyDescent="0.3">
      <c r="A174" s="28"/>
      <c r="B174" s="25"/>
    </row>
    <row r="175" spans="1:2" ht="15.75" thickBot="1" x14ac:dyDescent="0.3">
      <c r="A175" s="28"/>
      <c r="B175" s="25"/>
    </row>
    <row r="176" spans="1:2" ht="15.75" thickBot="1" x14ac:dyDescent="0.3">
      <c r="A176" s="28"/>
      <c r="B176" s="25"/>
    </row>
    <row r="177" spans="1:2" ht="15.75" thickBot="1" x14ac:dyDescent="0.3">
      <c r="A177" s="28"/>
      <c r="B177" s="25"/>
    </row>
    <row r="178" spans="1:2" ht="15.75" thickBot="1" x14ac:dyDescent="0.3">
      <c r="A178" s="28"/>
      <c r="B178" s="25"/>
    </row>
    <row r="179" spans="1:2" ht="15.75" thickBot="1" x14ac:dyDescent="0.3">
      <c r="A179" s="28"/>
      <c r="B179" s="25"/>
    </row>
    <row r="180" spans="1:2" ht="15.75" thickBot="1" x14ac:dyDescent="0.3">
      <c r="A180" s="28"/>
      <c r="B180" s="25"/>
    </row>
    <row r="181" spans="1:2" ht="15.75" thickBot="1" x14ac:dyDescent="0.3">
      <c r="A181" s="28"/>
      <c r="B181" s="25"/>
    </row>
    <row r="182" spans="1:2" ht="15.75" thickBot="1" x14ac:dyDescent="0.3">
      <c r="A182" s="28"/>
      <c r="B182" s="25"/>
    </row>
    <row r="183" spans="1:2" ht="15.75" thickBot="1" x14ac:dyDescent="0.3">
      <c r="A183" s="28"/>
      <c r="B183" s="25"/>
    </row>
    <row r="184" spans="1:2" ht="15.75" thickBot="1" x14ac:dyDescent="0.3">
      <c r="A184" s="28"/>
      <c r="B184" s="25"/>
    </row>
    <row r="185" spans="1:2" ht="15.75" thickBot="1" x14ac:dyDescent="0.3">
      <c r="A185" s="28"/>
      <c r="B185" s="25"/>
    </row>
    <row r="186" spans="1:2" ht="15.75" thickBot="1" x14ac:dyDescent="0.3">
      <c r="A186" s="28"/>
      <c r="B186" s="25"/>
    </row>
    <row r="187" spans="1:2" ht="15.75" thickBot="1" x14ac:dyDescent="0.3">
      <c r="A187" s="28"/>
      <c r="B187" s="25"/>
    </row>
    <row r="188" spans="1:2" ht="15.75" thickBot="1" x14ac:dyDescent="0.3">
      <c r="A188" s="28"/>
      <c r="B188" s="25"/>
    </row>
    <row r="189" spans="1:2" ht="15.75" thickBot="1" x14ac:dyDescent="0.3">
      <c r="A189" s="28"/>
      <c r="B189" s="25"/>
    </row>
    <row r="190" spans="1:2" ht="15.75" thickBot="1" x14ac:dyDescent="0.3">
      <c r="A190" s="28"/>
      <c r="B190" s="25"/>
    </row>
    <row r="191" spans="1:2" ht="15.75" thickBot="1" x14ac:dyDescent="0.3">
      <c r="A191" s="28"/>
      <c r="B191" s="25"/>
    </row>
    <row r="192" spans="1:2" ht="15.75" thickBot="1" x14ac:dyDescent="0.3">
      <c r="A192" s="28"/>
      <c r="B192" s="25"/>
    </row>
    <row r="193" spans="1:2" ht="15.75" thickBot="1" x14ac:dyDescent="0.3">
      <c r="A193" s="28"/>
      <c r="B193" s="25"/>
    </row>
    <row r="194" spans="1:2" ht="15.75" thickBot="1" x14ac:dyDescent="0.3">
      <c r="A194" s="28"/>
      <c r="B194" s="25"/>
    </row>
    <row r="195" spans="1:2" ht="15.75" thickBot="1" x14ac:dyDescent="0.3">
      <c r="A195" s="28"/>
      <c r="B195" s="25"/>
    </row>
    <row r="196" spans="1:2" ht="15.75" thickBot="1" x14ac:dyDescent="0.3">
      <c r="A196" s="28"/>
      <c r="B196" s="25"/>
    </row>
    <row r="197" spans="1:2" ht="15.75" thickBot="1" x14ac:dyDescent="0.3">
      <c r="A197" s="28"/>
      <c r="B197" s="25"/>
    </row>
    <row r="198" spans="1:2" ht="15.75" thickBot="1" x14ac:dyDescent="0.3">
      <c r="A198" s="28"/>
      <c r="B198" s="25"/>
    </row>
    <row r="199" spans="1:2" ht="15.75" thickBot="1" x14ac:dyDescent="0.3">
      <c r="A199" s="28"/>
      <c r="B199" s="25"/>
    </row>
    <row r="200" spans="1:2" ht="15.75" thickBot="1" x14ac:dyDescent="0.3">
      <c r="A200" s="28"/>
      <c r="B200" s="25"/>
    </row>
    <row r="201" spans="1:2" ht="15.75" thickBot="1" x14ac:dyDescent="0.3">
      <c r="A201" s="28"/>
      <c r="B201" s="25"/>
    </row>
    <row r="202" spans="1:2" ht="15.75" thickBot="1" x14ac:dyDescent="0.3">
      <c r="A202" s="28"/>
      <c r="B202" s="25"/>
    </row>
    <row r="203" spans="1:2" ht="15.75" thickBot="1" x14ac:dyDescent="0.3">
      <c r="A203" s="28"/>
      <c r="B203" s="25"/>
    </row>
    <row r="204" spans="1:2" ht="15.75" thickBot="1" x14ac:dyDescent="0.3">
      <c r="A204" s="28"/>
      <c r="B204" s="25"/>
    </row>
    <row r="205" spans="1:2" ht="15.75" thickBot="1" x14ac:dyDescent="0.3">
      <c r="A205" s="28"/>
      <c r="B205" s="25"/>
    </row>
    <row r="206" spans="1:2" ht="15.75" thickBot="1" x14ac:dyDescent="0.3">
      <c r="A206" s="28"/>
      <c r="B206" s="25"/>
    </row>
    <row r="207" spans="1:2" ht="15.75" thickBot="1" x14ac:dyDescent="0.3">
      <c r="A207" s="28"/>
      <c r="B207" s="25"/>
    </row>
    <row r="208" spans="1:2" ht="15.75" thickBot="1" x14ac:dyDescent="0.3">
      <c r="A208" s="28"/>
      <c r="B208" s="25"/>
    </row>
    <row r="209" spans="1:2" ht="15.75" thickBot="1" x14ac:dyDescent="0.3">
      <c r="A209" s="28"/>
      <c r="B209" s="25"/>
    </row>
    <row r="210" spans="1:2" ht="15.75" thickBot="1" x14ac:dyDescent="0.3">
      <c r="A210" s="28"/>
      <c r="B210" s="25"/>
    </row>
    <row r="211" spans="1:2" ht="15.75" thickBot="1" x14ac:dyDescent="0.3">
      <c r="A211" s="28"/>
      <c r="B211" s="25"/>
    </row>
    <row r="212" spans="1:2" ht="15.75" thickBot="1" x14ac:dyDescent="0.3">
      <c r="A212" s="28"/>
      <c r="B212" s="25"/>
    </row>
    <row r="213" spans="1:2" ht="15.75" thickBot="1" x14ac:dyDescent="0.3">
      <c r="A213" s="28"/>
      <c r="B213" s="25"/>
    </row>
    <row r="214" spans="1:2" ht="15.75" thickBot="1" x14ac:dyDescent="0.3">
      <c r="A214" s="28"/>
      <c r="B214" s="25"/>
    </row>
    <row r="215" spans="1:2" ht="15.75" thickBot="1" x14ac:dyDescent="0.3">
      <c r="A215" s="28"/>
      <c r="B215" s="25"/>
    </row>
    <row r="216" spans="1:2" ht="15.75" thickBot="1" x14ac:dyDescent="0.3">
      <c r="A216" s="28"/>
      <c r="B216" s="25"/>
    </row>
    <row r="217" spans="1:2" ht="15.75" thickBot="1" x14ac:dyDescent="0.3">
      <c r="A217" s="28"/>
      <c r="B217" s="25"/>
    </row>
    <row r="218" spans="1:2" ht="15.75" thickBot="1" x14ac:dyDescent="0.3">
      <c r="A218" s="28"/>
      <c r="B218" s="25"/>
    </row>
    <row r="219" spans="1:2" ht="15.75" thickBot="1" x14ac:dyDescent="0.3">
      <c r="A219" s="28"/>
      <c r="B219" s="25"/>
    </row>
    <row r="220" spans="1:2" ht="15.75" thickBot="1" x14ac:dyDescent="0.3">
      <c r="A220" s="28"/>
      <c r="B220" s="25"/>
    </row>
    <row r="221" spans="1:2" ht="15.75" thickBot="1" x14ac:dyDescent="0.3">
      <c r="A221" s="28"/>
      <c r="B221" s="25"/>
    </row>
    <row r="222" spans="1:2" ht="15.75" thickBot="1" x14ac:dyDescent="0.3">
      <c r="A222" s="28"/>
      <c r="B222" s="25"/>
    </row>
    <row r="223" spans="1:2" ht="15.75" thickBot="1" x14ac:dyDescent="0.3">
      <c r="A223" s="28"/>
      <c r="B223" s="25"/>
    </row>
    <row r="224" spans="1:2" ht="15.75" thickBot="1" x14ac:dyDescent="0.3">
      <c r="A224" s="28"/>
      <c r="B224" s="25"/>
    </row>
    <row r="225" spans="1:2" ht="15.75" thickBot="1" x14ac:dyDescent="0.3">
      <c r="A225" s="28"/>
      <c r="B225" s="25"/>
    </row>
    <row r="226" spans="1:2" ht="15.75" thickBot="1" x14ac:dyDescent="0.3">
      <c r="A226" s="28"/>
      <c r="B226" s="25"/>
    </row>
    <row r="227" spans="1:2" ht="15.75" thickBot="1" x14ac:dyDescent="0.3">
      <c r="A227" s="28"/>
      <c r="B227" s="25"/>
    </row>
    <row r="228" spans="1:2" ht="15.75" thickBot="1" x14ac:dyDescent="0.3">
      <c r="A228" s="28"/>
      <c r="B228" s="25"/>
    </row>
    <row r="229" spans="1:2" ht="15.75" thickBot="1" x14ac:dyDescent="0.3">
      <c r="A229" s="28"/>
      <c r="B229" s="25"/>
    </row>
    <row r="230" spans="1:2" ht="15.75" thickBot="1" x14ac:dyDescent="0.3">
      <c r="A230" s="28"/>
      <c r="B230" s="25"/>
    </row>
    <row r="231" spans="1:2" ht="15.75" thickBot="1" x14ac:dyDescent="0.3">
      <c r="A231" s="28"/>
      <c r="B231" s="25"/>
    </row>
    <row r="232" spans="1:2" ht="15.75" thickBot="1" x14ac:dyDescent="0.3">
      <c r="A232" s="28"/>
      <c r="B232" s="25"/>
    </row>
    <row r="233" spans="1:2" ht="15.75" thickBot="1" x14ac:dyDescent="0.3">
      <c r="A233" s="28"/>
      <c r="B233" s="25"/>
    </row>
    <row r="234" spans="1:2" ht="15.75" thickBot="1" x14ac:dyDescent="0.3">
      <c r="A234" s="28"/>
      <c r="B234" s="25"/>
    </row>
    <row r="235" spans="1:2" ht="15.75" thickBot="1" x14ac:dyDescent="0.3">
      <c r="A235" s="28"/>
      <c r="B235" s="25"/>
    </row>
    <row r="236" spans="1:2" ht="15.75" thickBot="1" x14ac:dyDescent="0.3">
      <c r="A236" s="28"/>
      <c r="B236" s="25"/>
    </row>
    <row r="237" spans="1:2" ht="15.75" thickBot="1" x14ac:dyDescent="0.3">
      <c r="A237" s="28"/>
      <c r="B237" s="25"/>
    </row>
    <row r="238" spans="1:2" ht="15.75" thickBot="1" x14ac:dyDescent="0.3">
      <c r="A238" s="28"/>
      <c r="B238" s="25"/>
    </row>
    <row r="239" spans="1:2" ht="15.75" thickBot="1" x14ac:dyDescent="0.3">
      <c r="A239" s="28"/>
      <c r="B239" s="25"/>
    </row>
    <row r="240" spans="1:2" ht="15.75" thickBot="1" x14ac:dyDescent="0.3">
      <c r="A240" s="28"/>
      <c r="B240" s="25"/>
    </row>
    <row r="241" spans="1:2" ht="15.75" thickBot="1" x14ac:dyDescent="0.3">
      <c r="A241" s="28"/>
      <c r="B241" s="25"/>
    </row>
    <row r="242" spans="1:2" ht="15.75" thickBot="1" x14ac:dyDescent="0.3">
      <c r="A242" s="28"/>
      <c r="B242" s="25"/>
    </row>
    <row r="243" spans="1:2" ht="15.75" thickBot="1" x14ac:dyDescent="0.3">
      <c r="A243" s="28"/>
      <c r="B243" s="25"/>
    </row>
    <row r="244" spans="1:2" ht="15.75" thickBot="1" x14ac:dyDescent="0.3">
      <c r="A244" s="28"/>
      <c r="B244" s="25"/>
    </row>
    <row r="245" spans="1:2" ht="15.75" thickBot="1" x14ac:dyDescent="0.3">
      <c r="A245" s="28"/>
      <c r="B245" s="25"/>
    </row>
    <row r="246" spans="1:2" ht="15.75" thickBot="1" x14ac:dyDescent="0.3">
      <c r="A246" s="28"/>
      <c r="B246" s="25"/>
    </row>
    <row r="247" spans="1:2" ht="15.75" thickBot="1" x14ac:dyDescent="0.3">
      <c r="A247" s="28"/>
      <c r="B247" s="25"/>
    </row>
    <row r="248" spans="1:2" ht="15.75" thickBot="1" x14ac:dyDescent="0.3">
      <c r="A248" s="28"/>
      <c r="B248" s="25"/>
    </row>
    <row r="249" spans="1:2" ht="15.75" thickBot="1" x14ac:dyDescent="0.3">
      <c r="A249" s="28"/>
      <c r="B249" s="25"/>
    </row>
    <row r="250" spans="1:2" ht="15.75" thickBot="1" x14ac:dyDescent="0.3">
      <c r="A250" s="28"/>
      <c r="B250" s="25"/>
    </row>
    <row r="251" spans="1:2" ht="15.75" thickBot="1" x14ac:dyDescent="0.3">
      <c r="A251" s="28"/>
      <c r="B251" s="25"/>
    </row>
    <row r="252" spans="1:2" ht="15.75" thickBot="1" x14ac:dyDescent="0.3">
      <c r="A252" s="28"/>
      <c r="B252" s="25"/>
    </row>
    <row r="253" spans="1:2" ht="15.75" thickBot="1" x14ac:dyDescent="0.3">
      <c r="A253" s="28"/>
      <c r="B253" s="25"/>
    </row>
    <row r="254" spans="1:2" ht="15.75" thickBot="1" x14ac:dyDescent="0.3">
      <c r="A254" s="28"/>
      <c r="B254" s="25"/>
    </row>
    <row r="255" spans="1:2" ht="15.75" thickBot="1" x14ac:dyDescent="0.3">
      <c r="A255" s="28"/>
      <c r="B255" s="25"/>
    </row>
    <row r="256" spans="1:2" ht="15.75" thickBot="1" x14ac:dyDescent="0.3">
      <c r="A256" s="28"/>
      <c r="B256" s="25"/>
    </row>
    <row r="257" spans="1:2" ht="15.75" thickBot="1" x14ac:dyDescent="0.3">
      <c r="A257" s="28"/>
      <c r="B257" s="25"/>
    </row>
    <row r="258" spans="1:2" ht="15.75" thickBot="1" x14ac:dyDescent="0.3">
      <c r="A258" s="28"/>
      <c r="B258" s="25"/>
    </row>
    <row r="259" spans="1:2" ht="15.75" thickBot="1" x14ac:dyDescent="0.3">
      <c r="A259" s="28"/>
      <c r="B259" s="25"/>
    </row>
    <row r="260" spans="1:2" ht="15.75" thickBot="1" x14ac:dyDescent="0.3">
      <c r="A260" s="28"/>
      <c r="B260" s="25"/>
    </row>
    <row r="261" spans="1:2" ht="15.75" thickBot="1" x14ac:dyDescent="0.3">
      <c r="A261" s="28"/>
      <c r="B261" s="25"/>
    </row>
    <row r="262" spans="1:2" ht="15.75" thickBot="1" x14ac:dyDescent="0.3">
      <c r="A262" s="28"/>
      <c r="B262" s="25"/>
    </row>
    <row r="263" spans="1:2" ht="15.75" thickBot="1" x14ac:dyDescent="0.3">
      <c r="A263" s="28"/>
      <c r="B263" s="25"/>
    </row>
    <row r="264" spans="1:2" ht="15.75" thickBot="1" x14ac:dyDescent="0.3">
      <c r="A264" s="28"/>
      <c r="B264" s="25"/>
    </row>
    <row r="265" spans="1:2" ht="15.75" thickBot="1" x14ac:dyDescent="0.3">
      <c r="A265" s="28"/>
      <c r="B265" s="25"/>
    </row>
    <row r="266" spans="1:2" ht="15.75" thickBot="1" x14ac:dyDescent="0.3">
      <c r="A266" s="28"/>
      <c r="B266" s="25"/>
    </row>
    <row r="267" spans="1:2" ht="15.75" thickBot="1" x14ac:dyDescent="0.3">
      <c r="A267" s="28"/>
      <c r="B267" s="25"/>
    </row>
    <row r="268" spans="1:2" ht="15.75" thickBot="1" x14ac:dyDescent="0.3">
      <c r="A268" s="28"/>
      <c r="B268" s="25"/>
    </row>
    <row r="269" spans="1:2" ht="15.75" thickBot="1" x14ac:dyDescent="0.3">
      <c r="A269" s="28"/>
      <c r="B269" s="25"/>
    </row>
    <row r="270" spans="1:2" ht="15.75" thickBot="1" x14ac:dyDescent="0.3">
      <c r="A270" s="28"/>
      <c r="B270" s="25"/>
    </row>
    <row r="271" spans="1:2" ht="15.75" thickBot="1" x14ac:dyDescent="0.3">
      <c r="A271" s="28"/>
      <c r="B271" s="25"/>
    </row>
    <row r="272" spans="1:2" ht="15.75" thickBot="1" x14ac:dyDescent="0.3">
      <c r="A272" s="28"/>
      <c r="B272" s="25"/>
    </row>
    <row r="273" spans="1:2" ht="15.75" thickBot="1" x14ac:dyDescent="0.3">
      <c r="A273" s="28"/>
      <c r="B273" s="25"/>
    </row>
    <row r="274" spans="1:2" ht="15.75" thickBot="1" x14ac:dyDescent="0.3">
      <c r="A274" s="28"/>
      <c r="B274" s="25"/>
    </row>
    <row r="275" spans="1:2" ht="15.75" thickBot="1" x14ac:dyDescent="0.3">
      <c r="A275" s="28"/>
      <c r="B275" s="25"/>
    </row>
    <row r="276" spans="1:2" ht="15.75" thickBot="1" x14ac:dyDescent="0.3">
      <c r="A276" s="28"/>
      <c r="B276" s="25"/>
    </row>
    <row r="277" spans="1:2" ht="15.75" thickBot="1" x14ac:dyDescent="0.3">
      <c r="A277" s="28"/>
      <c r="B277" s="25"/>
    </row>
    <row r="278" spans="1:2" ht="15.75" thickBot="1" x14ac:dyDescent="0.3">
      <c r="A278" s="28"/>
      <c r="B278" s="25"/>
    </row>
    <row r="279" spans="1:2" ht="15.75" thickBot="1" x14ac:dyDescent="0.3">
      <c r="A279" s="28"/>
      <c r="B279" s="25"/>
    </row>
    <row r="280" spans="1:2" ht="15.75" thickBot="1" x14ac:dyDescent="0.3">
      <c r="A280" s="28"/>
      <c r="B280" s="25"/>
    </row>
    <row r="281" spans="1:2" ht="15.75" thickBot="1" x14ac:dyDescent="0.3">
      <c r="A281" s="28"/>
      <c r="B281" s="25"/>
    </row>
    <row r="282" spans="1:2" ht="15.75" thickBot="1" x14ac:dyDescent="0.3">
      <c r="A282" s="28"/>
      <c r="B282" s="25"/>
    </row>
    <row r="283" spans="1:2" ht="15.75" thickBot="1" x14ac:dyDescent="0.3">
      <c r="A283" s="28"/>
      <c r="B283" s="25"/>
    </row>
    <row r="284" spans="1:2" ht="15.75" thickBot="1" x14ac:dyDescent="0.3">
      <c r="A284" s="28"/>
      <c r="B284" s="25"/>
    </row>
    <row r="285" spans="1:2" ht="15.75" thickBot="1" x14ac:dyDescent="0.3">
      <c r="A285" s="28"/>
      <c r="B285" s="25"/>
    </row>
    <row r="286" spans="1:2" ht="15.75" thickBot="1" x14ac:dyDescent="0.3">
      <c r="A286" s="28"/>
      <c r="B286" s="25"/>
    </row>
    <row r="287" spans="1:2" ht="15.75" thickBot="1" x14ac:dyDescent="0.3">
      <c r="A287" s="28"/>
      <c r="B287" s="25"/>
    </row>
    <row r="288" spans="1:2" ht="15.75" thickBot="1" x14ac:dyDescent="0.3">
      <c r="A288" s="28"/>
      <c r="B288" s="25"/>
    </row>
    <row r="289" spans="1:2" ht="15.75" thickBot="1" x14ac:dyDescent="0.3">
      <c r="A289" s="28"/>
      <c r="B289" s="25"/>
    </row>
    <row r="290" spans="1:2" ht="15.75" thickBot="1" x14ac:dyDescent="0.3">
      <c r="A290" s="28"/>
      <c r="B290" s="25"/>
    </row>
    <row r="291" spans="1:2" ht="15.75" thickBot="1" x14ac:dyDescent="0.3">
      <c r="A291" s="28"/>
      <c r="B291" s="25"/>
    </row>
    <row r="292" spans="1:2" ht="15.75" thickBot="1" x14ac:dyDescent="0.3">
      <c r="A292" s="28"/>
      <c r="B292" s="25"/>
    </row>
    <row r="293" spans="1:2" ht="15.75" thickBot="1" x14ac:dyDescent="0.3">
      <c r="A293" s="28"/>
      <c r="B293" s="25"/>
    </row>
    <row r="294" spans="1:2" ht="15.75" thickBot="1" x14ac:dyDescent="0.3">
      <c r="A294" s="28"/>
      <c r="B294" s="25"/>
    </row>
    <row r="295" spans="1:2" ht="15.75" thickBot="1" x14ac:dyDescent="0.3">
      <c r="A295" s="28"/>
      <c r="B295" s="25"/>
    </row>
    <row r="296" spans="1:2" ht="15.75" thickBot="1" x14ac:dyDescent="0.3">
      <c r="A296" s="28"/>
      <c r="B296" s="25"/>
    </row>
    <row r="297" spans="1:2" ht="15.75" thickBot="1" x14ac:dyDescent="0.3">
      <c r="A297" s="28"/>
      <c r="B297" s="25"/>
    </row>
    <row r="298" spans="1:2" ht="15.75" thickBot="1" x14ac:dyDescent="0.3">
      <c r="A298" s="28"/>
      <c r="B298" s="25"/>
    </row>
    <row r="299" spans="1:2" ht="15.75" thickBot="1" x14ac:dyDescent="0.3">
      <c r="A299" s="28"/>
      <c r="B299" s="25"/>
    </row>
    <row r="300" spans="1:2" ht="15.75" thickBot="1" x14ac:dyDescent="0.3">
      <c r="A300" s="28"/>
      <c r="B300" s="25"/>
    </row>
    <row r="301" spans="1:2" ht="15.75" thickBot="1" x14ac:dyDescent="0.3">
      <c r="A301" s="28"/>
      <c r="B301" s="25"/>
    </row>
    <row r="302" spans="1:2" ht="15.75" thickBot="1" x14ac:dyDescent="0.3">
      <c r="A302" s="28"/>
      <c r="B302" s="25"/>
    </row>
    <row r="303" spans="1:2" ht="15.75" thickBot="1" x14ac:dyDescent="0.3">
      <c r="A303" s="28"/>
      <c r="B303" s="25"/>
    </row>
    <row r="304" spans="1:2" ht="15.75" thickBot="1" x14ac:dyDescent="0.3">
      <c r="A304" s="28"/>
      <c r="B304" s="25"/>
    </row>
    <row r="305" spans="1:2" ht="15.75" thickBot="1" x14ac:dyDescent="0.3">
      <c r="A305" s="28"/>
      <c r="B305" s="25"/>
    </row>
    <row r="306" spans="1:2" ht="15.75" thickBot="1" x14ac:dyDescent="0.3">
      <c r="A306" s="28"/>
      <c r="B306" s="25"/>
    </row>
    <row r="307" spans="1:2" ht="15.75" thickBot="1" x14ac:dyDescent="0.3">
      <c r="A307" s="28"/>
      <c r="B307" s="25"/>
    </row>
    <row r="308" spans="1:2" ht="15.75" thickBot="1" x14ac:dyDescent="0.3">
      <c r="A308" s="28"/>
      <c r="B308" s="25"/>
    </row>
    <row r="309" spans="1:2" ht="15.75" thickBot="1" x14ac:dyDescent="0.3">
      <c r="A309" s="28"/>
      <c r="B309" s="25"/>
    </row>
    <row r="310" spans="1:2" ht="15.75" thickBot="1" x14ac:dyDescent="0.3">
      <c r="A310" s="28"/>
      <c r="B310" s="25"/>
    </row>
    <row r="311" spans="1:2" ht="15.75" thickBot="1" x14ac:dyDescent="0.3">
      <c r="A311" s="28"/>
      <c r="B311" s="25"/>
    </row>
    <row r="312" spans="1:2" ht="15.75" thickBot="1" x14ac:dyDescent="0.3">
      <c r="A312" s="28"/>
      <c r="B312" s="25"/>
    </row>
    <row r="313" spans="1:2" ht="15.75" thickBot="1" x14ac:dyDescent="0.3">
      <c r="A313" s="28"/>
      <c r="B313" s="25"/>
    </row>
    <row r="314" spans="1:2" ht="15.75" thickBot="1" x14ac:dyDescent="0.3">
      <c r="A314" s="28"/>
      <c r="B314" s="25"/>
    </row>
    <row r="315" spans="1:2" ht="15.75" thickBot="1" x14ac:dyDescent="0.3">
      <c r="A315" s="28"/>
      <c r="B315" s="25"/>
    </row>
    <row r="316" spans="1:2" ht="15.75" thickBot="1" x14ac:dyDescent="0.3">
      <c r="A316" s="28"/>
      <c r="B316" s="25"/>
    </row>
    <row r="317" spans="1:2" ht="15.75" thickBot="1" x14ac:dyDescent="0.3">
      <c r="A317" s="28"/>
      <c r="B317" s="25"/>
    </row>
    <row r="318" spans="1:2" ht="15.75" thickBot="1" x14ac:dyDescent="0.3">
      <c r="A318" s="28"/>
      <c r="B318" s="25"/>
    </row>
    <row r="319" spans="1:2" ht="15.75" thickBot="1" x14ac:dyDescent="0.3">
      <c r="A319" s="28"/>
      <c r="B319" s="25"/>
    </row>
    <row r="320" spans="1:2" ht="15.75" thickBot="1" x14ac:dyDescent="0.3">
      <c r="A320" s="28"/>
      <c r="B320" s="25"/>
    </row>
    <row r="321" spans="1:2" ht="15.75" thickBot="1" x14ac:dyDescent="0.3">
      <c r="A321" s="28"/>
      <c r="B321" s="25"/>
    </row>
    <row r="322" spans="1:2" ht="15.75" thickBot="1" x14ac:dyDescent="0.3">
      <c r="A322" s="28"/>
      <c r="B322" s="25"/>
    </row>
    <row r="323" spans="1:2" ht="15.75" thickBot="1" x14ac:dyDescent="0.3">
      <c r="A323" s="28"/>
      <c r="B323" s="25"/>
    </row>
    <row r="324" spans="1:2" ht="15.75" thickBot="1" x14ac:dyDescent="0.3">
      <c r="A324" s="28"/>
      <c r="B324" s="25"/>
    </row>
    <row r="325" spans="1:2" ht="15.75" thickBot="1" x14ac:dyDescent="0.3">
      <c r="A325" s="28"/>
      <c r="B325" s="25"/>
    </row>
    <row r="326" spans="1:2" ht="15.75" thickBot="1" x14ac:dyDescent="0.3">
      <c r="A326" s="28"/>
      <c r="B326" s="25"/>
    </row>
    <row r="327" spans="1:2" ht="15.75" thickBot="1" x14ac:dyDescent="0.3">
      <c r="A327" s="28"/>
      <c r="B327" s="25"/>
    </row>
    <row r="328" spans="1:2" ht="15.75" thickBot="1" x14ac:dyDescent="0.3">
      <c r="A328" s="28"/>
      <c r="B328" s="25"/>
    </row>
    <row r="329" spans="1:2" ht="15.75" thickBot="1" x14ac:dyDescent="0.3">
      <c r="A329" s="28"/>
      <c r="B329" s="25"/>
    </row>
    <row r="330" spans="1:2" ht="15.75" thickBot="1" x14ac:dyDescent="0.3">
      <c r="A330" s="28"/>
      <c r="B330" s="25"/>
    </row>
    <row r="331" spans="1:2" ht="15.75" thickBot="1" x14ac:dyDescent="0.3">
      <c r="A331" s="28"/>
      <c r="B331" s="25"/>
    </row>
    <row r="332" spans="1:2" ht="15.75" thickBot="1" x14ac:dyDescent="0.3">
      <c r="A332" s="28"/>
      <c r="B332" s="25"/>
    </row>
    <row r="333" spans="1:2" ht="15.75" thickBot="1" x14ac:dyDescent="0.3">
      <c r="A333" s="28"/>
      <c r="B333" s="25"/>
    </row>
    <row r="334" spans="1:2" ht="15.75" thickBot="1" x14ac:dyDescent="0.3">
      <c r="A334" s="28"/>
      <c r="B334" s="25"/>
    </row>
    <row r="335" spans="1:2" ht="15.75" thickBot="1" x14ac:dyDescent="0.3">
      <c r="A335" s="28"/>
      <c r="B335" s="25"/>
    </row>
    <row r="336" spans="1:2" ht="15.75" thickBot="1" x14ac:dyDescent="0.3">
      <c r="A336" s="28"/>
      <c r="B336" s="25"/>
    </row>
    <row r="337" spans="1:2" ht="15.75" thickBot="1" x14ac:dyDescent="0.3">
      <c r="A337" s="28"/>
      <c r="B337" s="25"/>
    </row>
    <row r="338" spans="1:2" ht="15.75" thickBot="1" x14ac:dyDescent="0.3">
      <c r="A338" s="28"/>
      <c r="B338" s="25"/>
    </row>
    <row r="339" spans="1:2" ht="15.75" thickBot="1" x14ac:dyDescent="0.3">
      <c r="A339" s="28"/>
      <c r="B339" s="25"/>
    </row>
    <row r="340" spans="1:2" ht="15.75" thickBot="1" x14ac:dyDescent="0.3">
      <c r="A340" s="28"/>
      <c r="B340" s="25"/>
    </row>
    <row r="341" spans="1:2" ht="15.75" thickBot="1" x14ac:dyDescent="0.3">
      <c r="A341" s="28"/>
      <c r="B341" s="25"/>
    </row>
    <row r="342" spans="1:2" ht="15.75" thickBot="1" x14ac:dyDescent="0.3">
      <c r="A342" s="28"/>
      <c r="B342" s="25"/>
    </row>
    <row r="343" spans="1:2" ht="15.75" thickBot="1" x14ac:dyDescent="0.3">
      <c r="A343" s="28"/>
      <c r="B343" s="25"/>
    </row>
    <row r="344" spans="1:2" ht="15.75" thickBot="1" x14ac:dyDescent="0.3">
      <c r="A344" s="28"/>
      <c r="B344" s="25"/>
    </row>
    <row r="345" spans="1:2" ht="15.75" thickBot="1" x14ac:dyDescent="0.3">
      <c r="A345" s="28"/>
      <c r="B345" s="25"/>
    </row>
    <row r="346" spans="1:2" ht="15.75" thickBot="1" x14ac:dyDescent="0.3">
      <c r="A346" s="28"/>
      <c r="B346" s="25"/>
    </row>
    <row r="347" spans="1:2" ht="15.75" thickBot="1" x14ac:dyDescent="0.3">
      <c r="A347" s="28"/>
      <c r="B347" s="25"/>
    </row>
    <row r="348" spans="1:2" ht="15.75" thickBot="1" x14ac:dyDescent="0.3">
      <c r="A348" s="28"/>
      <c r="B348" s="25"/>
    </row>
    <row r="349" spans="1:2" ht="15.75" thickBot="1" x14ac:dyDescent="0.3">
      <c r="A349" s="28"/>
      <c r="B349" s="25"/>
    </row>
    <row r="350" spans="1:2" ht="15.75" thickBot="1" x14ac:dyDescent="0.3">
      <c r="A350" s="28"/>
      <c r="B350" s="25"/>
    </row>
    <row r="351" spans="1:2" ht="15.75" thickBot="1" x14ac:dyDescent="0.3">
      <c r="A351" s="28"/>
      <c r="B351" s="25"/>
    </row>
    <row r="352" spans="1:2" ht="15.75" thickBot="1" x14ac:dyDescent="0.3">
      <c r="A352" s="28"/>
      <c r="B352" s="25"/>
    </row>
    <row r="353" spans="1:2" ht="15.75" thickBot="1" x14ac:dyDescent="0.3">
      <c r="A353" s="28"/>
      <c r="B353" s="25"/>
    </row>
    <row r="354" spans="1:2" ht="15.75" thickBot="1" x14ac:dyDescent="0.3">
      <c r="A354" s="28"/>
      <c r="B354" s="25"/>
    </row>
    <row r="355" spans="1:2" ht="15.75" thickBot="1" x14ac:dyDescent="0.3">
      <c r="A355" s="28"/>
      <c r="B355" s="25"/>
    </row>
    <row r="356" spans="1:2" ht="15.75" thickBot="1" x14ac:dyDescent="0.3">
      <c r="A356" s="28"/>
      <c r="B356" s="25"/>
    </row>
    <row r="357" spans="1:2" ht="15.75" thickBot="1" x14ac:dyDescent="0.3">
      <c r="A357" s="28"/>
      <c r="B357" s="25"/>
    </row>
    <row r="358" spans="1:2" ht="15.75" thickBot="1" x14ac:dyDescent="0.3">
      <c r="A358" s="28"/>
      <c r="B358" s="25"/>
    </row>
    <row r="359" spans="1:2" ht="15.75" thickBot="1" x14ac:dyDescent="0.3">
      <c r="A359" s="28"/>
      <c r="B359" s="25"/>
    </row>
    <row r="360" spans="1:2" ht="15.75" thickBot="1" x14ac:dyDescent="0.3">
      <c r="A360" s="28"/>
      <c r="B360" s="25"/>
    </row>
    <row r="361" spans="1:2" ht="15.75" thickBot="1" x14ac:dyDescent="0.3">
      <c r="A361" s="28"/>
      <c r="B361" s="25"/>
    </row>
    <row r="362" spans="1:2" ht="15.75" thickBot="1" x14ac:dyDescent="0.3">
      <c r="A362" s="28"/>
      <c r="B362" s="25"/>
    </row>
    <row r="363" spans="1:2" ht="15.75" thickBot="1" x14ac:dyDescent="0.3">
      <c r="A363" s="28"/>
      <c r="B363" s="25"/>
    </row>
    <row r="364" spans="1:2" ht="15.75" thickBot="1" x14ac:dyDescent="0.3">
      <c r="A364" s="28"/>
      <c r="B364" s="25"/>
    </row>
    <row r="365" spans="1:2" ht="15.75" thickBot="1" x14ac:dyDescent="0.3">
      <c r="A365" s="28"/>
      <c r="B365" s="25"/>
    </row>
    <row r="366" spans="1:2" ht="15.75" thickBot="1" x14ac:dyDescent="0.3">
      <c r="A366" s="28"/>
      <c r="B366" s="25"/>
    </row>
    <row r="367" spans="1:2" ht="15.75" thickBot="1" x14ac:dyDescent="0.3">
      <c r="A367" s="28"/>
      <c r="B367" s="25"/>
    </row>
    <row r="368" spans="1:2" ht="15.75" thickBot="1" x14ac:dyDescent="0.3">
      <c r="A368" s="28"/>
      <c r="B368" s="25"/>
    </row>
    <row r="369" spans="1:2" ht="15.75" thickBot="1" x14ac:dyDescent="0.3">
      <c r="A369" s="28"/>
      <c r="B369" s="25"/>
    </row>
    <row r="370" spans="1:2" ht="15.75" thickBot="1" x14ac:dyDescent="0.3">
      <c r="A370" s="28"/>
      <c r="B370" s="25"/>
    </row>
    <row r="371" spans="1:2" ht="15.75" thickBot="1" x14ac:dyDescent="0.3">
      <c r="A371" s="28"/>
      <c r="B371" s="25"/>
    </row>
    <row r="372" spans="1:2" ht="15.75" thickBot="1" x14ac:dyDescent="0.3">
      <c r="A372" s="28"/>
      <c r="B372" s="25"/>
    </row>
    <row r="373" spans="1:2" ht="15.75" thickBot="1" x14ac:dyDescent="0.3">
      <c r="A373" s="28"/>
      <c r="B373" s="25"/>
    </row>
    <row r="374" spans="1:2" ht="15.75" thickBot="1" x14ac:dyDescent="0.3">
      <c r="A374" s="28"/>
      <c r="B374" s="25"/>
    </row>
    <row r="375" spans="1:2" ht="15.75" thickBot="1" x14ac:dyDescent="0.3">
      <c r="A375" s="28"/>
      <c r="B375" s="25"/>
    </row>
    <row r="376" spans="1:2" ht="15.75" thickBot="1" x14ac:dyDescent="0.3">
      <c r="A376" s="28"/>
      <c r="B376" s="25"/>
    </row>
    <row r="377" spans="1:2" ht="15.75" thickBot="1" x14ac:dyDescent="0.3">
      <c r="A377" s="28"/>
      <c r="B377" s="25"/>
    </row>
    <row r="378" spans="1:2" ht="15.75" thickBot="1" x14ac:dyDescent="0.3">
      <c r="A378" s="28"/>
      <c r="B378" s="25"/>
    </row>
    <row r="379" spans="1:2" ht="15.75" thickBot="1" x14ac:dyDescent="0.3">
      <c r="A379" s="28"/>
      <c r="B379" s="25"/>
    </row>
    <row r="380" spans="1:2" ht="15.75" thickBot="1" x14ac:dyDescent="0.3">
      <c r="A380" s="28"/>
      <c r="B380" s="25"/>
    </row>
    <row r="381" spans="1:2" ht="15.75" thickBot="1" x14ac:dyDescent="0.3">
      <c r="A381" s="28"/>
      <c r="B381" s="25"/>
    </row>
    <row r="382" spans="1:2" ht="15.75" thickBot="1" x14ac:dyDescent="0.3">
      <c r="A382" s="28"/>
      <c r="B382" s="25"/>
    </row>
    <row r="383" spans="1:2" ht="15.75" thickBot="1" x14ac:dyDescent="0.3">
      <c r="A383" s="28"/>
      <c r="B383" s="25"/>
    </row>
    <row r="384" spans="1:2" ht="15.75" thickBot="1" x14ac:dyDescent="0.3">
      <c r="A384" s="28"/>
      <c r="B384" s="25"/>
    </row>
    <row r="385" spans="1:2" ht="15.75" thickBot="1" x14ac:dyDescent="0.3">
      <c r="A385" s="28"/>
      <c r="B385" s="25"/>
    </row>
    <row r="386" spans="1:2" ht="15.75" thickBot="1" x14ac:dyDescent="0.3">
      <c r="A386" s="28"/>
      <c r="B386" s="25"/>
    </row>
    <row r="387" spans="1:2" ht="15.75" thickBot="1" x14ac:dyDescent="0.3">
      <c r="A387" s="28"/>
      <c r="B387" s="25"/>
    </row>
    <row r="388" spans="1:2" ht="15.75" thickBot="1" x14ac:dyDescent="0.3">
      <c r="A388" s="28"/>
      <c r="B388" s="25"/>
    </row>
    <row r="389" spans="1:2" ht="15.75" thickBot="1" x14ac:dyDescent="0.3">
      <c r="A389" s="28"/>
      <c r="B389" s="25"/>
    </row>
    <row r="390" spans="1:2" ht="15.75" thickBot="1" x14ac:dyDescent="0.3">
      <c r="A390" s="28"/>
      <c r="B390" s="25"/>
    </row>
    <row r="391" spans="1:2" ht="15.75" thickBot="1" x14ac:dyDescent="0.3">
      <c r="A391" s="28"/>
      <c r="B391" s="25"/>
    </row>
    <row r="392" spans="1:2" ht="15.75" thickBot="1" x14ac:dyDescent="0.3">
      <c r="A392" s="28"/>
      <c r="B392" s="25"/>
    </row>
    <row r="393" spans="1:2" ht="15.75" thickBot="1" x14ac:dyDescent="0.3">
      <c r="A393" s="28"/>
      <c r="B393" s="25"/>
    </row>
    <row r="394" spans="1:2" ht="15.75" thickBot="1" x14ac:dyDescent="0.3">
      <c r="A394" s="28"/>
      <c r="B394" s="25"/>
    </row>
    <row r="395" spans="1:2" ht="15.75" thickBot="1" x14ac:dyDescent="0.3">
      <c r="A395" s="28"/>
      <c r="B395" s="25"/>
    </row>
    <row r="396" spans="1:2" ht="15.75" thickBot="1" x14ac:dyDescent="0.3">
      <c r="A396" s="28"/>
      <c r="B396" s="25"/>
    </row>
    <row r="397" spans="1:2" ht="15.75" thickBot="1" x14ac:dyDescent="0.3">
      <c r="A397" s="28"/>
      <c r="B397" s="25"/>
    </row>
    <row r="398" spans="1:2" ht="15.75" thickBot="1" x14ac:dyDescent="0.3">
      <c r="A398" s="28"/>
      <c r="B398" s="25"/>
    </row>
    <row r="399" spans="1:2" ht="15.75" thickBot="1" x14ac:dyDescent="0.3">
      <c r="A399" s="28"/>
      <c r="B399" s="25"/>
    </row>
    <row r="400" spans="1:2" ht="15.75" thickBot="1" x14ac:dyDescent="0.3">
      <c r="A400" s="28"/>
      <c r="B400" s="25"/>
    </row>
    <row r="401" spans="1:2" ht="15.75" thickBot="1" x14ac:dyDescent="0.3">
      <c r="A401" s="28"/>
      <c r="B401" s="25"/>
    </row>
    <row r="402" spans="1:2" ht="15.75" thickBot="1" x14ac:dyDescent="0.3">
      <c r="A402" s="28"/>
      <c r="B402" s="25"/>
    </row>
    <row r="403" spans="1:2" ht="15.75" thickBot="1" x14ac:dyDescent="0.3">
      <c r="A403" s="28"/>
      <c r="B403" s="25"/>
    </row>
    <row r="404" spans="1:2" ht="15.75" thickBot="1" x14ac:dyDescent="0.3">
      <c r="A404" s="28"/>
      <c r="B404" s="25"/>
    </row>
    <row r="405" spans="1:2" ht="15.75" thickBot="1" x14ac:dyDescent="0.3">
      <c r="A405" s="28"/>
      <c r="B405" s="25"/>
    </row>
    <row r="406" spans="1:2" ht="15.75" thickBot="1" x14ac:dyDescent="0.3">
      <c r="A406" s="28"/>
      <c r="B406" s="25"/>
    </row>
    <row r="407" spans="1:2" ht="15.75" thickBot="1" x14ac:dyDescent="0.3">
      <c r="A407" s="28"/>
      <c r="B407" s="25"/>
    </row>
    <row r="408" spans="1:2" ht="15.75" thickBot="1" x14ac:dyDescent="0.3">
      <c r="A408" s="28"/>
      <c r="B408" s="25"/>
    </row>
    <row r="409" spans="1:2" ht="15.75" thickBot="1" x14ac:dyDescent="0.3">
      <c r="A409" s="28"/>
      <c r="B409" s="25"/>
    </row>
    <row r="410" spans="1:2" ht="15.75" thickBot="1" x14ac:dyDescent="0.3">
      <c r="A410" s="28"/>
      <c r="B410" s="25"/>
    </row>
    <row r="411" spans="1:2" ht="15.75" thickBot="1" x14ac:dyDescent="0.3">
      <c r="A411" s="28"/>
      <c r="B411" s="25"/>
    </row>
    <row r="412" spans="1:2" ht="15.75" thickBot="1" x14ac:dyDescent="0.3">
      <c r="A412" s="28"/>
      <c r="B412" s="25"/>
    </row>
    <row r="413" spans="1:2" ht="15.75" thickBot="1" x14ac:dyDescent="0.3">
      <c r="A413" s="28"/>
      <c r="B413" s="25"/>
    </row>
    <row r="414" spans="1:2" ht="15.75" thickBot="1" x14ac:dyDescent="0.3">
      <c r="A414" s="28"/>
      <c r="B414" s="25"/>
    </row>
    <row r="415" spans="1:2" ht="15.75" thickBot="1" x14ac:dyDescent="0.3">
      <c r="A415" s="28"/>
      <c r="B415" s="25"/>
    </row>
    <row r="416" spans="1:2" ht="15.75" thickBot="1" x14ac:dyDescent="0.3">
      <c r="A416" s="28"/>
      <c r="B416" s="25"/>
    </row>
    <row r="417" spans="1:2" ht="15.75" thickBot="1" x14ac:dyDescent="0.3">
      <c r="A417" s="28"/>
      <c r="B417" s="25"/>
    </row>
    <row r="418" spans="1:2" ht="15.75" thickBot="1" x14ac:dyDescent="0.3">
      <c r="A418" s="28"/>
      <c r="B418" s="25"/>
    </row>
    <row r="419" spans="1:2" ht="15.75" thickBot="1" x14ac:dyDescent="0.3">
      <c r="A419" s="28"/>
      <c r="B419" s="25"/>
    </row>
    <row r="420" spans="1:2" ht="15.75" thickBot="1" x14ac:dyDescent="0.3">
      <c r="A420" s="28"/>
      <c r="B420" s="25"/>
    </row>
    <row r="421" spans="1:2" ht="15.75" thickBot="1" x14ac:dyDescent="0.3">
      <c r="A421" s="28"/>
      <c r="B421" s="25"/>
    </row>
    <row r="422" spans="1:2" ht="15.75" thickBot="1" x14ac:dyDescent="0.3">
      <c r="A422" s="28"/>
      <c r="B422" s="25"/>
    </row>
    <row r="423" spans="1:2" ht="15.75" thickBot="1" x14ac:dyDescent="0.3">
      <c r="A423" s="28"/>
      <c r="B423" s="25"/>
    </row>
    <row r="424" spans="1:2" ht="15.75" thickBot="1" x14ac:dyDescent="0.3">
      <c r="A424" s="28"/>
      <c r="B424" s="25"/>
    </row>
    <row r="425" spans="1:2" ht="15.75" thickBot="1" x14ac:dyDescent="0.3">
      <c r="A425" s="28"/>
      <c r="B425" s="25"/>
    </row>
    <row r="426" spans="1:2" ht="15.75" thickBot="1" x14ac:dyDescent="0.3">
      <c r="A426" s="28"/>
      <c r="B426" s="25"/>
    </row>
    <row r="427" spans="1:2" ht="15.75" thickBot="1" x14ac:dyDescent="0.3">
      <c r="A427" s="28"/>
      <c r="B427" s="25"/>
    </row>
    <row r="428" spans="1:2" ht="15.75" thickBot="1" x14ac:dyDescent="0.3">
      <c r="A428" s="28"/>
      <c r="B428" s="25"/>
    </row>
    <row r="429" spans="1:2" ht="15.75" thickBot="1" x14ac:dyDescent="0.3">
      <c r="A429" s="28"/>
      <c r="B429" s="25"/>
    </row>
    <row r="430" spans="1:2" ht="15.75" thickBot="1" x14ac:dyDescent="0.3">
      <c r="A430" s="28"/>
      <c r="B430" s="25"/>
    </row>
    <row r="431" spans="1:2" ht="15.75" thickBot="1" x14ac:dyDescent="0.3">
      <c r="A431" s="28"/>
      <c r="B431" s="25"/>
    </row>
    <row r="432" spans="1:2" ht="15.75" thickBot="1" x14ac:dyDescent="0.3">
      <c r="A432" s="28"/>
      <c r="B432" s="25"/>
    </row>
    <row r="433" spans="1:2" ht="15.75" thickBot="1" x14ac:dyDescent="0.3">
      <c r="A433" s="28"/>
      <c r="B433" s="25"/>
    </row>
    <row r="434" spans="1:2" ht="15.75" thickBot="1" x14ac:dyDescent="0.3">
      <c r="A434" s="28"/>
      <c r="B434" s="25"/>
    </row>
    <row r="435" spans="1:2" ht="15.75" thickBot="1" x14ac:dyDescent="0.3">
      <c r="A435" s="28"/>
      <c r="B435" s="25"/>
    </row>
    <row r="436" spans="1:2" ht="15.75" thickBot="1" x14ac:dyDescent="0.3">
      <c r="A436" s="28"/>
      <c r="B436" s="25"/>
    </row>
    <row r="437" spans="1:2" ht="15.75" thickBot="1" x14ac:dyDescent="0.3">
      <c r="A437" s="28"/>
      <c r="B437" s="25"/>
    </row>
    <row r="438" spans="1:2" ht="15.75" thickBot="1" x14ac:dyDescent="0.3">
      <c r="A438" s="28"/>
      <c r="B438" s="25"/>
    </row>
    <row r="439" spans="1:2" ht="15.75" thickBot="1" x14ac:dyDescent="0.3">
      <c r="A439" s="28"/>
      <c r="B439" s="25"/>
    </row>
    <row r="440" spans="1:2" ht="15.75" thickBot="1" x14ac:dyDescent="0.3">
      <c r="A440" s="28"/>
      <c r="B440" s="25"/>
    </row>
    <row r="441" spans="1:2" ht="15.75" thickBot="1" x14ac:dyDescent="0.3">
      <c r="A441" s="28"/>
      <c r="B441" s="25"/>
    </row>
    <row r="442" spans="1:2" ht="15.75" thickBot="1" x14ac:dyDescent="0.3">
      <c r="A442" s="28"/>
      <c r="B442" s="25"/>
    </row>
    <row r="443" spans="1:2" ht="15.75" thickBot="1" x14ac:dyDescent="0.3">
      <c r="A443" s="28"/>
      <c r="B443" s="25"/>
    </row>
    <row r="444" spans="1:2" ht="15.75" thickBot="1" x14ac:dyDescent="0.3">
      <c r="A444" s="28"/>
      <c r="B444" s="25"/>
    </row>
    <row r="445" spans="1:2" ht="15.75" thickBot="1" x14ac:dyDescent="0.3">
      <c r="A445" s="28"/>
      <c r="B445" s="25"/>
    </row>
    <row r="446" spans="1:2" ht="15.75" thickBot="1" x14ac:dyDescent="0.3">
      <c r="A446" s="28"/>
      <c r="B446" s="25"/>
    </row>
    <row r="447" spans="1:2" ht="15.75" thickBot="1" x14ac:dyDescent="0.3">
      <c r="A447" s="28"/>
      <c r="B447" s="25"/>
    </row>
    <row r="448" spans="1:2" ht="15.75" thickBot="1" x14ac:dyDescent="0.3">
      <c r="A448" s="28"/>
      <c r="B448" s="25"/>
    </row>
    <row r="449" spans="1:2" ht="15.75" thickBot="1" x14ac:dyDescent="0.3">
      <c r="A449" s="28"/>
      <c r="B449" s="25"/>
    </row>
    <row r="450" spans="1:2" ht="15.75" thickBot="1" x14ac:dyDescent="0.3">
      <c r="A450" s="28"/>
      <c r="B450" s="25"/>
    </row>
    <row r="451" spans="1:2" ht="15.75" thickBot="1" x14ac:dyDescent="0.3">
      <c r="A451" s="28"/>
      <c r="B451" s="25"/>
    </row>
    <row r="452" spans="1:2" ht="15.75" thickBot="1" x14ac:dyDescent="0.3">
      <c r="A452" s="28"/>
      <c r="B452" s="25"/>
    </row>
    <row r="453" spans="1:2" ht="15.75" thickBot="1" x14ac:dyDescent="0.3">
      <c r="A453" s="28"/>
      <c r="B453" s="25"/>
    </row>
    <row r="454" spans="1:2" ht="15.75" thickBot="1" x14ac:dyDescent="0.3">
      <c r="A454" s="28"/>
      <c r="B454" s="25"/>
    </row>
    <row r="455" spans="1:2" ht="15.75" thickBot="1" x14ac:dyDescent="0.3">
      <c r="A455" s="28"/>
      <c r="B455" s="25"/>
    </row>
    <row r="456" spans="1:2" ht="15.75" thickBot="1" x14ac:dyDescent="0.3">
      <c r="A456" s="28"/>
      <c r="B456" s="25"/>
    </row>
    <row r="457" spans="1:2" ht="15.75" thickBot="1" x14ac:dyDescent="0.3">
      <c r="A457" s="28"/>
      <c r="B457" s="25"/>
    </row>
    <row r="458" spans="1:2" ht="15.75" thickBot="1" x14ac:dyDescent="0.3">
      <c r="A458" s="28"/>
      <c r="B458" s="25"/>
    </row>
    <row r="459" spans="1:2" ht="15.75" thickBot="1" x14ac:dyDescent="0.3">
      <c r="A459" s="28"/>
      <c r="B459" s="25"/>
    </row>
    <row r="460" spans="1:2" ht="15.75" thickBot="1" x14ac:dyDescent="0.3">
      <c r="A460" s="28"/>
      <c r="B460" s="25"/>
    </row>
    <row r="461" spans="1:2" ht="15.75" thickBot="1" x14ac:dyDescent="0.3">
      <c r="A461" s="28"/>
      <c r="B461" s="25"/>
    </row>
    <row r="462" spans="1:2" ht="15.75" thickBot="1" x14ac:dyDescent="0.3">
      <c r="A462" s="28"/>
      <c r="B462" s="25"/>
    </row>
    <row r="463" spans="1:2" ht="15.75" thickBot="1" x14ac:dyDescent="0.3">
      <c r="A463" s="28"/>
      <c r="B463" s="25"/>
    </row>
    <row r="464" spans="1:2" ht="15.75" thickBot="1" x14ac:dyDescent="0.3">
      <c r="A464" s="28"/>
      <c r="B464" s="25"/>
    </row>
    <row r="465" spans="1:2" ht="15.75" thickBot="1" x14ac:dyDescent="0.3">
      <c r="A465" s="28"/>
      <c r="B465" s="25"/>
    </row>
    <row r="466" spans="1:2" ht="15.75" thickBot="1" x14ac:dyDescent="0.3">
      <c r="A466" s="28"/>
      <c r="B466" s="25"/>
    </row>
    <row r="467" spans="1:2" ht="15.75" thickBot="1" x14ac:dyDescent="0.3">
      <c r="A467" s="28"/>
      <c r="B467" s="25"/>
    </row>
    <row r="468" spans="1:2" ht="15.75" thickBot="1" x14ac:dyDescent="0.3">
      <c r="A468" s="28"/>
      <c r="B468" s="25"/>
    </row>
    <row r="469" spans="1:2" ht="15.75" thickBot="1" x14ac:dyDescent="0.3">
      <c r="A469" s="28"/>
      <c r="B469" s="25"/>
    </row>
    <row r="470" spans="1:2" ht="15.75" thickBot="1" x14ac:dyDescent="0.3">
      <c r="A470" s="28"/>
      <c r="B470" s="25"/>
    </row>
    <row r="471" spans="1:2" ht="15.75" thickBot="1" x14ac:dyDescent="0.3">
      <c r="A471" s="28"/>
      <c r="B471" s="25"/>
    </row>
    <row r="472" spans="1:2" ht="15.75" thickBot="1" x14ac:dyDescent="0.3">
      <c r="A472" s="28"/>
      <c r="B472" s="25"/>
    </row>
    <row r="473" spans="1:2" ht="15.75" thickBot="1" x14ac:dyDescent="0.3">
      <c r="A473" s="28"/>
      <c r="B473" s="25"/>
    </row>
    <row r="474" spans="1:2" ht="15.75" thickBot="1" x14ac:dyDescent="0.3">
      <c r="A474" s="28"/>
      <c r="B474" s="25"/>
    </row>
    <row r="475" spans="1:2" ht="15.75" thickBot="1" x14ac:dyDescent="0.3">
      <c r="A475" s="28"/>
      <c r="B475" s="25"/>
    </row>
    <row r="476" spans="1:2" ht="15.75" thickBot="1" x14ac:dyDescent="0.3">
      <c r="A476" s="28"/>
      <c r="B476" s="25"/>
    </row>
    <row r="477" spans="1:2" ht="15.75" thickBot="1" x14ac:dyDescent="0.3">
      <c r="A477" s="28"/>
      <c r="B477" s="25"/>
    </row>
    <row r="478" spans="1:2" ht="15.75" thickBot="1" x14ac:dyDescent="0.3">
      <c r="A478" s="28"/>
      <c r="B478" s="25"/>
    </row>
    <row r="479" spans="1:2" ht="15.75" thickBot="1" x14ac:dyDescent="0.3">
      <c r="A479" s="28"/>
      <c r="B479" s="25"/>
    </row>
    <row r="480" spans="1:2" ht="15.75" thickBot="1" x14ac:dyDescent="0.3">
      <c r="A480" s="28"/>
      <c r="B480" s="25"/>
    </row>
    <row r="481" spans="1:2" ht="15.75" thickBot="1" x14ac:dyDescent="0.3">
      <c r="A481" s="28"/>
      <c r="B481" s="25"/>
    </row>
    <row r="482" spans="1:2" ht="15.75" thickBot="1" x14ac:dyDescent="0.3">
      <c r="A482" s="28"/>
      <c r="B482" s="25"/>
    </row>
    <row r="483" spans="1:2" ht="15.75" thickBot="1" x14ac:dyDescent="0.3">
      <c r="A483" s="28"/>
      <c r="B483" s="25"/>
    </row>
    <row r="484" spans="1:2" ht="15.75" thickBot="1" x14ac:dyDescent="0.3">
      <c r="A484" s="28"/>
      <c r="B484" s="25"/>
    </row>
    <row r="485" spans="1:2" ht="15.75" thickBot="1" x14ac:dyDescent="0.3">
      <c r="A485" s="28"/>
      <c r="B485" s="25"/>
    </row>
    <row r="486" spans="1:2" ht="15.75" thickBot="1" x14ac:dyDescent="0.3">
      <c r="A486" s="28"/>
      <c r="B486" s="25"/>
    </row>
    <row r="487" spans="1:2" ht="15.75" thickBot="1" x14ac:dyDescent="0.3">
      <c r="A487" s="28"/>
      <c r="B487" s="25"/>
    </row>
    <row r="488" spans="1:2" ht="15.75" thickBot="1" x14ac:dyDescent="0.3">
      <c r="A488" s="28"/>
      <c r="B488" s="25"/>
    </row>
    <row r="489" spans="1:2" ht="15.75" thickBot="1" x14ac:dyDescent="0.3">
      <c r="A489" s="28"/>
      <c r="B489" s="25"/>
    </row>
    <row r="490" spans="1:2" ht="15.75" thickBot="1" x14ac:dyDescent="0.3">
      <c r="A490" s="28"/>
      <c r="B490" s="25"/>
    </row>
    <row r="491" spans="1:2" ht="15.75" thickBot="1" x14ac:dyDescent="0.3">
      <c r="A491" s="28"/>
      <c r="B491" s="25"/>
    </row>
    <row r="492" spans="1:2" ht="15.75" thickBot="1" x14ac:dyDescent="0.3">
      <c r="A492" s="28"/>
      <c r="B492" s="25"/>
    </row>
    <row r="493" spans="1:2" ht="15.75" thickBot="1" x14ac:dyDescent="0.3">
      <c r="A493" s="28"/>
      <c r="B493" s="25"/>
    </row>
    <row r="494" spans="1:2" ht="15.75" thickBot="1" x14ac:dyDescent="0.3">
      <c r="A494" s="28"/>
      <c r="B494" s="25"/>
    </row>
    <row r="495" spans="1:2" ht="15.75" thickBot="1" x14ac:dyDescent="0.3">
      <c r="A495" s="28"/>
      <c r="B495" s="25"/>
    </row>
    <row r="496" spans="1:2" ht="15.75" thickBot="1" x14ac:dyDescent="0.3">
      <c r="A496" s="28"/>
      <c r="B496" s="25"/>
    </row>
    <row r="497" spans="1:2" ht="15.75" thickBot="1" x14ac:dyDescent="0.3">
      <c r="A497" s="28"/>
      <c r="B497" s="25"/>
    </row>
    <row r="498" spans="1:2" ht="15.75" thickBot="1" x14ac:dyDescent="0.3">
      <c r="A498" s="28"/>
      <c r="B498" s="25"/>
    </row>
    <row r="499" spans="1:2" ht="15.75" thickBot="1" x14ac:dyDescent="0.3">
      <c r="A499" s="28"/>
      <c r="B499" s="25"/>
    </row>
    <row r="500" spans="1:2" ht="15.75" thickBot="1" x14ac:dyDescent="0.3">
      <c r="A500" s="28"/>
      <c r="B500" s="25"/>
    </row>
    <row r="501" spans="1:2" ht="15.75" thickBot="1" x14ac:dyDescent="0.3">
      <c r="A501" s="28"/>
      <c r="B501" s="25"/>
    </row>
    <row r="502" spans="1:2" ht="15.75" thickBot="1" x14ac:dyDescent="0.3">
      <c r="A502" s="28"/>
      <c r="B502" s="25"/>
    </row>
    <row r="503" spans="1:2" ht="15.75" thickBot="1" x14ac:dyDescent="0.3">
      <c r="A503" s="28"/>
      <c r="B503" s="25"/>
    </row>
    <row r="504" spans="1:2" ht="15.75" thickBot="1" x14ac:dyDescent="0.3">
      <c r="A504" s="28"/>
      <c r="B504" s="25"/>
    </row>
    <row r="505" spans="1:2" ht="15.75" thickBot="1" x14ac:dyDescent="0.3">
      <c r="A505" s="28"/>
      <c r="B505" s="25"/>
    </row>
    <row r="506" spans="1:2" ht="15.75" thickBot="1" x14ac:dyDescent="0.3">
      <c r="A506" s="28"/>
      <c r="B506" s="25"/>
    </row>
    <row r="507" spans="1:2" ht="15.75" thickBot="1" x14ac:dyDescent="0.3">
      <c r="A507" s="28"/>
      <c r="B507" s="25"/>
    </row>
    <row r="508" spans="1:2" ht="15.75" thickBot="1" x14ac:dyDescent="0.3">
      <c r="A508" s="28"/>
      <c r="B508" s="25"/>
    </row>
    <row r="509" spans="1:2" ht="15.75" thickBot="1" x14ac:dyDescent="0.3">
      <c r="A509" s="28"/>
      <c r="B509" s="25"/>
    </row>
    <row r="510" spans="1:2" ht="15.75" thickBot="1" x14ac:dyDescent="0.3">
      <c r="A510" s="28"/>
      <c r="B510" s="25"/>
    </row>
    <row r="511" spans="1:2" ht="15.75" thickBot="1" x14ac:dyDescent="0.3">
      <c r="A511" s="28"/>
      <c r="B511" s="25"/>
    </row>
    <row r="512" spans="1:2" ht="15.75" thickBot="1" x14ac:dyDescent="0.3">
      <c r="A512" s="28"/>
      <c r="B512" s="25"/>
    </row>
    <row r="513" spans="1:2" ht="15.75" thickBot="1" x14ac:dyDescent="0.3">
      <c r="A513" s="28"/>
      <c r="B513" s="25"/>
    </row>
    <row r="514" spans="1:2" ht="15.75" thickBot="1" x14ac:dyDescent="0.3">
      <c r="A514" s="28"/>
      <c r="B514" s="25"/>
    </row>
    <row r="515" spans="1:2" ht="15.75" thickBot="1" x14ac:dyDescent="0.3">
      <c r="A515" s="28"/>
      <c r="B515" s="25"/>
    </row>
    <row r="516" spans="1:2" ht="15.75" thickBot="1" x14ac:dyDescent="0.3">
      <c r="A516" s="28"/>
      <c r="B516" s="25"/>
    </row>
    <row r="517" spans="1:2" ht="15.75" thickBot="1" x14ac:dyDescent="0.3">
      <c r="A517" s="28"/>
      <c r="B517" s="25"/>
    </row>
    <row r="518" spans="1:2" ht="15.75" thickBot="1" x14ac:dyDescent="0.3">
      <c r="A518" s="28"/>
      <c r="B518" s="25"/>
    </row>
    <row r="519" spans="1:2" ht="15.75" thickBot="1" x14ac:dyDescent="0.3">
      <c r="A519" s="28"/>
      <c r="B519" s="25"/>
    </row>
    <row r="520" spans="1:2" ht="15.75" thickBot="1" x14ac:dyDescent="0.3">
      <c r="A520" s="28"/>
      <c r="B520" s="25"/>
    </row>
    <row r="521" spans="1:2" ht="15.75" thickBot="1" x14ac:dyDescent="0.3">
      <c r="A521" s="28"/>
      <c r="B521" s="25"/>
    </row>
    <row r="522" spans="1:2" ht="15.75" thickBot="1" x14ac:dyDescent="0.3">
      <c r="A522" s="28"/>
      <c r="B522" s="25"/>
    </row>
    <row r="523" spans="1:2" ht="15.75" thickBot="1" x14ac:dyDescent="0.3">
      <c r="A523" s="28"/>
      <c r="B523" s="25"/>
    </row>
    <row r="524" spans="1:2" ht="15.75" thickBot="1" x14ac:dyDescent="0.3">
      <c r="A524" s="28"/>
      <c r="B524" s="25"/>
    </row>
    <row r="525" spans="1:2" ht="15.75" thickBot="1" x14ac:dyDescent="0.3">
      <c r="A525" s="28"/>
      <c r="B525" s="25"/>
    </row>
    <row r="526" spans="1:2" ht="15.75" thickBot="1" x14ac:dyDescent="0.3">
      <c r="A526" s="28"/>
      <c r="B526" s="25"/>
    </row>
    <row r="527" spans="1:2" ht="15.75" thickBot="1" x14ac:dyDescent="0.3">
      <c r="A527" s="28"/>
      <c r="B527" s="25"/>
    </row>
    <row r="528" spans="1:2" ht="15.75" thickBot="1" x14ac:dyDescent="0.3">
      <c r="A528" s="28"/>
      <c r="B528" s="25"/>
    </row>
    <row r="529" spans="1:2" ht="15.75" thickBot="1" x14ac:dyDescent="0.3">
      <c r="A529" s="28"/>
      <c r="B529" s="25"/>
    </row>
    <row r="530" spans="1:2" ht="15.75" thickBot="1" x14ac:dyDescent="0.3">
      <c r="A530" s="28"/>
      <c r="B530" s="25"/>
    </row>
    <row r="531" spans="1:2" ht="15.75" thickBot="1" x14ac:dyDescent="0.3">
      <c r="A531" s="28"/>
      <c r="B531" s="25"/>
    </row>
    <row r="532" spans="1:2" ht="15.75" thickBot="1" x14ac:dyDescent="0.3">
      <c r="A532" s="28"/>
      <c r="B532" s="25"/>
    </row>
    <row r="533" spans="1:2" ht="15.75" thickBot="1" x14ac:dyDescent="0.3">
      <c r="A533" s="28"/>
      <c r="B533" s="25"/>
    </row>
    <row r="534" spans="1:2" ht="15.75" thickBot="1" x14ac:dyDescent="0.3">
      <c r="A534" s="28"/>
      <c r="B534" s="25"/>
    </row>
    <row r="535" spans="1:2" ht="15.75" thickBot="1" x14ac:dyDescent="0.3">
      <c r="A535" s="28"/>
      <c r="B535" s="25"/>
    </row>
    <row r="536" spans="1:2" ht="15.75" thickBot="1" x14ac:dyDescent="0.3">
      <c r="A536" s="28"/>
      <c r="B536" s="25"/>
    </row>
    <row r="537" spans="1:2" ht="15.75" thickBot="1" x14ac:dyDescent="0.3">
      <c r="A537" s="28"/>
      <c r="B537" s="25"/>
    </row>
    <row r="538" spans="1:2" ht="15.75" thickBot="1" x14ac:dyDescent="0.3">
      <c r="A538" s="28"/>
      <c r="B538" s="25"/>
    </row>
    <row r="539" spans="1:2" ht="15.75" thickBot="1" x14ac:dyDescent="0.3">
      <c r="A539" s="28"/>
      <c r="B539" s="25"/>
    </row>
    <row r="540" spans="1:2" ht="15.75" thickBot="1" x14ac:dyDescent="0.3">
      <c r="A540" s="28"/>
      <c r="B540" s="25"/>
    </row>
    <row r="541" spans="1:2" ht="15.75" thickBot="1" x14ac:dyDescent="0.3">
      <c r="A541" s="28"/>
      <c r="B541" s="25"/>
    </row>
    <row r="542" spans="1:2" ht="15.75" thickBot="1" x14ac:dyDescent="0.3">
      <c r="A542" s="28"/>
      <c r="B542" s="25"/>
    </row>
    <row r="543" spans="1:2" ht="15.75" thickBot="1" x14ac:dyDescent="0.3">
      <c r="A543" s="28"/>
      <c r="B543" s="25"/>
    </row>
    <row r="544" spans="1:2" ht="15.75" thickBot="1" x14ac:dyDescent="0.3">
      <c r="A544" s="28"/>
      <c r="B544" s="25"/>
    </row>
    <row r="545" spans="1:2" ht="15.75" thickBot="1" x14ac:dyDescent="0.3">
      <c r="A545" s="28"/>
      <c r="B545" s="25"/>
    </row>
    <row r="546" spans="1:2" ht="15.75" thickBot="1" x14ac:dyDescent="0.3">
      <c r="A546" s="28"/>
      <c r="B546" s="25"/>
    </row>
    <row r="547" spans="1:2" ht="15.75" thickBot="1" x14ac:dyDescent="0.3">
      <c r="A547" s="28"/>
      <c r="B547" s="25"/>
    </row>
    <row r="548" spans="1:2" ht="15.75" thickBot="1" x14ac:dyDescent="0.3">
      <c r="A548" s="28"/>
      <c r="B548" s="25"/>
    </row>
    <row r="549" spans="1:2" ht="15.75" thickBot="1" x14ac:dyDescent="0.3">
      <c r="A549" s="28"/>
      <c r="B549" s="25"/>
    </row>
    <row r="550" spans="1:2" ht="15.75" thickBot="1" x14ac:dyDescent="0.3">
      <c r="A550" s="28"/>
      <c r="B550" s="25"/>
    </row>
    <row r="551" spans="1:2" ht="15.75" thickBot="1" x14ac:dyDescent="0.3">
      <c r="A551" s="28"/>
      <c r="B551" s="25"/>
    </row>
    <row r="552" spans="1:2" ht="15.75" thickBot="1" x14ac:dyDescent="0.3">
      <c r="A552" s="28"/>
      <c r="B552" s="25"/>
    </row>
    <row r="553" spans="1:2" ht="15.75" thickBot="1" x14ac:dyDescent="0.3">
      <c r="A553" s="28"/>
      <c r="B553" s="25"/>
    </row>
    <row r="554" spans="1:2" ht="15.75" thickBot="1" x14ac:dyDescent="0.3">
      <c r="A554" s="28"/>
      <c r="B554" s="25"/>
    </row>
    <row r="555" spans="1:2" ht="15.75" thickBot="1" x14ac:dyDescent="0.3">
      <c r="A555" s="28"/>
      <c r="B555" s="25"/>
    </row>
    <row r="556" spans="1:2" ht="15.75" thickBot="1" x14ac:dyDescent="0.3">
      <c r="A556" s="28"/>
      <c r="B556" s="25"/>
    </row>
    <row r="557" spans="1:2" ht="15.75" thickBot="1" x14ac:dyDescent="0.3">
      <c r="A557" s="28"/>
      <c r="B557" s="25"/>
    </row>
    <row r="558" spans="1:2" ht="15.75" thickBot="1" x14ac:dyDescent="0.3">
      <c r="A558" s="28"/>
      <c r="B558" s="25"/>
    </row>
    <row r="559" spans="1:2" ht="15.75" thickBot="1" x14ac:dyDescent="0.3">
      <c r="A559" s="28"/>
      <c r="B559" s="25"/>
    </row>
    <row r="560" spans="1:2" ht="15.75" thickBot="1" x14ac:dyDescent="0.3">
      <c r="A560" s="28"/>
      <c r="B560" s="25"/>
    </row>
    <row r="561" spans="1:2" ht="15.75" thickBot="1" x14ac:dyDescent="0.3">
      <c r="A561" s="28"/>
      <c r="B561" s="25"/>
    </row>
    <row r="562" spans="1:2" ht="15.75" thickBot="1" x14ac:dyDescent="0.3">
      <c r="A562" s="28"/>
      <c r="B562" s="25"/>
    </row>
    <row r="563" spans="1:2" ht="15.75" thickBot="1" x14ac:dyDescent="0.3">
      <c r="A563" s="28"/>
      <c r="B563" s="25"/>
    </row>
    <row r="564" spans="1:2" ht="15.75" thickBot="1" x14ac:dyDescent="0.3">
      <c r="A564" s="28"/>
      <c r="B564" s="25"/>
    </row>
    <row r="565" spans="1:2" ht="15.75" thickBot="1" x14ac:dyDescent="0.3">
      <c r="A565" s="28"/>
      <c r="B565" s="25"/>
    </row>
    <row r="566" spans="1:2" ht="15.75" thickBot="1" x14ac:dyDescent="0.3">
      <c r="A566" s="28"/>
      <c r="B566" s="25"/>
    </row>
    <row r="567" spans="1:2" ht="15.75" thickBot="1" x14ac:dyDescent="0.3">
      <c r="A567" s="28"/>
      <c r="B567" s="25"/>
    </row>
    <row r="568" spans="1:2" ht="15.75" thickBot="1" x14ac:dyDescent="0.3">
      <c r="A568" s="28"/>
      <c r="B568" s="25"/>
    </row>
    <row r="569" spans="1:2" ht="15.75" thickBot="1" x14ac:dyDescent="0.3">
      <c r="A569" s="28"/>
      <c r="B569" s="25"/>
    </row>
    <row r="570" spans="1:2" ht="15.75" thickBot="1" x14ac:dyDescent="0.3">
      <c r="A570" s="28"/>
      <c r="B570" s="25"/>
    </row>
    <row r="571" spans="1:2" ht="15.75" thickBot="1" x14ac:dyDescent="0.3">
      <c r="A571" s="28"/>
      <c r="B571" s="25"/>
    </row>
    <row r="572" spans="1:2" ht="15.75" thickBot="1" x14ac:dyDescent="0.3">
      <c r="A572" s="28"/>
      <c r="B572" s="25"/>
    </row>
    <row r="573" spans="1:2" ht="15.75" thickBot="1" x14ac:dyDescent="0.3">
      <c r="A573" s="28"/>
      <c r="B573" s="25"/>
    </row>
    <row r="574" spans="1:2" ht="15.75" thickBot="1" x14ac:dyDescent="0.3">
      <c r="A574" s="28"/>
      <c r="B574" s="25"/>
    </row>
    <row r="575" spans="1:2" ht="15.75" thickBot="1" x14ac:dyDescent="0.3">
      <c r="A575" s="28"/>
      <c r="B575" s="25"/>
    </row>
    <row r="576" spans="1:2" ht="15.75" thickBot="1" x14ac:dyDescent="0.3">
      <c r="A576" s="28"/>
      <c r="B576" s="25"/>
    </row>
    <row r="577" spans="1:2" ht="15.75" thickBot="1" x14ac:dyDescent="0.3">
      <c r="A577" s="28"/>
      <c r="B577" s="25"/>
    </row>
    <row r="578" spans="1:2" ht="15.75" thickBot="1" x14ac:dyDescent="0.3">
      <c r="A578" s="28"/>
      <c r="B578" s="25"/>
    </row>
    <row r="579" spans="1:2" ht="15.75" thickBot="1" x14ac:dyDescent="0.3">
      <c r="A579" s="28"/>
      <c r="B579" s="25"/>
    </row>
    <row r="580" spans="1:2" ht="15.75" thickBot="1" x14ac:dyDescent="0.3">
      <c r="A580" s="28"/>
      <c r="B580" s="25"/>
    </row>
    <row r="581" spans="1:2" ht="15.75" thickBot="1" x14ac:dyDescent="0.3">
      <c r="A581" s="28"/>
      <c r="B581" s="25"/>
    </row>
    <row r="582" spans="1:2" ht="15.75" thickBot="1" x14ac:dyDescent="0.3">
      <c r="A582" s="28"/>
      <c r="B582" s="25"/>
    </row>
    <row r="583" spans="1:2" ht="15.75" thickBot="1" x14ac:dyDescent="0.3">
      <c r="A583" s="28"/>
      <c r="B583" s="25"/>
    </row>
    <row r="584" spans="1:2" ht="15.75" thickBot="1" x14ac:dyDescent="0.3">
      <c r="A584" s="28"/>
      <c r="B584" s="25"/>
    </row>
    <row r="585" spans="1:2" ht="15.75" thickBot="1" x14ac:dyDescent="0.3">
      <c r="A585" s="28"/>
      <c r="B585" s="25"/>
    </row>
    <row r="586" spans="1:2" ht="15.75" thickBot="1" x14ac:dyDescent="0.3">
      <c r="A586" s="28"/>
      <c r="B586" s="25"/>
    </row>
    <row r="587" spans="1:2" ht="15.75" thickBot="1" x14ac:dyDescent="0.3">
      <c r="A587" s="28"/>
      <c r="B587" s="25"/>
    </row>
    <row r="588" spans="1:2" ht="15.75" thickBot="1" x14ac:dyDescent="0.3">
      <c r="A588" s="28"/>
      <c r="B588" s="25"/>
    </row>
    <row r="589" spans="1:2" ht="15.75" thickBot="1" x14ac:dyDescent="0.3">
      <c r="A589" s="28"/>
      <c r="B589" s="25"/>
    </row>
    <row r="590" spans="1:2" ht="15.75" thickBot="1" x14ac:dyDescent="0.3">
      <c r="A590" s="28"/>
      <c r="B590" s="25"/>
    </row>
    <row r="591" spans="1:2" ht="15.75" thickBot="1" x14ac:dyDescent="0.3">
      <c r="A591" s="28"/>
      <c r="B591" s="25"/>
    </row>
    <row r="592" spans="1:2" ht="15.75" thickBot="1" x14ac:dyDescent="0.3">
      <c r="A592" s="28"/>
      <c r="B592" s="25"/>
    </row>
    <row r="593" spans="1:2" ht="15.75" thickBot="1" x14ac:dyDescent="0.3">
      <c r="A593" s="28"/>
      <c r="B593" s="25"/>
    </row>
    <row r="594" spans="1:2" ht="15.75" thickBot="1" x14ac:dyDescent="0.3">
      <c r="A594" s="28"/>
      <c r="B594" s="25"/>
    </row>
    <row r="595" spans="1:2" ht="15.75" thickBot="1" x14ac:dyDescent="0.3">
      <c r="A595" s="28"/>
      <c r="B595" s="25"/>
    </row>
    <row r="596" spans="1:2" ht="15.75" thickBot="1" x14ac:dyDescent="0.3">
      <c r="A596" s="28"/>
      <c r="B596" s="25"/>
    </row>
    <row r="597" spans="1:2" ht="15.75" thickBot="1" x14ac:dyDescent="0.3">
      <c r="A597" s="28"/>
      <c r="B597" s="25"/>
    </row>
    <row r="598" spans="1:2" ht="15.75" thickBot="1" x14ac:dyDescent="0.3">
      <c r="A598" s="28"/>
      <c r="B598" s="25"/>
    </row>
    <row r="599" spans="1:2" ht="15.75" thickBot="1" x14ac:dyDescent="0.3">
      <c r="A599" s="28"/>
      <c r="B599" s="25"/>
    </row>
    <row r="600" spans="1:2" ht="15.75" thickBot="1" x14ac:dyDescent="0.3">
      <c r="A600" s="28"/>
      <c r="B600" s="25"/>
    </row>
    <row r="601" spans="1:2" ht="15.75" thickBot="1" x14ac:dyDescent="0.3">
      <c r="A601" s="28"/>
      <c r="B601" s="25"/>
    </row>
    <row r="602" spans="1:2" ht="15.75" thickBot="1" x14ac:dyDescent="0.3">
      <c r="A602" s="28"/>
      <c r="B602" s="25"/>
    </row>
    <row r="603" spans="1:2" ht="15.75" thickBot="1" x14ac:dyDescent="0.3">
      <c r="A603" s="28"/>
      <c r="B603" s="25"/>
    </row>
    <row r="604" spans="1:2" ht="15.75" thickBot="1" x14ac:dyDescent="0.3">
      <c r="A604" s="28"/>
      <c r="B604" s="25"/>
    </row>
    <row r="605" spans="1:2" ht="15.75" thickBot="1" x14ac:dyDescent="0.3">
      <c r="A605" s="28"/>
      <c r="B605" s="25"/>
    </row>
    <row r="606" spans="1:2" ht="15.75" thickBot="1" x14ac:dyDescent="0.3">
      <c r="A606" s="28"/>
      <c r="B606" s="25"/>
    </row>
    <row r="607" spans="1:2" ht="15.75" thickBot="1" x14ac:dyDescent="0.3">
      <c r="A607" s="28"/>
      <c r="B607" s="25"/>
    </row>
    <row r="608" spans="1:2" ht="15.75" thickBot="1" x14ac:dyDescent="0.3">
      <c r="A608" s="28"/>
      <c r="B608" s="25"/>
    </row>
    <row r="609" spans="1:2" ht="15.75" thickBot="1" x14ac:dyDescent="0.3">
      <c r="A609" s="28"/>
      <c r="B609" s="25"/>
    </row>
    <row r="610" spans="1:2" ht="15.75" thickBot="1" x14ac:dyDescent="0.3">
      <c r="A610" s="28"/>
      <c r="B610" s="25"/>
    </row>
    <row r="611" spans="1:2" ht="15.75" thickBot="1" x14ac:dyDescent="0.3">
      <c r="A611" s="28"/>
      <c r="B611" s="25"/>
    </row>
    <row r="612" spans="1:2" ht="15.75" thickBot="1" x14ac:dyDescent="0.3">
      <c r="A612" s="28"/>
      <c r="B612" s="25"/>
    </row>
    <row r="613" spans="1:2" ht="15.75" thickBot="1" x14ac:dyDescent="0.3">
      <c r="A613" s="28"/>
      <c r="B613" s="25"/>
    </row>
    <row r="614" spans="1:2" ht="15.75" thickBot="1" x14ac:dyDescent="0.3">
      <c r="A614" s="28"/>
      <c r="B614" s="25"/>
    </row>
    <row r="615" spans="1:2" ht="15.75" thickBot="1" x14ac:dyDescent="0.3">
      <c r="A615" s="28"/>
      <c r="B615" s="25"/>
    </row>
    <row r="616" spans="1:2" ht="15.75" thickBot="1" x14ac:dyDescent="0.3">
      <c r="A616" s="28"/>
      <c r="B616" s="25"/>
    </row>
    <row r="617" spans="1:2" ht="15.75" thickBot="1" x14ac:dyDescent="0.3">
      <c r="A617" s="28"/>
      <c r="B617" s="25"/>
    </row>
    <row r="618" spans="1:2" ht="15.75" thickBot="1" x14ac:dyDescent="0.3">
      <c r="A618" s="28"/>
      <c r="B618" s="25"/>
    </row>
    <row r="619" spans="1:2" ht="15.75" thickBot="1" x14ac:dyDescent="0.3">
      <c r="A619" s="28"/>
      <c r="B619" s="25"/>
    </row>
    <row r="620" spans="1:2" ht="15.75" thickBot="1" x14ac:dyDescent="0.3">
      <c r="A620" s="28"/>
      <c r="B620" s="25"/>
    </row>
    <row r="621" spans="1:2" ht="15.75" thickBot="1" x14ac:dyDescent="0.3">
      <c r="A621" s="28"/>
      <c r="B621" s="25"/>
    </row>
    <row r="622" spans="1:2" ht="15.75" thickBot="1" x14ac:dyDescent="0.3">
      <c r="A622" s="28"/>
      <c r="B622" s="25"/>
    </row>
    <row r="623" spans="1:2" ht="15.75" thickBot="1" x14ac:dyDescent="0.3">
      <c r="A623" s="28"/>
      <c r="B623" s="25"/>
    </row>
    <row r="624" spans="1:2" ht="15.75" thickBot="1" x14ac:dyDescent="0.3">
      <c r="A624" s="28"/>
      <c r="B624" s="25"/>
    </row>
    <row r="625" spans="1:2" ht="15.75" thickBot="1" x14ac:dyDescent="0.3">
      <c r="A625" s="28"/>
      <c r="B625" s="25"/>
    </row>
    <row r="626" spans="1:2" ht="15.75" thickBot="1" x14ac:dyDescent="0.3">
      <c r="A626" s="28"/>
      <c r="B626" s="25"/>
    </row>
    <row r="627" spans="1:2" ht="15.75" thickBot="1" x14ac:dyDescent="0.3">
      <c r="A627" s="28"/>
      <c r="B627" s="25"/>
    </row>
    <row r="628" spans="1:2" ht="15.75" thickBot="1" x14ac:dyDescent="0.3">
      <c r="A628" s="28"/>
      <c r="B628" s="25"/>
    </row>
    <row r="629" spans="1:2" ht="15.75" thickBot="1" x14ac:dyDescent="0.3">
      <c r="A629" s="28"/>
      <c r="B629" s="25"/>
    </row>
    <row r="630" spans="1:2" ht="15.75" thickBot="1" x14ac:dyDescent="0.3">
      <c r="A630" s="28"/>
      <c r="B630" s="25"/>
    </row>
    <row r="631" spans="1:2" ht="15.75" thickBot="1" x14ac:dyDescent="0.3">
      <c r="A631" s="28"/>
      <c r="B631" s="25"/>
    </row>
    <row r="632" spans="1:2" ht="15.75" thickBot="1" x14ac:dyDescent="0.3">
      <c r="A632" s="28"/>
      <c r="B632" s="25"/>
    </row>
    <row r="633" spans="1:2" ht="15.75" thickBot="1" x14ac:dyDescent="0.3">
      <c r="A633" s="28"/>
      <c r="B633" s="25"/>
    </row>
    <row r="634" spans="1:2" ht="15.75" thickBot="1" x14ac:dyDescent="0.3">
      <c r="A634" s="28"/>
      <c r="B634" s="25"/>
    </row>
    <row r="635" spans="1:2" ht="15.75" thickBot="1" x14ac:dyDescent="0.3">
      <c r="A635" s="28"/>
      <c r="B635" s="25"/>
    </row>
    <row r="636" spans="1:2" ht="15.75" thickBot="1" x14ac:dyDescent="0.3">
      <c r="A636" s="28"/>
      <c r="B636" s="25"/>
    </row>
    <row r="637" spans="1:2" ht="15.75" thickBot="1" x14ac:dyDescent="0.3">
      <c r="A637" s="28"/>
      <c r="B637" s="25"/>
    </row>
    <row r="638" spans="1:2" ht="15.75" thickBot="1" x14ac:dyDescent="0.3">
      <c r="A638" s="28"/>
      <c r="B638" s="25"/>
    </row>
    <row r="639" spans="1:2" ht="15.75" thickBot="1" x14ac:dyDescent="0.3">
      <c r="A639" s="28"/>
      <c r="B639" s="25"/>
    </row>
    <row r="640" spans="1:2" ht="15.75" thickBot="1" x14ac:dyDescent="0.3">
      <c r="A640" s="28"/>
      <c r="B640" s="25"/>
    </row>
    <row r="641" spans="1:2" ht="15.75" thickBot="1" x14ac:dyDescent="0.3">
      <c r="A641" s="28"/>
      <c r="B641" s="25"/>
    </row>
    <row r="642" spans="1:2" ht="15.75" thickBot="1" x14ac:dyDescent="0.3">
      <c r="A642" s="28"/>
      <c r="B642" s="25"/>
    </row>
    <row r="643" spans="1:2" ht="15.75" thickBot="1" x14ac:dyDescent="0.3">
      <c r="A643" s="28"/>
      <c r="B643" s="25"/>
    </row>
    <row r="644" spans="1:2" ht="15.75" thickBot="1" x14ac:dyDescent="0.3">
      <c r="A644" s="28"/>
      <c r="B644" s="25"/>
    </row>
    <row r="645" spans="1:2" ht="15.75" thickBot="1" x14ac:dyDescent="0.3">
      <c r="A645" s="28"/>
      <c r="B645" s="25"/>
    </row>
    <row r="646" spans="1:2" ht="15.75" thickBot="1" x14ac:dyDescent="0.3">
      <c r="A646" s="28"/>
      <c r="B646" s="25"/>
    </row>
    <row r="647" spans="1:2" ht="15.75" thickBot="1" x14ac:dyDescent="0.3">
      <c r="A647" s="28"/>
      <c r="B647" s="25"/>
    </row>
    <row r="648" spans="1:2" ht="15.75" thickBot="1" x14ac:dyDescent="0.3">
      <c r="A648" s="28"/>
      <c r="B648" s="25"/>
    </row>
    <row r="649" spans="1:2" ht="15.75" thickBot="1" x14ac:dyDescent="0.3">
      <c r="A649" s="28"/>
      <c r="B649" s="25"/>
    </row>
    <row r="650" spans="1:2" ht="15.75" thickBot="1" x14ac:dyDescent="0.3">
      <c r="A650" s="28"/>
      <c r="B650" s="25"/>
    </row>
    <row r="651" spans="1:2" ht="15.75" thickBot="1" x14ac:dyDescent="0.3">
      <c r="A651" s="28"/>
      <c r="B651" s="25"/>
    </row>
    <row r="652" spans="1:2" ht="15.75" thickBot="1" x14ac:dyDescent="0.3">
      <c r="A652" s="28"/>
      <c r="B652" s="25"/>
    </row>
    <row r="653" spans="1:2" ht="15.75" thickBot="1" x14ac:dyDescent="0.3">
      <c r="A653" s="28"/>
      <c r="B653" s="25"/>
    </row>
    <row r="654" spans="1:2" ht="15.75" thickBot="1" x14ac:dyDescent="0.3">
      <c r="A654" s="28"/>
      <c r="B654" s="25"/>
    </row>
    <row r="655" spans="1:2" ht="15.75" thickBot="1" x14ac:dyDescent="0.3">
      <c r="A655" s="28"/>
      <c r="B655" s="25"/>
    </row>
    <row r="656" spans="1:2" ht="15.75" thickBot="1" x14ac:dyDescent="0.3">
      <c r="A656" s="28"/>
      <c r="B656" s="25"/>
    </row>
    <row r="657" spans="1:2" ht="15.75" thickBot="1" x14ac:dyDescent="0.3">
      <c r="A657" s="28"/>
      <c r="B657" s="25"/>
    </row>
    <row r="658" spans="1:2" ht="15.75" thickBot="1" x14ac:dyDescent="0.3">
      <c r="A658" s="28"/>
      <c r="B658" s="25"/>
    </row>
    <row r="659" spans="1:2" ht="15.75" thickBot="1" x14ac:dyDescent="0.3">
      <c r="A659" s="28"/>
      <c r="B659" s="25"/>
    </row>
    <row r="660" spans="1:2" ht="15.75" thickBot="1" x14ac:dyDescent="0.3">
      <c r="A660" s="28"/>
      <c r="B660" s="25"/>
    </row>
    <row r="661" spans="1:2" ht="15.75" thickBot="1" x14ac:dyDescent="0.3">
      <c r="A661" s="28"/>
      <c r="B661" s="25"/>
    </row>
    <row r="662" spans="1:2" ht="15.75" thickBot="1" x14ac:dyDescent="0.3">
      <c r="A662" s="28"/>
      <c r="B662" s="25"/>
    </row>
    <row r="663" spans="1:2" ht="15.75" thickBot="1" x14ac:dyDescent="0.3">
      <c r="A663" s="28"/>
      <c r="B663" s="25"/>
    </row>
    <row r="664" spans="1:2" ht="15.75" thickBot="1" x14ac:dyDescent="0.3">
      <c r="A664" s="28"/>
      <c r="B664" s="25"/>
    </row>
    <row r="665" spans="1:2" ht="15.75" thickBot="1" x14ac:dyDescent="0.3">
      <c r="A665" s="28"/>
      <c r="B665" s="25"/>
    </row>
    <row r="666" spans="1:2" ht="15.75" thickBot="1" x14ac:dyDescent="0.3">
      <c r="A666" s="28"/>
      <c r="B666" s="25"/>
    </row>
    <row r="667" spans="1:2" ht="15.75" thickBot="1" x14ac:dyDescent="0.3">
      <c r="A667" s="28"/>
      <c r="B667" s="25"/>
    </row>
    <row r="668" spans="1:2" ht="15.75" thickBot="1" x14ac:dyDescent="0.3">
      <c r="A668" s="28"/>
      <c r="B668" s="25"/>
    </row>
    <row r="669" spans="1:2" ht="15.75" thickBot="1" x14ac:dyDescent="0.3">
      <c r="A669" s="28"/>
      <c r="B669" s="25"/>
    </row>
    <row r="670" spans="1:2" ht="15.75" thickBot="1" x14ac:dyDescent="0.3">
      <c r="A670" s="28"/>
      <c r="B670" s="25"/>
    </row>
    <row r="671" spans="1:2" ht="15.75" thickBot="1" x14ac:dyDescent="0.3">
      <c r="A671" s="28"/>
      <c r="B671" s="25"/>
    </row>
    <row r="672" spans="1:2" ht="15.75" thickBot="1" x14ac:dyDescent="0.3">
      <c r="A672" s="28"/>
      <c r="B672" s="25"/>
    </row>
    <row r="673" spans="1:2" ht="15.75" thickBot="1" x14ac:dyDescent="0.3">
      <c r="A673" s="28"/>
      <c r="B673" s="25"/>
    </row>
    <row r="674" spans="1:2" ht="15.75" thickBot="1" x14ac:dyDescent="0.3">
      <c r="A674" s="28"/>
      <c r="B674" s="25"/>
    </row>
    <row r="675" spans="1:2" ht="15.75" thickBot="1" x14ac:dyDescent="0.3">
      <c r="A675" s="28"/>
      <c r="B675" s="25"/>
    </row>
    <row r="676" spans="1:2" ht="15.75" thickBot="1" x14ac:dyDescent="0.3">
      <c r="A676" s="28"/>
      <c r="B676" s="25"/>
    </row>
    <row r="677" spans="1:2" ht="15.75" thickBot="1" x14ac:dyDescent="0.3">
      <c r="A677" s="28"/>
      <c r="B677" s="25"/>
    </row>
    <row r="678" spans="1:2" ht="15.75" thickBot="1" x14ac:dyDescent="0.3">
      <c r="A678" s="28"/>
      <c r="B678" s="25"/>
    </row>
    <row r="679" spans="1:2" ht="15.75" thickBot="1" x14ac:dyDescent="0.3">
      <c r="A679" s="28"/>
      <c r="B679" s="25"/>
    </row>
    <row r="680" spans="1:2" ht="15.75" thickBot="1" x14ac:dyDescent="0.3">
      <c r="A680" s="28"/>
      <c r="B680" s="25"/>
    </row>
    <row r="681" spans="1:2" ht="15.75" thickBot="1" x14ac:dyDescent="0.3">
      <c r="A681" s="28"/>
      <c r="B681" s="25"/>
    </row>
    <row r="682" spans="1:2" ht="15.75" thickBot="1" x14ac:dyDescent="0.3">
      <c r="A682" s="28"/>
      <c r="B682" s="25"/>
    </row>
    <row r="683" spans="1:2" ht="15.75" thickBot="1" x14ac:dyDescent="0.3">
      <c r="A683" s="28"/>
      <c r="B683" s="25"/>
    </row>
    <row r="684" spans="1:2" ht="15.75" thickBot="1" x14ac:dyDescent="0.3">
      <c r="A684" s="28"/>
      <c r="B684" s="25"/>
    </row>
    <row r="685" spans="1:2" ht="15.75" thickBot="1" x14ac:dyDescent="0.3">
      <c r="A685" s="28"/>
      <c r="B685" s="25"/>
    </row>
    <row r="686" spans="1:2" ht="15.75" thickBot="1" x14ac:dyDescent="0.3">
      <c r="A686" s="28"/>
      <c r="B686" s="25"/>
    </row>
    <row r="687" spans="1:2" ht="15.75" thickBot="1" x14ac:dyDescent="0.3">
      <c r="A687" s="28"/>
      <c r="B687" s="25"/>
    </row>
    <row r="688" spans="1:2" ht="15.75" thickBot="1" x14ac:dyDescent="0.3">
      <c r="A688" s="28"/>
      <c r="B688" s="25"/>
    </row>
    <row r="689" spans="1:2" ht="15.75" thickBot="1" x14ac:dyDescent="0.3">
      <c r="A689" s="28"/>
      <c r="B689" s="25"/>
    </row>
    <row r="690" spans="1:2" ht="15.75" thickBot="1" x14ac:dyDescent="0.3">
      <c r="A690" s="28"/>
      <c r="B690" s="25"/>
    </row>
    <row r="691" spans="1:2" ht="15.75" thickBot="1" x14ac:dyDescent="0.3">
      <c r="A691" s="28"/>
      <c r="B691" s="25"/>
    </row>
    <row r="692" spans="1:2" ht="15.75" thickBot="1" x14ac:dyDescent="0.3">
      <c r="A692" s="28"/>
      <c r="B692" s="25"/>
    </row>
    <row r="693" spans="1:2" ht="15.75" thickBot="1" x14ac:dyDescent="0.3">
      <c r="A693" s="28"/>
      <c r="B693" s="25"/>
    </row>
    <row r="694" spans="1:2" ht="15.75" thickBot="1" x14ac:dyDescent="0.3">
      <c r="A694" s="28"/>
      <c r="B694" s="25"/>
    </row>
    <row r="695" spans="1:2" ht="15.75" thickBot="1" x14ac:dyDescent="0.3">
      <c r="A695" s="28"/>
      <c r="B695" s="25"/>
    </row>
    <row r="696" spans="1:2" ht="15.75" thickBot="1" x14ac:dyDescent="0.3">
      <c r="A696" s="28"/>
      <c r="B696" s="25"/>
    </row>
    <row r="697" spans="1:2" ht="15.75" thickBot="1" x14ac:dyDescent="0.3">
      <c r="A697" s="28"/>
      <c r="B697" s="25"/>
    </row>
    <row r="698" spans="1:2" ht="15.75" thickBot="1" x14ac:dyDescent="0.3">
      <c r="A698" s="28"/>
      <c r="B698" s="25"/>
    </row>
    <row r="699" spans="1:2" ht="15.75" thickBot="1" x14ac:dyDescent="0.3">
      <c r="A699" s="28"/>
      <c r="B699" s="25"/>
    </row>
    <row r="700" spans="1:2" ht="15.75" thickBot="1" x14ac:dyDescent="0.3">
      <c r="A700" s="28"/>
      <c r="B700" s="25"/>
    </row>
    <row r="701" spans="1:2" ht="15.75" thickBot="1" x14ac:dyDescent="0.3">
      <c r="A701" s="28"/>
      <c r="B701" s="25"/>
    </row>
    <row r="702" spans="1:2" ht="15.75" thickBot="1" x14ac:dyDescent="0.3">
      <c r="A702" s="28"/>
      <c r="B702" s="25"/>
    </row>
    <row r="703" spans="1:2" ht="15.75" thickBot="1" x14ac:dyDescent="0.3">
      <c r="A703" s="28"/>
      <c r="B703" s="25"/>
    </row>
    <row r="704" spans="1:2" ht="15.75" thickBot="1" x14ac:dyDescent="0.3">
      <c r="A704" s="28"/>
      <c r="B704" s="25"/>
    </row>
    <row r="705" spans="1:2" ht="15.75" thickBot="1" x14ac:dyDescent="0.3">
      <c r="A705" s="28"/>
      <c r="B705" s="25"/>
    </row>
    <row r="706" spans="1:2" ht="15.75" thickBot="1" x14ac:dyDescent="0.3">
      <c r="A706" s="28"/>
      <c r="B706" s="25"/>
    </row>
    <row r="707" spans="1:2" ht="15.75" thickBot="1" x14ac:dyDescent="0.3">
      <c r="A707" s="28"/>
      <c r="B707" s="25"/>
    </row>
    <row r="708" spans="1:2" ht="15.75" thickBot="1" x14ac:dyDescent="0.3">
      <c r="A708" s="28"/>
      <c r="B708" s="25"/>
    </row>
    <row r="709" spans="1:2" ht="15.75" thickBot="1" x14ac:dyDescent="0.3">
      <c r="A709" s="28"/>
      <c r="B709" s="25"/>
    </row>
    <row r="710" spans="1:2" ht="15.75" thickBot="1" x14ac:dyDescent="0.3">
      <c r="A710" s="28"/>
      <c r="B710" s="25"/>
    </row>
    <row r="711" spans="1:2" ht="15.75" thickBot="1" x14ac:dyDescent="0.3">
      <c r="A711" s="28"/>
      <c r="B711" s="25"/>
    </row>
    <row r="712" spans="1:2" ht="15.75" thickBot="1" x14ac:dyDescent="0.3">
      <c r="A712" s="28"/>
      <c r="B712" s="25"/>
    </row>
    <row r="713" spans="1:2" ht="15.75" thickBot="1" x14ac:dyDescent="0.3">
      <c r="A713" s="28"/>
      <c r="B713" s="25"/>
    </row>
    <row r="714" spans="1:2" ht="15.75" thickBot="1" x14ac:dyDescent="0.3">
      <c r="A714" s="28"/>
      <c r="B714" s="25"/>
    </row>
    <row r="715" spans="1:2" ht="15.75" thickBot="1" x14ac:dyDescent="0.3">
      <c r="A715" s="28"/>
      <c r="B715" s="25"/>
    </row>
    <row r="716" spans="1:2" ht="15.75" thickBot="1" x14ac:dyDescent="0.3">
      <c r="A716" s="28"/>
      <c r="B716" s="25"/>
    </row>
    <row r="717" spans="1:2" ht="15.75" thickBot="1" x14ac:dyDescent="0.3">
      <c r="A717" s="28"/>
      <c r="B717" s="25"/>
    </row>
    <row r="718" spans="1:2" ht="15.75" thickBot="1" x14ac:dyDescent="0.3">
      <c r="A718" s="28"/>
      <c r="B718" s="25"/>
    </row>
    <row r="719" spans="1:2" ht="15.75" thickBot="1" x14ac:dyDescent="0.3">
      <c r="A719" s="28"/>
      <c r="B719" s="25"/>
    </row>
    <row r="720" spans="1:2" ht="15.75" thickBot="1" x14ac:dyDescent="0.3">
      <c r="A720" s="28"/>
      <c r="B720" s="25"/>
    </row>
    <row r="721" spans="1:2" ht="15.75" thickBot="1" x14ac:dyDescent="0.3">
      <c r="A721" s="28"/>
      <c r="B721" s="25"/>
    </row>
    <row r="722" spans="1:2" ht="15.75" thickBot="1" x14ac:dyDescent="0.3">
      <c r="A722" s="28"/>
      <c r="B722" s="25"/>
    </row>
    <row r="723" spans="1:2" ht="15.75" thickBot="1" x14ac:dyDescent="0.3">
      <c r="A723" s="28"/>
      <c r="B723" s="25"/>
    </row>
    <row r="724" spans="1:2" ht="15.75" thickBot="1" x14ac:dyDescent="0.3">
      <c r="A724" s="28"/>
      <c r="B724" s="25"/>
    </row>
    <row r="725" spans="1:2" ht="15.75" thickBot="1" x14ac:dyDescent="0.3">
      <c r="A725" s="28"/>
      <c r="B725" s="25"/>
    </row>
    <row r="726" spans="1:2" ht="15.75" thickBot="1" x14ac:dyDescent="0.3">
      <c r="A726" s="28"/>
      <c r="B726" s="25"/>
    </row>
    <row r="727" spans="1:2" ht="15.75" thickBot="1" x14ac:dyDescent="0.3">
      <c r="A727" s="28"/>
      <c r="B727" s="25"/>
    </row>
    <row r="728" spans="1:2" ht="15.75" thickBot="1" x14ac:dyDescent="0.3">
      <c r="A728" s="28"/>
      <c r="B728" s="25"/>
    </row>
    <row r="729" spans="1:2" ht="15.75" thickBot="1" x14ac:dyDescent="0.3">
      <c r="A729" s="28"/>
      <c r="B729" s="25"/>
    </row>
    <row r="730" spans="1:2" ht="15.75" thickBot="1" x14ac:dyDescent="0.3">
      <c r="A730" s="28"/>
      <c r="B730" s="25"/>
    </row>
    <row r="731" spans="1:2" ht="15.75" thickBot="1" x14ac:dyDescent="0.3">
      <c r="A731" s="28"/>
      <c r="B731" s="25"/>
    </row>
    <row r="732" spans="1:2" ht="15.75" thickBot="1" x14ac:dyDescent="0.3">
      <c r="A732" s="28"/>
      <c r="B732" s="25"/>
    </row>
    <row r="733" spans="1:2" ht="15.75" thickBot="1" x14ac:dyDescent="0.3">
      <c r="A733" s="28"/>
      <c r="B733" s="25"/>
    </row>
    <row r="734" spans="1:2" ht="15.75" thickBot="1" x14ac:dyDescent="0.3">
      <c r="A734" s="28"/>
      <c r="B734" s="25"/>
    </row>
    <row r="735" spans="1:2" ht="15.75" thickBot="1" x14ac:dyDescent="0.3">
      <c r="A735" s="28"/>
      <c r="B735" s="25"/>
    </row>
    <row r="736" spans="1:2" ht="15.75" thickBot="1" x14ac:dyDescent="0.3">
      <c r="A736" s="28"/>
      <c r="B736" s="25"/>
    </row>
    <row r="737" spans="1:2" ht="15.75" thickBot="1" x14ac:dyDescent="0.3">
      <c r="A737" s="28"/>
      <c r="B737" s="25"/>
    </row>
    <row r="738" spans="1:2" ht="15.75" thickBot="1" x14ac:dyDescent="0.3">
      <c r="A738" s="28"/>
      <c r="B738" s="25"/>
    </row>
    <row r="739" spans="1:2" ht="15.75" thickBot="1" x14ac:dyDescent="0.3">
      <c r="A739" s="28"/>
      <c r="B739" s="25"/>
    </row>
    <row r="740" spans="1:2" ht="15.75" thickBot="1" x14ac:dyDescent="0.3">
      <c r="A740" s="28"/>
      <c r="B740" s="25"/>
    </row>
    <row r="741" spans="1:2" ht="15.75" thickBot="1" x14ac:dyDescent="0.3">
      <c r="A741" s="28"/>
      <c r="B741" s="25"/>
    </row>
    <row r="742" spans="1:2" ht="15.75" thickBot="1" x14ac:dyDescent="0.3">
      <c r="A742" s="28"/>
      <c r="B742" s="25"/>
    </row>
    <row r="743" spans="1:2" ht="15.75" thickBot="1" x14ac:dyDescent="0.3">
      <c r="A743" s="28"/>
      <c r="B743" s="25"/>
    </row>
    <row r="744" spans="1:2" ht="15.75" thickBot="1" x14ac:dyDescent="0.3">
      <c r="A744" s="28"/>
      <c r="B744" s="25"/>
    </row>
    <row r="745" spans="1:2" ht="15.75" thickBot="1" x14ac:dyDescent="0.3">
      <c r="A745" s="28"/>
      <c r="B745" s="25"/>
    </row>
    <row r="746" spans="1:2" ht="15.75" thickBot="1" x14ac:dyDescent="0.3">
      <c r="A746" s="28"/>
      <c r="B746" s="25"/>
    </row>
    <row r="747" spans="1:2" ht="15.75" thickBot="1" x14ac:dyDescent="0.3">
      <c r="A747" s="28"/>
      <c r="B747" s="25"/>
    </row>
    <row r="748" spans="1:2" ht="15.75" thickBot="1" x14ac:dyDescent="0.3">
      <c r="A748" s="28"/>
      <c r="B748" s="25"/>
    </row>
    <row r="749" spans="1:2" ht="15.75" thickBot="1" x14ac:dyDescent="0.3">
      <c r="A749" s="28"/>
      <c r="B749" s="25"/>
    </row>
    <row r="750" spans="1:2" ht="15.75" thickBot="1" x14ac:dyDescent="0.3">
      <c r="A750" s="28"/>
      <c r="B750" s="25"/>
    </row>
    <row r="751" spans="1:2" ht="15.75" thickBot="1" x14ac:dyDescent="0.3">
      <c r="A751" s="28"/>
      <c r="B751" s="25"/>
    </row>
    <row r="752" spans="1:2" ht="15.75" thickBot="1" x14ac:dyDescent="0.3">
      <c r="A752" s="28"/>
      <c r="B752" s="25"/>
    </row>
    <row r="753" spans="1:2" ht="15.75" thickBot="1" x14ac:dyDescent="0.3">
      <c r="A753" s="28"/>
      <c r="B753" s="25"/>
    </row>
    <row r="754" spans="1:2" ht="15.75" thickBot="1" x14ac:dyDescent="0.3">
      <c r="A754" s="28"/>
      <c r="B754" s="25"/>
    </row>
    <row r="755" spans="1:2" ht="15.75" thickBot="1" x14ac:dyDescent="0.3">
      <c r="A755" s="28"/>
      <c r="B755" s="25"/>
    </row>
    <row r="756" spans="1:2" ht="15.75" thickBot="1" x14ac:dyDescent="0.3">
      <c r="A756" s="28"/>
      <c r="B756" s="25"/>
    </row>
    <row r="757" spans="1:2" ht="15.75" thickBot="1" x14ac:dyDescent="0.3">
      <c r="A757" s="28"/>
      <c r="B757" s="25"/>
    </row>
    <row r="758" spans="1:2" ht="15.75" thickBot="1" x14ac:dyDescent="0.3">
      <c r="A758" s="28"/>
      <c r="B758" s="25"/>
    </row>
    <row r="759" spans="1:2" ht="15.75" thickBot="1" x14ac:dyDescent="0.3">
      <c r="A759" s="28"/>
      <c r="B759" s="25"/>
    </row>
    <row r="760" spans="1:2" ht="15.75" thickBot="1" x14ac:dyDescent="0.3">
      <c r="A760" s="28"/>
      <c r="B760" s="25"/>
    </row>
    <row r="761" spans="1:2" ht="15.75" thickBot="1" x14ac:dyDescent="0.3">
      <c r="A761" s="28"/>
      <c r="B761" s="25"/>
    </row>
    <row r="762" spans="1:2" ht="15.75" thickBot="1" x14ac:dyDescent="0.3">
      <c r="A762" s="28"/>
      <c r="B762" s="25"/>
    </row>
    <row r="763" spans="1:2" ht="15.75" thickBot="1" x14ac:dyDescent="0.3">
      <c r="A763" s="28"/>
      <c r="B763" s="25"/>
    </row>
    <row r="764" spans="1:2" ht="15.75" thickBot="1" x14ac:dyDescent="0.3">
      <c r="A764" s="28"/>
      <c r="B764" s="25"/>
    </row>
    <row r="765" spans="1:2" ht="15.75" thickBot="1" x14ac:dyDescent="0.3">
      <c r="A765" s="28"/>
      <c r="B765" s="25"/>
    </row>
    <row r="766" spans="1:2" ht="15.75" thickBot="1" x14ac:dyDescent="0.3">
      <c r="A766" s="28"/>
      <c r="B766" s="25"/>
    </row>
    <row r="767" spans="1:2" ht="15.75" thickBot="1" x14ac:dyDescent="0.3">
      <c r="A767" s="28"/>
      <c r="B767" s="25"/>
    </row>
    <row r="768" spans="1:2" ht="15.75" thickBot="1" x14ac:dyDescent="0.3">
      <c r="A768" s="28"/>
      <c r="B768" s="25"/>
    </row>
    <row r="769" spans="1:2" ht="15.75" thickBot="1" x14ac:dyDescent="0.3">
      <c r="A769" s="28"/>
      <c r="B769" s="25"/>
    </row>
    <row r="770" spans="1:2" ht="15.75" thickBot="1" x14ac:dyDescent="0.3">
      <c r="A770" s="28"/>
      <c r="B770" s="25"/>
    </row>
    <row r="771" spans="1:2" ht="15.75" thickBot="1" x14ac:dyDescent="0.3">
      <c r="A771" s="28"/>
      <c r="B771" s="25"/>
    </row>
    <row r="772" spans="1:2" ht="15.75" thickBot="1" x14ac:dyDescent="0.3">
      <c r="A772" s="28"/>
      <c r="B772" s="25"/>
    </row>
    <row r="773" spans="1:2" ht="15.75" thickBot="1" x14ac:dyDescent="0.3">
      <c r="A773" s="28"/>
      <c r="B773" s="25"/>
    </row>
    <row r="774" spans="1:2" ht="15.75" thickBot="1" x14ac:dyDescent="0.3">
      <c r="A774" s="28"/>
      <c r="B774" s="25"/>
    </row>
    <row r="775" spans="1:2" ht="15.75" thickBot="1" x14ac:dyDescent="0.3">
      <c r="A775" s="28"/>
      <c r="B775" s="25"/>
    </row>
    <row r="776" spans="1:2" ht="15.75" thickBot="1" x14ac:dyDescent="0.3">
      <c r="A776" s="28"/>
      <c r="B776" s="25"/>
    </row>
    <row r="777" spans="1:2" ht="15.75" thickBot="1" x14ac:dyDescent="0.3">
      <c r="A777" s="28"/>
      <c r="B777" s="25"/>
    </row>
    <row r="778" spans="1:2" ht="15.75" thickBot="1" x14ac:dyDescent="0.3">
      <c r="A778" s="28"/>
      <c r="B778" s="25"/>
    </row>
    <row r="779" spans="1:2" ht="15.75" thickBot="1" x14ac:dyDescent="0.3">
      <c r="A779" s="28"/>
      <c r="B779" s="25"/>
    </row>
    <row r="780" spans="1:2" ht="15.75" thickBot="1" x14ac:dyDescent="0.3">
      <c r="A780" s="28"/>
      <c r="B780" s="25"/>
    </row>
    <row r="781" spans="1:2" ht="15.75" thickBot="1" x14ac:dyDescent="0.3">
      <c r="A781" s="28"/>
      <c r="B781" s="25"/>
    </row>
    <row r="782" spans="1:2" ht="15.75" thickBot="1" x14ac:dyDescent="0.3">
      <c r="A782" s="28"/>
      <c r="B782" s="25"/>
    </row>
    <row r="783" spans="1:2" ht="15.75" thickBot="1" x14ac:dyDescent="0.3">
      <c r="A783" s="28"/>
      <c r="B783" s="25"/>
    </row>
    <row r="784" spans="1:2" ht="15.75" thickBot="1" x14ac:dyDescent="0.3">
      <c r="A784" s="28"/>
      <c r="B784" s="25"/>
    </row>
    <row r="785" spans="1:2" ht="15.75" thickBot="1" x14ac:dyDescent="0.3">
      <c r="A785" s="28"/>
      <c r="B785" s="25"/>
    </row>
    <row r="786" spans="1:2" ht="15.75" thickBot="1" x14ac:dyDescent="0.3">
      <c r="A786" s="28"/>
      <c r="B786" s="25"/>
    </row>
    <row r="787" spans="1:2" ht="15.75" thickBot="1" x14ac:dyDescent="0.3">
      <c r="A787" s="28"/>
      <c r="B787" s="25"/>
    </row>
    <row r="788" spans="1:2" ht="15.75" thickBot="1" x14ac:dyDescent="0.3">
      <c r="A788" s="28"/>
      <c r="B788" s="25"/>
    </row>
    <row r="789" spans="1:2" ht="15.75" thickBot="1" x14ac:dyDescent="0.3">
      <c r="A789" s="28"/>
      <c r="B789" s="25"/>
    </row>
    <row r="790" spans="1:2" ht="15.75" thickBot="1" x14ac:dyDescent="0.3">
      <c r="A790" s="28"/>
      <c r="B790" s="25"/>
    </row>
    <row r="791" spans="1:2" ht="15.75" thickBot="1" x14ac:dyDescent="0.3">
      <c r="A791" s="28"/>
      <c r="B791" s="25"/>
    </row>
    <row r="792" spans="1:2" ht="15.75" thickBot="1" x14ac:dyDescent="0.3">
      <c r="A792" s="28"/>
      <c r="B792" s="25"/>
    </row>
    <row r="793" spans="1:2" ht="15.75" thickBot="1" x14ac:dyDescent="0.3">
      <c r="A793" s="28"/>
      <c r="B793" s="25"/>
    </row>
    <row r="794" spans="1:2" ht="15.75" thickBot="1" x14ac:dyDescent="0.3">
      <c r="A794" s="28"/>
      <c r="B794" s="25"/>
    </row>
    <row r="795" spans="1:2" ht="15.75" thickBot="1" x14ac:dyDescent="0.3">
      <c r="A795" s="28"/>
      <c r="B795" s="25"/>
    </row>
    <row r="796" spans="1:2" ht="15.75" thickBot="1" x14ac:dyDescent="0.3">
      <c r="A796" s="28"/>
      <c r="B796" s="25"/>
    </row>
    <row r="797" spans="1:2" ht="15.75" thickBot="1" x14ac:dyDescent="0.3">
      <c r="A797" s="28"/>
      <c r="B797" s="25"/>
    </row>
    <row r="798" spans="1:2" ht="15.75" thickBot="1" x14ac:dyDescent="0.3">
      <c r="A798" s="28"/>
      <c r="B798" s="25"/>
    </row>
    <row r="799" spans="1:2" ht="15.75" thickBot="1" x14ac:dyDescent="0.3">
      <c r="A799" s="28"/>
      <c r="B799" s="25"/>
    </row>
    <row r="800" spans="1:2" ht="15.75" thickBot="1" x14ac:dyDescent="0.3">
      <c r="A800" s="28"/>
      <c r="B800" s="25"/>
    </row>
    <row r="801" spans="1:2" ht="15.75" thickBot="1" x14ac:dyDescent="0.3">
      <c r="A801" s="28"/>
      <c r="B801" s="25"/>
    </row>
    <row r="802" spans="1:2" ht="15.75" thickBot="1" x14ac:dyDescent="0.3">
      <c r="A802" s="28"/>
      <c r="B802" s="25"/>
    </row>
    <row r="803" spans="1:2" ht="15.75" thickBot="1" x14ac:dyDescent="0.3">
      <c r="A803" s="28"/>
      <c r="B803" s="25"/>
    </row>
    <row r="804" spans="1:2" ht="15.75" thickBot="1" x14ac:dyDescent="0.3">
      <c r="A804" s="28"/>
      <c r="B804" s="25"/>
    </row>
    <row r="805" spans="1:2" ht="15.75" thickBot="1" x14ac:dyDescent="0.3">
      <c r="A805" s="28"/>
      <c r="B805" s="25"/>
    </row>
    <row r="806" spans="1:2" ht="15.75" thickBot="1" x14ac:dyDescent="0.3">
      <c r="A806" s="28"/>
      <c r="B806" s="25"/>
    </row>
    <row r="807" spans="1:2" ht="15.75" thickBot="1" x14ac:dyDescent="0.3">
      <c r="A807" s="28"/>
      <c r="B807" s="25"/>
    </row>
    <row r="808" spans="1:2" ht="15.75" thickBot="1" x14ac:dyDescent="0.3">
      <c r="A808" s="28"/>
      <c r="B808" s="25"/>
    </row>
    <row r="809" spans="1:2" ht="15.75" thickBot="1" x14ac:dyDescent="0.3">
      <c r="A809" s="28"/>
      <c r="B809" s="25"/>
    </row>
    <row r="810" spans="1:2" ht="15.75" thickBot="1" x14ac:dyDescent="0.3">
      <c r="A810" s="28"/>
      <c r="B810" s="25"/>
    </row>
    <row r="811" spans="1:2" ht="15.75" thickBot="1" x14ac:dyDescent="0.3">
      <c r="A811" s="28"/>
      <c r="B811" s="25"/>
    </row>
    <row r="812" spans="1:2" ht="15.75" thickBot="1" x14ac:dyDescent="0.3">
      <c r="A812" s="28"/>
      <c r="B812" s="25"/>
    </row>
    <row r="813" spans="1:2" ht="15.75" thickBot="1" x14ac:dyDescent="0.3">
      <c r="A813" s="28"/>
      <c r="B813" s="25"/>
    </row>
    <row r="814" spans="1:2" ht="15.75" thickBot="1" x14ac:dyDescent="0.3">
      <c r="A814" s="28"/>
      <c r="B814" s="25"/>
    </row>
    <row r="815" spans="1:2" ht="15.75" thickBot="1" x14ac:dyDescent="0.3">
      <c r="A815" s="28"/>
      <c r="B815" s="25"/>
    </row>
    <row r="816" spans="1:2" ht="15.75" thickBot="1" x14ac:dyDescent="0.3">
      <c r="A816" s="28"/>
      <c r="B816" s="25"/>
    </row>
    <row r="817" spans="1:2" ht="15.75" thickBot="1" x14ac:dyDescent="0.3">
      <c r="A817" s="28"/>
      <c r="B817" s="25"/>
    </row>
    <row r="818" spans="1:2" ht="15.75" thickBot="1" x14ac:dyDescent="0.3">
      <c r="A818" s="28"/>
      <c r="B818" s="25"/>
    </row>
    <row r="819" spans="1:2" ht="15.75" thickBot="1" x14ac:dyDescent="0.3">
      <c r="A819" s="28"/>
      <c r="B819" s="25"/>
    </row>
    <row r="820" spans="1:2" ht="15.75" thickBot="1" x14ac:dyDescent="0.3">
      <c r="A820" s="28"/>
      <c r="B820" s="25"/>
    </row>
    <row r="821" spans="1:2" ht="15.75" thickBot="1" x14ac:dyDescent="0.3">
      <c r="A821" s="28"/>
      <c r="B821" s="25"/>
    </row>
    <row r="822" spans="1:2" ht="15.75" thickBot="1" x14ac:dyDescent="0.3">
      <c r="A822" s="28"/>
      <c r="B822" s="25"/>
    </row>
    <row r="823" spans="1:2" ht="15.75" thickBot="1" x14ac:dyDescent="0.3">
      <c r="A823" s="28"/>
      <c r="B823" s="25"/>
    </row>
    <row r="824" spans="1:2" ht="15.75" thickBot="1" x14ac:dyDescent="0.3">
      <c r="A824" s="28"/>
      <c r="B824" s="25"/>
    </row>
    <row r="825" spans="1:2" ht="15.75" thickBot="1" x14ac:dyDescent="0.3">
      <c r="A825" s="28"/>
      <c r="B825" s="25"/>
    </row>
    <row r="826" spans="1:2" ht="15.75" thickBot="1" x14ac:dyDescent="0.3">
      <c r="A826" s="28"/>
      <c r="B826" s="25"/>
    </row>
    <row r="827" spans="1:2" ht="15.75" thickBot="1" x14ac:dyDescent="0.3">
      <c r="A827" s="28"/>
      <c r="B827" s="25"/>
    </row>
    <row r="828" spans="1:2" ht="15.75" thickBot="1" x14ac:dyDescent="0.3">
      <c r="A828" s="28"/>
      <c r="B828" s="25"/>
    </row>
    <row r="829" spans="1:2" ht="15.75" thickBot="1" x14ac:dyDescent="0.3">
      <c r="A829" s="28"/>
      <c r="B829" s="25"/>
    </row>
    <row r="830" spans="1:2" ht="15.75" thickBot="1" x14ac:dyDescent="0.3">
      <c r="A830" s="28"/>
      <c r="B830" s="25"/>
    </row>
    <row r="831" spans="1:2" ht="15.75" thickBot="1" x14ac:dyDescent="0.3">
      <c r="A831" s="28"/>
      <c r="B831" s="25"/>
    </row>
    <row r="832" spans="1:2" ht="15.75" thickBot="1" x14ac:dyDescent="0.3">
      <c r="A832" s="28"/>
      <c r="B832" s="25"/>
    </row>
    <row r="833" spans="1:2" ht="15.75" thickBot="1" x14ac:dyDescent="0.3">
      <c r="A833" s="28"/>
      <c r="B833" s="25"/>
    </row>
    <row r="834" spans="1:2" ht="15.75" thickBot="1" x14ac:dyDescent="0.3">
      <c r="A834" s="28"/>
      <c r="B834" s="25"/>
    </row>
    <row r="835" spans="1:2" ht="15.75" thickBot="1" x14ac:dyDescent="0.3">
      <c r="A835" s="28"/>
      <c r="B835" s="25"/>
    </row>
    <row r="836" spans="1:2" ht="15.75" thickBot="1" x14ac:dyDescent="0.3">
      <c r="A836" s="28"/>
      <c r="B836" s="25"/>
    </row>
    <row r="837" spans="1:2" ht="15.75" thickBot="1" x14ac:dyDescent="0.3">
      <c r="A837" s="28"/>
      <c r="B837" s="25"/>
    </row>
    <row r="838" spans="1:2" ht="15.75" thickBot="1" x14ac:dyDescent="0.3">
      <c r="A838" s="28"/>
      <c r="B838" s="25"/>
    </row>
    <row r="839" spans="1:2" ht="15.75" thickBot="1" x14ac:dyDescent="0.3">
      <c r="A839" s="28"/>
      <c r="B839" s="25"/>
    </row>
    <row r="840" spans="1:2" ht="15.75" thickBot="1" x14ac:dyDescent="0.3">
      <c r="A840" s="28"/>
      <c r="B840" s="25"/>
    </row>
    <row r="841" spans="1:2" ht="15.75" thickBot="1" x14ac:dyDescent="0.3">
      <c r="A841" s="28"/>
      <c r="B841" s="25"/>
    </row>
    <row r="842" spans="1:2" ht="15.75" thickBot="1" x14ac:dyDescent="0.3">
      <c r="A842" s="28"/>
      <c r="B842" s="25"/>
    </row>
    <row r="843" spans="1:2" ht="15.75" thickBot="1" x14ac:dyDescent="0.3">
      <c r="A843" s="28"/>
      <c r="B843" s="25"/>
    </row>
    <row r="844" spans="1:2" ht="15.75" thickBot="1" x14ac:dyDescent="0.3">
      <c r="A844" s="28"/>
      <c r="B844" s="25"/>
    </row>
    <row r="845" spans="1:2" ht="15.75" thickBot="1" x14ac:dyDescent="0.3">
      <c r="A845" s="28"/>
      <c r="B845" s="25"/>
    </row>
    <row r="846" spans="1:2" ht="15.75" thickBot="1" x14ac:dyDescent="0.3">
      <c r="A846" s="28"/>
      <c r="B846" s="25"/>
    </row>
    <row r="847" spans="1:2" ht="15.75" thickBot="1" x14ac:dyDescent="0.3">
      <c r="A847" s="28"/>
      <c r="B847" s="25"/>
    </row>
    <row r="848" spans="1:2" ht="15.75" thickBot="1" x14ac:dyDescent="0.3">
      <c r="A848" s="28"/>
      <c r="B848" s="25"/>
    </row>
    <row r="849" spans="1:2" ht="15.75" thickBot="1" x14ac:dyDescent="0.3">
      <c r="A849" s="28"/>
      <c r="B849" s="25"/>
    </row>
    <row r="850" spans="1:2" ht="15.75" thickBot="1" x14ac:dyDescent="0.3">
      <c r="A850" s="28"/>
      <c r="B850" s="25"/>
    </row>
    <row r="851" spans="1:2" ht="15.75" thickBot="1" x14ac:dyDescent="0.3">
      <c r="A851" s="28"/>
      <c r="B851" s="25"/>
    </row>
    <row r="852" spans="1:2" ht="15.75" thickBot="1" x14ac:dyDescent="0.3">
      <c r="A852" s="28"/>
      <c r="B852" s="25"/>
    </row>
    <row r="853" spans="1:2" ht="15.75" thickBot="1" x14ac:dyDescent="0.3">
      <c r="A853" s="28"/>
      <c r="B853" s="25"/>
    </row>
    <row r="854" spans="1:2" ht="15.75" thickBot="1" x14ac:dyDescent="0.3">
      <c r="A854" s="28"/>
      <c r="B854" s="25"/>
    </row>
    <row r="855" spans="1:2" ht="15.75" thickBot="1" x14ac:dyDescent="0.3">
      <c r="A855" s="28"/>
      <c r="B855" s="25"/>
    </row>
    <row r="856" spans="1:2" ht="15.75" thickBot="1" x14ac:dyDescent="0.3">
      <c r="A856" s="28"/>
      <c r="B856" s="25"/>
    </row>
    <row r="857" spans="1:2" ht="15.75" thickBot="1" x14ac:dyDescent="0.3">
      <c r="A857" s="28"/>
      <c r="B857" s="25"/>
    </row>
    <row r="858" spans="1:2" ht="15.75" thickBot="1" x14ac:dyDescent="0.3">
      <c r="A858" s="28"/>
      <c r="B858" s="25"/>
    </row>
    <row r="859" spans="1:2" ht="15.75" thickBot="1" x14ac:dyDescent="0.3">
      <c r="A859" s="28"/>
      <c r="B859" s="25"/>
    </row>
    <row r="860" spans="1:2" ht="15.75" thickBot="1" x14ac:dyDescent="0.3">
      <c r="A860" s="28"/>
      <c r="B860" s="25"/>
    </row>
    <row r="861" spans="1:2" ht="15.75" thickBot="1" x14ac:dyDescent="0.3">
      <c r="A861" s="28"/>
      <c r="B861" s="25"/>
    </row>
    <row r="862" spans="1:2" ht="15.75" thickBot="1" x14ac:dyDescent="0.3">
      <c r="A862" s="28"/>
      <c r="B862" s="25"/>
    </row>
    <row r="863" spans="1:2" ht="15.75" thickBot="1" x14ac:dyDescent="0.3">
      <c r="A863" s="28"/>
      <c r="B863" s="25"/>
    </row>
    <row r="864" spans="1:2" ht="15.75" thickBot="1" x14ac:dyDescent="0.3">
      <c r="A864" s="28"/>
      <c r="B864" s="25"/>
    </row>
    <row r="865" spans="1:2" ht="15.75" thickBot="1" x14ac:dyDescent="0.3">
      <c r="A865" s="28"/>
      <c r="B865" s="25"/>
    </row>
    <row r="866" spans="1:2" ht="15.75" thickBot="1" x14ac:dyDescent="0.3">
      <c r="A866" s="28"/>
      <c r="B866" s="25"/>
    </row>
    <row r="867" spans="1:2" ht="15.75" thickBot="1" x14ac:dyDescent="0.3">
      <c r="A867" s="28"/>
      <c r="B867" s="25"/>
    </row>
    <row r="868" spans="1:2" ht="15.75" thickBot="1" x14ac:dyDescent="0.3">
      <c r="A868" s="28"/>
      <c r="B868" s="25"/>
    </row>
    <row r="869" spans="1:2" ht="15.75" thickBot="1" x14ac:dyDescent="0.3">
      <c r="A869" s="28"/>
      <c r="B869" s="25"/>
    </row>
    <row r="870" spans="1:2" ht="15.75" thickBot="1" x14ac:dyDescent="0.3">
      <c r="A870" s="28"/>
      <c r="B870" s="25"/>
    </row>
    <row r="871" spans="1:2" ht="15.75" thickBot="1" x14ac:dyDescent="0.3">
      <c r="A871" s="28"/>
      <c r="B871" s="25"/>
    </row>
    <row r="872" spans="1:2" ht="15.75" thickBot="1" x14ac:dyDescent="0.3">
      <c r="A872" s="28"/>
      <c r="B872" s="25"/>
    </row>
    <row r="873" spans="1:2" ht="15.75" thickBot="1" x14ac:dyDescent="0.3">
      <c r="A873" s="28"/>
      <c r="B873" s="25"/>
    </row>
    <row r="874" spans="1:2" ht="15.75" thickBot="1" x14ac:dyDescent="0.3">
      <c r="A874" s="28"/>
      <c r="B874" s="25"/>
    </row>
    <row r="875" spans="1:2" ht="15.75" thickBot="1" x14ac:dyDescent="0.3">
      <c r="A875" s="28"/>
      <c r="B875" s="25"/>
    </row>
    <row r="876" spans="1:2" ht="15.75" thickBot="1" x14ac:dyDescent="0.3">
      <c r="A876" s="28"/>
      <c r="B876" s="25"/>
    </row>
    <row r="877" spans="1:2" ht="15.75" thickBot="1" x14ac:dyDescent="0.3">
      <c r="A877" s="28"/>
      <c r="B877" s="25"/>
    </row>
    <row r="878" spans="1:2" ht="15.75" thickBot="1" x14ac:dyDescent="0.3">
      <c r="A878" s="28"/>
      <c r="B878" s="25"/>
    </row>
    <row r="879" spans="1:2" ht="15.75" thickBot="1" x14ac:dyDescent="0.3">
      <c r="A879" s="28"/>
      <c r="B879" s="25"/>
    </row>
    <row r="880" spans="1:2" ht="15.75" thickBot="1" x14ac:dyDescent="0.3">
      <c r="A880" s="28"/>
      <c r="B880" s="25"/>
    </row>
    <row r="881" spans="1:2" ht="15.75" thickBot="1" x14ac:dyDescent="0.3">
      <c r="A881" s="28"/>
      <c r="B881" s="25"/>
    </row>
    <row r="882" spans="1:2" ht="15.75" thickBot="1" x14ac:dyDescent="0.3">
      <c r="A882" s="28"/>
      <c r="B882" s="25"/>
    </row>
    <row r="883" spans="1:2" ht="15.75" thickBot="1" x14ac:dyDescent="0.3">
      <c r="A883" s="28"/>
      <c r="B883" s="25"/>
    </row>
    <row r="884" spans="1:2" ht="15.75" thickBot="1" x14ac:dyDescent="0.3">
      <c r="A884" s="28"/>
      <c r="B884" s="25"/>
    </row>
    <row r="885" spans="1:2" ht="15.75" thickBot="1" x14ac:dyDescent="0.3">
      <c r="A885" s="28"/>
      <c r="B885" s="25"/>
    </row>
    <row r="886" spans="1:2" ht="15.75" thickBot="1" x14ac:dyDescent="0.3">
      <c r="A886" s="28"/>
      <c r="B886" s="25"/>
    </row>
    <row r="887" spans="1:2" ht="15.75" thickBot="1" x14ac:dyDescent="0.3">
      <c r="A887" s="28"/>
      <c r="B887" s="25"/>
    </row>
    <row r="888" spans="1:2" ht="15.75" thickBot="1" x14ac:dyDescent="0.3">
      <c r="A888" s="28"/>
      <c r="B888" s="25"/>
    </row>
    <row r="889" spans="1:2" ht="15.75" thickBot="1" x14ac:dyDescent="0.3">
      <c r="A889" s="28"/>
      <c r="B889" s="25"/>
    </row>
    <row r="890" spans="1:2" ht="15.75" thickBot="1" x14ac:dyDescent="0.3">
      <c r="A890" s="28"/>
      <c r="B890" s="25"/>
    </row>
    <row r="891" spans="1:2" ht="15.75" thickBot="1" x14ac:dyDescent="0.3">
      <c r="A891" s="28"/>
      <c r="B891" s="25"/>
    </row>
    <row r="892" spans="1:2" ht="15.75" thickBot="1" x14ac:dyDescent="0.3">
      <c r="A892" s="28"/>
      <c r="B892" s="25"/>
    </row>
    <row r="893" spans="1:2" ht="15.75" thickBot="1" x14ac:dyDescent="0.3">
      <c r="A893" s="28"/>
      <c r="B893" s="25"/>
    </row>
    <row r="894" spans="1:2" ht="15.75" thickBot="1" x14ac:dyDescent="0.3">
      <c r="A894" s="28"/>
      <c r="B894" s="25"/>
    </row>
    <row r="895" spans="1:2" ht="15.75" thickBot="1" x14ac:dyDescent="0.3">
      <c r="A895" s="28"/>
      <c r="B895" s="25"/>
    </row>
    <row r="896" spans="1:2" ht="15.75" thickBot="1" x14ac:dyDescent="0.3">
      <c r="A896" s="28"/>
      <c r="B896" s="25"/>
    </row>
    <row r="897" spans="1:2" ht="15.75" thickBot="1" x14ac:dyDescent="0.3">
      <c r="A897" s="28"/>
      <c r="B897" s="25"/>
    </row>
    <row r="898" spans="1:2" ht="15.75" thickBot="1" x14ac:dyDescent="0.3">
      <c r="A898" s="28"/>
      <c r="B898" s="25"/>
    </row>
    <row r="899" spans="1:2" ht="15.75" thickBot="1" x14ac:dyDescent="0.3">
      <c r="A899" s="28"/>
      <c r="B899" s="25"/>
    </row>
    <row r="900" spans="1:2" ht="15.75" thickBot="1" x14ac:dyDescent="0.3">
      <c r="A900" s="28"/>
      <c r="B900" s="25"/>
    </row>
    <row r="901" spans="1:2" ht="15.75" thickBot="1" x14ac:dyDescent="0.3">
      <c r="A901" s="28"/>
      <c r="B901" s="25"/>
    </row>
    <row r="902" spans="1:2" ht="15.75" thickBot="1" x14ac:dyDescent="0.3">
      <c r="A902" s="28"/>
      <c r="B902" s="25"/>
    </row>
    <row r="903" spans="1:2" ht="15.75" thickBot="1" x14ac:dyDescent="0.3">
      <c r="A903" s="28"/>
      <c r="B903" s="25"/>
    </row>
    <row r="904" spans="1:2" ht="15.75" thickBot="1" x14ac:dyDescent="0.3">
      <c r="A904" s="28"/>
      <c r="B904" s="25"/>
    </row>
    <row r="905" spans="1:2" ht="15.75" thickBot="1" x14ac:dyDescent="0.3">
      <c r="A905" s="28"/>
      <c r="B905" s="25"/>
    </row>
    <row r="906" spans="1:2" ht="15.75" thickBot="1" x14ac:dyDescent="0.3">
      <c r="A906" s="28"/>
      <c r="B906" s="25"/>
    </row>
    <row r="907" spans="1:2" ht="15.75" thickBot="1" x14ac:dyDescent="0.3">
      <c r="A907" s="28"/>
      <c r="B907" s="25"/>
    </row>
    <row r="908" spans="1:2" ht="15.75" thickBot="1" x14ac:dyDescent="0.3">
      <c r="A908" s="28"/>
      <c r="B908" s="25"/>
    </row>
    <row r="909" spans="1:2" ht="15.75" thickBot="1" x14ac:dyDescent="0.3">
      <c r="A909" s="28"/>
      <c r="B909" s="25"/>
    </row>
    <row r="910" spans="1:2" ht="15.75" thickBot="1" x14ac:dyDescent="0.3">
      <c r="A910" s="28"/>
      <c r="B910" s="25"/>
    </row>
    <row r="911" spans="1:2" ht="15.75" thickBot="1" x14ac:dyDescent="0.3">
      <c r="A911" s="28"/>
      <c r="B911" s="25"/>
    </row>
    <row r="912" spans="1:2" ht="15.75" thickBot="1" x14ac:dyDescent="0.3">
      <c r="A912" s="28"/>
      <c r="B912" s="25"/>
    </row>
    <row r="913" spans="1:2" ht="15.75" thickBot="1" x14ac:dyDescent="0.3">
      <c r="A913" s="28"/>
      <c r="B913" s="25"/>
    </row>
    <row r="914" spans="1:2" ht="15.75" thickBot="1" x14ac:dyDescent="0.3">
      <c r="A914" s="28"/>
      <c r="B914" s="25"/>
    </row>
    <row r="915" spans="1:2" ht="15.75" thickBot="1" x14ac:dyDescent="0.3">
      <c r="A915" s="28"/>
      <c r="B915" s="25"/>
    </row>
    <row r="916" spans="1:2" ht="15.75" thickBot="1" x14ac:dyDescent="0.3">
      <c r="A916" s="28"/>
      <c r="B916" s="25"/>
    </row>
    <row r="917" spans="1:2" ht="15.75" thickBot="1" x14ac:dyDescent="0.3">
      <c r="A917" s="28"/>
      <c r="B917" s="25"/>
    </row>
    <row r="918" spans="1:2" ht="15.75" thickBot="1" x14ac:dyDescent="0.3">
      <c r="A918" s="28"/>
      <c r="B918" s="25"/>
    </row>
    <row r="919" spans="1:2" ht="15.75" thickBot="1" x14ac:dyDescent="0.3">
      <c r="A919" s="28"/>
      <c r="B919" s="25"/>
    </row>
    <row r="920" spans="1:2" ht="15.75" thickBot="1" x14ac:dyDescent="0.3">
      <c r="A920" s="28"/>
      <c r="B920" s="25"/>
    </row>
    <row r="921" spans="1:2" ht="15.75" thickBot="1" x14ac:dyDescent="0.3">
      <c r="A921" s="28"/>
      <c r="B921" s="25"/>
    </row>
    <row r="922" spans="1:2" ht="15.75" thickBot="1" x14ac:dyDescent="0.3">
      <c r="A922" s="28"/>
      <c r="B922" s="25"/>
    </row>
    <row r="923" spans="1:2" ht="15.75" thickBot="1" x14ac:dyDescent="0.3">
      <c r="A923" s="28"/>
      <c r="B923" s="25"/>
    </row>
    <row r="924" spans="1:2" ht="15.75" thickBot="1" x14ac:dyDescent="0.3">
      <c r="A924" s="28"/>
      <c r="B924" s="25"/>
    </row>
    <row r="925" spans="1:2" ht="15.75" thickBot="1" x14ac:dyDescent="0.3">
      <c r="A925" s="28"/>
      <c r="B925" s="25"/>
    </row>
    <row r="926" spans="1:2" ht="15.75" thickBot="1" x14ac:dyDescent="0.3">
      <c r="A926" s="28"/>
      <c r="B926" s="25"/>
    </row>
    <row r="927" spans="1:2" ht="15.75" thickBot="1" x14ac:dyDescent="0.3">
      <c r="A927" s="28"/>
      <c r="B927" s="25"/>
    </row>
    <row r="928" spans="1:2" ht="15.75" thickBot="1" x14ac:dyDescent="0.3">
      <c r="A928" s="28"/>
      <c r="B928" s="25"/>
    </row>
    <row r="929" spans="1:2" ht="15.75" thickBot="1" x14ac:dyDescent="0.3">
      <c r="A929" s="28"/>
      <c r="B929" s="25"/>
    </row>
    <row r="930" spans="1:2" ht="15.75" thickBot="1" x14ac:dyDescent="0.3">
      <c r="A930" s="28"/>
      <c r="B930" s="25"/>
    </row>
    <row r="931" spans="1:2" ht="15.75" thickBot="1" x14ac:dyDescent="0.3">
      <c r="A931" s="28"/>
      <c r="B931" s="25"/>
    </row>
    <row r="932" spans="1:2" ht="15.75" thickBot="1" x14ac:dyDescent="0.3">
      <c r="A932" s="28"/>
      <c r="B932" s="25"/>
    </row>
    <row r="933" spans="1:2" ht="15.75" thickBot="1" x14ac:dyDescent="0.3">
      <c r="A933" s="28"/>
      <c r="B933" s="25"/>
    </row>
    <row r="934" spans="1:2" ht="15.75" thickBot="1" x14ac:dyDescent="0.3">
      <c r="A934" s="28"/>
      <c r="B934" s="25"/>
    </row>
    <row r="935" spans="1:2" ht="15.75" thickBot="1" x14ac:dyDescent="0.3">
      <c r="A935" s="28"/>
      <c r="B935" s="25"/>
    </row>
    <row r="936" spans="1:2" ht="15.75" thickBot="1" x14ac:dyDescent="0.3">
      <c r="A936" s="28"/>
      <c r="B936" s="25"/>
    </row>
    <row r="937" spans="1:2" ht="15.75" thickBot="1" x14ac:dyDescent="0.3">
      <c r="A937" s="28"/>
      <c r="B937" s="25"/>
    </row>
    <row r="938" spans="1:2" ht="15.75" thickBot="1" x14ac:dyDescent="0.3">
      <c r="A938" s="28"/>
      <c r="B938" s="25"/>
    </row>
    <row r="939" spans="1:2" ht="15.75" thickBot="1" x14ac:dyDescent="0.3">
      <c r="A939" s="28"/>
      <c r="B939" s="25"/>
    </row>
    <row r="940" spans="1:2" ht="15.75" thickBot="1" x14ac:dyDescent="0.3">
      <c r="A940" s="28"/>
      <c r="B940" s="25"/>
    </row>
    <row r="941" spans="1:2" ht="15.75" thickBot="1" x14ac:dyDescent="0.3">
      <c r="A941" s="28"/>
      <c r="B941" s="25"/>
    </row>
    <row r="942" spans="1:2" ht="15.75" thickBot="1" x14ac:dyDescent="0.3">
      <c r="A942" s="28"/>
      <c r="B942" s="25"/>
    </row>
    <row r="943" spans="1:2" ht="15.75" thickBot="1" x14ac:dyDescent="0.3">
      <c r="A943" s="28"/>
      <c r="B943" s="25"/>
    </row>
    <row r="944" spans="1:2" ht="15.75" thickBot="1" x14ac:dyDescent="0.3">
      <c r="A944" s="28"/>
      <c r="B944" s="25"/>
    </row>
    <row r="945" spans="1:2" ht="15.75" thickBot="1" x14ac:dyDescent="0.3">
      <c r="A945" s="28"/>
      <c r="B945" s="25"/>
    </row>
    <row r="946" spans="1:2" ht="15.75" thickBot="1" x14ac:dyDescent="0.3">
      <c r="A946" s="28"/>
      <c r="B946" s="25"/>
    </row>
    <row r="947" spans="1:2" ht="15.75" thickBot="1" x14ac:dyDescent="0.3">
      <c r="A947" s="28"/>
      <c r="B947" s="25"/>
    </row>
    <row r="948" spans="1:2" ht="15.75" thickBot="1" x14ac:dyDescent="0.3">
      <c r="A948" s="28"/>
      <c r="B948" s="25"/>
    </row>
    <row r="949" spans="1:2" ht="15.75" thickBot="1" x14ac:dyDescent="0.3">
      <c r="A949" s="28"/>
      <c r="B949" s="25"/>
    </row>
    <row r="950" spans="1:2" ht="15.75" thickBot="1" x14ac:dyDescent="0.3">
      <c r="A950" s="28"/>
      <c r="B950" s="25"/>
    </row>
    <row r="951" spans="1:2" ht="15.75" thickBot="1" x14ac:dyDescent="0.3">
      <c r="A951" s="28"/>
      <c r="B951" s="25"/>
    </row>
    <row r="952" spans="1:2" ht="15.75" thickBot="1" x14ac:dyDescent="0.3">
      <c r="A952" s="28"/>
      <c r="B952" s="25"/>
    </row>
    <row r="953" spans="1:2" ht="15.75" thickBot="1" x14ac:dyDescent="0.3">
      <c r="A953" s="28"/>
      <c r="B953" s="25"/>
    </row>
    <row r="954" spans="1:2" ht="15.75" thickBot="1" x14ac:dyDescent="0.3">
      <c r="A954" s="28"/>
      <c r="B954" s="25"/>
    </row>
    <row r="955" spans="1:2" ht="15.75" thickBot="1" x14ac:dyDescent="0.3">
      <c r="A955" s="28"/>
      <c r="B955" s="25"/>
    </row>
    <row r="956" spans="1:2" ht="15.75" thickBot="1" x14ac:dyDescent="0.3">
      <c r="A956" s="28"/>
      <c r="B956" s="25"/>
    </row>
    <row r="957" spans="1:2" ht="15.75" thickBot="1" x14ac:dyDescent="0.3">
      <c r="A957" s="28"/>
      <c r="B957" s="25"/>
    </row>
    <row r="958" spans="1:2" ht="15.75" thickBot="1" x14ac:dyDescent="0.3">
      <c r="A958" s="28"/>
      <c r="B958" s="25"/>
    </row>
    <row r="959" spans="1:2" ht="15.75" thickBot="1" x14ac:dyDescent="0.3">
      <c r="A959" s="28"/>
      <c r="B959" s="25"/>
    </row>
    <row r="960" spans="1:2" ht="15.75" thickBot="1" x14ac:dyDescent="0.3">
      <c r="A960" s="28"/>
      <c r="B960" s="25"/>
    </row>
    <row r="961" spans="1:2" ht="15.75" thickBot="1" x14ac:dyDescent="0.3">
      <c r="A961" s="28"/>
      <c r="B961" s="25"/>
    </row>
    <row r="962" spans="1:2" ht="15.75" thickBot="1" x14ac:dyDescent="0.3">
      <c r="A962" s="28"/>
      <c r="B962" s="25"/>
    </row>
    <row r="963" spans="1:2" ht="15.75" thickBot="1" x14ac:dyDescent="0.3">
      <c r="A963" s="28"/>
      <c r="B963" s="25"/>
    </row>
    <row r="964" spans="1:2" ht="15.75" thickBot="1" x14ac:dyDescent="0.3">
      <c r="A964" s="28"/>
      <c r="B964" s="25"/>
    </row>
    <row r="965" spans="1:2" ht="15.75" thickBot="1" x14ac:dyDescent="0.3">
      <c r="A965" s="28"/>
      <c r="B965" s="25"/>
    </row>
    <row r="966" spans="1:2" ht="15.75" thickBot="1" x14ac:dyDescent="0.3">
      <c r="A966" s="28"/>
      <c r="B966" s="25"/>
    </row>
    <row r="967" spans="1:2" ht="15.75" thickBot="1" x14ac:dyDescent="0.3">
      <c r="A967" s="28"/>
      <c r="B967" s="25"/>
    </row>
    <row r="968" spans="1:2" ht="15.75" thickBot="1" x14ac:dyDescent="0.3">
      <c r="A968" s="28"/>
      <c r="B968" s="25"/>
    </row>
    <row r="969" spans="1:2" ht="15.75" thickBot="1" x14ac:dyDescent="0.3">
      <c r="A969" s="28"/>
      <c r="B969" s="25"/>
    </row>
    <row r="970" spans="1:2" ht="15.75" thickBot="1" x14ac:dyDescent="0.3">
      <c r="A970" s="28"/>
      <c r="B970" s="25"/>
    </row>
    <row r="971" spans="1:2" ht="15.75" thickBot="1" x14ac:dyDescent="0.3">
      <c r="A971" s="28"/>
      <c r="B971" s="25"/>
    </row>
    <row r="972" spans="1:2" ht="15.75" thickBot="1" x14ac:dyDescent="0.3">
      <c r="A972" s="28"/>
      <c r="B972" s="25"/>
    </row>
    <row r="973" spans="1:2" ht="15.75" thickBot="1" x14ac:dyDescent="0.3">
      <c r="A973" s="28"/>
      <c r="B973" s="25"/>
    </row>
    <row r="974" spans="1:2" ht="15.75" thickBot="1" x14ac:dyDescent="0.3">
      <c r="A974" s="28"/>
      <c r="B974" s="25"/>
    </row>
    <row r="975" spans="1:2" ht="15.75" thickBot="1" x14ac:dyDescent="0.3">
      <c r="A975" s="28"/>
      <c r="B975" s="25"/>
    </row>
    <row r="976" spans="1:2" ht="15.75" thickBot="1" x14ac:dyDescent="0.3">
      <c r="A976" s="28"/>
      <c r="B976" s="25"/>
    </row>
    <row r="977" spans="1:2" ht="15.75" thickBot="1" x14ac:dyDescent="0.3">
      <c r="A977" s="28"/>
      <c r="B977" s="25"/>
    </row>
    <row r="978" spans="1:2" ht="15.75" thickBot="1" x14ac:dyDescent="0.3">
      <c r="A978" s="28"/>
      <c r="B978" s="25"/>
    </row>
    <row r="979" spans="1:2" ht="15.75" thickBot="1" x14ac:dyDescent="0.3">
      <c r="A979" s="28"/>
      <c r="B979" s="25"/>
    </row>
    <row r="980" spans="1:2" ht="15.75" thickBot="1" x14ac:dyDescent="0.3">
      <c r="A980" s="28"/>
      <c r="B980" s="25"/>
    </row>
    <row r="981" spans="1:2" ht="15.75" thickBot="1" x14ac:dyDescent="0.3">
      <c r="A981" s="28"/>
      <c r="B981" s="25"/>
    </row>
    <row r="982" spans="1:2" ht="15.75" thickBot="1" x14ac:dyDescent="0.3">
      <c r="A982" s="28"/>
      <c r="B982" s="25"/>
    </row>
    <row r="983" spans="1:2" ht="15.75" thickBot="1" x14ac:dyDescent="0.3">
      <c r="A983" s="28"/>
      <c r="B983" s="25"/>
    </row>
    <row r="984" spans="1:2" ht="15.75" thickBot="1" x14ac:dyDescent="0.3">
      <c r="A984" s="28"/>
      <c r="B984" s="25"/>
    </row>
    <row r="985" spans="1:2" ht="15.75" thickBot="1" x14ac:dyDescent="0.3">
      <c r="A985" s="28"/>
      <c r="B985" s="25"/>
    </row>
    <row r="986" spans="1:2" ht="15.75" thickBot="1" x14ac:dyDescent="0.3">
      <c r="A986" s="28"/>
      <c r="B986" s="25"/>
    </row>
    <row r="987" spans="1:2" ht="15.75" thickBot="1" x14ac:dyDescent="0.3">
      <c r="A987" s="28"/>
      <c r="B987" s="25"/>
    </row>
    <row r="988" spans="1:2" ht="15.75" thickBot="1" x14ac:dyDescent="0.3">
      <c r="A988" s="28"/>
      <c r="B988" s="25"/>
    </row>
    <row r="989" spans="1:2" ht="15.75" thickBot="1" x14ac:dyDescent="0.3">
      <c r="A989" s="28"/>
      <c r="B989" s="25"/>
    </row>
    <row r="990" spans="1:2" ht="15.75" thickBot="1" x14ac:dyDescent="0.3">
      <c r="A990" s="28"/>
      <c r="B990" s="25"/>
    </row>
    <row r="991" spans="1:2" ht="15.75" thickBot="1" x14ac:dyDescent="0.3">
      <c r="A991" s="28"/>
      <c r="B991" s="25"/>
    </row>
    <row r="992" spans="1:2" ht="15.75" thickBot="1" x14ac:dyDescent="0.3">
      <c r="A992" s="28"/>
      <c r="B992" s="25"/>
    </row>
    <row r="993" spans="1:2" ht="15.75" thickBot="1" x14ac:dyDescent="0.3">
      <c r="A993" s="28"/>
      <c r="B993" s="25"/>
    </row>
    <row r="994" spans="1:2" ht="15.75" thickBot="1" x14ac:dyDescent="0.3">
      <c r="A994" s="28"/>
      <c r="B994" s="25"/>
    </row>
    <row r="995" spans="1:2" ht="15.75" thickBot="1" x14ac:dyDescent="0.3">
      <c r="A995" s="28"/>
      <c r="B995" s="25"/>
    </row>
    <row r="996" spans="1:2" ht="15.75" thickBot="1" x14ac:dyDescent="0.3">
      <c r="A996" s="28"/>
      <c r="B996" s="25"/>
    </row>
    <row r="997" spans="1:2" ht="15.75" thickBot="1" x14ac:dyDescent="0.3">
      <c r="A997" s="28"/>
      <c r="B997" s="25"/>
    </row>
    <row r="998" spans="1:2" ht="15.75" thickBot="1" x14ac:dyDescent="0.3">
      <c r="A998" s="28"/>
      <c r="B998" s="25"/>
    </row>
    <row r="999" spans="1:2" ht="15.75" thickBot="1" x14ac:dyDescent="0.3">
      <c r="A999" s="28"/>
      <c r="B999" s="25"/>
    </row>
    <row r="1000" spans="1:2" ht="15.75" thickBot="1" x14ac:dyDescent="0.3">
      <c r="A1000" s="28"/>
      <c r="B1000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Dashboard</vt:lpstr>
      <vt:lpstr>Data</vt:lpstr>
      <vt:lpstr>Forecast</vt:lpstr>
      <vt:lpstr>Weekly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2026-02-12T02:23:49Z</dcterms:modified>
</cp:coreProperties>
</file>