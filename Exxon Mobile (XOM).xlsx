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StockWorksheet\"/>
    </mc:Choice>
  </mc:AlternateContent>
  <xr:revisionPtr revIDLastSave="0" documentId="13_ncr:1_{E1067072-5F72-4992-80CE-A850B6A9EFA8}" xr6:coauthVersionLast="47" xr6:coauthVersionMax="47" xr10:uidLastSave="{00000000-0000-0000-0000-000000000000}"/>
  <bookViews>
    <workbookView xWindow="-120" yWindow="-120" windowWidth="20730" windowHeight="11040" xr2:uid="{92AFEA67-FCE1-458C-9A7E-ADF426D7B024}"/>
  </bookViews>
  <sheets>
    <sheet name="Dashboard" sheetId="7" r:id="rId1"/>
    <sheet name="Intro" sheetId="10" r:id="rId2"/>
    <sheet name="Data" sheetId="1" r:id="rId3"/>
    <sheet name="Forecast" sheetId="22" r:id="rId4"/>
    <sheet name="Weekly" sheetId="21" r:id="rId5"/>
    <sheet name="Dividends" sheetId="18" r:id="rId6"/>
  </sheets>
  <definedNames>
    <definedName name="data">Data!$1:$1048576</definedName>
    <definedName name="ExternalData_1" localSheetId="3" hidden="1">Forecast!$A$1:$B$61</definedName>
    <definedName name="FromArray_1">_xlfn.ANCHORARRAY(Data!$B$1)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52" i="1" l="1"/>
  <c r="Y253" i="1"/>
  <c r="Y254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15" i="1"/>
  <c r="C56" i="22"/>
  <c r="C57" i="22"/>
  <c r="C58" i="22"/>
  <c r="C60" i="22"/>
  <c r="C61" i="22"/>
  <c r="C59" i="22"/>
  <c r="C55" i="22"/>
  <c r="B1" i="1" a="1"/>
  <c r="B1" i="1" l="1"/>
  <c r="A3" i="1"/>
  <c r="A11" i="1"/>
  <c r="A19" i="1"/>
  <c r="A27" i="1"/>
  <c r="A35" i="1"/>
  <c r="A43" i="1"/>
  <c r="A51" i="1"/>
  <c r="A59" i="1"/>
  <c r="A67" i="1"/>
  <c r="A75" i="1"/>
  <c r="A83" i="1"/>
  <c r="A91" i="1"/>
  <c r="A99" i="1"/>
  <c r="A107" i="1"/>
  <c r="A115" i="1"/>
  <c r="A123" i="1"/>
  <c r="A131" i="1"/>
  <c r="A139" i="1"/>
  <c r="A147" i="1"/>
  <c r="A155" i="1"/>
  <c r="A163" i="1"/>
  <c r="A171" i="1"/>
  <c r="A179" i="1"/>
  <c r="A187" i="1"/>
  <c r="A195" i="1"/>
  <c r="A203" i="1"/>
  <c r="A211" i="1"/>
  <c r="A219" i="1"/>
  <c r="A227" i="1"/>
  <c r="A235" i="1"/>
  <c r="A243" i="1"/>
  <c r="A251" i="1"/>
  <c r="A4" i="1"/>
  <c r="A12" i="1"/>
  <c r="A20" i="1"/>
  <c r="A28" i="1"/>
  <c r="A36" i="1"/>
  <c r="A44" i="1"/>
  <c r="A52" i="1"/>
  <c r="A60" i="1"/>
  <c r="A68" i="1"/>
  <c r="A76" i="1"/>
  <c r="A84" i="1"/>
  <c r="A92" i="1"/>
  <c r="A100" i="1"/>
  <c r="A108" i="1"/>
  <c r="A116" i="1"/>
  <c r="A124" i="1"/>
  <c r="A132" i="1"/>
  <c r="A140" i="1"/>
  <c r="A148" i="1"/>
  <c r="A156" i="1"/>
  <c r="A164" i="1"/>
  <c r="A172" i="1"/>
  <c r="A180" i="1"/>
  <c r="A188" i="1"/>
  <c r="A196" i="1"/>
  <c r="A204" i="1"/>
  <c r="A212" i="1"/>
  <c r="A220" i="1"/>
  <c r="A228" i="1"/>
  <c r="A236" i="1"/>
  <c r="A244" i="1"/>
  <c r="A252" i="1"/>
  <c r="A5" i="1"/>
  <c r="A13" i="1"/>
  <c r="A21" i="1"/>
  <c r="A29" i="1"/>
  <c r="A37" i="1"/>
  <c r="A45" i="1"/>
  <c r="A53" i="1"/>
  <c r="A61" i="1"/>
  <c r="A69" i="1"/>
  <c r="A77" i="1"/>
  <c r="A85" i="1"/>
  <c r="A93" i="1"/>
  <c r="A101" i="1"/>
  <c r="A109" i="1"/>
  <c r="A117" i="1"/>
  <c r="A125" i="1"/>
  <c r="A133" i="1"/>
  <c r="A141" i="1"/>
  <c r="A149" i="1"/>
  <c r="A157" i="1"/>
  <c r="A165" i="1"/>
  <c r="A173" i="1"/>
  <c r="A181" i="1"/>
  <c r="A189" i="1"/>
  <c r="A197" i="1"/>
  <c r="A205" i="1"/>
  <c r="A213" i="1"/>
  <c r="A221" i="1"/>
  <c r="A229" i="1"/>
  <c r="A237" i="1"/>
  <c r="A245" i="1"/>
  <c r="A6" i="1"/>
  <c r="A14" i="1"/>
  <c r="A22" i="1"/>
  <c r="A30" i="1"/>
  <c r="A38" i="1"/>
  <c r="A46" i="1"/>
  <c r="A54" i="1"/>
  <c r="A62" i="1"/>
  <c r="A70" i="1"/>
  <c r="A78" i="1"/>
  <c r="A86" i="1"/>
  <c r="A94" i="1"/>
  <c r="A102" i="1"/>
  <c r="A110" i="1"/>
  <c r="A118" i="1"/>
  <c r="A126" i="1"/>
  <c r="A134" i="1"/>
  <c r="A142" i="1"/>
  <c r="A150" i="1"/>
  <c r="A158" i="1"/>
  <c r="A166" i="1"/>
  <c r="A174" i="1"/>
  <c r="A182" i="1"/>
  <c r="A190" i="1"/>
  <c r="A198" i="1"/>
  <c r="A206" i="1"/>
  <c r="A214" i="1"/>
  <c r="A222" i="1"/>
  <c r="A230" i="1"/>
  <c r="A238" i="1"/>
  <c r="A246" i="1"/>
  <c r="A7" i="1"/>
  <c r="A15" i="1"/>
  <c r="A23" i="1"/>
  <c r="A31" i="1"/>
  <c r="A39" i="1"/>
  <c r="A47" i="1"/>
  <c r="A55" i="1"/>
  <c r="A63" i="1"/>
  <c r="A71" i="1"/>
  <c r="A79" i="1"/>
  <c r="A87" i="1"/>
  <c r="A95" i="1"/>
  <c r="A103" i="1"/>
  <c r="A111" i="1"/>
  <c r="A119" i="1"/>
  <c r="A127" i="1"/>
  <c r="A135" i="1"/>
  <c r="A143" i="1"/>
  <c r="A151" i="1"/>
  <c r="A159" i="1"/>
  <c r="A167" i="1"/>
  <c r="A175" i="1"/>
  <c r="A183" i="1"/>
  <c r="A191" i="1"/>
  <c r="A199" i="1"/>
  <c r="A207" i="1"/>
  <c r="A215" i="1"/>
  <c r="A223" i="1"/>
  <c r="A231" i="1"/>
  <c r="A239" i="1"/>
  <c r="A247" i="1"/>
  <c r="A26" i="1"/>
  <c r="A82" i="1"/>
  <c r="A114" i="1"/>
  <c r="A138" i="1"/>
  <c r="A162" i="1"/>
  <c r="A186" i="1"/>
  <c r="A218" i="1"/>
  <c r="A250" i="1"/>
  <c r="A8" i="1"/>
  <c r="A16" i="1"/>
  <c r="A24" i="1"/>
  <c r="A32" i="1"/>
  <c r="A40" i="1"/>
  <c r="A48" i="1"/>
  <c r="A56" i="1"/>
  <c r="A64" i="1"/>
  <c r="A72" i="1"/>
  <c r="A80" i="1"/>
  <c r="A88" i="1"/>
  <c r="A96" i="1"/>
  <c r="A104" i="1"/>
  <c r="A112" i="1"/>
  <c r="A120" i="1"/>
  <c r="A128" i="1"/>
  <c r="A136" i="1"/>
  <c r="A144" i="1"/>
  <c r="A152" i="1"/>
  <c r="A160" i="1"/>
  <c r="A168" i="1"/>
  <c r="A176" i="1"/>
  <c r="A184" i="1"/>
  <c r="A192" i="1"/>
  <c r="A200" i="1"/>
  <c r="A208" i="1"/>
  <c r="A216" i="1"/>
  <c r="A224" i="1"/>
  <c r="A232" i="1"/>
  <c r="A240" i="1"/>
  <c r="A248" i="1"/>
  <c r="A18" i="1"/>
  <c r="A34" i="1"/>
  <c r="A50" i="1"/>
  <c r="A66" i="1"/>
  <c r="A90" i="1"/>
  <c r="A106" i="1"/>
  <c r="A130" i="1"/>
  <c r="A154" i="1"/>
  <c r="A178" i="1"/>
  <c r="A202" i="1"/>
  <c r="A242" i="1"/>
  <c r="A9" i="1"/>
  <c r="A17" i="1"/>
  <c r="A25" i="1"/>
  <c r="A33" i="1"/>
  <c r="A41" i="1"/>
  <c r="A49" i="1"/>
  <c r="A57" i="1"/>
  <c r="A65" i="1"/>
  <c r="A73" i="1"/>
  <c r="A81" i="1"/>
  <c r="A89" i="1"/>
  <c r="A97" i="1"/>
  <c r="A105" i="1"/>
  <c r="A113" i="1"/>
  <c r="A121" i="1"/>
  <c r="A129" i="1"/>
  <c r="A137" i="1"/>
  <c r="A145" i="1"/>
  <c r="A153" i="1"/>
  <c r="A161" i="1"/>
  <c r="A169" i="1"/>
  <c r="A177" i="1"/>
  <c r="A185" i="1"/>
  <c r="A193" i="1"/>
  <c r="A201" i="1"/>
  <c r="A209" i="1"/>
  <c r="A217" i="1"/>
  <c r="A225" i="1"/>
  <c r="A233" i="1"/>
  <c r="A241" i="1"/>
  <c r="A249" i="1"/>
  <c r="A10" i="1"/>
  <c r="A42" i="1"/>
  <c r="A58" i="1"/>
  <c r="A74" i="1"/>
  <c r="A98" i="1"/>
  <c r="A122" i="1"/>
  <c r="A146" i="1"/>
  <c r="A170" i="1"/>
  <c r="A194" i="1"/>
  <c r="A226" i="1"/>
  <c r="A210" i="1"/>
  <c r="A234" i="1"/>
  <c r="A2" i="1"/>
  <c r="AE5" i="1"/>
  <c r="AE4" i="1"/>
  <c r="AE3" i="1"/>
  <c r="AE2" i="1"/>
  <c r="AD5" i="1"/>
  <c r="AD4" i="1"/>
  <c r="AD3" i="1"/>
  <c r="AD2" i="1"/>
  <c r="AB102" i="1"/>
  <c r="N96" i="1"/>
  <c r="AB172" i="1"/>
  <c r="AB198" i="1"/>
  <c r="N192" i="1"/>
  <c r="N114" i="1"/>
  <c r="AB105" i="1"/>
  <c r="AB241" i="1"/>
  <c r="N34" i="1"/>
  <c r="N108" i="1"/>
  <c r="AB178" i="1"/>
  <c r="N54" i="1"/>
  <c r="N142" i="1"/>
  <c r="N59" i="1"/>
  <c r="N139" i="1"/>
  <c r="N145" i="1"/>
  <c r="AB101" i="1"/>
  <c r="AB115" i="1"/>
  <c r="AB104" i="1"/>
  <c r="AB211" i="1"/>
  <c r="AB217" i="1"/>
  <c r="AB220" i="1"/>
  <c r="N132" i="1"/>
  <c r="N121" i="1"/>
  <c r="N71" i="1"/>
  <c r="N167" i="1"/>
  <c r="N80" i="1"/>
  <c r="N56" i="1"/>
  <c r="K102" i="1"/>
  <c r="AB174" i="1"/>
  <c r="N168" i="1"/>
  <c r="AB145" i="1"/>
  <c r="AB225" i="1"/>
  <c r="N51" i="1"/>
  <c r="N150" i="1"/>
  <c r="K205" i="1"/>
  <c r="N53" i="1"/>
  <c r="N125" i="1"/>
  <c r="AB235" i="1"/>
  <c r="K53" i="1"/>
  <c r="AB135" i="1"/>
  <c r="AB231" i="1"/>
  <c r="N77" i="1"/>
  <c r="K135" i="1"/>
  <c r="N35" i="1"/>
  <c r="AB116" i="1"/>
  <c r="AB215" i="1"/>
  <c r="K86" i="1"/>
  <c r="N129" i="1"/>
  <c r="N126" i="1"/>
  <c r="AB187" i="1"/>
  <c r="AB120" i="1"/>
  <c r="AB197" i="1"/>
  <c r="N55" i="1"/>
  <c r="N5" i="1"/>
  <c r="N143" i="1"/>
  <c r="AB111" i="1"/>
  <c r="AB158" i="1"/>
  <c r="N165" i="1"/>
  <c r="AB216" i="1"/>
  <c r="AB121" i="1"/>
  <c r="AB190" i="1"/>
  <c r="AB125" i="1"/>
  <c r="AB205" i="1"/>
  <c r="AB188" i="1"/>
  <c r="N68" i="1"/>
  <c r="N90" i="1"/>
  <c r="N186" i="1"/>
  <c r="AB119" i="1"/>
  <c r="N175" i="1"/>
  <c r="AB131" i="1"/>
  <c r="AB234" i="1"/>
  <c r="AB207" i="1"/>
  <c r="N243" i="1"/>
  <c r="AB237" i="1"/>
  <c r="N195" i="1"/>
  <c r="N219" i="1"/>
  <c r="J150" i="1"/>
  <c r="AB160" i="1"/>
  <c r="N29" i="1"/>
  <c r="N100" i="1"/>
  <c r="N111" i="1"/>
  <c r="K164" i="1"/>
  <c r="AB132" i="1"/>
  <c r="AB210" i="1"/>
  <c r="AB236" i="1"/>
  <c r="K94" i="1"/>
  <c r="AB230" i="1"/>
  <c r="N224" i="1"/>
  <c r="N74" i="1"/>
  <c r="N217" i="1"/>
  <c r="AB122" i="1"/>
  <c r="N162" i="1"/>
  <c r="AB138" i="1"/>
  <c r="AB136" i="1"/>
  <c r="AB218" i="1"/>
  <c r="AB191" i="1"/>
  <c r="N6" i="1"/>
  <c r="AB223" i="1"/>
  <c r="N102" i="1"/>
  <c r="N182" i="1"/>
  <c r="N87" i="1"/>
  <c r="AB252" i="1"/>
  <c r="K127" i="1"/>
  <c r="N91" i="1"/>
  <c r="AB228" i="1"/>
  <c r="AB206" i="1"/>
  <c r="AB144" i="1"/>
  <c r="N238" i="1"/>
  <c r="AB243" i="1"/>
  <c r="AB232" i="1"/>
  <c r="N203" i="1"/>
  <c r="N17" i="1"/>
  <c r="N88" i="1"/>
  <c r="N220" i="1"/>
  <c r="K32" i="1"/>
  <c r="N169" i="1"/>
  <c r="AB177" i="1"/>
  <c r="N45" i="1"/>
  <c r="N123" i="1"/>
  <c r="AB114" i="1"/>
  <c r="AB219" i="1"/>
  <c r="X27" i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N214" i="1"/>
  <c r="AB107" i="1"/>
  <c r="N221" i="1"/>
  <c r="N78" i="1"/>
  <c r="N75" i="1"/>
  <c r="N229" i="1"/>
  <c r="N163" i="1"/>
  <c r="AB147" i="1"/>
  <c r="AB153" i="1"/>
  <c r="AB227" i="1"/>
  <c r="K214" i="1"/>
  <c r="N7" i="1"/>
  <c r="AB248" i="1"/>
  <c r="N103" i="1"/>
  <c r="N16" i="1"/>
  <c r="N107" i="1"/>
  <c r="N95" i="1"/>
  <c r="K38" i="1"/>
  <c r="AB110" i="1"/>
  <c r="N104" i="1"/>
  <c r="AB239" i="1"/>
  <c r="AB161" i="1"/>
  <c r="N196" i="1"/>
  <c r="AB129" i="1"/>
  <c r="AB157" i="1"/>
  <c r="AB249" i="1"/>
  <c r="AB244" i="1"/>
  <c r="N69" i="1"/>
  <c r="AB212" i="1"/>
  <c r="K175" i="1"/>
  <c r="N152" i="1"/>
  <c r="K129" i="1"/>
  <c r="AB182" i="1"/>
  <c r="K22" i="1"/>
  <c r="W13" i="1"/>
  <c r="W14" i="1" s="1"/>
  <c r="W15" i="1" s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AB123" i="1"/>
  <c r="AB133" i="1"/>
  <c r="N234" i="1"/>
  <c r="N222" i="1"/>
  <c r="N79" i="1"/>
  <c r="N33" i="1"/>
  <c r="N200" i="1"/>
  <c r="AB164" i="1"/>
  <c r="AB126" i="1"/>
  <c r="AB141" i="1"/>
  <c r="K222" i="1"/>
  <c r="N26" i="1"/>
  <c r="AB229" i="1"/>
  <c r="N122" i="1"/>
  <c r="N202" i="1"/>
  <c r="N115" i="1"/>
  <c r="AB170" i="1"/>
  <c r="AB143" i="1"/>
  <c r="N209" i="1"/>
  <c r="N117" i="1"/>
  <c r="N134" i="1"/>
  <c r="N230" i="1"/>
  <c r="AB140" i="1"/>
  <c r="N176" i="1"/>
  <c r="K238" i="1"/>
  <c r="K192" i="1"/>
  <c r="N207" i="1"/>
  <c r="K58" i="1"/>
  <c r="K40" i="1"/>
  <c r="AB146" i="1"/>
  <c r="AB148" i="1"/>
  <c r="AB246" i="1"/>
  <c r="K30" i="1"/>
  <c r="AB166" i="1"/>
  <c r="N160" i="1"/>
  <c r="N10" i="1"/>
  <c r="N76" i="1"/>
  <c r="N242" i="1"/>
  <c r="N98" i="1"/>
  <c r="AB154" i="1"/>
  <c r="AB127" i="1"/>
  <c r="N236" i="1"/>
  <c r="N28" i="1"/>
  <c r="N137" i="1"/>
  <c r="AB139" i="1"/>
  <c r="AB242" i="1"/>
  <c r="AB159" i="1"/>
  <c r="N38" i="1"/>
  <c r="N118" i="1"/>
  <c r="K63" i="1"/>
  <c r="N27" i="1"/>
  <c r="N206" i="1"/>
  <c r="AB142" i="1"/>
  <c r="N49" i="1"/>
  <c r="N110" i="1"/>
  <c r="AB179" i="1"/>
  <c r="AB168" i="1"/>
  <c r="N52" i="1"/>
  <c r="AB233" i="1"/>
  <c r="N127" i="1"/>
  <c r="N135" i="1"/>
  <c r="N64" i="1"/>
  <c r="AB150" i="1"/>
  <c r="N144" i="1"/>
  <c r="N93" i="1"/>
  <c r="N184" i="1"/>
  <c r="AB176" i="1"/>
  <c r="K166" i="1"/>
  <c r="N227" i="1"/>
  <c r="K70" i="1"/>
  <c r="N245" i="1"/>
  <c r="K244" i="1"/>
  <c r="K137" i="1"/>
  <c r="N84" i="1"/>
  <c r="AB251" i="1"/>
  <c r="N119" i="1"/>
  <c r="N41" i="1"/>
  <c r="K95" i="1"/>
  <c r="AB203" i="1"/>
  <c r="K221" i="1"/>
  <c r="N180" i="1"/>
  <c r="J214" i="1"/>
  <c r="N85" i="1"/>
  <c r="K223" i="1"/>
  <c r="N92" i="1"/>
  <c r="N73" i="1"/>
  <c r="AB171" i="1"/>
  <c r="K37" i="1"/>
  <c r="K239" i="1"/>
  <c r="J156" i="1"/>
  <c r="J82" i="1"/>
  <c r="K235" i="1"/>
  <c r="N198" i="1"/>
  <c r="K62" i="1"/>
  <c r="K97" i="1"/>
  <c r="N65" i="1"/>
  <c r="J110" i="1"/>
  <c r="K28" i="1"/>
  <c r="K100" i="1"/>
  <c r="N128" i="1"/>
  <c r="N140" i="1"/>
  <c r="K77" i="1"/>
  <c r="N67" i="1"/>
  <c r="K216" i="1"/>
  <c r="N249" i="1"/>
  <c r="AB193" i="1"/>
  <c r="K252" i="1"/>
  <c r="K55" i="1"/>
  <c r="K248" i="1"/>
  <c r="J94" i="1"/>
  <c r="J127" i="1"/>
  <c r="G221" i="1"/>
  <c r="E213" i="1"/>
  <c r="G252" i="1"/>
  <c r="E106" i="1"/>
  <c r="K154" i="1"/>
  <c r="K36" i="1"/>
  <c r="J28" i="1"/>
  <c r="J69" i="1"/>
  <c r="J188" i="1"/>
  <c r="J177" i="1"/>
  <c r="G134" i="1"/>
  <c r="G193" i="1"/>
  <c r="J197" i="1"/>
  <c r="K181" i="1"/>
  <c r="K80" i="1"/>
  <c r="J87" i="1"/>
  <c r="K89" i="1"/>
  <c r="E21" i="1"/>
  <c r="J125" i="1"/>
  <c r="J48" i="1"/>
  <c r="G113" i="1"/>
  <c r="G212" i="1"/>
  <c r="J78" i="1"/>
  <c r="J248" i="1"/>
  <c r="K69" i="1"/>
  <c r="G135" i="1"/>
  <c r="J244" i="1"/>
  <c r="E144" i="1"/>
  <c r="E158" i="1"/>
  <c r="J180" i="1"/>
  <c r="K49" i="1"/>
  <c r="J215" i="1"/>
  <c r="K113" i="1"/>
  <c r="J68" i="1"/>
  <c r="G20" i="1"/>
  <c r="G195" i="1"/>
  <c r="G217" i="1"/>
  <c r="G24" i="1"/>
  <c r="G81" i="1"/>
  <c r="E39" i="1"/>
  <c r="E191" i="1"/>
  <c r="N21" i="1"/>
  <c r="N173" i="1"/>
  <c r="K158" i="1"/>
  <c r="AB165" i="1"/>
  <c r="N138" i="1"/>
  <c r="AB202" i="1"/>
  <c r="N89" i="1"/>
  <c r="N70" i="1"/>
  <c r="K191" i="1"/>
  <c r="N157" i="1"/>
  <c r="N105" i="1"/>
  <c r="K103" i="1"/>
  <c r="N120" i="1"/>
  <c r="N190" i="1"/>
  <c r="N188" i="1"/>
  <c r="K132" i="1"/>
  <c r="N241" i="1"/>
  <c r="K250" i="1"/>
  <c r="K232" i="1"/>
  <c r="K147" i="1"/>
  <c r="J245" i="1"/>
  <c r="N18" i="1"/>
  <c r="N30" i="1"/>
  <c r="AB151" i="1"/>
  <c r="N151" i="1"/>
  <c r="K26" i="1"/>
  <c r="K87" i="1"/>
  <c r="N185" i="1"/>
  <c r="AB214" i="1"/>
  <c r="N179" i="1"/>
  <c r="J22" i="1"/>
  <c r="N251" i="1"/>
  <c r="J137" i="1"/>
  <c r="J238" i="1"/>
  <c r="N66" i="1"/>
  <c r="K106" i="1"/>
  <c r="J103" i="1"/>
  <c r="K42" i="1"/>
  <c r="G9" i="1"/>
  <c r="J161" i="1"/>
  <c r="G59" i="1"/>
  <c r="G225" i="1"/>
  <c r="G203" i="1"/>
  <c r="G167" i="1"/>
  <c r="E16" i="1"/>
  <c r="G125" i="1"/>
  <c r="K130" i="1"/>
  <c r="N164" i="1"/>
  <c r="K211" i="1"/>
  <c r="J122" i="1"/>
  <c r="K184" i="1"/>
  <c r="N147" i="1"/>
  <c r="J40" i="1"/>
  <c r="J231" i="1"/>
  <c r="G162" i="1"/>
  <c r="E182" i="1"/>
  <c r="K186" i="1"/>
  <c r="J199" i="1"/>
  <c r="J95" i="1"/>
  <c r="J105" i="1"/>
  <c r="J221" i="1"/>
  <c r="G90" i="1"/>
  <c r="G5" i="1"/>
  <c r="G72" i="1"/>
  <c r="J57" i="1"/>
  <c r="E53" i="1"/>
  <c r="E84" i="1"/>
  <c r="G126" i="1"/>
  <c r="J146" i="1"/>
  <c r="E201" i="1"/>
  <c r="K200" i="1"/>
  <c r="J168" i="1"/>
  <c r="K195" i="1"/>
  <c r="K116" i="1"/>
  <c r="J93" i="1"/>
  <c r="E4" i="1"/>
  <c r="J106" i="1"/>
  <c r="K201" i="1"/>
  <c r="N86" i="1"/>
  <c r="AB199" i="1"/>
  <c r="N97" i="1"/>
  <c r="AB163" i="1"/>
  <c r="AB184" i="1"/>
  <c r="AB175" i="1"/>
  <c r="AB185" i="1"/>
  <c r="AB103" i="1"/>
  <c r="K218" i="1"/>
  <c r="K45" i="1"/>
  <c r="N187" i="1"/>
  <c r="N148" i="1"/>
  <c r="N194" i="1"/>
  <c r="N36" i="1"/>
  <c r="N136" i="1"/>
  <c r="K57" i="1"/>
  <c r="N181" i="1"/>
  <c r="AB186" i="1"/>
  <c r="N20" i="1"/>
  <c r="K171" i="1"/>
  <c r="J158" i="1"/>
  <c r="N50" i="1"/>
  <c r="K84" i="1"/>
  <c r="N240" i="1"/>
  <c r="K88" i="1"/>
  <c r="J246" i="1"/>
  <c r="N146" i="1"/>
  <c r="N158" i="1"/>
  <c r="K111" i="1"/>
  <c r="N208" i="1"/>
  <c r="K242" i="1"/>
  <c r="AB149" i="1"/>
  <c r="N218" i="1"/>
  <c r="K226" i="1"/>
  <c r="J56" i="1"/>
  <c r="K29" i="1"/>
  <c r="K153" i="1"/>
  <c r="G85" i="1"/>
  <c r="K251" i="1"/>
  <c r="G169" i="1"/>
  <c r="E195" i="1"/>
  <c r="G21" i="1"/>
  <c r="G160" i="1"/>
  <c r="E231" i="1"/>
  <c r="N213" i="1"/>
  <c r="K117" i="1"/>
  <c r="J23" i="1"/>
  <c r="K108" i="1"/>
  <c r="J222" i="1"/>
  <c r="K144" i="1"/>
  <c r="E140" i="1"/>
  <c r="G112" i="1"/>
  <c r="AB167" i="1"/>
  <c r="K119" i="1"/>
  <c r="J138" i="1"/>
  <c r="K68" i="1"/>
  <c r="J184" i="1"/>
  <c r="G208" i="1"/>
  <c r="J116" i="1"/>
  <c r="J54" i="1"/>
  <c r="J203" i="1"/>
  <c r="J234" i="1"/>
  <c r="J205" i="1"/>
  <c r="N24" i="1"/>
  <c r="G182" i="1"/>
  <c r="G43" i="1"/>
  <c r="E61" i="1"/>
  <c r="E156" i="1"/>
  <c r="E249" i="1"/>
  <c r="K61" i="1"/>
  <c r="E116" i="1"/>
  <c r="AB247" i="1"/>
  <c r="K96" i="1"/>
  <c r="K213" i="1"/>
  <c r="J25" i="1"/>
  <c r="J206" i="1"/>
  <c r="K21" i="1"/>
  <c r="J183" i="1"/>
  <c r="G241" i="1"/>
  <c r="E171" i="1"/>
  <c r="N106" i="1"/>
  <c r="AB224" i="1"/>
  <c r="AB106" i="1"/>
  <c r="AB200" i="1"/>
  <c r="N61" i="1"/>
  <c r="N246" i="1"/>
  <c r="N149" i="1"/>
  <c r="AB128" i="1"/>
  <c r="AB192" i="1"/>
  <c r="K139" i="1"/>
  <c r="AB113" i="1"/>
  <c r="N237" i="1"/>
  <c r="N193" i="1"/>
  <c r="N124" i="1"/>
  <c r="K228" i="1"/>
  <c r="N216" i="1"/>
  <c r="K237" i="1"/>
  <c r="J135" i="1"/>
  <c r="K177" i="1"/>
  <c r="N233" i="1"/>
  <c r="K185" i="1"/>
  <c r="N252" i="1"/>
  <c r="N8" i="1"/>
  <c r="N178" i="1"/>
  <c r="N210" i="1"/>
  <c r="K152" i="1"/>
  <c r="J216" i="1"/>
  <c r="N172" i="1"/>
  <c r="K196" i="1"/>
  <c r="N174" i="1"/>
  <c r="K163" i="1"/>
  <c r="K72" i="1"/>
  <c r="J207" i="1"/>
  <c r="J162" i="1"/>
  <c r="J210" i="1"/>
  <c r="E85" i="1"/>
  <c r="G10" i="1"/>
  <c r="E96" i="1"/>
  <c r="E146" i="1"/>
  <c r="E118" i="1"/>
  <c r="E187" i="1"/>
  <c r="AB226" i="1"/>
  <c r="J167" i="1"/>
  <c r="K170" i="1"/>
  <c r="G249" i="1"/>
  <c r="G142" i="1"/>
  <c r="E20" i="1"/>
  <c r="K122" i="1"/>
  <c r="J71" i="1"/>
  <c r="J31" i="1"/>
  <c r="J41" i="1"/>
  <c r="J242" i="1"/>
  <c r="G84" i="1"/>
  <c r="G181" i="1"/>
  <c r="E172" i="1"/>
  <c r="J59" i="1"/>
  <c r="J172" i="1"/>
  <c r="K212" i="1"/>
  <c r="G236" i="1"/>
  <c r="E35" i="1"/>
  <c r="E240" i="1"/>
  <c r="J164" i="1"/>
  <c r="N37" i="1"/>
  <c r="J159" i="1"/>
  <c r="J169" i="1"/>
  <c r="J47" i="1"/>
  <c r="G22" i="1"/>
  <c r="G73" i="1"/>
  <c r="J185" i="1"/>
  <c r="G123" i="1"/>
  <c r="E244" i="1"/>
  <c r="G248" i="1"/>
  <c r="E243" i="1"/>
  <c r="AB213" i="1"/>
  <c r="N99" i="1"/>
  <c r="AB112" i="1"/>
  <c r="N39" i="1"/>
  <c r="N130" i="1"/>
  <c r="AB173" i="1"/>
  <c r="N250" i="1"/>
  <c r="N116" i="1"/>
  <c r="K66" i="1"/>
  <c r="AB238" i="1"/>
  <c r="AB169" i="1"/>
  <c r="K246" i="1"/>
  <c r="N235" i="1"/>
  <c r="K54" i="1"/>
  <c r="K207" i="1"/>
  <c r="N177" i="1"/>
  <c r="N248" i="1"/>
  <c r="N47" i="1"/>
  <c r="K24" i="1"/>
  <c r="J182" i="1"/>
  <c r="K179" i="1"/>
  <c r="J88" i="1"/>
  <c r="K27" i="1"/>
  <c r="N153" i="1"/>
  <c r="K78" i="1"/>
  <c r="K114" i="1"/>
  <c r="AB204" i="1"/>
  <c r="N141" i="1"/>
  <c r="N9" i="1"/>
  <c r="K156" i="1"/>
  <c r="K249" i="1"/>
  <c r="K134" i="1"/>
  <c r="N42" i="1"/>
  <c r="J73" i="1"/>
  <c r="K110" i="1"/>
  <c r="N197" i="1"/>
  <c r="K64" i="1"/>
  <c r="N244" i="1"/>
  <c r="K229" i="1"/>
  <c r="K98" i="1"/>
  <c r="K109" i="1"/>
  <c r="E68" i="1"/>
  <c r="J154" i="1"/>
  <c r="E65" i="1"/>
  <c r="G175" i="1"/>
  <c r="G152" i="1"/>
  <c r="E154" i="1"/>
  <c r="K23" i="1"/>
  <c r="J166" i="1"/>
  <c r="J120" i="1"/>
  <c r="K157" i="1"/>
  <c r="K82" i="1"/>
  <c r="G238" i="1"/>
  <c r="J229" i="1"/>
  <c r="J139" i="1"/>
  <c r="J50" i="1"/>
  <c r="G128" i="1"/>
  <c r="G75" i="1"/>
  <c r="J171" i="1"/>
  <c r="K141" i="1"/>
  <c r="K168" i="1"/>
  <c r="J220" i="1"/>
  <c r="K187" i="1"/>
  <c r="K34" i="1"/>
  <c r="E246" i="1"/>
  <c r="G185" i="1"/>
  <c r="J51" i="1"/>
  <c r="K25" i="1"/>
  <c r="G28" i="1"/>
  <c r="G218" i="1"/>
  <c r="E217" i="1"/>
  <c r="G15" i="1"/>
  <c r="J118" i="1"/>
  <c r="J201" i="1"/>
  <c r="K151" i="1"/>
  <c r="J114" i="1"/>
  <c r="J115" i="1"/>
  <c r="G102" i="1"/>
  <c r="G156" i="1"/>
  <c r="E192" i="1"/>
  <c r="N94" i="1"/>
  <c r="N189" i="1"/>
  <c r="N72" i="1"/>
  <c r="AB118" i="1"/>
  <c r="N58" i="1"/>
  <c r="N48" i="1"/>
  <c r="N19" i="1"/>
  <c r="AB156" i="1"/>
  <c r="N82" i="1"/>
  <c r="N232" i="1"/>
  <c r="AB130" i="1"/>
  <c r="AB109" i="1"/>
  <c r="K159" i="1"/>
  <c r="N43" i="1"/>
  <c r="AB194" i="1"/>
  <c r="K180" i="1"/>
  <c r="N228" i="1"/>
  <c r="N170" i="1"/>
  <c r="K121" i="1"/>
  <c r="N212" i="1"/>
  <c r="K245" i="1"/>
  <c r="J38" i="1"/>
  <c r="AB108" i="1"/>
  <c r="K35" i="1"/>
  <c r="N109" i="1"/>
  <c r="N205" i="1"/>
  <c r="K178" i="1"/>
  <c r="AB240" i="1"/>
  <c r="N32" i="1"/>
  <c r="K126" i="1"/>
  <c r="K161" i="1"/>
  <c r="J174" i="1"/>
  <c r="K85" i="1"/>
  <c r="K190" i="1"/>
  <c r="N4" i="1"/>
  <c r="K92" i="1"/>
  <c r="J181" i="1"/>
  <c r="J155" i="1"/>
  <c r="J84" i="1"/>
  <c r="K123" i="1"/>
  <c r="G41" i="1"/>
  <c r="J80" i="1"/>
  <c r="G233" i="1"/>
  <c r="E174" i="1"/>
  <c r="K71" i="1"/>
  <c r="J144" i="1"/>
  <c r="G211" i="1"/>
  <c r="J250" i="1"/>
  <c r="K209" i="1"/>
  <c r="J108" i="1"/>
  <c r="K247" i="1"/>
  <c r="J134" i="1"/>
  <c r="E67" i="1"/>
  <c r="J157" i="1"/>
  <c r="N215" i="1"/>
  <c r="J198" i="1"/>
  <c r="N57" i="1"/>
  <c r="J35" i="1"/>
  <c r="K210" i="1"/>
  <c r="G104" i="1"/>
  <c r="J45" i="1"/>
  <c r="J235" i="1"/>
  <c r="E228" i="1"/>
  <c r="G23" i="1"/>
  <c r="G230" i="1"/>
  <c r="J123" i="1"/>
  <c r="J236" i="1"/>
  <c r="K136" i="1"/>
  <c r="J109" i="1"/>
  <c r="J119" i="1"/>
  <c r="G157" i="1"/>
  <c r="E149" i="1"/>
  <c r="E236" i="1"/>
  <c r="E73" i="1"/>
  <c r="E22" i="1"/>
  <c r="G194" i="1"/>
  <c r="K160" i="1"/>
  <c r="AB155" i="1"/>
  <c r="K199" i="1"/>
  <c r="AB183" i="1"/>
  <c r="N159" i="1"/>
  <c r="K231" i="1"/>
  <c r="J79" i="1"/>
  <c r="N199" i="1"/>
  <c r="K99" i="1"/>
  <c r="K90" i="1"/>
  <c r="K143" i="1"/>
  <c r="K233" i="1"/>
  <c r="J75" i="1"/>
  <c r="J186" i="1"/>
  <c r="J43" i="1"/>
  <c r="J92" i="1"/>
  <c r="J252" i="1"/>
  <c r="E44" i="1"/>
  <c r="K217" i="1"/>
  <c r="G147" i="1"/>
  <c r="G133" i="1"/>
  <c r="J64" i="1"/>
  <c r="J243" i="1"/>
  <c r="K176" i="1"/>
  <c r="G228" i="1"/>
  <c r="E129" i="1"/>
  <c r="E58" i="1"/>
  <c r="J96" i="1"/>
  <c r="K227" i="1"/>
  <c r="J126" i="1"/>
  <c r="J196" i="1"/>
  <c r="G117" i="1"/>
  <c r="J170" i="1"/>
  <c r="E108" i="1"/>
  <c r="E196" i="1"/>
  <c r="E226" i="1"/>
  <c r="E59" i="1"/>
  <c r="G82" i="1"/>
  <c r="E204" i="1"/>
  <c r="G141" i="1"/>
  <c r="E107" i="1"/>
  <c r="G154" i="1"/>
  <c r="G166" i="1"/>
  <c r="E242" i="1"/>
  <c r="E210" i="1"/>
  <c r="E10" i="1"/>
  <c r="E36" i="1"/>
  <c r="E184" i="1"/>
  <c r="E87" i="1"/>
  <c r="G111" i="1"/>
  <c r="AB208" i="1"/>
  <c r="N171" i="1"/>
  <c r="K206" i="1"/>
  <c r="K224" i="1"/>
  <c r="AB221" i="1"/>
  <c r="K33" i="1"/>
  <c r="N44" i="1"/>
  <c r="K165" i="1"/>
  <c r="AB134" i="1"/>
  <c r="K83" i="1"/>
  <c r="J74" i="1"/>
  <c r="J148" i="1"/>
  <c r="K31" i="1"/>
  <c r="J44" i="1"/>
  <c r="J212" i="1"/>
  <c r="J37" i="1"/>
  <c r="N191" i="1"/>
  <c r="K67" i="1"/>
  <c r="E139" i="1"/>
  <c r="G27" i="1"/>
  <c r="G19" i="1"/>
  <c r="J99" i="1"/>
  <c r="G105" i="1"/>
  <c r="K43" i="1"/>
  <c r="J251" i="1"/>
  <c r="J226" i="1"/>
  <c r="G48" i="1"/>
  <c r="J65" i="1"/>
  <c r="E117" i="1"/>
  <c r="E178" i="1"/>
  <c r="E102" i="1"/>
  <c r="G3" i="1"/>
  <c r="K169" i="1"/>
  <c r="AB189" i="1"/>
  <c r="K208" i="1"/>
  <c r="N12" i="1"/>
  <c r="K230" i="1"/>
  <c r="K183" i="1"/>
  <c r="J124" i="1"/>
  <c r="E229" i="1"/>
  <c r="K173" i="1"/>
  <c r="J98" i="1"/>
  <c r="G237" i="1"/>
  <c r="K59" i="1"/>
  <c r="J241" i="1"/>
  <c r="J86" i="1"/>
  <c r="J21" i="1"/>
  <c r="E132" i="1"/>
  <c r="G16" i="1"/>
  <c r="E13" i="1"/>
  <c r="E91" i="1"/>
  <c r="G14" i="1"/>
  <c r="E14" i="1"/>
  <c r="K65" i="1"/>
  <c r="J30" i="1"/>
  <c r="J153" i="1"/>
  <c r="J230" i="1"/>
  <c r="J63" i="1"/>
  <c r="G93" i="1"/>
  <c r="E3" i="1"/>
  <c r="J149" i="1"/>
  <c r="J72" i="1"/>
  <c r="G7" i="1"/>
  <c r="G88" i="1"/>
  <c r="G188" i="1"/>
  <c r="E225" i="1"/>
  <c r="E27" i="1"/>
  <c r="J217" i="1"/>
  <c r="J200" i="1"/>
  <c r="G122" i="1"/>
  <c r="E234" i="1"/>
  <c r="J239" i="1"/>
  <c r="N101" i="1"/>
  <c r="E209" i="1"/>
  <c r="E241" i="1"/>
  <c r="J218" i="1"/>
  <c r="G40" i="1"/>
  <c r="E162" i="1"/>
  <c r="E64" i="1"/>
  <c r="G192" i="1"/>
  <c r="E142" i="1"/>
  <c r="E230" i="1"/>
  <c r="K105" i="1"/>
  <c r="E165" i="1"/>
  <c r="AB196" i="1"/>
  <c r="N166" i="1"/>
  <c r="K234" i="1"/>
  <c r="AB250" i="1"/>
  <c r="AB162" i="1"/>
  <c r="J117" i="1"/>
  <c r="N3" i="1"/>
  <c r="N204" i="1"/>
  <c r="K189" i="1"/>
  <c r="J208" i="1"/>
  <c r="J70" i="1"/>
  <c r="G213" i="1"/>
  <c r="K47" i="1"/>
  <c r="G183" i="1"/>
  <c r="E89" i="1"/>
  <c r="G144" i="1"/>
  <c r="N223" i="1"/>
  <c r="K167" i="1"/>
  <c r="J163" i="1"/>
  <c r="G145" i="1"/>
  <c r="J133" i="1"/>
  <c r="K197" i="1"/>
  <c r="G74" i="1"/>
  <c r="J81" i="1"/>
  <c r="E120" i="1"/>
  <c r="K107" i="1"/>
  <c r="J24" i="1"/>
  <c r="N46" i="1"/>
  <c r="J90" i="1"/>
  <c r="N15" i="1"/>
  <c r="AB152" i="1"/>
  <c r="N226" i="1"/>
  <c r="AB181" i="1"/>
  <c r="N31" i="1"/>
  <c r="K182" i="1"/>
  <c r="N161" i="1"/>
  <c r="K215" i="1"/>
  <c r="J26" i="1"/>
  <c r="E56" i="1"/>
  <c r="E75" i="1"/>
  <c r="J58" i="1"/>
  <c r="J219" i="1"/>
  <c r="G130" i="1"/>
  <c r="K155" i="1"/>
  <c r="G174" i="1"/>
  <c r="G226" i="1"/>
  <c r="K149" i="1"/>
  <c r="J165" i="1"/>
  <c r="E159" i="1"/>
  <c r="J62" i="1"/>
  <c r="K124" i="1"/>
  <c r="J232" i="1"/>
  <c r="K91" i="1"/>
  <c r="E221" i="1"/>
  <c r="E62" i="1"/>
  <c r="G108" i="1"/>
  <c r="E202" i="1"/>
  <c r="K79" i="1"/>
  <c r="K138" i="1"/>
  <c r="K188" i="1"/>
  <c r="J189" i="1"/>
  <c r="G131" i="1"/>
  <c r="J32" i="1"/>
  <c r="G49" i="1"/>
  <c r="G148" i="1"/>
  <c r="G245" i="1"/>
  <c r="J193" i="1"/>
  <c r="G187" i="1"/>
  <c r="K74" i="1"/>
  <c r="E38" i="1"/>
  <c r="G219" i="1"/>
  <c r="G127" i="1"/>
  <c r="G95" i="1"/>
  <c r="J225" i="1"/>
  <c r="J152" i="1"/>
  <c r="E232" i="1"/>
  <c r="E103" i="1"/>
  <c r="E12" i="1"/>
  <c r="G109" i="1"/>
  <c r="N156" i="1"/>
  <c r="G115" i="1"/>
  <c r="E17" i="1"/>
  <c r="E80" i="1"/>
  <c r="E48" i="1"/>
  <c r="E150" i="1"/>
  <c r="K128" i="1"/>
  <c r="G132" i="1"/>
  <c r="E30" i="1"/>
  <c r="N11" i="1"/>
  <c r="AB222" i="1"/>
  <c r="N154" i="1"/>
  <c r="K118" i="1"/>
  <c r="N131" i="1"/>
  <c r="N83" i="1"/>
  <c r="K50" i="1"/>
  <c r="K101" i="1"/>
  <c r="K140" i="1"/>
  <c r="AB137" i="1"/>
  <c r="K225" i="1"/>
  <c r="G53" i="1"/>
  <c r="G137" i="1"/>
  <c r="J209" i="1"/>
  <c r="K104" i="1"/>
  <c r="J42" i="1"/>
  <c r="J194" i="1"/>
  <c r="J151" i="1"/>
  <c r="G106" i="1"/>
  <c r="G63" i="1"/>
  <c r="G51" i="1"/>
  <c r="N113" i="1"/>
  <c r="K41" i="1"/>
  <c r="J89" i="1"/>
  <c r="J102" i="1"/>
  <c r="G172" i="1"/>
  <c r="G176" i="1"/>
  <c r="G197" i="1"/>
  <c r="G178" i="1"/>
  <c r="E181" i="1"/>
  <c r="E127" i="1"/>
  <c r="N23" i="1"/>
  <c r="K125" i="1"/>
  <c r="J66" i="1"/>
  <c r="E251" i="1"/>
  <c r="G139" i="1"/>
  <c r="E212" i="1"/>
  <c r="E19" i="1"/>
  <c r="N14" i="1"/>
  <c r="AB124" i="1"/>
  <c r="N225" i="1"/>
  <c r="K142" i="1"/>
  <c r="E123" i="1"/>
  <c r="K75" i="1"/>
  <c r="G66" i="1"/>
  <c r="J179" i="1"/>
  <c r="J132" i="1"/>
  <c r="N201" i="1"/>
  <c r="J129" i="1"/>
  <c r="G78" i="1"/>
  <c r="E199" i="1"/>
  <c r="E223" i="1"/>
  <c r="E69" i="1"/>
  <c r="E219" i="1"/>
  <c r="G92" i="1"/>
  <c r="G98" i="1"/>
  <c r="E74" i="1"/>
  <c r="G29" i="1"/>
  <c r="J91" i="1"/>
  <c r="G101" i="1"/>
  <c r="G140" i="1"/>
  <c r="G45" i="1"/>
  <c r="J60" i="1"/>
  <c r="E121" i="1"/>
  <c r="E41" i="1"/>
  <c r="E60" i="1"/>
  <c r="E105" i="1"/>
  <c r="G68" i="1"/>
  <c r="E220" i="1"/>
  <c r="G37" i="1"/>
  <c r="J85" i="1"/>
  <c r="E200" i="1"/>
  <c r="G171" i="1"/>
  <c r="K198" i="1"/>
  <c r="E45" i="1"/>
  <c r="E110" i="1"/>
  <c r="E148" i="1"/>
  <c r="K133" i="1"/>
  <c r="G168" i="1"/>
  <c r="E190" i="1"/>
  <c r="E83" i="1"/>
  <c r="G204" i="1"/>
  <c r="E37" i="1"/>
  <c r="E46" i="1"/>
  <c r="E18" i="1"/>
  <c r="E141" i="1"/>
  <c r="E124" i="1"/>
  <c r="E2" i="1"/>
  <c r="G17" i="1"/>
  <c r="K148" i="1"/>
  <c r="E49" i="1"/>
  <c r="G177" i="1"/>
  <c r="J39" i="1"/>
  <c r="E197" i="1"/>
  <c r="J33" i="1"/>
  <c r="E138" i="1"/>
  <c r="G170" i="1"/>
  <c r="E125" i="1"/>
  <c r="G200" i="1"/>
  <c r="E9" i="1"/>
  <c r="E24" i="1"/>
  <c r="E115" i="1"/>
  <c r="G205" i="1"/>
  <c r="E168" i="1"/>
  <c r="E180" i="1"/>
  <c r="E167" i="1"/>
  <c r="K56" i="1"/>
  <c r="E93" i="1"/>
  <c r="E29" i="1"/>
  <c r="E203" i="1"/>
  <c r="K204" i="1"/>
  <c r="E185" i="1"/>
  <c r="E42" i="1"/>
  <c r="N62" i="1"/>
  <c r="G62" i="1"/>
  <c r="G6" i="1"/>
  <c r="E179" i="1"/>
  <c r="E70" i="1"/>
  <c r="G30" i="1"/>
  <c r="N247" i="1"/>
  <c r="G55" i="1"/>
  <c r="K44" i="1"/>
  <c r="K194" i="1"/>
  <c r="J104" i="1"/>
  <c r="J52" i="1"/>
  <c r="J27" i="1"/>
  <c r="G149" i="1"/>
  <c r="J140" i="1"/>
  <c r="J83" i="1"/>
  <c r="E216" i="1"/>
  <c r="G47" i="1"/>
  <c r="E164" i="1"/>
  <c r="J192" i="1"/>
  <c r="E157" i="1"/>
  <c r="G36" i="1"/>
  <c r="J173" i="1"/>
  <c r="E206" i="1"/>
  <c r="J49" i="1"/>
  <c r="E25" i="1"/>
  <c r="E183" i="1"/>
  <c r="E82" i="1"/>
  <c r="J34" i="1"/>
  <c r="G240" i="1"/>
  <c r="J97" i="1"/>
  <c r="E8" i="1"/>
  <c r="G184" i="1"/>
  <c r="E252" i="1"/>
  <c r="J130" i="1"/>
  <c r="G138" i="1"/>
  <c r="G38" i="1"/>
  <c r="E79" i="1"/>
  <c r="J237" i="1"/>
  <c r="G103" i="1"/>
  <c r="J136" i="1"/>
  <c r="E248" i="1"/>
  <c r="E250" i="1"/>
  <c r="E6" i="1"/>
  <c r="G100" i="1"/>
  <c r="G13" i="1"/>
  <c r="J249" i="1"/>
  <c r="E40" i="1"/>
  <c r="E189" i="1"/>
  <c r="E235" i="1"/>
  <c r="G242" i="1"/>
  <c r="J211" i="1"/>
  <c r="G159" i="1"/>
  <c r="E113" i="1"/>
  <c r="G4" i="1"/>
  <c r="J143" i="1"/>
  <c r="K150" i="1"/>
  <c r="AB209" i="1"/>
  <c r="AB180" i="1"/>
  <c r="AB195" i="1"/>
  <c r="J113" i="1"/>
  <c r="J141" i="1"/>
  <c r="K236" i="1"/>
  <c r="K73" i="1"/>
  <c r="G39" i="1"/>
  <c r="G110" i="1"/>
  <c r="G25" i="1"/>
  <c r="AB117" i="1"/>
  <c r="G215" i="1"/>
  <c r="J142" i="1"/>
  <c r="E131" i="1"/>
  <c r="E137" i="1"/>
  <c r="J121" i="1"/>
  <c r="G206" i="1"/>
  <c r="J247" i="1"/>
  <c r="E95" i="1"/>
  <c r="E166" i="1"/>
  <c r="E76" i="1"/>
  <c r="G70" i="1"/>
  <c r="E109" i="1"/>
  <c r="J160" i="1"/>
  <c r="E98" i="1"/>
  <c r="G96" i="1"/>
  <c r="E239" i="1"/>
  <c r="N231" i="1"/>
  <c r="G83" i="1"/>
  <c r="G231" i="1"/>
  <c r="E194" i="1"/>
  <c r="K120" i="1"/>
  <c r="G94" i="1"/>
  <c r="E160" i="1"/>
  <c r="G150" i="1"/>
  <c r="G143" i="1"/>
  <c r="J204" i="1"/>
  <c r="E81" i="1"/>
  <c r="E55" i="1"/>
  <c r="E133" i="1"/>
  <c r="G18" i="1"/>
  <c r="E147" i="1"/>
  <c r="G239" i="1"/>
  <c r="J224" i="1"/>
  <c r="G120" i="1"/>
  <c r="G246" i="1"/>
  <c r="E50" i="1"/>
  <c r="E7" i="1"/>
  <c r="G60" i="1"/>
  <c r="G151" i="1"/>
  <c r="G89" i="1"/>
  <c r="E238" i="1"/>
  <c r="G223" i="1"/>
  <c r="E173" i="1"/>
  <c r="G32" i="1"/>
  <c r="E26" i="1"/>
  <c r="E222" i="1"/>
  <c r="E122" i="1"/>
  <c r="J55" i="1"/>
  <c r="E101" i="1"/>
  <c r="K48" i="1"/>
  <c r="J112" i="1"/>
  <c r="G179" i="1"/>
  <c r="J76" i="1"/>
  <c r="G173" i="1"/>
  <c r="J187" i="1"/>
  <c r="J111" i="1"/>
  <c r="J178" i="1"/>
  <c r="E78" i="1"/>
  <c r="E193" i="1"/>
  <c r="J46" i="1"/>
  <c r="K81" i="1"/>
  <c r="J29" i="1"/>
  <c r="AB245" i="1"/>
  <c r="N81" i="1"/>
  <c r="J223" i="1"/>
  <c r="K115" i="1"/>
  <c r="K219" i="1"/>
  <c r="J147" i="1"/>
  <c r="E11" i="1"/>
  <c r="G107" i="1"/>
  <c r="E134" i="1"/>
  <c r="E23" i="1"/>
  <c r="J77" i="1"/>
  <c r="K202" i="1"/>
  <c r="E177" i="1"/>
  <c r="G116" i="1"/>
  <c r="G199" i="1"/>
  <c r="G153" i="1"/>
  <c r="E237" i="1"/>
  <c r="G186" i="1"/>
  <c r="G161" i="1"/>
  <c r="E51" i="1"/>
  <c r="E32" i="1"/>
  <c r="G124" i="1"/>
  <c r="E245" i="1"/>
  <c r="G67" i="1"/>
  <c r="G235" i="1"/>
  <c r="E145" i="1"/>
  <c r="K220" i="1"/>
  <c r="G201" i="1"/>
  <c r="N40" i="1"/>
  <c r="K203" i="1"/>
  <c r="N133" i="1"/>
  <c r="N25" i="1"/>
  <c r="G190" i="1"/>
  <c r="J176" i="1"/>
  <c r="K162" i="1"/>
  <c r="K51" i="1"/>
  <c r="J202" i="1"/>
  <c r="G196" i="1"/>
  <c r="G2" i="1"/>
  <c r="G52" i="1"/>
  <c r="J175" i="1"/>
  <c r="G79" i="1"/>
  <c r="K60" i="1"/>
  <c r="N60" i="1"/>
  <c r="G189" i="1"/>
  <c r="E143" i="1"/>
  <c r="G224" i="1"/>
  <c r="K39" i="1"/>
  <c r="G69" i="1"/>
  <c r="K52" i="1"/>
  <c r="N183" i="1"/>
  <c r="G80" i="1"/>
  <c r="E54" i="1"/>
  <c r="E104" i="1"/>
  <c r="J53" i="1"/>
  <c r="N112" i="1"/>
  <c r="G114" i="1"/>
  <c r="E34" i="1"/>
  <c r="E119" i="1"/>
  <c r="G214" i="1"/>
  <c r="N211" i="1"/>
  <c r="G164" i="1"/>
  <c r="E205" i="1"/>
  <c r="G163" i="1"/>
  <c r="G216" i="1"/>
  <c r="E100" i="1"/>
  <c r="E153" i="1"/>
  <c r="E152" i="1"/>
  <c r="E186" i="1"/>
  <c r="J213" i="1"/>
  <c r="E92" i="1"/>
  <c r="E5" i="1"/>
  <c r="K146" i="1"/>
  <c r="E128" i="1"/>
  <c r="E126" i="1"/>
  <c r="G129" i="1"/>
  <c r="E33" i="1"/>
  <c r="J145" i="1"/>
  <c r="K241" i="1"/>
  <c r="G202" i="1"/>
  <c r="J100" i="1"/>
  <c r="E218" i="1"/>
  <c r="E57" i="1"/>
  <c r="K240" i="1"/>
  <c r="G42" i="1"/>
  <c r="G77" i="1"/>
  <c r="E161" i="1"/>
  <c r="G91" i="1"/>
  <c r="N63" i="1"/>
  <c r="G243" i="1"/>
  <c r="E188" i="1"/>
  <c r="E28" i="1"/>
  <c r="E155" i="1"/>
  <c r="E163" i="1"/>
  <c r="G57" i="1"/>
  <c r="E111" i="1"/>
  <c r="N155" i="1"/>
  <c r="AB201" i="1"/>
  <c r="K112" i="1"/>
  <c r="K172" i="1"/>
  <c r="K46" i="1"/>
  <c r="G86" i="1"/>
  <c r="J131" i="1"/>
  <c r="N239" i="1"/>
  <c r="J233" i="1"/>
  <c r="G35" i="1"/>
  <c r="E170" i="1"/>
  <c r="N13" i="1"/>
  <c r="J128" i="1"/>
  <c r="J191" i="1"/>
  <c r="G165" i="1"/>
  <c r="E77" i="1"/>
  <c r="G146" i="1"/>
  <c r="K174" i="1"/>
  <c r="E233" i="1"/>
  <c r="G222" i="1"/>
  <c r="E215" i="1"/>
  <c r="N22" i="1"/>
  <c r="G244" i="1"/>
  <c r="G58" i="1"/>
  <c r="G136" i="1"/>
  <c r="G99" i="1"/>
  <c r="J61" i="1"/>
  <c r="G250" i="1"/>
  <c r="G44" i="1"/>
  <c r="G54" i="1"/>
  <c r="G56" i="1"/>
  <c r="E97" i="1"/>
  <c r="G180" i="1"/>
  <c r="J101" i="1"/>
  <c r="E86" i="1"/>
  <c r="G34" i="1"/>
  <c r="E227" i="1"/>
  <c r="E136" i="1"/>
  <c r="E112" i="1"/>
  <c r="E214" i="1"/>
  <c r="G234" i="1"/>
  <c r="J36" i="1"/>
  <c r="G8" i="1"/>
  <c r="G220" i="1"/>
  <c r="E31" i="1"/>
  <c r="G229" i="1"/>
  <c r="G227" i="1"/>
  <c r="E15" i="1"/>
  <c r="E176" i="1"/>
  <c r="G121" i="1"/>
  <c r="G87" i="1"/>
  <c r="G119" i="1"/>
  <c r="G64" i="1"/>
  <c r="E208" i="1"/>
  <c r="E72" i="1"/>
  <c r="E71" i="1"/>
  <c r="E207" i="1"/>
  <c r="J190" i="1"/>
  <c r="G61" i="1"/>
  <c r="K93" i="1"/>
  <c r="J227" i="1"/>
  <c r="K193" i="1"/>
  <c r="G76" i="1"/>
  <c r="G31" i="1"/>
  <c r="G71" i="1"/>
  <c r="G12" i="1"/>
  <c r="E94" i="1"/>
  <c r="E52" i="1"/>
  <c r="G191" i="1"/>
  <c r="G155" i="1"/>
  <c r="E130" i="1"/>
  <c r="E175" i="1"/>
  <c r="K131" i="1"/>
  <c r="G158" i="1"/>
  <c r="G11" i="1"/>
  <c r="K145" i="1"/>
  <c r="G118" i="1"/>
  <c r="G65" i="1"/>
  <c r="G97" i="1"/>
  <c r="G232" i="1"/>
  <c r="G210" i="1"/>
  <c r="E114" i="1"/>
  <c r="E66" i="1"/>
  <c r="E90" i="1"/>
  <c r="J195" i="1"/>
  <c r="E224" i="1"/>
  <c r="J67" i="1"/>
  <c r="E43" i="1"/>
  <c r="G46" i="1"/>
  <c r="E169" i="1"/>
  <c r="G198" i="1"/>
  <c r="K76" i="1"/>
  <c r="E198" i="1"/>
  <c r="E151" i="1"/>
  <c r="J107" i="1"/>
  <c r="E47" i="1"/>
  <c r="G251" i="1"/>
  <c r="E63" i="1"/>
  <c r="J228" i="1"/>
  <c r="E88" i="1"/>
  <c r="G247" i="1"/>
  <c r="G207" i="1"/>
  <c r="E247" i="1"/>
  <c r="E99" i="1"/>
  <c r="G209" i="1"/>
  <c r="J240" i="1"/>
  <c r="K243" i="1"/>
  <c r="E211" i="1"/>
  <c r="G50" i="1"/>
  <c r="G33" i="1"/>
  <c r="G26" i="1"/>
  <c r="E135" i="1"/>
  <c r="Y28" i="1" l="1"/>
  <c r="Y27" i="1"/>
  <c r="M36" i="1"/>
  <c r="L36" i="1"/>
  <c r="O22" i="1"/>
  <c r="P22" i="1"/>
  <c r="L191" i="1"/>
  <c r="M191" i="1"/>
  <c r="M53" i="1"/>
  <c r="L53" i="1"/>
  <c r="O60" i="1"/>
  <c r="P60" i="1"/>
  <c r="M224" i="1"/>
  <c r="L224" i="1"/>
  <c r="M121" i="1"/>
  <c r="L121" i="1"/>
  <c r="M49" i="1"/>
  <c r="L49" i="1"/>
  <c r="L192" i="1"/>
  <c r="M192" i="1"/>
  <c r="O247" i="1"/>
  <c r="P247" i="1"/>
  <c r="M39" i="1"/>
  <c r="L39" i="1"/>
  <c r="F75" i="1"/>
  <c r="F201" i="1"/>
  <c r="F29" i="1"/>
  <c r="F5" i="1"/>
  <c r="F246" i="1"/>
  <c r="F92" i="1"/>
  <c r="F25" i="1"/>
  <c r="F67" i="1"/>
  <c r="F131" i="1"/>
  <c r="F12" i="1"/>
  <c r="F118" i="1"/>
  <c r="F99" i="1"/>
  <c r="F206" i="1"/>
  <c r="F239" i="1"/>
  <c r="F79" i="1"/>
  <c r="F177" i="1"/>
  <c r="F72" i="1"/>
  <c r="F107" i="1"/>
  <c r="F175" i="1"/>
  <c r="F36" i="1"/>
  <c r="F115" i="1"/>
  <c r="F105" i="1"/>
  <c r="F145" i="1"/>
  <c r="F164" i="1"/>
  <c r="F43" i="1"/>
  <c r="F252" i="1"/>
  <c r="F28" i="1"/>
  <c r="F60" i="1"/>
  <c r="F33" i="1"/>
  <c r="F41" i="1"/>
  <c r="F236" i="1"/>
  <c r="F158" i="1"/>
  <c r="F104" i="1"/>
  <c r="F130" i="1"/>
  <c r="F191" i="1"/>
  <c r="F51" i="1"/>
  <c r="F174" i="1"/>
  <c r="F232" i="1"/>
  <c r="F53" i="1"/>
  <c r="F31" i="1"/>
  <c r="F134" i="1"/>
  <c r="F103" i="1"/>
  <c r="F139" i="1"/>
  <c r="F214" i="1"/>
  <c r="F126" i="1"/>
  <c r="F240" i="1"/>
  <c r="F80" i="1"/>
  <c r="F45" i="1"/>
  <c r="F113" i="1"/>
  <c r="F204" i="1"/>
  <c r="F9" i="1"/>
  <c r="F58" i="1"/>
  <c r="F192" i="1"/>
  <c r="F76" i="1"/>
  <c r="F187" i="1"/>
  <c r="F223" i="1"/>
  <c r="F16" i="1"/>
  <c r="F132" i="1"/>
  <c r="F196" i="1"/>
  <c r="F225" i="1"/>
  <c r="F137" i="1"/>
  <c r="F250" i="1"/>
  <c r="F98" i="1"/>
  <c r="F112" i="1"/>
  <c r="F165" i="1"/>
  <c r="F63" i="1"/>
  <c r="F194" i="1"/>
  <c r="F182" i="1"/>
  <c r="F142" i="1"/>
  <c r="F121" i="1"/>
  <c r="F54" i="1"/>
  <c r="F124" i="1"/>
  <c r="F69" i="1"/>
  <c r="F219" i="1"/>
  <c r="F153" i="1"/>
  <c r="F21" i="1"/>
  <c r="F111" i="1"/>
  <c r="F73" i="1"/>
  <c r="F116" i="1"/>
  <c r="F68" i="1"/>
  <c r="F6" i="1"/>
  <c r="F35" i="1"/>
  <c r="F189" i="1"/>
  <c r="F179" i="1"/>
  <c r="F211" i="1"/>
  <c r="F215" i="1"/>
  <c r="F231" i="1"/>
  <c r="F247" i="1"/>
  <c r="F83" i="1"/>
  <c r="F245" i="1"/>
  <c r="F198" i="1"/>
  <c r="F208" i="1"/>
  <c r="F96" i="1"/>
  <c r="F30" i="1"/>
  <c r="F123" i="1"/>
  <c r="F178" i="1"/>
  <c r="F248" i="1"/>
  <c r="F37" i="1"/>
  <c r="F218" i="1"/>
  <c r="F149" i="1"/>
  <c r="F154" i="1"/>
  <c r="F148" i="1"/>
  <c r="F109" i="1"/>
  <c r="F169" i="1"/>
  <c r="F203" i="1"/>
  <c r="F81" i="1"/>
  <c r="F184" i="1"/>
  <c r="F32" i="1"/>
  <c r="F197" i="1"/>
  <c r="F224" i="1"/>
  <c r="F185" i="1"/>
  <c r="F106" i="1"/>
  <c r="F4" i="1"/>
  <c r="F167" i="1"/>
  <c r="F108" i="1"/>
  <c r="F146" i="1"/>
  <c r="F2" i="1"/>
  <c r="F55" i="1"/>
  <c r="F46" i="1"/>
  <c r="F89" i="1"/>
  <c r="F24" i="1"/>
  <c r="F249" i="1"/>
  <c r="F230" i="1"/>
  <c r="F242" i="1"/>
  <c r="F61" i="1"/>
  <c r="F155" i="1"/>
  <c r="F56" i="1"/>
  <c r="F237" i="1"/>
  <c r="F229" i="1"/>
  <c r="F94" i="1"/>
  <c r="F3" i="1"/>
  <c r="F222" i="1"/>
  <c r="F34" i="1"/>
  <c r="F166" i="1"/>
  <c r="F151" i="1"/>
  <c r="F23" i="1"/>
  <c r="F86" i="1"/>
  <c r="F38" i="1"/>
  <c r="F135" i="1"/>
  <c r="F27" i="1"/>
  <c r="F220" i="1"/>
  <c r="F8" i="1"/>
  <c r="F95" i="1"/>
  <c r="F90" i="1"/>
  <c r="F244" i="1"/>
  <c r="F181" i="1"/>
  <c r="F183" i="1"/>
  <c r="F42" i="1"/>
  <c r="F101" i="1"/>
  <c r="F173" i="1"/>
  <c r="F241" i="1"/>
  <c r="F162" i="1"/>
  <c r="F18" i="1"/>
  <c r="F205" i="1"/>
  <c r="F77" i="1"/>
  <c r="F120" i="1"/>
  <c r="F163" i="1"/>
  <c r="F235" i="1"/>
  <c r="F114" i="1"/>
  <c r="F40" i="1"/>
  <c r="F207" i="1"/>
  <c r="F156" i="1"/>
  <c r="F44" i="1"/>
  <c r="F93" i="1"/>
  <c r="F228" i="1"/>
  <c r="F152" i="1"/>
  <c r="F168" i="1"/>
  <c r="F234" i="1"/>
  <c r="F119" i="1"/>
  <c r="F117" i="1"/>
  <c r="F102" i="1"/>
  <c r="F110" i="1"/>
  <c r="F199" i="1"/>
  <c r="F22" i="1"/>
  <c r="F87" i="1"/>
  <c r="F200" i="1"/>
  <c r="F39" i="1"/>
  <c r="F157" i="1"/>
  <c r="F147" i="1"/>
  <c r="F195" i="1"/>
  <c r="F129" i="1"/>
  <c r="F171" i="1"/>
  <c r="F85" i="1"/>
  <c r="F57" i="1"/>
  <c r="F251" i="1"/>
  <c r="F144" i="1"/>
  <c r="F19" i="1"/>
  <c r="F243" i="1"/>
  <c r="F213" i="1"/>
  <c r="F216" i="1"/>
  <c r="F52" i="1"/>
  <c r="F26" i="1"/>
  <c r="F59" i="1"/>
  <c r="F217" i="1"/>
  <c r="F188" i="1"/>
  <c r="F15" i="1"/>
  <c r="F186" i="1"/>
  <c r="F14" i="1"/>
  <c r="F161" i="1"/>
  <c r="F47" i="1"/>
  <c r="F238" i="1"/>
  <c r="F233" i="1"/>
  <c r="F140" i="1"/>
  <c r="F65" i="1"/>
  <c r="F78" i="1"/>
  <c r="F88" i="1"/>
  <c r="F20" i="1"/>
  <c r="F133" i="1"/>
  <c r="F190" i="1"/>
  <c r="F91" i="1"/>
  <c r="F138" i="1"/>
  <c r="F84" i="1"/>
  <c r="F50" i="1"/>
  <c r="F172" i="1"/>
  <c r="F176" i="1"/>
  <c r="F48" i="1"/>
  <c r="F74" i="1"/>
  <c r="F127" i="1"/>
  <c r="F49" i="1"/>
  <c r="F62" i="1"/>
  <c r="F141" i="1"/>
  <c r="F82" i="1"/>
  <c r="F180" i="1"/>
  <c r="F70" i="1"/>
  <c r="F221" i="1"/>
  <c r="F227" i="1"/>
  <c r="F11" i="1"/>
  <c r="F128" i="1"/>
  <c r="F122" i="1"/>
  <c r="F170" i="1"/>
  <c r="F71" i="1"/>
  <c r="F97" i="1"/>
  <c r="F193" i="1"/>
  <c r="F150" i="1"/>
  <c r="F160" i="1"/>
  <c r="F17" i="1"/>
  <c r="F210" i="1"/>
  <c r="F13" i="1"/>
  <c r="F64" i="1"/>
  <c r="F226" i="1"/>
  <c r="F202" i="1"/>
  <c r="F212" i="1"/>
  <c r="F7" i="1"/>
  <c r="F159" i="1"/>
  <c r="F143" i="1"/>
  <c r="F10" i="1"/>
  <c r="F125" i="1"/>
  <c r="F209" i="1"/>
  <c r="F136" i="1"/>
  <c r="F66" i="1"/>
  <c r="F100" i="1"/>
  <c r="L85" i="1"/>
  <c r="M85" i="1"/>
  <c r="O201" i="1"/>
  <c r="P201" i="1"/>
  <c r="P23" i="1"/>
  <c r="O23" i="1"/>
  <c r="L89" i="1"/>
  <c r="M89" i="1"/>
  <c r="M81" i="1"/>
  <c r="L81" i="1"/>
  <c r="P204" i="1"/>
  <c r="O204" i="1"/>
  <c r="M218" i="1"/>
  <c r="L218" i="1"/>
  <c r="L86" i="1"/>
  <c r="M86" i="1"/>
  <c r="M124" i="1"/>
  <c r="L124" i="1"/>
  <c r="P12" i="1"/>
  <c r="O12" i="1"/>
  <c r="L37" i="1"/>
  <c r="M37" i="1"/>
  <c r="M64" i="1"/>
  <c r="L64" i="1"/>
  <c r="P43" i="1"/>
  <c r="O43" i="1"/>
  <c r="O19" i="1"/>
  <c r="P19" i="1"/>
  <c r="P189" i="1"/>
  <c r="O189" i="1"/>
  <c r="M220" i="1"/>
  <c r="L220" i="1"/>
  <c r="L50" i="1"/>
  <c r="M50" i="1"/>
  <c r="L120" i="1"/>
  <c r="M120" i="1"/>
  <c r="O42" i="1"/>
  <c r="P42" i="1"/>
  <c r="P47" i="1"/>
  <c r="O47" i="1"/>
  <c r="L169" i="1"/>
  <c r="M169" i="1"/>
  <c r="L164" i="1"/>
  <c r="M164" i="1"/>
  <c r="L203" i="1"/>
  <c r="M203" i="1"/>
  <c r="O158" i="1"/>
  <c r="P158" i="1"/>
  <c r="O97" i="1"/>
  <c r="P97" i="1"/>
  <c r="L105" i="1"/>
  <c r="M105" i="1"/>
  <c r="L40" i="1"/>
  <c r="M40" i="1"/>
  <c r="L28" i="1"/>
  <c r="M28" i="1"/>
  <c r="O65" i="1"/>
  <c r="P65" i="1"/>
  <c r="O92" i="1"/>
  <c r="P92" i="1"/>
  <c r="P93" i="1"/>
  <c r="O93" i="1"/>
  <c r="O137" i="1"/>
  <c r="P137" i="1"/>
  <c r="P230" i="1"/>
  <c r="O230" i="1"/>
  <c r="P26" i="1"/>
  <c r="O26" i="1"/>
  <c r="O33" i="1"/>
  <c r="P33" i="1"/>
  <c r="O16" i="1"/>
  <c r="P16" i="1"/>
  <c r="O45" i="1"/>
  <c r="P45" i="1"/>
  <c r="P220" i="1"/>
  <c r="O220" i="1"/>
  <c r="O143" i="1"/>
  <c r="P143" i="1"/>
  <c r="P145" i="1"/>
  <c r="O145" i="1"/>
  <c r="M228" i="1"/>
  <c r="L228" i="1"/>
  <c r="L90" i="1"/>
  <c r="M90" i="1"/>
  <c r="M163" i="1"/>
  <c r="L163" i="1"/>
  <c r="P199" i="1"/>
  <c r="O199" i="1"/>
  <c r="L236" i="1"/>
  <c r="M236" i="1"/>
  <c r="P116" i="1"/>
  <c r="O116" i="1"/>
  <c r="L159" i="1"/>
  <c r="M159" i="1"/>
  <c r="O146" i="1"/>
  <c r="P146" i="1"/>
  <c r="O50" i="1"/>
  <c r="P50" i="1"/>
  <c r="P20" i="1"/>
  <c r="O20" i="1"/>
  <c r="O194" i="1"/>
  <c r="P194" i="1"/>
  <c r="M93" i="1"/>
  <c r="L93" i="1"/>
  <c r="M95" i="1"/>
  <c r="L95" i="1"/>
  <c r="L103" i="1"/>
  <c r="M103" i="1"/>
  <c r="L87" i="1"/>
  <c r="M87" i="1"/>
  <c r="O140" i="1"/>
  <c r="P140" i="1"/>
  <c r="P144" i="1"/>
  <c r="O144" i="1"/>
  <c r="O118" i="1"/>
  <c r="P118" i="1"/>
  <c r="P28" i="1"/>
  <c r="O28" i="1"/>
  <c r="O115" i="1"/>
  <c r="P115" i="1"/>
  <c r="O222" i="1"/>
  <c r="P222" i="1"/>
  <c r="P152" i="1"/>
  <c r="O152" i="1"/>
  <c r="P104" i="1"/>
  <c r="O104" i="1"/>
  <c r="O78" i="1"/>
  <c r="P78" i="1"/>
  <c r="O217" i="1"/>
  <c r="P217" i="1"/>
  <c r="O186" i="1"/>
  <c r="P186" i="1"/>
  <c r="P150" i="1"/>
  <c r="O150" i="1"/>
  <c r="O71" i="1"/>
  <c r="P71" i="1"/>
  <c r="P139" i="1"/>
  <c r="O139" i="1"/>
  <c r="L240" i="1"/>
  <c r="M240" i="1"/>
  <c r="O155" i="1"/>
  <c r="P155" i="1"/>
  <c r="O25" i="1"/>
  <c r="P25" i="1"/>
  <c r="M178" i="1"/>
  <c r="L178" i="1"/>
  <c r="M112" i="1"/>
  <c r="L112" i="1"/>
  <c r="L249" i="1"/>
  <c r="M249" i="1"/>
  <c r="M33" i="1"/>
  <c r="L33" i="1"/>
  <c r="L60" i="1"/>
  <c r="M60" i="1"/>
  <c r="M91" i="1"/>
  <c r="L91" i="1"/>
  <c r="P156" i="1"/>
  <c r="O156" i="1"/>
  <c r="M225" i="1"/>
  <c r="L225" i="1"/>
  <c r="M32" i="1"/>
  <c r="L32" i="1"/>
  <c r="L26" i="1"/>
  <c r="M26" i="1"/>
  <c r="O161" i="1"/>
  <c r="P161" i="1"/>
  <c r="O46" i="1"/>
  <c r="P46" i="1"/>
  <c r="M239" i="1"/>
  <c r="L239" i="1"/>
  <c r="M230" i="1"/>
  <c r="L230" i="1"/>
  <c r="L44" i="1"/>
  <c r="M44" i="1"/>
  <c r="M126" i="1"/>
  <c r="L126" i="1"/>
  <c r="L252" i="1"/>
  <c r="M252" i="1"/>
  <c r="P159" i="1"/>
  <c r="O159" i="1"/>
  <c r="O215" i="1"/>
  <c r="P215" i="1"/>
  <c r="O4" i="1"/>
  <c r="P4" i="1"/>
  <c r="L38" i="1"/>
  <c r="M38" i="1"/>
  <c r="O170" i="1"/>
  <c r="P170" i="1"/>
  <c r="P58" i="1"/>
  <c r="O58" i="1"/>
  <c r="O250" i="1"/>
  <c r="P250" i="1"/>
  <c r="O39" i="1"/>
  <c r="P39" i="1"/>
  <c r="M185" i="1"/>
  <c r="L185" i="1"/>
  <c r="L242" i="1"/>
  <c r="M242" i="1"/>
  <c r="O174" i="1"/>
  <c r="P174" i="1"/>
  <c r="P8" i="1"/>
  <c r="O8" i="1"/>
  <c r="O124" i="1"/>
  <c r="P124" i="1"/>
  <c r="O237" i="1"/>
  <c r="P237" i="1"/>
  <c r="P106" i="1"/>
  <c r="O106" i="1"/>
  <c r="L206" i="1"/>
  <c r="M206" i="1"/>
  <c r="M222" i="1"/>
  <c r="L222" i="1"/>
  <c r="M57" i="1"/>
  <c r="L57" i="1"/>
  <c r="L122" i="1"/>
  <c r="M122" i="1"/>
  <c r="P89" i="1"/>
  <c r="O89" i="1"/>
  <c r="L68" i="1"/>
  <c r="M68" i="1"/>
  <c r="L180" i="1"/>
  <c r="M180" i="1"/>
  <c r="M78" i="1"/>
  <c r="L78" i="1"/>
  <c r="M48" i="1"/>
  <c r="L48" i="1"/>
  <c r="M94" i="1"/>
  <c r="L94" i="1"/>
  <c r="O128" i="1"/>
  <c r="P128" i="1"/>
  <c r="O206" i="1"/>
  <c r="P206" i="1"/>
  <c r="P236" i="1"/>
  <c r="O236" i="1"/>
  <c r="P234" i="1"/>
  <c r="O234" i="1"/>
  <c r="O103" i="1"/>
  <c r="P103" i="1"/>
  <c r="P169" i="1"/>
  <c r="O169" i="1"/>
  <c r="O6" i="1"/>
  <c r="P6" i="1"/>
  <c r="P74" i="1"/>
  <c r="O74" i="1"/>
  <c r="P165" i="1"/>
  <c r="O165" i="1"/>
  <c r="P51" i="1"/>
  <c r="O51" i="1"/>
  <c r="P56" i="1"/>
  <c r="O56" i="1"/>
  <c r="O34" i="1"/>
  <c r="P34" i="1"/>
  <c r="M247" i="1"/>
  <c r="L247" i="1"/>
  <c r="L140" i="1"/>
  <c r="M140" i="1"/>
  <c r="P62" i="1"/>
  <c r="O62" i="1"/>
  <c r="M66" i="1"/>
  <c r="L66" i="1"/>
  <c r="O154" i="1"/>
  <c r="P154" i="1"/>
  <c r="L63" i="1"/>
  <c r="M63" i="1"/>
  <c r="M251" i="1"/>
  <c r="L251" i="1"/>
  <c r="M212" i="1"/>
  <c r="L212" i="1"/>
  <c r="M170" i="1"/>
  <c r="L170" i="1"/>
  <c r="O94" i="1"/>
  <c r="P94" i="1"/>
  <c r="O244" i="1"/>
  <c r="P244" i="1"/>
  <c r="M59" i="1"/>
  <c r="L59" i="1"/>
  <c r="L167" i="1"/>
  <c r="M167" i="1"/>
  <c r="M207" i="1"/>
  <c r="L207" i="1"/>
  <c r="O70" i="1"/>
  <c r="P70" i="1"/>
  <c r="L248" i="1"/>
  <c r="M248" i="1"/>
  <c r="O243" i="1"/>
  <c r="P243" i="1"/>
  <c r="L128" i="1"/>
  <c r="M128" i="1"/>
  <c r="P239" i="1"/>
  <c r="O239" i="1"/>
  <c r="M100" i="1"/>
  <c r="L100" i="1"/>
  <c r="M202" i="1"/>
  <c r="L202" i="1"/>
  <c r="M147" i="1"/>
  <c r="L147" i="1"/>
  <c r="M223" i="1"/>
  <c r="L223" i="1"/>
  <c r="L46" i="1"/>
  <c r="M46" i="1"/>
  <c r="M111" i="1"/>
  <c r="L111" i="1"/>
  <c r="L141" i="1"/>
  <c r="M141" i="1"/>
  <c r="L143" i="1"/>
  <c r="M143" i="1"/>
  <c r="L136" i="1"/>
  <c r="M136" i="1"/>
  <c r="L97" i="1"/>
  <c r="M97" i="1"/>
  <c r="M173" i="1"/>
  <c r="L173" i="1"/>
  <c r="M52" i="1"/>
  <c r="L52" i="1"/>
  <c r="M132" i="1"/>
  <c r="L132" i="1"/>
  <c r="P113" i="1"/>
  <c r="O113" i="1"/>
  <c r="L232" i="1"/>
  <c r="M232" i="1"/>
  <c r="O31" i="1"/>
  <c r="P31" i="1"/>
  <c r="M24" i="1"/>
  <c r="L24" i="1"/>
  <c r="P3" i="1"/>
  <c r="O3" i="1"/>
  <c r="L98" i="1"/>
  <c r="M98" i="1"/>
  <c r="L92" i="1"/>
  <c r="M92" i="1"/>
  <c r="L123" i="1"/>
  <c r="M123" i="1"/>
  <c r="L35" i="1"/>
  <c r="M35" i="1"/>
  <c r="M84" i="1"/>
  <c r="L84" i="1"/>
  <c r="O228" i="1"/>
  <c r="P228" i="1"/>
  <c r="L201" i="1"/>
  <c r="M201" i="1"/>
  <c r="M229" i="1"/>
  <c r="L229" i="1"/>
  <c r="L166" i="1"/>
  <c r="M166" i="1"/>
  <c r="O197" i="1"/>
  <c r="P197" i="1"/>
  <c r="M88" i="1"/>
  <c r="L88" i="1"/>
  <c r="O248" i="1"/>
  <c r="P248" i="1"/>
  <c r="P235" i="1"/>
  <c r="O235" i="1"/>
  <c r="L41" i="1"/>
  <c r="M41" i="1"/>
  <c r="P252" i="1"/>
  <c r="O252" i="1"/>
  <c r="P193" i="1"/>
  <c r="O193" i="1"/>
  <c r="L183" i="1"/>
  <c r="M183" i="1"/>
  <c r="M25" i="1"/>
  <c r="L25" i="1"/>
  <c r="O24" i="1"/>
  <c r="P24" i="1"/>
  <c r="M54" i="1"/>
  <c r="L54" i="1"/>
  <c r="L246" i="1"/>
  <c r="M246" i="1"/>
  <c r="P136" i="1"/>
  <c r="O136" i="1"/>
  <c r="P148" i="1"/>
  <c r="O148" i="1"/>
  <c r="P86" i="1"/>
  <c r="O86" i="1"/>
  <c r="L146" i="1"/>
  <c r="M146" i="1"/>
  <c r="P147" i="1"/>
  <c r="O147" i="1"/>
  <c r="P30" i="1"/>
  <c r="O30" i="1"/>
  <c r="P241" i="1"/>
  <c r="O241" i="1"/>
  <c r="O190" i="1"/>
  <c r="P190" i="1"/>
  <c r="M125" i="1"/>
  <c r="L125" i="1"/>
  <c r="M177" i="1"/>
  <c r="L177" i="1"/>
  <c r="P249" i="1"/>
  <c r="O249" i="1"/>
  <c r="P85" i="1"/>
  <c r="O85" i="1"/>
  <c r="O41" i="1"/>
  <c r="P41" i="1"/>
  <c r="P64" i="1"/>
  <c r="O64" i="1"/>
  <c r="P110" i="1"/>
  <c r="O110" i="1"/>
  <c r="P27" i="1"/>
  <c r="O27" i="1"/>
  <c r="P38" i="1"/>
  <c r="O38" i="1"/>
  <c r="O160" i="1"/>
  <c r="P160" i="1"/>
  <c r="P134" i="1"/>
  <c r="O134" i="1"/>
  <c r="P202" i="1"/>
  <c r="O202" i="1"/>
  <c r="P229" i="1"/>
  <c r="O229" i="1"/>
  <c r="O88" i="1"/>
  <c r="P88" i="1"/>
  <c r="P203" i="1"/>
  <c r="O203" i="1"/>
  <c r="O162" i="1"/>
  <c r="P162" i="1"/>
  <c r="M150" i="1"/>
  <c r="L150" i="1"/>
  <c r="O5" i="1"/>
  <c r="P5" i="1"/>
  <c r="O77" i="1"/>
  <c r="P77" i="1"/>
  <c r="P121" i="1"/>
  <c r="O121" i="1"/>
  <c r="O59" i="1"/>
  <c r="P59" i="1"/>
  <c r="P192" i="1"/>
  <c r="O192" i="1"/>
  <c r="P231" i="1"/>
  <c r="O231" i="1"/>
  <c r="L130" i="1"/>
  <c r="M130" i="1"/>
  <c r="L83" i="1"/>
  <c r="M83" i="1"/>
  <c r="L27" i="1"/>
  <c r="M27" i="1"/>
  <c r="L151" i="1"/>
  <c r="M151" i="1"/>
  <c r="P83" i="1"/>
  <c r="O83" i="1"/>
  <c r="O11" i="1"/>
  <c r="P11" i="1"/>
  <c r="L189" i="1"/>
  <c r="M189" i="1"/>
  <c r="M70" i="1"/>
  <c r="L70" i="1"/>
  <c r="M200" i="1"/>
  <c r="L200" i="1"/>
  <c r="L226" i="1"/>
  <c r="M226" i="1"/>
  <c r="P191" i="1"/>
  <c r="O191" i="1"/>
  <c r="L196" i="1"/>
  <c r="M196" i="1"/>
  <c r="L96" i="1"/>
  <c r="M96" i="1"/>
  <c r="M43" i="1"/>
  <c r="L43" i="1"/>
  <c r="M79" i="1"/>
  <c r="L79" i="1"/>
  <c r="L119" i="1"/>
  <c r="M119" i="1"/>
  <c r="L235" i="1"/>
  <c r="M235" i="1"/>
  <c r="P57" i="1"/>
  <c r="O57" i="1"/>
  <c r="L157" i="1"/>
  <c r="M157" i="1"/>
  <c r="L108" i="1"/>
  <c r="M108" i="1"/>
  <c r="O232" i="1"/>
  <c r="P232" i="1"/>
  <c r="P48" i="1"/>
  <c r="O48" i="1"/>
  <c r="M118" i="1"/>
  <c r="L118" i="1"/>
  <c r="M171" i="1"/>
  <c r="L171" i="1"/>
  <c r="L139" i="1"/>
  <c r="M139" i="1"/>
  <c r="P177" i="1"/>
  <c r="O177" i="1"/>
  <c r="M31" i="1"/>
  <c r="L31" i="1"/>
  <c r="P210" i="1"/>
  <c r="O210" i="1"/>
  <c r="L135" i="1"/>
  <c r="M135" i="1"/>
  <c r="O149" i="1"/>
  <c r="P149" i="1"/>
  <c r="M205" i="1"/>
  <c r="L205" i="1"/>
  <c r="L184" i="1"/>
  <c r="M184" i="1"/>
  <c r="L23" i="1"/>
  <c r="M23" i="1"/>
  <c r="O187" i="1"/>
  <c r="P187" i="1"/>
  <c r="M199" i="1"/>
  <c r="L199" i="1"/>
  <c r="L161" i="1"/>
  <c r="M161" i="1"/>
  <c r="P251" i="1"/>
  <c r="O251" i="1"/>
  <c r="P18" i="1"/>
  <c r="O18" i="1"/>
  <c r="P173" i="1"/>
  <c r="O173" i="1"/>
  <c r="L244" i="1"/>
  <c r="M244" i="1"/>
  <c r="M188" i="1"/>
  <c r="L188" i="1"/>
  <c r="M214" i="1"/>
  <c r="L214" i="1"/>
  <c r="O227" i="1"/>
  <c r="P227" i="1"/>
  <c r="P242" i="1"/>
  <c r="O242" i="1"/>
  <c r="P207" i="1"/>
  <c r="O207" i="1"/>
  <c r="P79" i="1"/>
  <c r="O79" i="1"/>
  <c r="O196" i="1"/>
  <c r="P196" i="1"/>
  <c r="O221" i="1"/>
  <c r="P221" i="1"/>
  <c r="P17" i="1"/>
  <c r="O17" i="1"/>
  <c r="P87" i="1"/>
  <c r="O87" i="1"/>
  <c r="P111" i="1"/>
  <c r="O111" i="1"/>
  <c r="O29" i="1"/>
  <c r="P29" i="1"/>
  <c r="O219" i="1"/>
  <c r="P219" i="1"/>
  <c r="P90" i="1"/>
  <c r="O90" i="1"/>
  <c r="O80" i="1"/>
  <c r="P80" i="1"/>
  <c r="P132" i="1"/>
  <c r="O132" i="1"/>
  <c r="P54" i="1"/>
  <c r="O54" i="1"/>
  <c r="M233" i="1"/>
  <c r="L233" i="1"/>
  <c r="L195" i="1"/>
  <c r="M195" i="1"/>
  <c r="M61" i="1"/>
  <c r="L61" i="1"/>
  <c r="O81" i="1"/>
  <c r="P81" i="1"/>
  <c r="L107" i="1"/>
  <c r="M107" i="1"/>
  <c r="L213" i="1"/>
  <c r="M213" i="1"/>
  <c r="M175" i="1"/>
  <c r="L175" i="1"/>
  <c r="M187" i="1"/>
  <c r="L187" i="1"/>
  <c r="M55" i="1"/>
  <c r="L55" i="1"/>
  <c r="L160" i="1"/>
  <c r="M160" i="1"/>
  <c r="L113" i="1"/>
  <c r="M113" i="1"/>
  <c r="M237" i="1"/>
  <c r="L237" i="1"/>
  <c r="L104" i="1"/>
  <c r="M104" i="1"/>
  <c r="L129" i="1"/>
  <c r="M129" i="1"/>
  <c r="M179" i="1"/>
  <c r="L179" i="1"/>
  <c r="P225" i="1"/>
  <c r="O225" i="1"/>
  <c r="L102" i="1"/>
  <c r="M102" i="1"/>
  <c r="M194" i="1"/>
  <c r="L194" i="1"/>
  <c r="M209" i="1"/>
  <c r="L209" i="1"/>
  <c r="L152" i="1"/>
  <c r="M152" i="1"/>
  <c r="M62" i="1"/>
  <c r="L62" i="1"/>
  <c r="L219" i="1"/>
  <c r="M219" i="1"/>
  <c r="O226" i="1"/>
  <c r="P226" i="1"/>
  <c r="L208" i="1"/>
  <c r="M208" i="1"/>
  <c r="L117" i="1"/>
  <c r="M117" i="1"/>
  <c r="L217" i="1"/>
  <c r="M217" i="1"/>
  <c r="M72" i="1"/>
  <c r="L72" i="1"/>
  <c r="L153" i="1"/>
  <c r="M153" i="1"/>
  <c r="M99" i="1"/>
  <c r="L99" i="1"/>
  <c r="M148" i="1"/>
  <c r="L148" i="1"/>
  <c r="P44" i="1"/>
  <c r="O44" i="1"/>
  <c r="L186" i="1"/>
  <c r="M186" i="1"/>
  <c r="L109" i="1"/>
  <c r="M109" i="1"/>
  <c r="M45" i="1"/>
  <c r="L45" i="1"/>
  <c r="M155" i="1"/>
  <c r="L155" i="1"/>
  <c r="P82" i="1"/>
  <c r="O82" i="1"/>
  <c r="M115" i="1"/>
  <c r="L115" i="1"/>
  <c r="L51" i="1"/>
  <c r="M51" i="1"/>
  <c r="P9" i="1"/>
  <c r="O9" i="1"/>
  <c r="M182" i="1"/>
  <c r="L182" i="1"/>
  <c r="P99" i="1"/>
  <c r="O99" i="1"/>
  <c r="P172" i="1"/>
  <c r="O172" i="1"/>
  <c r="P233" i="1"/>
  <c r="O233" i="1"/>
  <c r="O216" i="1"/>
  <c r="P216" i="1"/>
  <c r="P246" i="1"/>
  <c r="O246" i="1"/>
  <c r="L234" i="1"/>
  <c r="M234" i="1"/>
  <c r="P218" i="1"/>
  <c r="O218" i="1"/>
  <c r="M158" i="1"/>
  <c r="L158" i="1"/>
  <c r="P36" i="1"/>
  <c r="O36" i="1"/>
  <c r="M168" i="1"/>
  <c r="L168" i="1"/>
  <c r="O164" i="1"/>
  <c r="P164" i="1"/>
  <c r="P66" i="1"/>
  <c r="O66" i="1"/>
  <c r="M22" i="1"/>
  <c r="L22" i="1"/>
  <c r="O157" i="1"/>
  <c r="P157" i="1"/>
  <c r="P138" i="1"/>
  <c r="O138" i="1"/>
  <c r="L197" i="1"/>
  <c r="M197" i="1"/>
  <c r="L127" i="1"/>
  <c r="M127" i="1"/>
  <c r="O67" i="1"/>
  <c r="P67" i="1"/>
  <c r="P198" i="1"/>
  <c r="O198" i="1"/>
  <c r="O73" i="1"/>
  <c r="P73" i="1"/>
  <c r="O180" i="1"/>
  <c r="P180" i="1"/>
  <c r="O84" i="1"/>
  <c r="P84" i="1"/>
  <c r="O76" i="1"/>
  <c r="P76" i="1"/>
  <c r="P176" i="1"/>
  <c r="O176" i="1"/>
  <c r="O117" i="1"/>
  <c r="P117" i="1"/>
  <c r="P122" i="1"/>
  <c r="O122" i="1"/>
  <c r="O200" i="1"/>
  <c r="P200" i="1"/>
  <c r="O7" i="1"/>
  <c r="P7" i="1"/>
  <c r="P75" i="1"/>
  <c r="O75" i="1"/>
  <c r="P182" i="1"/>
  <c r="O182" i="1"/>
  <c r="O100" i="1"/>
  <c r="P100" i="1"/>
  <c r="O175" i="1"/>
  <c r="P175" i="1"/>
  <c r="P126" i="1"/>
  <c r="O126" i="1"/>
  <c r="O35" i="1"/>
  <c r="P35" i="1"/>
  <c r="P125" i="1"/>
  <c r="O125" i="1"/>
  <c r="P168" i="1"/>
  <c r="O168" i="1"/>
  <c r="O142" i="1"/>
  <c r="P142" i="1"/>
  <c r="P108" i="1"/>
  <c r="O108" i="1"/>
  <c r="P13" i="1"/>
  <c r="O13" i="1"/>
  <c r="P133" i="1"/>
  <c r="O133" i="1"/>
  <c r="L67" i="1"/>
  <c r="M67" i="1"/>
  <c r="L131" i="1"/>
  <c r="M131" i="1"/>
  <c r="O63" i="1"/>
  <c r="P63" i="1"/>
  <c r="P40" i="1"/>
  <c r="O40" i="1"/>
  <c r="L193" i="1"/>
  <c r="M193" i="1"/>
  <c r="M149" i="1"/>
  <c r="L149" i="1"/>
  <c r="L65" i="1"/>
  <c r="M65" i="1"/>
  <c r="M74" i="1"/>
  <c r="L74" i="1"/>
  <c r="M75" i="1"/>
  <c r="L75" i="1"/>
  <c r="M250" i="1"/>
  <c r="L250" i="1"/>
  <c r="M144" i="1"/>
  <c r="L144" i="1"/>
  <c r="M80" i="1"/>
  <c r="L80" i="1"/>
  <c r="P32" i="1"/>
  <c r="O32" i="1"/>
  <c r="P205" i="1"/>
  <c r="O205" i="1"/>
  <c r="O212" i="1"/>
  <c r="P212" i="1"/>
  <c r="P72" i="1"/>
  <c r="O72" i="1"/>
  <c r="M73" i="1"/>
  <c r="L73" i="1"/>
  <c r="P153" i="1"/>
  <c r="O153" i="1"/>
  <c r="P130" i="1"/>
  <c r="O130" i="1"/>
  <c r="O37" i="1"/>
  <c r="P37" i="1"/>
  <c r="L210" i="1"/>
  <c r="M210" i="1"/>
  <c r="M138" i="1"/>
  <c r="L138" i="1"/>
  <c r="P240" i="1"/>
  <c r="O240" i="1"/>
  <c r="P181" i="1"/>
  <c r="O181" i="1"/>
  <c r="M106" i="1"/>
  <c r="L106" i="1"/>
  <c r="L231" i="1"/>
  <c r="M231" i="1"/>
  <c r="L238" i="1"/>
  <c r="M238" i="1"/>
  <c r="O185" i="1"/>
  <c r="P185" i="1"/>
  <c r="P151" i="1"/>
  <c r="O151" i="1"/>
  <c r="L245" i="1"/>
  <c r="M245" i="1"/>
  <c r="P188" i="1"/>
  <c r="O188" i="1"/>
  <c r="O120" i="1"/>
  <c r="P120" i="1"/>
  <c r="P105" i="1"/>
  <c r="O105" i="1"/>
  <c r="L215" i="1"/>
  <c r="M215" i="1"/>
  <c r="M69" i="1"/>
  <c r="L69" i="1"/>
  <c r="M110" i="1"/>
  <c r="L110" i="1"/>
  <c r="P119" i="1"/>
  <c r="O119" i="1"/>
  <c r="P245" i="1"/>
  <c r="O245" i="1"/>
  <c r="P135" i="1"/>
  <c r="O135" i="1"/>
  <c r="O49" i="1"/>
  <c r="P49" i="1"/>
  <c r="P10" i="1"/>
  <c r="O10" i="1"/>
  <c r="O209" i="1"/>
  <c r="P209" i="1"/>
  <c r="P95" i="1"/>
  <c r="O95" i="1"/>
  <c r="P163" i="1"/>
  <c r="O163" i="1"/>
  <c r="O195" i="1"/>
  <c r="P195" i="1"/>
  <c r="O68" i="1"/>
  <c r="P68" i="1"/>
  <c r="P167" i="1"/>
  <c r="O167" i="1"/>
  <c r="O96" i="1"/>
  <c r="P96" i="1"/>
  <c r="L190" i="1"/>
  <c r="M190" i="1"/>
  <c r="M101" i="1"/>
  <c r="L101" i="1"/>
  <c r="P183" i="1"/>
  <c r="O183" i="1"/>
  <c r="M176" i="1"/>
  <c r="L176" i="1"/>
  <c r="L29" i="1"/>
  <c r="M29" i="1"/>
  <c r="M42" i="1"/>
  <c r="L42" i="1"/>
  <c r="M58" i="1"/>
  <c r="L58" i="1"/>
  <c r="P166" i="1"/>
  <c r="O166" i="1"/>
  <c r="P171" i="1"/>
  <c r="O171" i="1"/>
  <c r="W30" i="1"/>
  <c r="M227" i="1"/>
  <c r="L227" i="1"/>
  <c r="M145" i="1"/>
  <c r="L145" i="1"/>
  <c r="P211" i="1"/>
  <c r="O211" i="1"/>
  <c r="P112" i="1"/>
  <c r="O112" i="1"/>
  <c r="L77" i="1"/>
  <c r="M77" i="1"/>
  <c r="M76" i="1"/>
  <c r="L76" i="1"/>
  <c r="L204" i="1"/>
  <c r="M204" i="1"/>
  <c r="M142" i="1"/>
  <c r="L142" i="1"/>
  <c r="M211" i="1"/>
  <c r="L211" i="1"/>
  <c r="L34" i="1"/>
  <c r="M34" i="1"/>
  <c r="P14" i="1"/>
  <c r="O14" i="1"/>
  <c r="P131" i="1"/>
  <c r="O131" i="1"/>
  <c r="L165" i="1"/>
  <c r="M165" i="1"/>
  <c r="O15" i="1"/>
  <c r="P15" i="1"/>
  <c r="M133" i="1"/>
  <c r="L133" i="1"/>
  <c r="P223" i="1"/>
  <c r="O223" i="1"/>
  <c r="O101" i="1"/>
  <c r="P101" i="1"/>
  <c r="L30" i="1"/>
  <c r="M30" i="1"/>
  <c r="L21" i="1"/>
  <c r="M21" i="1"/>
  <c r="L241" i="1"/>
  <c r="M241" i="1"/>
  <c r="L243" i="1"/>
  <c r="M243" i="1"/>
  <c r="M198" i="1"/>
  <c r="L198" i="1"/>
  <c r="L134" i="1"/>
  <c r="M134" i="1"/>
  <c r="L181" i="1"/>
  <c r="M181" i="1"/>
  <c r="M174" i="1"/>
  <c r="L174" i="1"/>
  <c r="O109" i="1"/>
  <c r="P109" i="1"/>
  <c r="L114" i="1"/>
  <c r="M114" i="1"/>
  <c r="L154" i="1"/>
  <c r="M154" i="1"/>
  <c r="O141" i="1"/>
  <c r="P141" i="1"/>
  <c r="L47" i="1"/>
  <c r="M47" i="1"/>
  <c r="M172" i="1"/>
  <c r="L172" i="1"/>
  <c r="M71" i="1"/>
  <c r="L71" i="1"/>
  <c r="L162" i="1"/>
  <c r="M162" i="1"/>
  <c r="L216" i="1"/>
  <c r="M216" i="1"/>
  <c r="P178" i="1"/>
  <c r="O178" i="1"/>
  <c r="O61" i="1"/>
  <c r="P61" i="1"/>
  <c r="M116" i="1"/>
  <c r="L116" i="1"/>
  <c r="P213" i="1"/>
  <c r="O213" i="1"/>
  <c r="M56" i="1"/>
  <c r="L56" i="1"/>
  <c r="P208" i="1"/>
  <c r="O208" i="1"/>
  <c r="M221" i="1"/>
  <c r="L221" i="1"/>
  <c r="L137" i="1"/>
  <c r="M137" i="1"/>
  <c r="P179" i="1"/>
  <c r="O179" i="1"/>
  <c r="O21" i="1"/>
  <c r="P21" i="1"/>
  <c r="M82" i="1"/>
  <c r="L82" i="1"/>
  <c r="L156" i="1"/>
  <c r="M156" i="1"/>
  <c r="P184" i="1"/>
  <c r="O184" i="1"/>
  <c r="P127" i="1"/>
  <c r="O127" i="1"/>
  <c r="P52" i="1"/>
  <c r="O52" i="1"/>
  <c r="P98" i="1"/>
  <c r="O98" i="1"/>
  <c r="O69" i="1"/>
  <c r="P69" i="1"/>
  <c r="P107" i="1"/>
  <c r="O107" i="1"/>
  <c r="O214" i="1"/>
  <c r="P214" i="1"/>
  <c r="P123" i="1"/>
  <c r="O123" i="1"/>
  <c r="O238" i="1"/>
  <c r="P238" i="1"/>
  <c r="P91" i="1"/>
  <c r="O91" i="1"/>
  <c r="P102" i="1"/>
  <c r="O102" i="1"/>
  <c r="P224" i="1"/>
  <c r="O224" i="1"/>
  <c r="P55" i="1"/>
  <c r="O55" i="1"/>
  <c r="P129" i="1"/>
  <c r="O129" i="1"/>
  <c r="O53" i="1"/>
  <c r="P53" i="1"/>
  <c r="P114" i="1"/>
  <c r="O114" i="1"/>
  <c r="H171" i="1" l="1"/>
  <c r="I171" i="1"/>
  <c r="R15" i="1"/>
  <c r="H143" i="1"/>
  <c r="I143" i="1"/>
  <c r="I17" i="1"/>
  <c r="H17" i="1"/>
  <c r="I122" i="1"/>
  <c r="H122" i="1"/>
  <c r="H227" i="1"/>
  <c r="I227" i="1"/>
  <c r="H62" i="1"/>
  <c r="I62" i="1"/>
  <c r="I176" i="1"/>
  <c r="H176" i="1"/>
  <c r="H190" i="1"/>
  <c r="I190" i="1"/>
  <c r="H88" i="1"/>
  <c r="I88" i="1"/>
  <c r="I238" i="1"/>
  <c r="H238" i="1"/>
  <c r="H186" i="1"/>
  <c r="I186" i="1"/>
  <c r="I251" i="1"/>
  <c r="H251" i="1"/>
  <c r="H39" i="1"/>
  <c r="I39" i="1"/>
  <c r="H110" i="1"/>
  <c r="I110" i="1"/>
  <c r="H234" i="1"/>
  <c r="I234" i="1"/>
  <c r="H205" i="1"/>
  <c r="I205" i="1"/>
  <c r="H8" i="1"/>
  <c r="I8" i="1"/>
  <c r="H135" i="1"/>
  <c r="I135" i="1"/>
  <c r="I3" i="1"/>
  <c r="H3" i="1"/>
  <c r="H55" i="1"/>
  <c r="I55" i="1"/>
  <c r="I224" i="1"/>
  <c r="H224" i="1"/>
  <c r="H81" i="1"/>
  <c r="I81" i="1"/>
  <c r="I6" i="1"/>
  <c r="H6" i="1"/>
  <c r="H73" i="1"/>
  <c r="I73" i="1"/>
  <c r="H69" i="1"/>
  <c r="I69" i="1"/>
  <c r="H121" i="1"/>
  <c r="I121" i="1"/>
  <c r="I223" i="1"/>
  <c r="H223" i="1"/>
  <c r="H58" i="1"/>
  <c r="I58" i="1"/>
  <c r="H53" i="1"/>
  <c r="I53" i="1"/>
  <c r="I130" i="1"/>
  <c r="H130" i="1"/>
  <c r="H41" i="1"/>
  <c r="I41" i="1"/>
  <c r="I43" i="1"/>
  <c r="H43" i="1"/>
  <c r="I115" i="1"/>
  <c r="H115" i="1"/>
  <c r="H246" i="1"/>
  <c r="I246" i="1"/>
  <c r="H201" i="1"/>
  <c r="I201" i="1"/>
  <c r="H160" i="1"/>
  <c r="I160" i="1"/>
  <c r="I221" i="1"/>
  <c r="H221" i="1"/>
  <c r="H172" i="1"/>
  <c r="I172" i="1"/>
  <c r="H133" i="1"/>
  <c r="I133" i="1"/>
  <c r="H217" i="1"/>
  <c r="I217" i="1"/>
  <c r="I57" i="1"/>
  <c r="H57" i="1"/>
  <c r="I168" i="1"/>
  <c r="H168" i="1"/>
  <c r="H18" i="1"/>
  <c r="I18" i="1"/>
  <c r="I183" i="1"/>
  <c r="H183" i="1"/>
  <c r="H38" i="1"/>
  <c r="I38" i="1"/>
  <c r="I166" i="1"/>
  <c r="H166" i="1"/>
  <c r="H155" i="1"/>
  <c r="I155" i="1"/>
  <c r="H2" i="1"/>
  <c r="I2" i="1"/>
  <c r="I106" i="1"/>
  <c r="H106" i="1"/>
  <c r="I203" i="1"/>
  <c r="H203" i="1"/>
  <c r="H148" i="1"/>
  <c r="I148" i="1"/>
  <c r="I37" i="1"/>
  <c r="H37" i="1"/>
  <c r="H96" i="1"/>
  <c r="I96" i="1"/>
  <c r="I111" i="1"/>
  <c r="H111" i="1"/>
  <c r="H142" i="1"/>
  <c r="I142" i="1"/>
  <c r="H63" i="1"/>
  <c r="I63" i="1"/>
  <c r="H250" i="1"/>
  <c r="I250" i="1"/>
  <c r="I187" i="1"/>
  <c r="H187" i="1"/>
  <c r="I9" i="1"/>
  <c r="H9" i="1"/>
  <c r="I104" i="1"/>
  <c r="H104" i="1"/>
  <c r="H33" i="1"/>
  <c r="I33" i="1"/>
  <c r="H164" i="1"/>
  <c r="I164" i="1"/>
  <c r="H36" i="1"/>
  <c r="I36" i="1"/>
  <c r="H79" i="1"/>
  <c r="I79" i="1"/>
  <c r="H118" i="1"/>
  <c r="I118" i="1"/>
  <c r="I75" i="1"/>
  <c r="H75" i="1"/>
  <c r="H100" i="1"/>
  <c r="I100" i="1"/>
  <c r="H125" i="1"/>
  <c r="I125" i="1"/>
  <c r="H159" i="1"/>
  <c r="I159" i="1"/>
  <c r="I150" i="1"/>
  <c r="H150" i="1"/>
  <c r="I128" i="1"/>
  <c r="H128" i="1"/>
  <c r="I49" i="1"/>
  <c r="H49" i="1"/>
  <c r="I50" i="1"/>
  <c r="H50" i="1"/>
  <c r="H78" i="1"/>
  <c r="I78" i="1"/>
  <c r="I47" i="1"/>
  <c r="H47" i="1"/>
  <c r="H59" i="1"/>
  <c r="I59" i="1"/>
  <c r="H213" i="1"/>
  <c r="I213" i="1"/>
  <c r="H200" i="1"/>
  <c r="I200" i="1"/>
  <c r="H102" i="1"/>
  <c r="I102" i="1"/>
  <c r="I152" i="1"/>
  <c r="H152" i="1"/>
  <c r="I93" i="1"/>
  <c r="H93" i="1"/>
  <c r="H114" i="1"/>
  <c r="I114" i="1"/>
  <c r="H162" i="1"/>
  <c r="I162" i="1"/>
  <c r="H94" i="1"/>
  <c r="I94" i="1"/>
  <c r="I61" i="1"/>
  <c r="H61" i="1"/>
  <c r="H108" i="1"/>
  <c r="I108" i="1"/>
  <c r="H154" i="1"/>
  <c r="I154" i="1"/>
  <c r="H248" i="1"/>
  <c r="I248" i="1"/>
  <c r="H83" i="1"/>
  <c r="I83" i="1"/>
  <c r="I211" i="1"/>
  <c r="H211" i="1"/>
  <c r="H68" i="1"/>
  <c r="I68" i="1"/>
  <c r="H182" i="1"/>
  <c r="I182" i="1"/>
  <c r="H165" i="1"/>
  <c r="I165" i="1"/>
  <c r="I137" i="1"/>
  <c r="H137" i="1"/>
  <c r="H204" i="1"/>
  <c r="I204" i="1"/>
  <c r="I214" i="1"/>
  <c r="H214" i="1"/>
  <c r="H232" i="1"/>
  <c r="I232" i="1"/>
  <c r="H60" i="1"/>
  <c r="I60" i="1"/>
  <c r="H239" i="1"/>
  <c r="I239" i="1"/>
  <c r="H12" i="1"/>
  <c r="I12" i="1"/>
  <c r="H5" i="1"/>
  <c r="I5" i="1"/>
  <c r="H195" i="1"/>
  <c r="I195" i="1"/>
  <c r="I66" i="1"/>
  <c r="H66" i="1"/>
  <c r="I7" i="1"/>
  <c r="H7" i="1"/>
  <c r="H226" i="1"/>
  <c r="I226" i="1"/>
  <c r="H193" i="1"/>
  <c r="I193" i="1"/>
  <c r="H70" i="1"/>
  <c r="I70" i="1"/>
  <c r="H127" i="1"/>
  <c r="I127" i="1"/>
  <c r="H84" i="1"/>
  <c r="I84" i="1"/>
  <c r="H65" i="1"/>
  <c r="I65" i="1"/>
  <c r="H26" i="1"/>
  <c r="I26" i="1"/>
  <c r="H243" i="1"/>
  <c r="I243" i="1"/>
  <c r="I85" i="1"/>
  <c r="H85" i="1"/>
  <c r="H235" i="1"/>
  <c r="I235" i="1"/>
  <c r="I173" i="1"/>
  <c r="H173" i="1"/>
  <c r="H181" i="1"/>
  <c r="I181" i="1"/>
  <c r="I220" i="1"/>
  <c r="H220" i="1"/>
  <c r="H86" i="1"/>
  <c r="I86" i="1"/>
  <c r="H242" i="1"/>
  <c r="I242" i="1"/>
  <c r="H197" i="1"/>
  <c r="I197" i="1"/>
  <c r="I178" i="1"/>
  <c r="H178" i="1"/>
  <c r="H208" i="1"/>
  <c r="I208" i="1"/>
  <c r="H179" i="1"/>
  <c r="I179" i="1"/>
  <c r="I21" i="1"/>
  <c r="H21" i="1"/>
  <c r="H225" i="1"/>
  <c r="I225" i="1"/>
  <c r="H113" i="1"/>
  <c r="I113" i="1"/>
  <c r="I80" i="1"/>
  <c r="H80" i="1"/>
  <c r="H139" i="1"/>
  <c r="I139" i="1"/>
  <c r="H174" i="1"/>
  <c r="I174" i="1"/>
  <c r="H158" i="1"/>
  <c r="I158" i="1"/>
  <c r="I28" i="1"/>
  <c r="H28" i="1"/>
  <c r="H175" i="1"/>
  <c r="I175" i="1"/>
  <c r="H163" i="1"/>
  <c r="I163" i="1"/>
  <c r="H101" i="1"/>
  <c r="I101" i="1"/>
  <c r="H244" i="1"/>
  <c r="I244" i="1"/>
  <c r="H23" i="1"/>
  <c r="I23" i="1"/>
  <c r="H34" i="1"/>
  <c r="I34" i="1"/>
  <c r="I229" i="1"/>
  <c r="H229" i="1"/>
  <c r="H24" i="1"/>
  <c r="I24" i="1"/>
  <c r="H146" i="1"/>
  <c r="I146" i="1"/>
  <c r="I32" i="1"/>
  <c r="H32" i="1"/>
  <c r="H169" i="1"/>
  <c r="I169" i="1"/>
  <c r="H247" i="1"/>
  <c r="I247" i="1"/>
  <c r="I189" i="1"/>
  <c r="H189" i="1"/>
  <c r="H116" i="1"/>
  <c r="I116" i="1"/>
  <c r="I153" i="1"/>
  <c r="H153" i="1"/>
  <c r="H112" i="1"/>
  <c r="I112" i="1"/>
  <c r="I196" i="1"/>
  <c r="H196" i="1"/>
  <c r="I240" i="1"/>
  <c r="H240" i="1"/>
  <c r="I103" i="1"/>
  <c r="H103" i="1"/>
  <c r="I51" i="1"/>
  <c r="H51" i="1"/>
  <c r="H107" i="1"/>
  <c r="I107" i="1"/>
  <c r="H206" i="1"/>
  <c r="I206" i="1"/>
  <c r="H131" i="1"/>
  <c r="I131" i="1"/>
  <c r="H180" i="1"/>
  <c r="I180" i="1"/>
  <c r="I138" i="1"/>
  <c r="H138" i="1"/>
  <c r="H20" i="1"/>
  <c r="I20" i="1"/>
  <c r="I136" i="1"/>
  <c r="H136" i="1"/>
  <c r="I212" i="1"/>
  <c r="H212" i="1"/>
  <c r="H13" i="1"/>
  <c r="I13" i="1"/>
  <c r="I71" i="1"/>
  <c r="H71" i="1"/>
  <c r="I82" i="1"/>
  <c r="H82" i="1"/>
  <c r="H161" i="1"/>
  <c r="I161" i="1"/>
  <c r="H15" i="1"/>
  <c r="I15" i="1"/>
  <c r="H52" i="1"/>
  <c r="I52" i="1"/>
  <c r="H22" i="1"/>
  <c r="I22" i="1"/>
  <c r="I117" i="1"/>
  <c r="H117" i="1"/>
  <c r="H44" i="1"/>
  <c r="I44" i="1"/>
  <c r="H120" i="1"/>
  <c r="I120" i="1"/>
  <c r="H241" i="1"/>
  <c r="I241" i="1"/>
  <c r="H27" i="1"/>
  <c r="I27" i="1"/>
  <c r="H222" i="1"/>
  <c r="I222" i="1"/>
  <c r="H89" i="1"/>
  <c r="I89" i="1"/>
  <c r="I167" i="1"/>
  <c r="H167" i="1"/>
  <c r="I185" i="1"/>
  <c r="H185" i="1"/>
  <c r="H109" i="1"/>
  <c r="I109" i="1"/>
  <c r="H231" i="1"/>
  <c r="I231" i="1"/>
  <c r="H219" i="1"/>
  <c r="I219" i="1"/>
  <c r="H194" i="1"/>
  <c r="I194" i="1"/>
  <c r="H98" i="1"/>
  <c r="I98" i="1"/>
  <c r="H76" i="1"/>
  <c r="I76" i="1"/>
  <c r="I126" i="1"/>
  <c r="H126" i="1"/>
  <c r="I134" i="1"/>
  <c r="H134" i="1"/>
  <c r="I145" i="1"/>
  <c r="H145" i="1"/>
  <c r="I72" i="1"/>
  <c r="H72" i="1"/>
  <c r="H67" i="1"/>
  <c r="I67" i="1"/>
  <c r="H64" i="1"/>
  <c r="I64" i="1"/>
  <c r="I97" i="1"/>
  <c r="H97" i="1"/>
  <c r="H140" i="1"/>
  <c r="I140" i="1"/>
  <c r="H87" i="1"/>
  <c r="I87" i="1"/>
  <c r="Y29" i="1"/>
  <c r="W31" i="1"/>
  <c r="H209" i="1"/>
  <c r="I209" i="1"/>
  <c r="H10" i="1"/>
  <c r="I10" i="1"/>
  <c r="I202" i="1"/>
  <c r="H202" i="1"/>
  <c r="I170" i="1"/>
  <c r="H170" i="1"/>
  <c r="H141" i="1"/>
  <c r="I141" i="1"/>
  <c r="I74" i="1"/>
  <c r="H74" i="1"/>
  <c r="I91" i="1"/>
  <c r="H91" i="1"/>
  <c r="H233" i="1"/>
  <c r="I233" i="1"/>
  <c r="H19" i="1"/>
  <c r="I19" i="1"/>
  <c r="I147" i="1"/>
  <c r="H147" i="1"/>
  <c r="H157" i="1"/>
  <c r="I157" i="1"/>
  <c r="H119" i="1"/>
  <c r="I119" i="1"/>
  <c r="H156" i="1"/>
  <c r="I156" i="1"/>
  <c r="I40" i="1"/>
  <c r="H40" i="1"/>
  <c r="H42" i="1"/>
  <c r="I42" i="1"/>
  <c r="H90" i="1"/>
  <c r="I90" i="1"/>
  <c r="H237" i="1"/>
  <c r="I237" i="1"/>
  <c r="I230" i="1"/>
  <c r="H230" i="1"/>
  <c r="H46" i="1"/>
  <c r="I46" i="1"/>
  <c r="I4" i="1"/>
  <c r="H4" i="1"/>
  <c r="H149" i="1"/>
  <c r="I149" i="1"/>
  <c r="H123" i="1"/>
  <c r="I123" i="1"/>
  <c r="H198" i="1"/>
  <c r="I198" i="1"/>
  <c r="I124" i="1"/>
  <c r="H124" i="1"/>
  <c r="I132" i="1"/>
  <c r="H132" i="1"/>
  <c r="H192" i="1"/>
  <c r="I192" i="1"/>
  <c r="H45" i="1"/>
  <c r="I45" i="1"/>
  <c r="H31" i="1"/>
  <c r="I31" i="1"/>
  <c r="H252" i="1"/>
  <c r="I252" i="1"/>
  <c r="I99" i="1"/>
  <c r="H99" i="1"/>
  <c r="H25" i="1"/>
  <c r="I25" i="1"/>
  <c r="Q15" i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H210" i="1"/>
  <c r="I210" i="1"/>
  <c r="H11" i="1"/>
  <c r="I11" i="1"/>
  <c r="I48" i="1"/>
  <c r="H48" i="1"/>
  <c r="I14" i="1"/>
  <c r="H14" i="1"/>
  <c r="H188" i="1"/>
  <c r="I188" i="1"/>
  <c r="I216" i="1"/>
  <c r="H216" i="1"/>
  <c r="I144" i="1"/>
  <c r="H144" i="1"/>
  <c r="I129" i="1"/>
  <c r="H129" i="1"/>
  <c r="H199" i="1"/>
  <c r="I199" i="1"/>
  <c r="H228" i="1"/>
  <c r="I228" i="1"/>
  <c r="H207" i="1"/>
  <c r="I207" i="1"/>
  <c r="I77" i="1"/>
  <c r="H77" i="1"/>
  <c r="I95" i="1"/>
  <c r="H95" i="1"/>
  <c r="H151" i="1"/>
  <c r="I151" i="1"/>
  <c r="I56" i="1"/>
  <c r="H56" i="1"/>
  <c r="I249" i="1"/>
  <c r="H249" i="1"/>
  <c r="H184" i="1"/>
  <c r="I184" i="1"/>
  <c r="H218" i="1"/>
  <c r="I218" i="1"/>
  <c r="I30" i="1"/>
  <c r="H30" i="1"/>
  <c r="I245" i="1"/>
  <c r="H245" i="1"/>
  <c r="I215" i="1"/>
  <c r="H215" i="1"/>
  <c r="H35" i="1"/>
  <c r="I35" i="1"/>
  <c r="H54" i="1"/>
  <c r="I54" i="1"/>
  <c r="H16" i="1"/>
  <c r="I16" i="1"/>
  <c r="H191" i="1"/>
  <c r="I191" i="1"/>
  <c r="H236" i="1"/>
  <c r="I236" i="1"/>
  <c r="I105" i="1"/>
  <c r="H105" i="1"/>
  <c r="I177" i="1"/>
  <c r="H177" i="1"/>
  <c r="H92" i="1"/>
  <c r="I92" i="1"/>
  <c r="I29" i="1"/>
  <c r="H29" i="1"/>
  <c r="Y30" i="1" l="1"/>
  <c r="W32" i="1"/>
  <c r="R16" i="1"/>
  <c r="S15" i="1"/>
  <c r="T15" i="1" s="1"/>
  <c r="R17" i="1" l="1"/>
  <c r="S16" i="1"/>
  <c r="T16" i="1" s="1"/>
  <c r="Y31" i="1"/>
  <c r="W33" i="1"/>
  <c r="Y32" i="1" l="1"/>
  <c r="W34" i="1"/>
  <c r="R18" i="1"/>
  <c r="S17" i="1"/>
  <c r="T17" i="1" s="1"/>
  <c r="Y33" i="1" l="1"/>
  <c r="W35" i="1"/>
  <c r="R19" i="1"/>
  <c r="S18" i="1"/>
  <c r="T18" i="1" s="1"/>
  <c r="R20" i="1" l="1"/>
  <c r="S19" i="1"/>
  <c r="T19" i="1" s="1"/>
  <c r="Y34" i="1"/>
  <c r="W36" i="1"/>
  <c r="Y35" i="1" l="1"/>
  <c r="W37" i="1"/>
  <c r="R21" i="1"/>
  <c r="S20" i="1"/>
  <c r="T20" i="1" s="1"/>
  <c r="R22" i="1" l="1"/>
  <c r="S21" i="1"/>
  <c r="T21" i="1" s="1"/>
  <c r="Y36" i="1"/>
  <c r="Z36" i="1" s="1"/>
  <c r="W38" i="1"/>
  <c r="Y37" i="1" l="1"/>
  <c r="Z37" i="1" s="1"/>
  <c r="AA37" i="1" s="1"/>
  <c r="W39" i="1"/>
  <c r="R23" i="1"/>
  <c r="S22" i="1"/>
  <c r="T22" i="1" s="1"/>
  <c r="R24" i="1" l="1"/>
  <c r="S23" i="1"/>
  <c r="T23" i="1" s="1"/>
  <c r="Y38" i="1"/>
  <c r="Z38" i="1" s="1"/>
  <c r="AA38" i="1" s="1"/>
  <c r="W40" i="1"/>
  <c r="Y39" i="1" l="1"/>
  <c r="Z39" i="1" s="1"/>
  <c r="AA39" i="1" s="1"/>
  <c r="W41" i="1"/>
  <c r="R25" i="1"/>
  <c r="S24" i="1"/>
  <c r="T24" i="1" s="1"/>
  <c r="Y40" i="1" l="1"/>
  <c r="Z40" i="1" s="1"/>
  <c r="AA40" i="1" s="1"/>
  <c r="W42" i="1"/>
  <c r="R26" i="1"/>
  <c r="S25" i="1"/>
  <c r="T25" i="1" s="1"/>
  <c r="R27" i="1" l="1"/>
  <c r="S26" i="1"/>
  <c r="T26" i="1" s="1"/>
  <c r="Y41" i="1"/>
  <c r="Z41" i="1" s="1"/>
  <c r="AA41" i="1" s="1"/>
  <c r="W43" i="1"/>
  <c r="Y42" i="1" l="1"/>
  <c r="Z42" i="1" s="1"/>
  <c r="AA42" i="1" s="1"/>
  <c r="W44" i="1"/>
  <c r="R28" i="1"/>
  <c r="S27" i="1"/>
  <c r="T27" i="1" s="1"/>
  <c r="Y43" i="1" l="1"/>
  <c r="Z43" i="1" s="1"/>
  <c r="AA43" i="1" s="1"/>
  <c r="W45" i="1"/>
  <c r="R29" i="1"/>
  <c r="S28" i="1"/>
  <c r="T28" i="1" s="1"/>
  <c r="R30" i="1" l="1"/>
  <c r="S29" i="1"/>
  <c r="T29" i="1" s="1"/>
  <c r="Y44" i="1"/>
  <c r="Z44" i="1" s="1"/>
  <c r="AA44" i="1" s="1"/>
  <c r="W46" i="1"/>
  <c r="Y45" i="1" l="1"/>
  <c r="Z45" i="1" s="1"/>
  <c r="AA45" i="1" s="1"/>
  <c r="W47" i="1"/>
  <c r="R31" i="1"/>
  <c r="S30" i="1"/>
  <c r="T30" i="1" s="1"/>
  <c r="R32" i="1" l="1"/>
  <c r="S31" i="1"/>
  <c r="T31" i="1" s="1"/>
  <c r="Y46" i="1"/>
  <c r="Z46" i="1" s="1"/>
  <c r="AA46" i="1" s="1"/>
  <c r="W48" i="1"/>
  <c r="Y47" i="1" l="1"/>
  <c r="Z47" i="1" s="1"/>
  <c r="AA47" i="1" s="1"/>
  <c r="W49" i="1"/>
  <c r="S32" i="1"/>
  <c r="T32" i="1" s="1"/>
  <c r="R33" i="1"/>
  <c r="R34" i="1" l="1"/>
  <c r="S33" i="1"/>
  <c r="T33" i="1" s="1"/>
  <c r="Y48" i="1"/>
  <c r="Z48" i="1" s="1"/>
  <c r="AA48" i="1" s="1"/>
  <c r="W50" i="1"/>
  <c r="Y49" i="1" l="1"/>
  <c r="Z49" i="1" s="1"/>
  <c r="AA49" i="1" s="1"/>
  <c r="W51" i="1"/>
  <c r="R35" i="1"/>
  <c r="S34" i="1"/>
  <c r="T34" i="1" s="1"/>
  <c r="R36" i="1" l="1"/>
  <c r="S35" i="1"/>
  <c r="T35" i="1" s="1"/>
  <c r="Y50" i="1"/>
  <c r="Z50" i="1" s="1"/>
  <c r="AA50" i="1" s="1"/>
  <c r="W52" i="1"/>
  <c r="Y51" i="1" l="1"/>
  <c r="Z51" i="1" s="1"/>
  <c r="AA51" i="1" s="1"/>
  <c r="W53" i="1"/>
  <c r="R37" i="1"/>
  <c r="S36" i="1"/>
  <c r="T36" i="1" s="1"/>
  <c r="Y52" i="1" l="1"/>
  <c r="Z52" i="1" s="1"/>
  <c r="AA52" i="1" s="1"/>
  <c r="W54" i="1"/>
  <c r="R38" i="1"/>
  <c r="S37" i="1"/>
  <c r="T37" i="1" s="1"/>
  <c r="Y53" i="1" l="1"/>
  <c r="Z53" i="1" s="1"/>
  <c r="AA53" i="1" s="1"/>
  <c r="W55" i="1"/>
  <c r="R39" i="1"/>
  <c r="S38" i="1"/>
  <c r="T38" i="1" s="1"/>
  <c r="Y54" i="1" l="1"/>
  <c r="Z54" i="1" s="1"/>
  <c r="AA54" i="1" s="1"/>
  <c r="W56" i="1"/>
  <c r="R40" i="1"/>
  <c r="S39" i="1"/>
  <c r="T39" i="1" s="1"/>
  <c r="R41" i="1" l="1"/>
  <c r="S40" i="1"/>
  <c r="T40" i="1" s="1"/>
  <c r="Y55" i="1"/>
  <c r="Z55" i="1" s="1"/>
  <c r="AA55" i="1" s="1"/>
  <c r="W57" i="1"/>
  <c r="Y56" i="1" l="1"/>
  <c r="Z56" i="1" s="1"/>
  <c r="AA56" i="1" s="1"/>
  <c r="W58" i="1"/>
  <c r="R42" i="1"/>
  <c r="S41" i="1"/>
  <c r="T41" i="1" s="1"/>
  <c r="R43" i="1" l="1"/>
  <c r="S42" i="1"/>
  <c r="T42" i="1" s="1"/>
  <c r="Y57" i="1"/>
  <c r="Z57" i="1" s="1"/>
  <c r="AA57" i="1" s="1"/>
  <c r="W59" i="1"/>
  <c r="Y58" i="1" l="1"/>
  <c r="Z58" i="1" s="1"/>
  <c r="AA58" i="1" s="1"/>
  <c r="W60" i="1"/>
  <c r="R44" i="1"/>
  <c r="S43" i="1"/>
  <c r="T43" i="1" s="1"/>
  <c r="R45" i="1" l="1"/>
  <c r="S44" i="1"/>
  <c r="T44" i="1" s="1"/>
  <c r="Y59" i="1"/>
  <c r="Z59" i="1" s="1"/>
  <c r="AA59" i="1" s="1"/>
  <c r="W61" i="1"/>
  <c r="Y60" i="1" l="1"/>
  <c r="Z60" i="1" s="1"/>
  <c r="AA60" i="1" s="1"/>
  <c r="W62" i="1"/>
  <c r="R46" i="1"/>
  <c r="S45" i="1"/>
  <c r="T45" i="1" s="1"/>
  <c r="R47" i="1" l="1"/>
  <c r="S46" i="1"/>
  <c r="T46" i="1" s="1"/>
  <c r="Y61" i="1"/>
  <c r="Z61" i="1" s="1"/>
  <c r="AA61" i="1" s="1"/>
  <c r="W63" i="1"/>
  <c r="Y62" i="1" l="1"/>
  <c r="Z62" i="1" s="1"/>
  <c r="AA62" i="1" s="1"/>
  <c r="W64" i="1"/>
  <c r="R48" i="1"/>
  <c r="S47" i="1"/>
  <c r="T47" i="1" s="1"/>
  <c r="R49" i="1" l="1"/>
  <c r="S48" i="1"/>
  <c r="T48" i="1" s="1"/>
  <c r="Y63" i="1"/>
  <c r="Z63" i="1" s="1"/>
  <c r="AA63" i="1" s="1"/>
  <c r="W65" i="1"/>
  <c r="Y64" i="1" l="1"/>
  <c r="Z64" i="1" s="1"/>
  <c r="AA64" i="1" s="1"/>
  <c r="W66" i="1"/>
  <c r="R50" i="1"/>
  <c r="S49" i="1"/>
  <c r="T49" i="1" s="1"/>
  <c r="R51" i="1" l="1"/>
  <c r="S50" i="1"/>
  <c r="T50" i="1" s="1"/>
  <c r="Y65" i="1"/>
  <c r="Z65" i="1" s="1"/>
  <c r="AA65" i="1" s="1"/>
  <c r="W67" i="1"/>
  <c r="Y66" i="1" l="1"/>
  <c r="Z66" i="1" s="1"/>
  <c r="AA66" i="1" s="1"/>
  <c r="W68" i="1"/>
  <c r="R52" i="1"/>
  <c r="S51" i="1"/>
  <c r="T51" i="1" s="1"/>
  <c r="R53" i="1" l="1"/>
  <c r="S52" i="1"/>
  <c r="T52" i="1" s="1"/>
  <c r="Y67" i="1"/>
  <c r="Z67" i="1" s="1"/>
  <c r="AA67" i="1" s="1"/>
  <c r="W69" i="1"/>
  <c r="Y68" i="1" l="1"/>
  <c r="Z68" i="1" s="1"/>
  <c r="AA68" i="1" s="1"/>
  <c r="W70" i="1"/>
  <c r="R54" i="1"/>
  <c r="S53" i="1"/>
  <c r="T53" i="1" s="1"/>
  <c r="S54" i="1" l="1"/>
  <c r="T54" i="1" s="1"/>
  <c r="R55" i="1"/>
  <c r="Y69" i="1"/>
  <c r="Z69" i="1" s="1"/>
  <c r="AA69" i="1" s="1"/>
  <c r="W71" i="1"/>
  <c r="Y70" i="1" l="1"/>
  <c r="Z70" i="1" s="1"/>
  <c r="AA70" i="1" s="1"/>
  <c r="W72" i="1"/>
  <c r="S55" i="1"/>
  <c r="T55" i="1" s="1"/>
  <c r="R56" i="1"/>
  <c r="S56" i="1" l="1"/>
  <c r="T56" i="1" s="1"/>
  <c r="R57" i="1"/>
  <c r="Y71" i="1"/>
  <c r="Z71" i="1" s="1"/>
  <c r="AA71" i="1" s="1"/>
  <c r="W73" i="1"/>
  <c r="Y72" i="1" l="1"/>
  <c r="Z72" i="1" s="1"/>
  <c r="AA72" i="1" s="1"/>
  <c r="W74" i="1"/>
  <c r="R58" i="1"/>
  <c r="S57" i="1"/>
  <c r="T57" i="1" s="1"/>
  <c r="R59" i="1" l="1"/>
  <c r="S58" i="1"/>
  <c r="T58" i="1" s="1"/>
  <c r="Y73" i="1"/>
  <c r="Z73" i="1" s="1"/>
  <c r="AA73" i="1" s="1"/>
  <c r="W75" i="1"/>
  <c r="Y74" i="1" l="1"/>
  <c r="Z74" i="1" s="1"/>
  <c r="AA74" i="1" s="1"/>
  <c r="W76" i="1"/>
  <c r="R60" i="1"/>
  <c r="S59" i="1"/>
  <c r="T59" i="1" s="1"/>
  <c r="R61" i="1" l="1"/>
  <c r="S60" i="1"/>
  <c r="T60" i="1" s="1"/>
  <c r="Y75" i="1"/>
  <c r="Z75" i="1" s="1"/>
  <c r="AA75" i="1" s="1"/>
  <c r="W77" i="1"/>
  <c r="Y76" i="1" l="1"/>
  <c r="Z76" i="1" s="1"/>
  <c r="AA76" i="1" s="1"/>
  <c r="W78" i="1"/>
  <c r="R62" i="1"/>
  <c r="S61" i="1"/>
  <c r="T61" i="1" s="1"/>
  <c r="R63" i="1" l="1"/>
  <c r="S62" i="1"/>
  <c r="T62" i="1" s="1"/>
  <c r="Y77" i="1"/>
  <c r="Z77" i="1" s="1"/>
  <c r="AA77" i="1" s="1"/>
  <c r="W79" i="1"/>
  <c r="Y78" i="1" l="1"/>
  <c r="Z78" i="1" s="1"/>
  <c r="AA78" i="1" s="1"/>
  <c r="W80" i="1"/>
  <c r="R64" i="1"/>
  <c r="S63" i="1"/>
  <c r="T63" i="1" s="1"/>
  <c r="R65" i="1" l="1"/>
  <c r="S64" i="1"/>
  <c r="T64" i="1" s="1"/>
  <c r="Y79" i="1"/>
  <c r="Z79" i="1" s="1"/>
  <c r="AA79" i="1" s="1"/>
  <c r="W81" i="1"/>
  <c r="Y80" i="1" l="1"/>
  <c r="Z80" i="1" s="1"/>
  <c r="AA80" i="1" s="1"/>
  <c r="W82" i="1"/>
  <c r="R66" i="1"/>
  <c r="S65" i="1"/>
  <c r="T65" i="1" s="1"/>
  <c r="R67" i="1" l="1"/>
  <c r="S66" i="1"/>
  <c r="T66" i="1" s="1"/>
  <c r="Y81" i="1"/>
  <c r="Z81" i="1" s="1"/>
  <c r="AA81" i="1" s="1"/>
  <c r="W83" i="1"/>
  <c r="Y82" i="1" l="1"/>
  <c r="Z82" i="1" s="1"/>
  <c r="AA82" i="1" s="1"/>
  <c r="W84" i="1"/>
  <c r="R68" i="1"/>
  <c r="S67" i="1"/>
  <c r="T67" i="1" s="1"/>
  <c r="S68" i="1" l="1"/>
  <c r="T68" i="1" s="1"/>
  <c r="R69" i="1"/>
  <c r="Y83" i="1"/>
  <c r="Z83" i="1" s="1"/>
  <c r="AA83" i="1" s="1"/>
  <c r="W85" i="1"/>
  <c r="Y84" i="1" l="1"/>
  <c r="Z84" i="1" s="1"/>
  <c r="AA84" i="1" s="1"/>
  <c r="W86" i="1"/>
  <c r="R70" i="1"/>
  <c r="S69" i="1"/>
  <c r="T69" i="1" s="1"/>
  <c r="R71" i="1" l="1"/>
  <c r="S70" i="1"/>
  <c r="T70" i="1" s="1"/>
  <c r="Y85" i="1"/>
  <c r="Z85" i="1" s="1"/>
  <c r="AA85" i="1" s="1"/>
  <c r="W87" i="1"/>
  <c r="Y86" i="1" l="1"/>
  <c r="Z86" i="1" s="1"/>
  <c r="AA86" i="1" s="1"/>
  <c r="W88" i="1"/>
  <c r="R72" i="1"/>
  <c r="S71" i="1"/>
  <c r="T71" i="1" s="1"/>
  <c r="R73" i="1" l="1"/>
  <c r="S72" i="1"/>
  <c r="T72" i="1" s="1"/>
  <c r="Y87" i="1"/>
  <c r="Z87" i="1" s="1"/>
  <c r="AA87" i="1" s="1"/>
  <c r="W89" i="1"/>
  <c r="Y88" i="1" l="1"/>
  <c r="W90" i="1"/>
  <c r="R74" i="1"/>
  <c r="S73" i="1"/>
  <c r="T73" i="1" s="1"/>
  <c r="R75" i="1" l="1"/>
  <c r="S74" i="1"/>
  <c r="T74" i="1" s="1"/>
  <c r="Y89" i="1"/>
  <c r="W91" i="1"/>
  <c r="Z88" i="1"/>
  <c r="AA88" i="1" s="1"/>
  <c r="Y90" i="1" l="1"/>
  <c r="W92" i="1"/>
  <c r="Z89" i="1"/>
  <c r="AA89" i="1" s="1"/>
  <c r="R76" i="1"/>
  <c r="S75" i="1"/>
  <c r="T75" i="1" s="1"/>
  <c r="R77" i="1" l="1"/>
  <c r="S76" i="1"/>
  <c r="T76" i="1" s="1"/>
  <c r="Y91" i="1"/>
  <c r="W93" i="1"/>
  <c r="Z90" i="1"/>
  <c r="AA90" i="1" s="1"/>
  <c r="Y92" i="1" l="1"/>
  <c r="W94" i="1"/>
  <c r="Z91" i="1"/>
  <c r="AA91" i="1" s="1"/>
  <c r="R78" i="1"/>
  <c r="S77" i="1"/>
  <c r="T77" i="1" s="1"/>
  <c r="S78" i="1" l="1"/>
  <c r="T78" i="1" s="1"/>
  <c r="R79" i="1"/>
  <c r="Y93" i="1"/>
  <c r="W95" i="1"/>
  <c r="Z92" i="1"/>
  <c r="AA92" i="1" s="1"/>
  <c r="Y94" i="1" l="1"/>
  <c r="W96" i="1"/>
  <c r="Z93" i="1"/>
  <c r="AA93" i="1" s="1"/>
  <c r="R80" i="1"/>
  <c r="S79" i="1"/>
  <c r="T79" i="1" s="1"/>
  <c r="R81" i="1" l="1"/>
  <c r="S80" i="1"/>
  <c r="T80" i="1" s="1"/>
  <c r="Y95" i="1"/>
  <c r="W97" i="1"/>
  <c r="Z94" i="1"/>
  <c r="AA94" i="1" s="1"/>
  <c r="Y96" i="1" l="1"/>
  <c r="W98" i="1"/>
  <c r="Z95" i="1"/>
  <c r="AA95" i="1" s="1"/>
  <c r="R82" i="1"/>
  <c r="S81" i="1"/>
  <c r="T81" i="1" s="1"/>
  <c r="R83" i="1" l="1"/>
  <c r="S82" i="1"/>
  <c r="T82" i="1" s="1"/>
  <c r="Y97" i="1"/>
  <c r="W99" i="1"/>
  <c r="Z96" i="1"/>
  <c r="AA96" i="1" s="1"/>
  <c r="Y98" i="1" l="1"/>
  <c r="W100" i="1"/>
  <c r="Z97" i="1"/>
  <c r="AA97" i="1" s="1"/>
  <c r="R84" i="1"/>
  <c r="S83" i="1"/>
  <c r="T83" i="1" s="1"/>
  <c r="R85" i="1" l="1"/>
  <c r="S84" i="1"/>
  <c r="T84" i="1" s="1"/>
  <c r="Y99" i="1"/>
  <c r="W101" i="1"/>
  <c r="Z98" i="1"/>
  <c r="AA98" i="1" s="1"/>
  <c r="Y100" i="1" l="1"/>
  <c r="W102" i="1"/>
  <c r="Z99" i="1"/>
  <c r="AA99" i="1" s="1"/>
  <c r="R86" i="1"/>
  <c r="S85" i="1"/>
  <c r="T85" i="1" s="1"/>
  <c r="R87" i="1" l="1"/>
  <c r="S86" i="1"/>
  <c r="T86" i="1" s="1"/>
  <c r="Y101" i="1"/>
  <c r="W103" i="1"/>
  <c r="Z100" i="1"/>
  <c r="AA100" i="1" s="1"/>
  <c r="Y102" i="1" l="1"/>
  <c r="W104" i="1"/>
  <c r="Z101" i="1"/>
  <c r="AA101" i="1" s="1"/>
  <c r="R88" i="1"/>
  <c r="S87" i="1"/>
  <c r="T87" i="1" s="1"/>
  <c r="R89" i="1" l="1"/>
  <c r="S88" i="1"/>
  <c r="T88" i="1" s="1"/>
  <c r="Y103" i="1"/>
  <c r="W105" i="1"/>
  <c r="Z102" i="1"/>
  <c r="AA102" i="1" s="1"/>
  <c r="Y104" i="1" l="1"/>
  <c r="W106" i="1"/>
  <c r="Z103" i="1"/>
  <c r="AA103" i="1" s="1"/>
  <c r="R90" i="1"/>
  <c r="S89" i="1"/>
  <c r="T89" i="1" s="1"/>
  <c r="R91" i="1" l="1"/>
  <c r="S90" i="1"/>
  <c r="T90" i="1" s="1"/>
  <c r="Y105" i="1"/>
  <c r="W107" i="1"/>
  <c r="Z104" i="1"/>
  <c r="AA104" i="1" s="1"/>
  <c r="Y106" i="1" l="1"/>
  <c r="W108" i="1"/>
  <c r="Z105" i="1"/>
  <c r="AA105" i="1" s="1"/>
  <c r="R92" i="1"/>
  <c r="S91" i="1"/>
  <c r="T91" i="1" s="1"/>
  <c r="R93" i="1" l="1"/>
  <c r="S92" i="1"/>
  <c r="T92" i="1" s="1"/>
  <c r="Y107" i="1"/>
  <c r="W109" i="1"/>
  <c r="Z106" i="1"/>
  <c r="AA106" i="1" s="1"/>
  <c r="Z107" i="1" l="1"/>
  <c r="AA107" i="1" s="1"/>
  <c r="Y108" i="1"/>
  <c r="W110" i="1"/>
  <c r="R94" i="1"/>
  <c r="S93" i="1"/>
  <c r="T93" i="1" s="1"/>
  <c r="Z108" i="1" l="1"/>
  <c r="AA108" i="1" s="1"/>
  <c r="S94" i="1"/>
  <c r="T94" i="1" s="1"/>
  <c r="R95" i="1"/>
  <c r="Y109" i="1"/>
  <c r="W111" i="1"/>
  <c r="Z109" i="1" l="1"/>
  <c r="AA109" i="1" s="1"/>
  <c r="Y110" i="1"/>
  <c r="W112" i="1"/>
  <c r="R96" i="1"/>
  <c r="S95" i="1"/>
  <c r="T95" i="1" s="1"/>
  <c r="Z110" i="1" l="1"/>
  <c r="AA110" i="1" s="1"/>
  <c r="R97" i="1"/>
  <c r="S96" i="1"/>
  <c r="T96" i="1" s="1"/>
  <c r="Y111" i="1"/>
  <c r="W113" i="1"/>
  <c r="Z111" i="1" l="1"/>
  <c r="AA111" i="1" s="1"/>
  <c r="Y112" i="1"/>
  <c r="W114" i="1"/>
  <c r="S97" i="1"/>
  <c r="T97" i="1" s="1"/>
  <c r="R98" i="1"/>
  <c r="Z112" i="1" l="1"/>
  <c r="AA112" i="1" s="1"/>
  <c r="R99" i="1"/>
  <c r="S98" i="1"/>
  <c r="T98" i="1" s="1"/>
  <c r="Y113" i="1"/>
  <c r="W115" i="1"/>
  <c r="Z113" i="1" l="1"/>
  <c r="AA113" i="1" s="1"/>
  <c r="Y114" i="1"/>
  <c r="W116" i="1"/>
  <c r="R100" i="1"/>
  <c r="S99" i="1"/>
  <c r="T99" i="1" s="1"/>
  <c r="Z114" i="1" l="1"/>
  <c r="AA114" i="1" s="1"/>
  <c r="Y115" i="1"/>
  <c r="W117" i="1"/>
  <c r="R101" i="1"/>
  <c r="S100" i="1"/>
  <c r="T100" i="1" s="1"/>
  <c r="Z115" i="1" l="1"/>
  <c r="AA115" i="1" s="1"/>
  <c r="Y116" i="1"/>
  <c r="W118" i="1"/>
  <c r="R102" i="1"/>
  <c r="S101" i="1"/>
  <c r="T101" i="1" s="1"/>
  <c r="Z116" i="1" l="1"/>
  <c r="AA116" i="1" s="1"/>
  <c r="R103" i="1"/>
  <c r="S102" i="1"/>
  <c r="T102" i="1" s="1"/>
  <c r="Y117" i="1"/>
  <c r="W119" i="1"/>
  <c r="Z117" i="1" l="1"/>
  <c r="AA117" i="1" s="1"/>
  <c r="Y118" i="1"/>
  <c r="W120" i="1"/>
  <c r="R104" i="1"/>
  <c r="S103" i="1"/>
  <c r="T103" i="1" s="1"/>
  <c r="Z118" i="1" l="1"/>
  <c r="AA118" i="1" s="1"/>
  <c r="R105" i="1"/>
  <c r="S104" i="1"/>
  <c r="T104" i="1" s="1"/>
  <c r="Y119" i="1"/>
  <c r="W121" i="1"/>
  <c r="Z119" i="1" l="1"/>
  <c r="AA119" i="1" s="1"/>
  <c r="Y120" i="1"/>
  <c r="W122" i="1"/>
  <c r="R106" i="1"/>
  <c r="S105" i="1"/>
  <c r="T105" i="1" s="1"/>
  <c r="Z120" i="1" l="1"/>
  <c r="AA120" i="1" s="1"/>
  <c r="R107" i="1"/>
  <c r="S106" i="1"/>
  <c r="T106" i="1" s="1"/>
  <c r="Y121" i="1"/>
  <c r="W123" i="1"/>
  <c r="Z121" i="1" l="1"/>
  <c r="AA121" i="1" s="1"/>
  <c r="Y122" i="1"/>
  <c r="W124" i="1"/>
  <c r="S107" i="1"/>
  <c r="T107" i="1" s="1"/>
  <c r="R108" i="1"/>
  <c r="R109" i="1" l="1"/>
  <c r="S108" i="1"/>
  <c r="T108" i="1" s="1"/>
  <c r="Y123" i="1"/>
  <c r="W125" i="1"/>
  <c r="Z122" i="1"/>
  <c r="AA122" i="1" s="1"/>
  <c r="Y124" i="1" l="1"/>
  <c r="W126" i="1"/>
  <c r="Z123" i="1"/>
  <c r="AA123" i="1" s="1"/>
  <c r="R110" i="1"/>
  <c r="S109" i="1"/>
  <c r="T109" i="1" s="1"/>
  <c r="R111" i="1" l="1"/>
  <c r="S110" i="1"/>
  <c r="T110" i="1" s="1"/>
  <c r="Y125" i="1"/>
  <c r="W127" i="1"/>
  <c r="Z124" i="1"/>
  <c r="AA124" i="1" s="1"/>
  <c r="Y126" i="1" l="1"/>
  <c r="W128" i="1"/>
  <c r="Z125" i="1"/>
  <c r="AA125" i="1" s="1"/>
  <c r="R112" i="1"/>
  <c r="S111" i="1"/>
  <c r="T111" i="1" s="1"/>
  <c r="R113" i="1" l="1"/>
  <c r="S112" i="1"/>
  <c r="T112" i="1" s="1"/>
  <c r="Y127" i="1"/>
  <c r="W129" i="1"/>
  <c r="Z126" i="1"/>
  <c r="AA126" i="1" s="1"/>
  <c r="Y128" i="1" l="1"/>
  <c r="W130" i="1"/>
  <c r="Z127" i="1"/>
  <c r="AA127" i="1" s="1"/>
  <c r="R114" i="1"/>
  <c r="S113" i="1"/>
  <c r="T113" i="1" s="1"/>
  <c r="R115" i="1" l="1"/>
  <c r="S114" i="1"/>
  <c r="T114" i="1" s="1"/>
  <c r="Y129" i="1"/>
  <c r="W131" i="1"/>
  <c r="Z128" i="1"/>
  <c r="AA128" i="1" s="1"/>
  <c r="Y130" i="1" l="1"/>
  <c r="W132" i="1"/>
  <c r="Z129" i="1"/>
  <c r="AA129" i="1" s="1"/>
  <c r="R116" i="1"/>
  <c r="S115" i="1"/>
  <c r="T115" i="1" s="1"/>
  <c r="R117" i="1" l="1"/>
  <c r="S116" i="1"/>
  <c r="T116" i="1" s="1"/>
  <c r="Y131" i="1"/>
  <c r="W133" i="1"/>
  <c r="Z130" i="1"/>
  <c r="AA130" i="1" s="1"/>
  <c r="Y132" i="1" l="1"/>
  <c r="W134" i="1"/>
  <c r="Z131" i="1"/>
  <c r="AA131" i="1" s="1"/>
  <c r="R118" i="1"/>
  <c r="S117" i="1"/>
  <c r="T117" i="1" s="1"/>
  <c r="R119" i="1" l="1"/>
  <c r="S118" i="1"/>
  <c r="T118" i="1" s="1"/>
  <c r="Y133" i="1"/>
  <c r="W135" i="1"/>
  <c r="Z132" i="1"/>
  <c r="AA132" i="1" s="1"/>
  <c r="Y134" i="1" l="1"/>
  <c r="W136" i="1"/>
  <c r="Z133" i="1"/>
  <c r="AA133" i="1" s="1"/>
  <c r="R120" i="1"/>
  <c r="S119" i="1"/>
  <c r="T119" i="1" s="1"/>
  <c r="S120" i="1" l="1"/>
  <c r="T120" i="1" s="1"/>
  <c r="R121" i="1"/>
  <c r="Y135" i="1"/>
  <c r="W137" i="1"/>
  <c r="Z134" i="1"/>
  <c r="AA134" i="1" s="1"/>
  <c r="Y136" i="1" l="1"/>
  <c r="W138" i="1"/>
  <c r="Z135" i="1"/>
  <c r="AA135" i="1" s="1"/>
  <c r="R122" i="1"/>
  <c r="S121" i="1"/>
  <c r="T121" i="1" s="1"/>
  <c r="R123" i="1" l="1"/>
  <c r="S122" i="1"/>
  <c r="T122" i="1" s="1"/>
  <c r="Y137" i="1"/>
  <c r="W139" i="1"/>
  <c r="Z136" i="1"/>
  <c r="AA136" i="1" s="1"/>
  <c r="Y138" i="1" l="1"/>
  <c r="W140" i="1"/>
  <c r="Z137" i="1"/>
  <c r="AA137" i="1" s="1"/>
  <c r="R124" i="1"/>
  <c r="S123" i="1"/>
  <c r="T123" i="1" s="1"/>
  <c r="R125" i="1" l="1"/>
  <c r="S124" i="1"/>
  <c r="T124" i="1" s="1"/>
  <c r="Y139" i="1"/>
  <c r="W141" i="1"/>
  <c r="Z138" i="1"/>
  <c r="AA138" i="1" s="1"/>
  <c r="Y140" i="1" l="1"/>
  <c r="W142" i="1"/>
  <c r="Z139" i="1"/>
  <c r="AA139" i="1" s="1"/>
  <c r="R126" i="1"/>
  <c r="S125" i="1"/>
  <c r="T125" i="1" s="1"/>
  <c r="S126" i="1" l="1"/>
  <c r="T126" i="1" s="1"/>
  <c r="R127" i="1"/>
  <c r="Y141" i="1"/>
  <c r="W143" i="1"/>
  <c r="Z140" i="1"/>
  <c r="AA140" i="1" s="1"/>
  <c r="Y142" i="1" l="1"/>
  <c r="W144" i="1"/>
  <c r="Z141" i="1"/>
  <c r="AA141" i="1" s="1"/>
  <c r="R128" i="1"/>
  <c r="S127" i="1"/>
  <c r="T127" i="1" s="1"/>
  <c r="R129" i="1" l="1"/>
  <c r="S128" i="1"/>
  <c r="T128" i="1" s="1"/>
  <c r="Y143" i="1"/>
  <c r="W145" i="1"/>
  <c r="Z142" i="1"/>
  <c r="AA142" i="1" s="1"/>
  <c r="Y144" i="1" l="1"/>
  <c r="W146" i="1"/>
  <c r="Z143" i="1"/>
  <c r="AA143" i="1" s="1"/>
  <c r="R130" i="1"/>
  <c r="S129" i="1"/>
  <c r="T129" i="1" s="1"/>
  <c r="R131" i="1" l="1"/>
  <c r="S130" i="1"/>
  <c r="T130" i="1" s="1"/>
  <c r="Y145" i="1"/>
  <c r="W147" i="1"/>
  <c r="Z144" i="1"/>
  <c r="AA144" i="1" s="1"/>
  <c r="Y146" i="1" l="1"/>
  <c r="W148" i="1"/>
  <c r="Z145" i="1"/>
  <c r="AA145" i="1" s="1"/>
  <c r="R132" i="1"/>
  <c r="S131" i="1"/>
  <c r="T131" i="1" s="1"/>
  <c r="R133" i="1" l="1"/>
  <c r="S132" i="1"/>
  <c r="T132" i="1" s="1"/>
  <c r="Y147" i="1"/>
  <c r="W149" i="1"/>
  <c r="Z146" i="1"/>
  <c r="AA146" i="1" s="1"/>
  <c r="Z147" i="1" l="1"/>
  <c r="AA147" i="1" s="1"/>
  <c r="Y148" i="1"/>
  <c r="W150" i="1"/>
  <c r="R134" i="1"/>
  <c r="S133" i="1"/>
  <c r="T133" i="1" s="1"/>
  <c r="Z148" i="1" l="1"/>
  <c r="AA148" i="1" s="1"/>
  <c r="R135" i="1"/>
  <c r="S134" i="1"/>
  <c r="T134" i="1" s="1"/>
  <c r="Y149" i="1"/>
  <c r="W151" i="1"/>
  <c r="Z149" i="1" l="1"/>
  <c r="AA149" i="1" s="1"/>
  <c r="Y150" i="1"/>
  <c r="W152" i="1"/>
  <c r="R136" i="1"/>
  <c r="S135" i="1"/>
  <c r="T135" i="1" s="1"/>
  <c r="Z150" i="1" l="1"/>
  <c r="AA150" i="1" s="1"/>
  <c r="Y151" i="1"/>
  <c r="W153" i="1"/>
  <c r="R137" i="1"/>
  <c r="S136" i="1"/>
  <c r="T136" i="1" s="1"/>
  <c r="Z151" i="1" l="1"/>
  <c r="AA151" i="1" s="1"/>
  <c r="R138" i="1"/>
  <c r="S137" i="1"/>
  <c r="T137" i="1" s="1"/>
  <c r="Y152" i="1"/>
  <c r="W154" i="1"/>
  <c r="Z152" i="1" l="1"/>
  <c r="AA152" i="1" s="1"/>
  <c r="Y153" i="1"/>
  <c r="W155" i="1"/>
  <c r="R139" i="1"/>
  <c r="S138" i="1"/>
  <c r="T138" i="1" s="1"/>
  <c r="Z153" i="1" l="1"/>
  <c r="AA153" i="1" s="1"/>
  <c r="R140" i="1"/>
  <c r="S139" i="1"/>
  <c r="T139" i="1" s="1"/>
  <c r="Y154" i="1"/>
  <c r="W156" i="1"/>
  <c r="Z154" i="1" l="1"/>
  <c r="AA154" i="1" s="1"/>
  <c r="Y155" i="1"/>
  <c r="W157" i="1"/>
  <c r="R141" i="1"/>
  <c r="S140" i="1"/>
  <c r="T140" i="1" s="1"/>
  <c r="Z155" i="1" l="1"/>
  <c r="AA155" i="1" s="1"/>
  <c r="S141" i="1"/>
  <c r="T141" i="1" s="1"/>
  <c r="R142" i="1"/>
  <c r="Y156" i="1"/>
  <c r="W158" i="1"/>
  <c r="Y157" i="1" l="1"/>
  <c r="W159" i="1"/>
  <c r="Z156" i="1"/>
  <c r="AA156" i="1" s="1"/>
  <c r="R143" i="1"/>
  <c r="S142" i="1"/>
  <c r="T142" i="1" s="1"/>
  <c r="R144" i="1" l="1"/>
  <c r="S143" i="1"/>
  <c r="T143" i="1" s="1"/>
  <c r="Y158" i="1"/>
  <c r="W160" i="1"/>
  <c r="Z157" i="1"/>
  <c r="AA157" i="1" s="1"/>
  <c r="Y159" i="1" l="1"/>
  <c r="W161" i="1"/>
  <c r="Z158" i="1"/>
  <c r="AA158" i="1" s="1"/>
  <c r="R145" i="1"/>
  <c r="S144" i="1"/>
  <c r="T144" i="1" s="1"/>
  <c r="R146" i="1" l="1"/>
  <c r="S145" i="1"/>
  <c r="T145" i="1" s="1"/>
  <c r="Y160" i="1"/>
  <c r="W162" i="1"/>
  <c r="Z159" i="1"/>
  <c r="AA159" i="1" s="1"/>
  <c r="Y161" i="1" l="1"/>
  <c r="W163" i="1"/>
  <c r="Z160" i="1"/>
  <c r="AA160" i="1" s="1"/>
  <c r="R147" i="1"/>
  <c r="S146" i="1"/>
  <c r="T146" i="1" s="1"/>
  <c r="R148" i="1" l="1"/>
  <c r="S147" i="1"/>
  <c r="T147" i="1" s="1"/>
  <c r="Y162" i="1"/>
  <c r="W164" i="1"/>
  <c r="Z161" i="1"/>
  <c r="AA161" i="1" s="1"/>
  <c r="Y163" i="1" l="1"/>
  <c r="W165" i="1"/>
  <c r="Z162" i="1"/>
  <c r="AA162" i="1" s="1"/>
  <c r="R149" i="1"/>
  <c r="S148" i="1"/>
  <c r="T148" i="1" s="1"/>
  <c r="S149" i="1" l="1"/>
  <c r="T149" i="1" s="1"/>
  <c r="R150" i="1"/>
  <c r="Y164" i="1"/>
  <c r="W166" i="1"/>
  <c r="Z163" i="1"/>
  <c r="AA163" i="1" s="1"/>
  <c r="Y165" i="1" l="1"/>
  <c r="W167" i="1"/>
  <c r="Z164" i="1"/>
  <c r="AA164" i="1" s="1"/>
  <c r="R151" i="1"/>
  <c r="S150" i="1"/>
  <c r="T150" i="1" s="1"/>
  <c r="R152" i="1" l="1"/>
  <c r="S151" i="1"/>
  <c r="T151" i="1" s="1"/>
  <c r="Y166" i="1"/>
  <c r="W168" i="1"/>
  <c r="Z165" i="1"/>
  <c r="AA165" i="1" s="1"/>
  <c r="Y167" i="1" l="1"/>
  <c r="W169" i="1"/>
  <c r="Z166" i="1"/>
  <c r="AA166" i="1" s="1"/>
  <c r="S152" i="1"/>
  <c r="T152" i="1" s="1"/>
  <c r="R153" i="1"/>
  <c r="R154" i="1" l="1"/>
  <c r="S153" i="1"/>
  <c r="T153" i="1" s="1"/>
  <c r="Y168" i="1"/>
  <c r="W170" i="1"/>
  <c r="Z167" i="1"/>
  <c r="AA167" i="1" s="1"/>
  <c r="Y169" i="1" l="1"/>
  <c r="W171" i="1"/>
  <c r="Z168" i="1"/>
  <c r="AA168" i="1" s="1"/>
  <c r="R155" i="1"/>
  <c r="S154" i="1"/>
  <c r="T154" i="1" s="1"/>
  <c r="R156" i="1" l="1"/>
  <c r="S155" i="1"/>
  <c r="T155" i="1" s="1"/>
  <c r="Y170" i="1"/>
  <c r="W172" i="1"/>
  <c r="Z169" i="1"/>
  <c r="AA169" i="1" s="1"/>
  <c r="Y171" i="1" l="1"/>
  <c r="W173" i="1"/>
  <c r="Z170" i="1"/>
  <c r="AA170" i="1" s="1"/>
  <c r="R157" i="1"/>
  <c r="S156" i="1"/>
  <c r="T156" i="1" s="1"/>
  <c r="R158" i="1" l="1"/>
  <c r="S157" i="1"/>
  <c r="T157" i="1" s="1"/>
  <c r="Y172" i="1"/>
  <c r="W174" i="1"/>
  <c r="Z171" i="1"/>
  <c r="AA171" i="1" s="1"/>
  <c r="Y173" i="1" l="1"/>
  <c r="W175" i="1"/>
  <c r="Z172" i="1"/>
  <c r="AA172" i="1" s="1"/>
  <c r="R159" i="1"/>
  <c r="S158" i="1"/>
  <c r="T158" i="1" s="1"/>
  <c r="R160" i="1" l="1"/>
  <c r="S159" i="1"/>
  <c r="T159" i="1" s="1"/>
  <c r="Y174" i="1"/>
  <c r="W176" i="1"/>
  <c r="Z173" i="1"/>
  <c r="AA173" i="1" s="1"/>
  <c r="Y175" i="1" l="1"/>
  <c r="W177" i="1"/>
  <c r="Z174" i="1"/>
  <c r="AA174" i="1" s="1"/>
  <c r="R161" i="1"/>
  <c r="S160" i="1"/>
  <c r="T160" i="1" s="1"/>
  <c r="R162" i="1" l="1"/>
  <c r="S161" i="1"/>
  <c r="T161" i="1" s="1"/>
  <c r="Y176" i="1"/>
  <c r="W178" i="1"/>
  <c r="Z175" i="1"/>
  <c r="AA175" i="1" s="1"/>
  <c r="Y177" i="1" l="1"/>
  <c r="W179" i="1"/>
  <c r="Z176" i="1"/>
  <c r="AA176" i="1" s="1"/>
  <c r="R163" i="1"/>
  <c r="S162" i="1"/>
  <c r="T162" i="1" s="1"/>
  <c r="S163" i="1" l="1"/>
  <c r="T163" i="1" s="1"/>
  <c r="R164" i="1"/>
  <c r="Y178" i="1"/>
  <c r="W180" i="1"/>
  <c r="Z177" i="1"/>
  <c r="AA177" i="1" s="1"/>
  <c r="Y179" i="1" l="1"/>
  <c r="W181" i="1"/>
  <c r="Z178" i="1"/>
  <c r="AA178" i="1" s="1"/>
  <c r="R165" i="1"/>
  <c r="S164" i="1"/>
  <c r="T164" i="1" s="1"/>
  <c r="R166" i="1" l="1"/>
  <c r="S165" i="1"/>
  <c r="T165" i="1" s="1"/>
  <c r="Y180" i="1"/>
  <c r="W182" i="1"/>
  <c r="Z179" i="1"/>
  <c r="AA179" i="1" s="1"/>
  <c r="Y181" i="1" l="1"/>
  <c r="W183" i="1"/>
  <c r="Z180" i="1"/>
  <c r="AA180" i="1" s="1"/>
  <c r="R167" i="1"/>
  <c r="S166" i="1"/>
  <c r="T166" i="1" s="1"/>
  <c r="R168" i="1" l="1"/>
  <c r="S167" i="1"/>
  <c r="T167" i="1" s="1"/>
  <c r="Y182" i="1"/>
  <c r="W184" i="1"/>
  <c r="Z181" i="1"/>
  <c r="AA181" i="1" s="1"/>
  <c r="Y183" i="1" l="1"/>
  <c r="W185" i="1"/>
  <c r="Z182" i="1"/>
  <c r="AA182" i="1" s="1"/>
  <c r="R169" i="1"/>
  <c r="S168" i="1"/>
  <c r="T168" i="1" s="1"/>
  <c r="R170" i="1" l="1"/>
  <c r="S169" i="1"/>
  <c r="T169" i="1" s="1"/>
  <c r="Y184" i="1"/>
  <c r="W186" i="1"/>
  <c r="Z183" i="1"/>
  <c r="AA183" i="1" s="1"/>
  <c r="Y185" i="1" l="1"/>
  <c r="W187" i="1"/>
  <c r="Z184" i="1"/>
  <c r="AA184" i="1" s="1"/>
  <c r="R171" i="1"/>
  <c r="S170" i="1"/>
  <c r="T170" i="1" s="1"/>
  <c r="R172" i="1" l="1"/>
  <c r="S171" i="1"/>
  <c r="T171" i="1" s="1"/>
  <c r="Y186" i="1"/>
  <c r="W188" i="1"/>
  <c r="Z185" i="1"/>
  <c r="AA185" i="1" s="1"/>
  <c r="Y187" i="1" l="1"/>
  <c r="W189" i="1"/>
  <c r="Z186" i="1"/>
  <c r="AA186" i="1" s="1"/>
  <c r="R173" i="1"/>
  <c r="S172" i="1"/>
  <c r="T172" i="1" s="1"/>
  <c r="R174" i="1" l="1"/>
  <c r="S173" i="1"/>
  <c r="T173" i="1" s="1"/>
  <c r="Y188" i="1"/>
  <c r="W190" i="1"/>
  <c r="Z187" i="1"/>
  <c r="AA187" i="1" s="1"/>
  <c r="Y189" i="1" l="1"/>
  <c r="W191" i="1"/>
  <c r="Z188" i="1"/>
  <c r="AA188" i="1" s="1"/>
  <c r="R175" i="1"/>
  <c r="S174" i="1"/>
  <c r="T174" i="1" s="1"/>
  <c r="R176" i="1" l="1"/>
  <c r="S175" i="1"/>
  <c r="T175" i="1" s="1"/>
  <c r="Y190" i="1"/>
  <c r="W192" i="1"/>
  <c r="Z189" i="1"/>
  <c r="AA189" i="1" s="1"/>
  <c r="Y191" i="1" l="1"/>
  <c r="W193" i="1"/>
  <c r="Z190" i="1"/>
  <c r="AA190" i="1" s="1"/>
  <c r="R177" i="1"/>
  <c r="S176" i="1"/>
  <c r="T176" i="1" s="1"/>
  <c r="R178" i="1" l="1"/>
  <c r="S177" i="1"/>
  <c r="T177" i="1" s="1"/>
  <c r="Y192" i="1"/>
  <c r="W194" i="1"/>
  <c r="Z191" i="1"/>
  <c r="AA191" i="1" s="1"/>
  <c r="Y193" i="1" l="1"/>
  <c r="W195" i="1"/>
  <c r="Z192" i="1"/>
  <c r="AA192" i="1" s="1"/>
  <c r="R179" i="1"/>
  <c r="S178" i="1"/>
  <c r="T178" i="1" s="1"/>
  <c r="R180" i="1" l="1"/>
  <c r="S179" i="1"/>
  <c r="T179" i="1" s="1"/>
  <c r="Y194" i="1"/>
  <c r="W196" i="1"/>
  <c r="Z193" i="1"/>
  <c r="AA193" i="1" s="1"/>
  <c r="Y195" i="1" l="1"/>
  <c r="W197" i="1"/>
  <c r="Z194" i="1"/>
  <c r="AA194" i="1" s="1"/>
  <c r="R181" i="1"/>
  <c r="S180" i="1"/>
  <c r="T180" i="1" s="1"/>
  <c r="R182" i="1" l="1"/>
  <c r="S181" i="1"/>
  <c r="T181" i="1" s="1"/>
  <c r="Y196" i="1"/>
  <c r="W198" i="1"/>
  <c r="Z195" i="1"/>
  <c r="AA195" i="1" s="1"/>
  <c r="Y197" i="1" l="1"/>
  <c r="W199" i="1"/>
  <c r="Z196" i="1"/>
  <c r="AA196" i="1" s="1"/>
  <c r="R183" i="1"/>
  <c r="S182" i="1"/>
  <c r="T182" i="1" s="1"/>
  <c r="R184" i="1" l="1"/>
  <c r="S183" i="1"/>
  <c r="T183" i="1" s="1"/>
  <c r="Y198" i="1"/>
  <c r="W200" i="1"/>
  <c r="Z197" i="1"/>
  <c r="AA197" i="1" s="1"/>
  <c r="Y199" i="1" l="1"/>
  <c r="W201" i="1"/>
  <c r="Z198" i="1"/>
  <c r="AA198" i="1" s="1"/>
  <c r="R185" i="1"/>
  <c r="S184" i="1"/>
  <c r="T184" i="1" s="1"/>
  <c r="S185" i="1" l="1"/>
  <c r="T185" i="1" s="1"/>
  <c r="R186" i="1"/>
  <c r="Y200" i="1"/>
  <c r="W202" i="1"/>
  <c r="Z199" i="1"/>
  <c r="AA199" i="1" s="1"/>
  <c r="Y201" i="1" l="1"/>
  <c r="W203" i="1"/>
  <c r="Z200" i="1"/>
  <c r="AA200" i="1" s="1"/>
  <c r="R187" i="1"/>
  <c r="S186" i="1"/>
  <c r="T186" i="1" s="1"/>
  <c r="R188" i="1" l="1"/>
  <c r="S187" i="1"/>
  <c r="T187" i="1" s="1"/>
  <c r="Y202" i="1"/>
  <c r="W204" i="1"/>
  <c r="Z201" i="1"/>
  <c r="AA201" i="1" s="1"/>
  <c r="Y203" i="1" l="1"/>
  <c r="W205" i="1"/>
  <c r="Z202" i="1"/>
  <c r="AA202" i="1" s="1"/>
  <c r="R189" i="1"/>
  <c r="S188" i="1"/>
  <c r="T188" i="1" s="1"/>
  <c r="R190" i="1" l="1"/>
  <c r="S189" i="1"/>
  <c r="T189" i="1" s="1"/>
  <c r="Y204" i="1"/>
  <c r="W206" i="1"/>
  <c r="Z203" i="1"/>
  <c r="AA203" i="1" s="1"/>
  <c r="Y205" i="1" l="1"/>
  <c r="W207" i="1"/>
  <c r="Z204" i="1"/>
  <c r="AA204" i="1" s="1"/>
  <c r="R191" i="1"/>
  <c r="S190" i="1"/>
  <c r="T190" i="1" s="1"/>
  <c r="R192" i="1" l="1"/>
  <c r="S191" i="1"/>
  <c r="T191" i="1" s="1"/>
  <c r="Y206" i="1"/>
  <c r="W208" i="1"/>
  <c r="Z205" i="1"/>
  <c r="AA205" i="1" s="1"/>
  <c r="Y207" i="1" l="1"/>
  <c r="W209" i="1"/>
  <c r="Z206" i="1"/>
  <c r="AA206" i="1" s="1"/>
  <c r="R193" i="1"/>
  <c r="S192" i="1"/>
  <c r="T192" i="1" s="1"/>
  <c r="Z207" i="1" l="1"/>
  <c r="AA207" i="1" s="1"/>
  <c r="R194" i="1"/>
  <c r="S193" i="1"/>
  <c r="T193" i="1" s="1"/>
  <c r="Y208" i="1"/>
  <c r="W210" i="1"/>
  <c r="Z208" i="1" l="1"/>
  <c r="AA208" i="1" s="1"/>
  <c r="Y209" i="1"/>
  <c r="W211" i="1"/>
  <c r="R195" i="1"/>
  <c r="S194" i="1"/>
  <c r="T194" i="1" s="1"/>
  <c r="Z209" i="1" l="1"/>
  <c r="AA209" i="1" s="1"/>
  <c r="R196" i="1"/>
  <c r="S195" i="1"/>
  <c r="T195" i="1" s="1"/>
  <c r="Y210" i="1"/>
  <c r="W212" i="1"/>
  <c r="Z210" i="1" l="1"/>
  <c r="AA210" i="1" s="1"/>
  <c r="Y211" i="1"/>
  <c r="W213" i="1"/>
  <c r="R197" i="1"/>
  <c r="S196" i="1"/>
  <c r="T196" i="1" s="1"/>
  <c r="Z211" i="1" l="1"/>
  <c r="AA211" i="1" s="1"/>
  <c r="R198" i="1"/>
  <c r="S197" i="1"/>
  <c r="T197" i="1" s="1"/>
  <c r="Y212" i="1"/>
  <c r="W214" i="1"/>
  <c r="Z212" i="1" l="1"/>
  <c r="AA212" i="1" s="1"/>
  <c r="Y213" i="1"/>
  <c r="W215" i="1"/>
  <c r="R199" i="1"/>
  <c r="S198" i="1"/>
  <c r="T198" i="1" s="1"/>
  <c r="Z213" i="1" l="1"/>
  <c r="AA213" i="1" s="1"/>
  <c r="Y214" i="1"/>
  <c r="W216" i="1"/>
  <c r="R200" i="1"/>
  <c r="S199" i="1"/>
  <c r="T199" i="1" s="1"/>
  <c r="Z214" i="1" l="1"/>
  <c r="AA214" i="1" s="1"/>
  <c r="S200" i="1"/>
  <c r="T200" i="1" s="1"/>
  <c r="R201" i="1"/>
  <c r="Y215" i="1"/>
  <c r="W217" i="1"/>
  <c r="Z215" i="1" l="1"/>
  <c r="AA215" i="1" s="1"/>
  <c r="Y216" i="1"/>
  <c r="W218" i="1"/>
  <c r="R202" i="1"/>
  <c r="S201" i="1"/>
  <c r="T201" i="1" s="1"/>
  <c r="Z216" i="1" l="1"/>
  <c r="AA216" i="1" s="1"/>
  <c r="R203" i="1"/>
  <c r="S202" i="1"/>
  <c r="T202" i="1" s="1"/>
  <c r="Y217" i="1"/>
  <c r="W219" i="1"/>
  <c r="Z217" i="1" l="1"/>
  <c r="AA217" i="1" s="1"/>
  <c r="Y218" i="1"/>
  <c r="W220" i="1"/>
  <c r="R204" i="1"/>
  <c r="S203" i="1"/>
  <c r="T203" i="1" s="1"/>
  <c r="Z218" i="1" l="1"/>
  <c r="AA218" i="1" s="1"/>
  <c r="Y219" i="1"/>
  <c r="W221" i="1"/>
  <c r="R205" i="1"/>
  <c r="S204" i="1"/>
  <c r="T204" i="1" s="1"/>
  <c r="R206" i="1" l="1"/>
  <c r="S205" i="1"/>
  <c r="T205" i="1" s="1"/>
  <c r="Y220" i="1"/>
  <c r="W222" i="1"/>
  <c r="Z219" i="1"/>
  <c r="AA219" i="1" s="1"/>
  <c r="Z220" i="1" l="1"/>
  <c r="AA220" i="1" s="1"/>
  <c r="Y221" i="1"/>
  <c r="W223" i="1"/>
  <c r="R207" i="1"/>
  <c r="S206" i="1"/>
  <c r="T206" i="1" s="1"/>
  <c r="Z221" i="1" l="1"/>
  <c r="AA221" i="1" s="1"/>
  <c r="R208" i="1"/>
  <c r="S207" i="1"/>
  <c r="T207" i="1" s="1"/>
  <c r="Y222" i="1"/>
  <c r="W224" i="1"/>
  <c r="Z222" i="1" l="1"/>
  <c r="AA222" i="1" s="1"/>
  <c r="Y223" i="1"/>
  <c r="W225" i="1"/>
  <c r="R209" i="1"/>
  <c r="S208" i="1"/>
  <c r="T208" i="1" s="1"/>
  <c r="Z223" i="1" l="1"/>
  <c r="AA223" i="1" s="1"/>
  <c r="R210" i="1"/>
  <c r="S209" i="1"/>
  <c r="T209" i="1" s="1"/>
  <c r="Y224" i="1"/>
  <c r="W226" i="1"/>
  <c r="Z224" i="1" l="1"/>
  <c r="AA224" i="1" s="1"/>
  <c r="Y225" i="1"/>
  <c r="W227" i="1"/>
  <c r="R211" i="1"/>
  <c r="S210" i="1"/>
  <c r="T210" i="1" s="1"/>
  <c r="Z225" i="1" l="1"/>
  <c r="AA225" i="1" s="1"/>
  <c r="R212" i="1"/>
  <c r="S211" i="1"/>
  <c r="T211" i="1" s="1"/>
  <c r="Y226" i="1"/>
  <c r="W228" i="1"/>
  <c r="Z226" i="1" l="1"/>
  <c r="AA226" i="1" s="1"/>
  <c r="Y227" i="1"/>
  <c r="W229" i="1"/>
  <c r="R213" i="1"/>
  <c r="S212" i="1"/>
  <c r="T212" i="1" s="1"/>
  <c r="Z227" i="1" l="1"/>
  <c r="AA227" i="1" s="1"/>
  <c r="R214" i="1"/>
  <c r="S213" i="1"/>
  <c r="T213" i="1" s="1"/>
  <c r="Y228" i="1"/>
  <c r="W230" i="1"/>
  <c r="Z228" i="1" l="1"/>
  <c r="AA228" i="1" s="1"/>
  <c r="Y229" i="1"/>
  <c r="W231" i="1"/>
  <c r="R215" i="1"/>
  <c r="S214" i="1"/>
  <c r="T214" i="1" s="1"/>
  <c r="Z229" i="1" l="1"/>
  <c r="AA229" i="1" s="1"/>
  <c r="R216" i="1"/>
  <c r="S215" i="1"/>
  <c r="T215" i="1" s="1"/>
  <c r="Y230" i="1"/>
  <c r="W232" i="1"/>
  <c r="Z230" i="1" l="1"/>
  <c r="AA230" i="1" s="1"/>
  <c r="Y231" i="1"/>
  <c r="W233" i="1"/>
  <c r="R217" i="1"/>
  <c r="S216" i="1"/>
  <c r="T216" i="1" s="1"/>
  <c r="Z231" i="1" l="1"/>
  <c r="AA231" i="1" s="1"/>
  <c r="R218" i="1"/>
  <c r="S217" i="1"/>
  <c r="T217" i="1" s="1"/>
  <c r="Y232" i="1"/>
  <c r="W234" i="1"/>
  <c r="Z232" i="1" l="1"/>
  <c r="AA232" i="1" s="1"/>
  <c r="Y233" i="1"/>
  <c r="W235" i="1"/>
  <c r="R219" i="1"/>
  <c r="S218" i="1"/>
  <c r="T218" i="1" s="1"/>
  <c r="Z233" i="1" l="1"/>
  <c r="AA233" i="1" s="1"/>
  <c r="R220" i="1"/>
  <c r="S219" i="1"/>
  <c r="T219" i="1" s="1"/>
  <c r="Y234" i="1"/>
  <c r="W236" i="1"/>
  <c r="Z234" i="1" l="1"/>
  <c r="AA234" i="1" s="1"/>
  <c r="Y235" i="1"/>
  <c r="W237" i="1"/>
  <c r="R221" i="1"/>
  <c r="S220" i="1"/>
  <c r="T220" i="1" s="1"/>
  <c r="Z235" i="1" l="1"/>
  <c r="AA235" i="1" s="1"/>
  <c r="Y236" i="1"/>
  <c r="W238" i="1"/>
  <c r="R222" i="1"/>
  <c r="S221" i="1"/>
  <c r="T221" i="1" s="1"/>
  <c r="Z236" i="1" l="1"/>
  <c r="AA236" i="1" s="1"/>
  <c r="R223" i="1"/>
  <c r="S222" i="1"/>
  <c r="T222" i="1" s="1"/>
  <c r="Y237" i="1"/>
  <c r="W239" i="1"/>
  <c r="Z237" i="1" l="1"/>
  <c r="AA237" i="1" s="1"/>
  <c r="Y238" i="1"/>
  <c r="Z238" i="1" s="1"/>
  <c r="AA238" i="1" s="1"/>
  <c r="W240" i="1"/>
  <c r="R224" i="1"/>
  <c r="S223" i="1"/>
  <c r="T223" i="1" s="1"/>
  <c r="S224" i="1" l="1"/>
  <c r="T224" i="1" s="1"/>
  <c r="R225" i="1"/>
  <c r="Y239" i="1"/>
  <c r="Z239" i="1" s="1"/>
  <c r="AA239" i="1" s="1"/>
  <c r="W241" i="1"/>
  <c r="Y240" i="1" l="1"/>
  <c r="Z240" i="1" s="1"/>
  <c r="AA240" i="1" s="1"/>
  <c r="W242" i="1"/>
  <c r="R226" i="1"/>
  <c r="S225" i="1"/>
  <c r="T225" i="1" s="1"/>
  <c r="R227" i="1" l="1"/>
  <c r="S226" i="1"/>
  <c r="T226" i="1" s="1"/>
  <c r="Y241" i="1"/>
  <c r="Z241" i="1" s="1"/>
  <c r="AA241" i="1" s="1"/>
  <c r="W243" i="1"/>
  <c r="Y242" i="1" l="1"/>
  <c r="Z242" i="1" s="1"/>
  <c r="AA242" i="1" s="1"/>
  <c r="W244" i="1"/>
  <c r="R228" i="1"/>
  <c r="S227" i="1"/>
  <c r="T227" i="1" s="1"/>
  <c r="R229" i="1" l="1"/>
  <c r="S228" i="1"/>
  <c r="T228" i="1" s="1"/>
  <c r="Y243" i="1"/>
  <c r="Z243" i="1" s="1"/>
  <c r="AA243" i="1" s="1"/>
  <c r="W245" i="1"/>
  <c r="Y244" i="1" l="1"/>
  <c r="Z244" i="1" s="1"/>
  <c r="AA244" i="1" s="1"/>
  <c r="W246" i="1"/>
  <c r="R230" i="1"/>
  <c r="S229" i="1"/>
  <c r="T229" i="1" s="1"/>
  <c r="R231" i="1" l="1"/>
  <c r="S230" i="1"/>
  <c r="T230" i="1" s="1"/>
  <c r="Y245" i="1"/>
  <c r="Z245" i="1" s="1"/>
  <c r="AA245" i="1" s="1"/>
  <c r="W247" i="1"/>
  <c r="Y246" i="1" l="1"/>
  <c r="Z246" i="1" s="1"/>
  <c r="AA246" i="1" s="1"/>
  <c r="W248" i="1"/>
  <c r="R232" i="1"/>
  <c r="S231" i="1"/>
  <c r="T231" i="1" s="1"/>
  <c r="R233" i="1" l="1"/>
  <c r="S232" i="1"/>
  <c r="T232" i="1" s="1"/>
  <c r="Y247" i="1"/>
  <c r="Z247" i="1" s="1"/>
  <c r="AA247" i="1" s="1"/>
  <c r="W249" i="1"/>
  <c r="Y248" i="1" l="1"/>
  <c r="Z248" i="1" s="1"/>
  <c r="AA248" i="1" s="1"/>
  <c r="W250" i="1"/>
  <c r="R234" i="1"/>
  <c r="S233" i="1"/>
  <c r="T233" i="1" s="1"/>
  <c r="R235" i="1" l="1"/>
  <c r="S234" i="1"/>
  <c r="T234" i="1" s="1"/>
  <c r="Y249" i="1"/>
  <c r="Z249" i="1" s="1"/>
  <c r="AA249" i="1" s="1"/>
  <c r="W251" i="1"/>
  <c r="Y250" i="1" l="1"/>
  <c r="Z250" i="1" s="1"/>
  <c r="AA250" i="1" s="1"/>
  <c r="W252" i="1"/>
  <c r="R236" i="1"/>
  <c r="S235" i="1"/>
  <c r="T235" i="1" s="1"/>
  <c r="R237" i="1" l="1"/>
  <c r="S236" i="1"/>
  <c r="T236" i="1" s="1"/>
  <c r="Y251" i="1"/>
  <c r="Z251" i="1" s="1"/>
  <c r="AA251" i="1" s="1"/>
  <c r="Z252" i="1" l="1"/>
  <c r="AA252" i="1" s="1"/>
  <c r="R238" i="1"/>
  <c r="S237" i="1"/>
  <c r="T237" i="1" s="1"/>
  <c r="R239" i="1" l="1"/>
  <c r="S238" i="1"/>
  <c r="T238" i="1" s="1"/>
  <c r="R240" i="1" l="1"/>
  <c r="S239" i="1"/>
  <c r="T239" i="1" s="1"/>
  <c r="R241" i="1" l="1"/>
  <c r="S240" i="1"/>
  <c r="T240" i="1" s="1"/>
  <c r="R242" i="1" l="1"/>
  <c r="S241" i="1"/>
  <c r="T241" i="1" s="1"/>
  <c r="R243" i="1" l="1"/>
  <c r="S242" i="1"/>
  <c r="T242" i="1" s="1"/>
  <c r="R244" i="1" l="1"/>
  <c r="S243" i="1"/>
  <c r="T243" i="1" s="1"/>
  <c r="R245" i="1" l="1"/>
  <c r="S244" i="1"/>
  <c r="T244" i="1" s="1"/>
  <c r="R246" i="1" l="1"/>
  <c r="S245" i="1"/>
  <c r="T245" i="1" s="1"/>
  <c r="R247" i="1" l="1"/>
  <c r="S246" i="1"/>
  <c r="T246" i="1" s="1"/>
  <c r="R248" i="1" l="1"/>
  <c r="S247" i="1"/>
  <c r="T247" i="1" s="1"/>
  <c r="R249" i="1" l="1"/>
  <c r="S248" i="1"/>
  <c r="T248" i="1" s="1"/>
  <c r="R250" i="1" l="1"/>
  <c r="S249" i="1"/>
  <c r="T249" i="1" s="1"/>
  <c r="R251" i="1" l="1"/>
  <c r="S250" i="1"/>
  <c r="T250" i="1" s="1"/>
  <c r="R252" i="1" l="1"/>
  <c r="S251" i="1"/>
  <c r="T251" i="1" s="1"/>
  <c r="S252" i="1" l="1"/>
  <c r="T25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3E1C717-18D7-48C8-82CC-F356B5D12419}" keepAlive="1" name="Query - Forecast(1)" description="Connection to the 'Forecast' query in the workbook." type="5" refreshedVersion="8" background="1" saveData="1">
    <dbPr connection="Provider=Microsoft.Mashup.OleDb.1;Data Source=$Workbook$;Location=Forecast;Extended Properties=&quot;&quot;" command="SELECT * FROM [Forecas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73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</futureMetadata>
  <cellMetadata count="1">
    <bk>
      <rc t="1" v="0"/>
    </bk>
  </cellMetadata>
  <valueMetadata count="73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</valueMetadata>
</metadata>
</file>

<file path=xl/sharedStrings.xml><?xml version="1.0" encoding="utf-8"?>
<sst xmlns="http://schemas.openxmlformats.org/spreadsheetml/2006/main" count="59" uniqueCount="52">
  <si>
    <t>Pr x Vol</t>
  </si>
  <si>
    <t>VWAP</t>
  </si>
  <si>
    <t>StdDev</t>
  </si>
  <si>
    <t>Plus 1 Sd</t>
  </si>
  <si>
    <t>Minus 1 Sd</t>
  </si>
  <si>
    <t>Lower</t>
  </si>
  <si>
    <t>Upper</t>
  </si>
  <si>
    <t>20d SMA</t>
  </si>
  <si>
    <t>21d Sd</t>
  </si>
  <si>
    <t>Change</t>
  </si>
  <si>
    <t>Gain</t>
  </si>
  <si>
    <t>Loss</t>
  </si>
  <si>
    <t>AvgGain</t>
  </si>
  <si>
    <t>AvgLoss</t>
  </si>
  <si>
    <t>RS</t>
  </si>
  <si>
    <t>RSI</t>
  </si>
  <si>
    <t>RSI 70</t>
  </si>
  <si>
    <t>RSI 30</t>
  </si>
  <si>
    <t>EMA 12</t>
  </si>
  <si>
    <t>EMA 26</t>
  </si>
  <si>
    <t>MACD</t>
  </si>
  <si>
    <t>Signal</t>
  </si>
  <si>
    <t>Histogram</t>
  </si>
  <si>
    <t>100d SMA</t>
  </si>
  <si>
    <t>Chart</t>
  </si>
  <si>
    <t>Columns</t>
  </si>
  <si>
    <t>Stock Data</t>
  </si>
  <si>
    <t>A,B,C</t>
  </si>
  <si>
    <t>A,B,E,G,H</t>
  </si>
  <si>
    <t>Bollinger Bands</t>
  </si>
  <si>
    <t>A,B,I,k,L</t>
  </si>
  <si>
    <t>S,T,U</t>
  </si>
  <si>
    <t>X,Y,Z</t>
  </si>
  <si>
    <t>AA</t>
  </si>
  <si>
    <t>Weekly</t>
  </si>
  <si>
    <t>Weekly Average</t>
  </si>
  <si>
    <t>Forecast</t>
  </si>
  <si>
    <t>1 Qt 2026</t>
  </si>
  <si>
    <t>Stats</t>
  </si>
  <si>
    <t>Min</t>
  </si>
  <si>
    <t>Max</t>
  </si>
  <si>
    <t>Median</t>
  </si>
  <si>
    <t>Mean</t>
  </si>
  <si>
    <t>Close</t>
  </si>
  <si>
    <t>Volume</t>
  </si>
  <si>
    <t>Week</t>
  </si>
  <si>
    <t>Date</t>
  </si>
  <si>
    <t>Dividends</t>
  </si>
  <si>
    <t>Average</t>
  </si>
  <si>
    <t>XL Forecast</t>
  </si>
  <si>
    <t>Calc Forecast</t>
  </si>
  <si>
    <t>GS Simple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</si>
</sst>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yyyy\-mm\-dd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AF2D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4" fillId="2" borderId="0" xfId="0" applyFont="1" applyFill="1"/>
    <xf numFmtId="0" fontId="0" fillId="3" borderId="0" xfId="0" applyFill="1"/>
    <xf numFmtId="0" fontId="0" fillId="4" borderId="0" xfId="0" applyFill="1"/>
    <xf numFmtId="0" fontId="0" fillId="8" borderId="0" xfId="0" applyFill="1"/>
    <xf numFmtId="0" fontId="0" fillId="9" borderId="0" xfId="0" applyFill="1"/>
    <xf numFmtId="43" fontId="2" fillId="4" borderId="0" xfId="1" applyFont="1" applyFill="1" applyAlignment="1">
      <alignment horizontal="center"/>
    </xf>
    <xf numFmtId="43" fontId="0" fillId="0" borderId="0" xfId="1" applyFon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10" borderId="0" xfId="0" applyFill="1"/>
    <xf numFmtId="0" fontId="2" fillId="0" borderId="0" xfId="0" applyFont="1" applyAlignment="1">
      <alignment horizontal="center"/>
    </xf>
    <xf numFmtId="165" fontId="0" fillId="0" borderId="0" xfId="0" applyNumberFormat="1"/>
    <xf numFmtId="14" fontId="0" fillId="0" borderId="0" xfId="0" applyNumberFormat="1"/>
    <xf numFmtId="0" fontId="6" fillId="0" borderId="1" xfId="0" applyFont="1" applyBorder="1" applyAlignment="1">
      <alignment horizontal="right" wrapText="1"/>
    </xf>
    <xf numFmtId="0" fontId="6" fillId="11" borderId="1" xfId="0" applyFont="1" applyFill="1" applyBorder="1" applyAlignment="1">
      <alignment horizontal="right" wrapText="1"/>
    </xf>
  </cellXfs>
  <cellStyles count="2">
    <cellStyle name="Comma" xfId="1" builtinId="3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19" formatCode="m/d/yyyy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haredStrings" Target="sharedString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Array" Target="richData/rdarray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Dividends: 2000</a:t>
            </a:r>
            <a:r>
              <a:rPr lang="en-US" baseline="0"/>
              <a:t> - 2025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Dividends!$B$1</c:f>
              <c:strCache>
                <c:ptCount val="1"/>
                <c:pt idx="0">
                  <c:v>Dividends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Dividends!$A$2:$A$106</c:f>
              <c:numCache>
                <c:formatCode>yyyy\-mm\-dd</c:formatCode>
                <c:ptCount val="105"/>
                <c:pt idx="0">
                  <c:v>36565</c:v>
                </c:pt>
                <c:pt idx="1">
                  <c:v>36657</c:v>
                </c:pt>
                <c:pt idx="2">
                  <c:v>36748</c:v>
                </c:pt>
                <c:pt idx="3">
                  <c:v>36839</c:v>
                </c:pt>
                <c:pt idx="4">
                  <c:v>36929</c:v>
                </c:pt>
                <c:pt idx="5">
                  <c:v>37021</c:v>
                </c:pt>
                <c:pt idx="6">
                  <c:v>37060</c:v>
                </c:pt>
                <c:pt idx="7">
                  <c:v>37112</c:v>
                </c:pt>
                <c:pt idx="8">
                  <c:v>37202</c:v>
                </c:pt>
                <c:pt idx="9">
                  <c:v>37294</c:v>
                </c:pt>
                <c:pt idx="10">
                  <c:v>37385</c:v>
                </c:pt>
                <c:pt idx="11">
                  <c:v>37477</c:v>
                </c:pt>
                <c:pt idx="12">
                  <c:v>37567</c:v>
                </c:pt>
                <c:pt idx="13">
                  <c:v>37658</c:v>
                </c:pt>
                <c:pt idx="14">
                  <c:v>37750</c:v>
                </c:pt>
                <c:pt idx="15">
                  <c:v>37844</c:v>
                </c:pt>
                <c:pt idx="16">
                  <c:v>37932</c:v>
                </c:pt>
                <c:pt idx="17">
                  <c:v>38026</c:v>
                </c:pt>
                <c:pt idx="18">
                  <c:v>38118</c:v>
                </c:pt>
                <c:pt idx="19">
                  <c:v>38210</c:v>
                </c:pt>
                <c:pt idx="20">
                  <c:v>38300</c:v>
                </c:pt>
                <c:pt idx="21">
                  <c:v>38391</c:v>
                </c:pt>
                <c:pt idx="22">
                  <c:v>38483</c:v>
                </c:pt>
                <c:pt idx="23">
                  <c:v>38574</c:v>
                </c:pt>
                <c:pt idx="24">
                  <c:v>38664</c:v>
                </c:pt>
                <c:pt idx="25">
                  <c:v>38756</c:v>
                </c:pt>
                <c:pt idx="26">
                  <c:v>38847</c:v>
                </c:pt>
                <c:pt idx="27">
                  <c:v>38939</c:v>
                </c:pt>
                <c:pt idx="28">
                  <c:v>39030</c:v>
                </c:pt>
                <c:pt idx="29">
                  <c:v>39120</c:v>
                </c:pt>
                <c:pt idx="30">
                  <c:v>39212</c:v>
                </c:pt>
                <c:pt idx="31">
                  <c:v>39303</c:v>
                </c:pt>
                <c:pt idx="32">
                  <c:v>39393</c:v>
                </c:pt>
                <c:pt idx="33">
                  <c:v>39485</c:v>
                </c:pt>
                <c:pt idx="34">
                  <c:v>39577</c:v>
                </c:pt>
                <c:pt idx="35">
                  <c:v>39671</c:v>
                </c:pt>
                <c:pt idx="36">
                  <c:v>39759</c:v>
                </c:pt>
                <c:pt idx="37">
                  <c:v>39850</c:v>
                </c:pt>
                <c:pt idx="38">
                  <c:v>39944</c:v>
                </c:pt>
                <c:pt idx="39">
                  <c:v>40036</c:v>
                </c:pt>
                <c:pt idx="40">
                  <c:v>40126</c:v>
                </c:pt>
                <c:pt idx="41">
                  <c:v>40217</c:v>
                </c:pt>
                <c:pt idx="42">
                  <c:v>40309</c:v>
                </c:pt>
                <c:pt idx="43">
                  <c:v>40401</c:v>
                </c:pt>
                <c:pt idx="44">
                  <c:v>40491</c:v>
                </c:pt>
                <c:pt idx="45">
                  <c:v>40582</c:v>
                </c:pt>
                <c:pt idx="46">
                  <c:v>40674</c:v>
                </c:pt>
                <c:pt idx="47">
                  <c:v>40765</c:v>
                </c:pt>
                <c:pt idx="48">
                  <c:v>40855</c:v>
                </c:pt>
                <c:pt idx="49">
                  <c:v>40947</c:v>
                </c:pt>
                <c:pt idx="50">
                  <c:v>41039</c:v>
                </c:pt>
                <c:pt idx="51">
                  <c:v>41130</c:v>
                </c:pt>
                <c:pt idx="52">
                  <c:v>41220</c:v>
                </c:pt>
                <c:pt idx="53">
                  <c:v>41312</c:v>
                </c:pt>
                <c:pt idx="54">
                  <c:v>41403</c:v>
                </c:pt>
                <c:pt idx="55">
                  <c:v>41495</c:v>
                </c:pt>
                <c:pt idx="56">
                  <c:v>41585</c:v>
                </c:pt>
                <c:pt idx="57">
                  <c:v>41676</c:v>
                </c:pt>
                <c:pt idx="58">
                  <c:v>41768</c:v>
                </c:pt>
                <c:pt idx="59">
                  <c:v>41862</c:v>
                </c:pt>
                <c:pt idx="60">
                  <c:v>41950</c:v>
                </c:pt>
                <c:pt idx="61">
                  <c:v>42041</c:v>
                </c:pt>
                <c:pt idx="62">
                  <c:v>42135</c:v>
                </c:pt>
                <c:pt idx="63">
                  <c:v>42227</c:v>
                </c:pt>
                <c:pt idx="64">
                  <c:v>42317</c:v>
                </c:pt>
                <c:pt idx="65">
                  <c:v>42409</c:v>
                </c:pt>
                <c:pt idx="66">
                  <c:v>42501</c:v>
                </c:pt>
                <c:pt idx="67">
                  <c:v>42592</c:v>
                </c:pt>
                <c:pt idx="68">
                  <c:v>42682</c:v>
                </c:pt>
                <c:pt idx="69">
                  <c:v>42774</c:v>
                </c:pt>
                <c:pt idx="70">
                  <c:v>42865</c:v>
                </c:pt>
                <c:pt idx="71">
                  <c:v>42957</c:v>
                </c:pt>
                <c:pt idx="72">
                  <c:v>43049</c:v>
                </c:pt>
                <c:pt idx="73">
                  <c:v>43140</c:v>
                </c:pt>
                <c:pt idx="74">
                  <c:v>43231</c:v>
                </c:pt>
                <c:pt idx="75">
                  <c:v>43322</c:v>
                </c:pt>
                <c:pt idx="76">
                  <c:v>43413</c:v>
                </c:pt>
                <c:pt idx="77">
                  <c:v>43504</c:v>
                </c:pt>
                <c:pt idx="78">
                  <c:v>43595</c:v>
                </c:pt>
                <c:pt idx="79">
                  <c:v>43689</c:v>
                </c:pt>
                <c:pt idx="80">
                  <c:v>43777</c:v>
                </c:pt>
                <c:pt idx="81">
                  <c:v>43871</c:v>
                </c:pt>
                <c:pt idx="82">
                  <c:v>43963</c:v>
                </c:pt>
                <c:pt idx="83">
                  <c:v>44055</c:v>
                </c:pt>
                <c:pt idx="84">
                  <c:v>44145</c:v>
                </c:pt>
                <c:pt idx="85">
                  <c:v>44236</c:v>
                </c:pt>
                <c:pt idx="86">
                  <c:v>44328</c:v>
                </c:pt>
                <c:pt idx="87">
                  <c:v>44420</c:v>
                </c:pt>
                <c:pt idx="88">
                  <c:v>44510</c:v>
                </c:pt>
                <c:pt idx="89">
                  <c:v>44601</c:v>
                </c:pt>
                <c:pt idx="90">
                  <c:v>44693</c:v>
                </c:pt>
                <c:pt idx="91">
                  <c:v>44784</c:v>
                </c:pt>
                <c:pt idx="92">
                  <c:v>44879</c:v>
                </c:pt>
                <c:pt idx="93">
                  <c:v>44970</c:v>
                </c:pt>
                <c:pt idx="94">
                  <c:v>45061</c:v>
                </c:pt>
                <c:pt idx="95">
                  <c:v>45153</c:v>
                </c:pt>
                <c:pt idx="96">
                  <c:v>45244</c:v>
                </c:pt>
                <c:pt idx="97">
                  <c:v>45335</c:v>
                </c:pt>
                <c:pt idx="98">
                  <c:v>45426</c:v>
                </c:pt>
                <c:pt idx="99">
                  <c:v>45519</c:v>
                </c:pt>
                <c:pt idx="100">
                  <c:v>45610</c:v>
                </c:pt>
                <c:pt idx="101">
                  <c:v>45700</c:v>
                </c:pt>
                <c:pt idx="102">
                  <c:v>45792</c:v>
                </c:pt>
                <c:pt idx="103">
                  <c:v>45884</c:v>
                </c:pt>
                <c:pt idx="104">
                  <c:v>45975</c:v>
                </c:pt>
              </c:numCache>
            </c:numRef>
          </c:cat>
          <c:val>
            <c:numRef>
              <c:f>Dividends!$B$2:$B$106</c:f>
              <c:numCache>
                <c:formatCode>General</c:formatCode>
                <c:ptCount val="105"/>
                <c:pt idx="0">
                  <c:v>0.22</c:v>
                </c:pt>
                <c:pt idx="1">
                  <c:v>0.22</c:v>
                </c:pt>
                <c:pt idx="2">
                  <c:v>0.22</c:v>
                </c:pt>
                <c:pt idx="3">
                  <c:v>0.22</c:v>
                </c:pt>
                <c:pt idx="4">
                  <c:v>0.22</c:v>
                </c:pt>
                <c:pt idx="5">
                  <c:v>0.22</c:v>
                </c:pt>
                <c:pt idx="6">
                  <c:v>0.01</c:v>
                </c:pt>
                <c:pt idx="7">
                  <c:v>0.23</c:v>
                </c:pt>
                <c:pt idx="8">
                  <c:v>0.23</c:v>
                </c:pt>
                <c:pt idx="9">
                  <c:v>0.23</c:v>
                </c:pt>
                <c:pt idx="10">
                  <c:v>0.23</c:v>
                </c:pt>
                <c:pt idx="11">
                  <c:v>0.23</c:v>
                </c:pt>
                <c:pt idx="12">
                  <c:v>0.23</c:v>
                </c:pt>
                <c:pt idx="13">
                  <c:v>0.23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0.27</c:v>
                </c:pt>
                <c:pt idx="19">
                  <c:v>0.27</c:v>
                </c:pt>
                <c:pt idx="20">
                  <c:v>0.27</c:v>
                </c:pt>
                <c:pt idx="21">
                  <c:v>0.27</c:v>
                </c:pt>
                <c:pt idx="22">
                  <c:v>0.28999999999999998</c:v>
                </c:pt>
                <c:pt idx="23">
                  <c:v>0.28999999999999998</c:v>
                </c:pt>
                <c:pt idx="24">
                  <c:v>0.28999999999999998</c:v>
                </c:pt>
                <c:pt idx="25">
                  <c:v>0.32</c:v>
                </c:pt>
                <c:pt idx="26">
                  <c:v>0.32</c:v>
                </c:pt>
                <c:pt idx="27">
                  <c:v>0.32</c:v>
                </c:pt>
                <c:pt idx="28">
                  <c:v>0.32</c:v>
                </c:pt>
                <c:pt idx="29">
                  <c:v>0.32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0.4</c:v>
                </c:pt>
                <c:pt idx="35">
                  <c:v>0.4</c:v>
                </c:pt>
                <c:pt idx="36">
                  <c:v>0.4</c:v>
                </c:pt>
                <c:pt idx="37">
                  <c:v>0.4</c:v>
                </c:pt>
                <c:pt idx="38">
                  <c:v>0.42</c:v>
                </c:pt>
                <c:pt idx="39">
                  <c:v>0.42</c:v>
                </c:pt>
                <c:pt idx="40">
                  <c:v>0.42</c:v>
                </c:pt>
                <c:pt idx="41">
                  <c:v>0.42</c:v>
                </c:pt>
                <c:pt idx="42">
                  <c:v>0.44</c:v>
                </c:pt>
                <c:pt idx="43">
                  <c:v>0.44</c:v>
                </c:pt>
                <c:pt idx="44">
                  <c:v>0.44</c:v>
                </c:pt>
                <c:pt idx="45">
                  <c:v>0.44</c:v>
                </c:pt>
                <c:pt idx="46">
                  <c:v>0.47</c:v>
                </c:pt>
                <c:pt idx="47">
                  <c:v>0.47</c:v>
                </c:pt>
                <c:pt idx="48">
                  <c:v>0.47</c:v>
                </c:pt>
                <c:pt idx="49">
                  <c:v>0.47</c:v>
                </c:pt>
                <c:pt idx="50">
                  <c:v>0.56999999999999995</c:v>
                </c:pt>
                <c:pt idx="51">
                  <c:v>0.56999999999999995</c:v>
                </c:pt>
                <c:pt idx="52">
                  <c:v>0.56999999999999995</c:v>
                </c:pt>
                <c:pt idx="53">
                  <c:v>0.56999999999999995</c:v>
                </c:pt>
                <c:pt idx="54">
                  <c:v>0.63</c:v>
                </c:pt>
                <c:pt idx="55">
                  <c:v>0.63</c:v>
                </c:pt>
                <c:pt idx="56">
                  <c:v>0.63</c:v>
                </c:pt>
                <c:pt idx="57">
                  <c:v>0.63</c:v>
                </c:pt>
                <c:pt idx="58">
                  <c:v>0.69</c:v>
                </c:pt>
                <c:pt idx="59">
                  <c:v>0.69</c:v>
                </c:pt>
                <c:pt idx="60">
                  <c:v>0.69</c:v>
                </c:pt>
                <c:pt idx="61">
                  <c:v>0.69</c:v>
                </c:pt>
                <c:pt idx="62">
                  <c:v>0.73</c:v>
                </c:pt>
                <c:pt idx="63">
                  <c:v>0.73</c:v>
                </c:pt>
                <c:pt idx="64">
                  <c:v>0.73</c:v>
                </c:pt>
                <c:pt idx="65">
                  <c:v>0.73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0.77</c:v>
                </c:pt>
                <c:pt idx="71">
                  <c:v>0.77</c:v>
                </c:pt>
                <c:pt idx="72">
                  <c:v>0.77</c:v>
                </c:pt>
                <c:pt idx="73">
                  <c:v>0.77</c:v>
                </c:pt>
                <c:pt idx="74">
                  <c:v>0.82</c:v>
                </c:pt>
                <c:pt idx="75">
                  <c:v>0.82</c:v>
                </c:pt>
                <c:pt idx="76">
                  <c:v>0.82</c:v>
                </c:pt>
                <c:pt idx="77">
                  <c:v>0.82</c:v>
                </c:pt>
                <c:pt idx="78">
                  <c:v>0.87</c:v>
                </c:pt>
                <c:pt idx="79">
                  <c:v>0.87</c:v>
                </c:pt>
                <c:pt idx="80">
                  <c:v>0.87</c:v>
                </c:pt>
                <c:pt idx="81">
                  <c:v>0.87</c:v>
                </c:pt>
                <c:pt idx="82">
                  <c:v>0.87</c:v>
                </c:pt>
                <c:pt idx="83">
                  <c:v>0.87</c:v>
                </c:pt>
                <c:pt idx="84">
                  <c:v>0.87</c:v>
                </c:pt>
                <c:pt idx="85">
                  <c:v>0.87</c:v>
                </c:pt>
                <c:pt idx="86">
                  <c:v>0.87</c:v>
                </c:pt>
                <c:pt idx="87">
                  <c:v>0.87</c:v>
                </c:pt>
                <c:pt idx="88">
                  <c:v>0.88</c:v>
                </c:pt>
                <c:pt idx="89">
                  <c:v>0.88</c:v>
                </c:pt>
                <c:pt idx="90">
                  <c:v>0.88</c:v>
                </c:pt>
                <c:pt idx="91">
                  <c:v>0.88</c:v>
                </c:pt>
                <c:pt idx="92">
                  <c:v>0.91</c:v>
                </c:pt>
                <c:pt idx="93">
                  <c:v>0.91</c:v>
                </c:pt>
                <c:pt idx="94">
                  <c:v>0.91</c:v>
                </c:pt>
                <c:pt idx="95">
                  <c:v>0.91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0.99</c:v>
                </c:pt>
                <c:pt idx="101">
                  <c:v>0.99</c:v>
                </c:pt>
                <c:pt idx="102">
                  <c:v>0.99</c:v>
                </c:pt>
                <c:pt idx="103">
                  <c:v>0.99</c:v>
                </c:pt>
                <c:pt idx="104">
                  <c:v>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2-4114-B164-537E9DD47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7658880"/>
        <c:axId val="1587653120"/>
      </c:barChart>
      <c:dateAx>
        <c:axId val="1587658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653120"/>
        <c:crosses val="autoZero"/>
        <c:auto val="1"/>
        <c:lblOffset val="100"/>
        <c:baseTimeUnit val="months"/>
      </c:dateAx>
      <c:valAx>
        <c:axId val="158765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65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+ 20/100 Day SMA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Data!$C$2:$C$254</c:f>
              <c:numCache>
                <c:formatCode>_([$$-409]* #,##0.00_);_([$$-409]* \(#,##0.00\);_([$$-409]* "-"??_);_(@_)</c:formatCode>
                <c:ptCount val="253"/>
                <c:pt idx="0">
                  <c:v>110.69</c:v>
                </c:pt>
                <c:pt idx="1">
                  <c:v>111.27</c:v>
                </c:pt>
                <c:pt idx="2">
                  <c:v>109.73</c:v>
                </c:pt>
                <c:pt idx="3">
                  <c:v>109.46</c:v>
                </c:pt>
                <c:pt idx="4">
                  <c:v>110.15</c:v>
                </c:pt>
                <c:pt idx="5">
                  <c:v>111.33</c:v>
                </c:pt>
                <c:pt idx="6">
                  <c:v>107.76</c:v>
                </c:pt>
                <c:pt idx="7">
                  <c:v>107.54</c:v>
                </c:pt>
                <c:pt idx="8">
                  <c:v>105.44</c:v>
                </c:pt>
                <c:pt idx="9">
                  <c:v>107.62</c:v>
                </c:pt>
                <c:pt idx="10">
                  <c:v>109.02</c:v>
                </c:pt>
                <c:pt idx="11">
                  <c:v>111.8</c:v>
                </c:pt>
                <c:pt idx="12">
                  <c:v>109.16</c:v>
                </c:pt>
                <c:pt idx="13">
                  <c:v>109.13</c:v>
                </c:pt>
                <c:pt idx="14">
                  <c:v>108.67</c:v>
                </c:pt>
                <c:pt idx="15">
                  <c:v>111.9</c:v>
                </c:pt>
                <c:pt idx="16">
                  <c:v>113.76</c:v>
                </c:pt>
                <c:pt idx="17">
                  <c:v>113.64</c:v>
                </c:pt>
                <c:pt idx="18">
                  <c:v>115.41</c:v>
                </c:pt>
                <c:pt idx="19">
                  <c:v>115.9</c:v>
                </c:pt>
                <c:pt idx="20">
                  <c:v>115.5</c:v>
                </c:pt>
                <c:pt idx="21">
                  <c:v>115.8</c:v>
                </c:pt>
                <c:pt idx="22">
                  <c:v>116.59</c:v>
                </c:pt>
                <c:pt idx="23">
                  <c:v>118.27</c:v>
                </c:pt>
                <c:pt idx="24">
                  <c:v>117.89</c:v>
                </c:pt>
                <c:pt idx="25">
                  <c:v>117.73</c:v>
                </c:pt>
                <c:pt idx="26">
                  <c:v>118.93</c:v>
                </c:pt>
                <c:pt idx="27">
                  <c:v>119.04</c:v>
                </c:pt>
                <c:pt idx="28">
                  <c:v>118.67</c:v>
                </c:pt>
                <c:pt idx="29">
                  <c:v>112.43</c:v>
                </c:pt>
                <c:pt idx="30">
                  <c:v>104.34</c:v>
                </c:pt>
                <c:pt idx="31">
                  <c:v>102.94</c:v>
                </c:pt>
                <c:pt idx="32">
                  <c:v>100.77</c:v>
                </c:pt>
                <c:pt idx="33">
                  <c:v>105.8</c:v>
                </c:pt>
                <c:pt idx="34">
                  <c:v>99.93</c:v>
                </c:pt>
                <c:pt idx="35">
                  <c:v>103.14</c:v>
                </c:pt>
                <c:pt idx="36">
                  <c:v>103.39</c:v>
                </c:pt>
                <c:pt idx="37">
                  <c:v>103.1</c:v>
                </c:pt>
                <c:pt idx="38">
                  <c:v>104.19</c:v>
                </c:pt>
                <c:pt idx="39">
                  <c:v>106.92</c:v>
                </c:pt>
                <c:pt idx="40">
                  <c:v>105.35</c:v>
                </c:pt>
                <c:pt idx="41">
                  <c:v>108.3</c:v>
                </c:pt>
                <c:pt idx="42">
                  <c:v>107.37</c:v>
                </c:pt>
                <c:pt idx="43">
                  <c:v>108.63</c:v>
                </c:pt>
                <c:pt idx="44">
                  <c:v>108.57</c:v>
                </c:pt>
                <c:pt idx="45">
                  <c:v>108.63</c:v>
                </c:pt>
                <c:pt idx="46">
                  <c:v>108.36</c:v>
                </c:pt>
                <c:pt idx="47">
                  <c:v>105.63</c:v>
                </c:pt>
                <c:pt idx="48">
                  <c:v>105.78</c:v>
                </c:pt>
                <c:pt idx="49">
                  <c:v>106.21</c:v>
                </c:pt>
                <c:pt idx="50">
                  <c:v>103.27</c:v>
                </c:pt>
                <c:pt idx="51">
                  <c:v>104.71</c:v>
                </c:pt>
                <c:pt idx="52">
                  <c:v>104.61</c:v>
                </c:pt>
                <c:pt idx="53">
                  <c:v>106.07</c:v>
                </c:pt>
                <c:pt idx="54">
                  <c:v>107.31</c:v>
                </c:pt>
                <c:pt idx="55">
                  <c:v>109.16</c:v>
                </c:pt>
                <c:pt idx="56">
                  <c:v>109.46</c:v>
                </c:pt>
                <c:pt idx="57">
                  <c:v>108.48</c:v>
                </c:pt>
                <c:pt idx="58">
                  <c:v>108.58</c:v>
                </c:pt>
                <c:pt idx="59">
                  <c:v>108.19</c:v>
                </c:pt>
                <c:pt idx="60">
                  <c:v>106.47</c:v>
                </c:pt>
                <c:pt idx="61">
                  <c:v>104.95</c:v>
                </c:pt>
                <c:pt idx="62">
                  <c:v>103.66</c:v>
                </c:pt>
                <c:pt idx="63">
                  <c:v>102.97</c:v>
                </c:pt>
                <c:pt idx="64">
                  <c:v>103.03</c:v>
                </c:pt>
                <c:pt idx="65">
                  <c:v>103.52</c:v>
                </c:pt>
                <c:pt idx="66">
                  <c:v>102.11</c:v>
                </c:pt>
                <c:pt idx="67">
                  <c:v>102.69</c:v>
                </c:pt>
                <c:pt idx="68">
                  <c:v>102.3</c:v>
                </c:pt>
                <c:pt idx="69">
                  <c:v>103.05</c:v>
                </c:pt>
                <c:pt idx="70">
                  <c:v>103.8</c:v>
                </c:pt>
                <c:pt idx="71">
                  <c:v>102.3</c:v>
                </c:pt>
                <c:pt idx="72">
                  <c:v>101.83</c:v>
                </c:pt>
                <c:pt idx="73">
                  <c:v>104.27</c:v>
                </c:pt>
                <c:pt idx="74">
                  <c:v>104.97</c:v>
                </c:pt>
                <c:pt idx="75">
                  <c:v>107.22</c:v>
                </c:pt>
                <c:pt idx="76">
                  <c:v>109.31</c:v>
                </c:pt>
                <c:pt idx="77">
                  <c:v>109.73</c:v>
                </c:pt>
                <c:pt idx="78">
                  <c:v>112.12</c:v>
                </c:pt>
                <c:pt idx="79">
                  <c:v>112.48</c:v>
                </c:pt>
                <c:pt idx="80">
                  <c:v>114</c:v>
                </c:pt>
                <c:pt idx="81">
                  <c:v>113.19</c:v>
                </c:pt>
                <c:pt idx="82">
                  <c:v>114.7</c:v>
                </c:pt>
                <c:pt idx="83">
                  <c:v>111.74</c:v>
                </c:pt>
                <c:pt idx="84">
                  <c:v>108.34</c:v>
                </c:pt>
                <c:pt idx="85">
                  <c:v>108.37</c:v>
                </c:pt>
                <c:pt idx="86">
                  <c:v>109.99</c:v>
                </c:pt>
                <c:pt idx="87">
                  <c:v>109.38</c:v>
                </c:pt>
                <c:pt idx="88">
                  <c:v>107.8</c:v>
                </c:pt>
                <c:pt idx="89">
                  <c:v>109.24</c:v>
                </c:pt>
                <c:pt idx="90">
                  <c:v>111.05</c:v>
                </c:pt>
                <c:pt idx="91">
                  <c:v>112.2</c:v>
                </c:pt>
                <c:pt idx="92">
                  <c:v>111.11</c:v>
                </c:pt>
                <c:pt idx="93">
                  <c:v>114.19</c:v>
                </c:pt>
                <c:pt idx="94">
                  <c:v>113.8</c:v>
                </c:pt>
                <c:pt idx="95">
                  <c:v>114.93</c:v>
                </c:pt>
                <c:pt idx="96">
                  <c:v>115.43</c:v>
                </c:pt>
                <c:pt idx="97">
                  <c:v>113.92</c:v>
                </c:pt>
                <c:pt idx="98">
                  <c:v>112.91</c:v>
                </c:pt>
                <c:pt idx="99">
                  <c:v>112.23</c:v>
                </c:pt>
                <c:pt idx="100">
                  <c:v>111.66</c:v>
                </c:pt>
                <c:pt idx="101">
                  <c:v>107.77</c:v>
                </c:pt>
                <c:pt idx="102">
                  <c:v>108.05</c:v>
                </c:pt>
                <c:pt idx="103">
                  <c:v>108.54</c:v>
                </c:pt>
                <c:pt idx="104">
                  <c:v>109.93</c:v>
                </c:pt>
                <c:pt idx="105">
                  <c:v>110.79</c:v>
                </c:pt>
                <c:pt idx="106">
                  <c:v>110.4</c:v>
                </c:pt>
                <c:pt idx="107">
                  <c:v>111.44</c:v>
                </c:pt>
                <c:pt idx="108">
                  <c:v>112.88</c:v>
                </c:pt>
                <c:pt idx="109">
                  <c:v>111.9</c:v>
                </c:pt>
                <c:pt idx="110">
                  <c:v>111.64</c:v>
                </c:pt>
                <c:pt idx="111">
                  <c:v>109.64</c:v>
                </c:pt>
                <c:pt idx="112">
                  <c:v>107.37</c:v>
                </c:pt>
                <c:pt idx="113">
                  <c:v>107.24</c:v>
                </c:pt>
                <c:pt idx="114">
                  <c:v>106.51</c:v>
                </c:pt>
                <c:pt idx="115">
                  <c:v>105.95</c:v>
                </c:pt>
                <c:pt idx="116">
                  <c:v>106.8</c:v>
                </c:pt>
                <c:pt idx="117">
                  <c:v>105.83</c:v>
                </c:pt>
                <c:pt idx="118">
                  <c:v>106.13</c:v>
                </c:pt>
                <c:pt idx="119">
                  <c:v>107.6</c:v>
                </c:pt>
                <c:pt idx="120">
                  <c:v>107.38</c:v>
                </c:pt>
                <c:pt idx="121">
                  <c:v>106.49</c:v>
                </c:pt>
                <c:pt idx="122">
                  <c:v>106.72</c:v>
                </c:pt>
                <c:pt idx="123">
                  <c:v>107.42</c:v>
                </c:pt>
                <c:pt idx="124">
                  <c:v>108.53</c:v>
                </c:pt>
                <c:pt idx="125">
                  <c:v>109.23</c:v>
                </c:pt>
                <c:pt idx="126">
                  <c:v>111.28</c:v>
                </c:pt>
                <c:pt idx="127">
                  <c:v>111.74</c:v>
                </c:pt>
                <c:pt idx="128">
                  <c:v>111.49</c:v>
                </c:pt>
                <c:pt idx="129">
                  <c:v>112.75</c:v>
                </c:pt>
                <c:pt idx="130">
                  <c:v>113.35</c:v>
                </c:pt>
                <c:pt idx="131">
                  <c:v>114.29</c:v>
                </c:pt>
                <c:pt idx="132">
                  <c:v>114.69</c:v>
                </c:pt>
                <c:pt idx="133">
                  <c:v>111.91</c:v>
                </c:pt>
                <c:pt idx="134">
                  <c:v>112.4</c:v>
                </c:pt>
                <c:pt idx="135">
                  <c:v>109.23</c:v>
                </c:pt>
                <c:pt idx="136">
                  <c:v>109.85</c:v>
                </c:pt>
                <c:pt idx="137">
                  <c:v>110.65</c:v>
                </c:pt>
                <c:pt idx="138">
                  <c:v>112.5</c:v>
                </c:pt>
                <c:pt idx="139">
                  <c:v>112.14</c:v>
                </c:pt>
                <c:pt idx="140">
                  <c:v>112.16</c:v>
                </c:pt>
                <c:pt idx="141">
                  <c:v>112.35</c:v>
                </c:pt>
                <c:pt idx="142">
                  <c:v>114.68</c:v>
                </c:pt>
                <c:pt idx="143">
                  <c:v>115.29</c:v>
                </c:pt>
                <c:pt idx="144">
                  <c:v>113.93</c:v>
                </c:pt>
                <c:pt idx="145">
                  <c:v>112.82</c:v>
                </c:pt>
                <c:pt idx="146">
                  <c:v>112.02</c:v>
                </c:pt>
                <c:pt idx="147">
                  <c:v>113.95</c:v>
                </c:pt>
                <c:pt idx="148">
                  <c:v>114.56</c:v>
                </c:pt>
                <c:pt idx="149">
                  <c:v>115.59</c:v>
                </c:pt>
                <c:pt idx="150">
                  <c:v>117.22</c:v>
                </c:pt>
                <c:pt idx="151">
                  <c:v>114.22</c:v>
                </c:pt>
                <c:pt idx="152">
                  <c:v>112.75</c:v>
                </c:pt>
                <c:pt idx="153">
                  <c:v>111.99</c:v>
                </c:pt>
                <c:pt idx="154">
                  <c:v>111.29</c:v>
                </c:pt>
                <c:pt idx="155">
                  <c:v>113.26</c:v>
                </c:pt>
                <c:pt idx="156">
                  <c:v>114.2</c:v>
                </c:pt>
                <c:pt idx="157">
                  <c:v>114.26</c:v>
                </c:pt>
                <c:pt idx="158">
                  <c:v>114.02</c:v>
                </c:pt>
                <c:pt idx="159">
                  <c:v>112.91</c:v>
                </c:pt>
                <c:pt idx="160">
                  <c:v>110.73</c:v>
                </c:pt>
                <c:pt idx="161">
                  <c:v>112.24</c:v>
                </c:pt>
                <c:pt idx="162">
                  <c:v>112.29</c:v>
                </c:pt>
                <c:pt idx="163">
                  <c:v>111.61</c:v>
                </c:pt>
                <c:pt idx="164">
                  <c:v>110.64</c:v>
                </c:pt>
                <c:pt idx="165">
                  <c:v>112.24</c:v>
                </c:pt>
                <c:pt idx="166">
                  <c:v>112.7</c:v>
                </c:pt>
                <c:pt idx="167">
                  <c:v>112.71</c:v>
                </c:pt>
                <c:pt idx="168">
                  <c:v>114.71</c:v>
                </c:pt>
                <c:pt idx="169">
                  <c:v>115.98</c:v>
                </c:pt>
                <c:pt idx="170">
                  <c:v>115.39</c:v>
                </c:pt>
                <c:pt idx="171">
                  <c:v>115.94</c:v>
                </c:pt>
                <c:pt idx="172">
                  <c:v>115.03</c:v>
                </c:pt>
                <c:pt idx="173">
                  <c:v>116.45</c:v>
                </c:pt>
                <c:pt idx="174">
                  <c:v>114.69</c:v>
                </c:pt>
                <c:pt idx="175">
                  <c:v>114.36</c:v>
                </c:pt>
                <c:pt idx="176">
                  <c:v>113.76</c:v>
                </c:pt>
                <c:pt idx="177">
                  <c:v>114.14</c:v>
                </c:pt>
                <c:pt idx="178">
                  <c:v>113.68</c:v>
                </c:pt>
                <c:pt idx="179">
                  <c:v>114.5</c:v>
                </c:pt>
                <c:pt idx="180">
                  <c:v>117.22</c:v>
                </c:pt>
                <c:pt idx="181">
                  <c:v>118.22</c:v>
                </c:pt>
                <c:pt idx="182">
                  <c:v>119.78</c:v>
                </c:pt>
                <c:pt idx="183">
                  <c:v>118.12</c:v>
                </c:pt>
                <c:pt idx="184">
                  <c:v>118.79</c:v>
                </c:pt>
                <c:pt idx="185">
                  <c:v>119.29</c:v>
                </c:pt>
                <c:pt idx="186">
                  <c:v>117.68</c:v>
                </c:pt>
                <c:pt idx="187">
                  <c:v>119.03</c:v>
                </c:pt>
                <c:pt idx="188">
                  <c:v>117.35</c:v>
                </c:pt>
                <c:pt idx="189">
                  <c:v>117.02</c:v>
                </c:pt>
                <c:pt idx="190">
                  <c:v>117.08</c:v>
                </c:pt>
                <c:pt idx="191">
                  <c:v>115.97</c:v>
                </c:pt>
                <c:pt idx="192">
                  <c:v>114.51</c:v>
                </c:pt>
                <c:pt idx="193">
                  <c:v>114.77</c:v>
                </c:pt>
                <c:pt idx="194">
                  <c:v>115.92</c:v>
                </c:pt>
                <c:pt idx="195">
                  <c:v>116.63</c:v>
                </c:pt>
                <c:pt idx="196">
                  <c:v>115.38</c:v>
                </c:pt>
                <c:pt idx="197">
                  <c:v>117.8</c:v>
                </c:pt>
                <c:pt idx="198">
                  <c:v>117.14</c:v>
                </c:pt>
                <c:pt idx="199">
                  <c:v>116.54</c:v>
                </c:pt>
                <c:pt idx="200">
                  <c:v>115.98</c:v>
                </c:pt>
                <c:pt idx="201">
                  <c:v>118.25</c:v>
                </c:pt>
                <c:pt idx="202">
                  <c:v>119.54</c:v>
                </c:pt>
                <c:pt idx="203">
                  <c:v>119.54</c:v>
                </c:pt>
                <c:pt idx="204">
                  <c:v>118.82</c:v>
                </c:pt>
                <c:pt idx="205">
                  <c:v>117.76</c:v>
                </c:pt>
                <c:pt idx="206">
                  <c:v>114.68</c:v>
                </c:pt>
                <c:pt idx="207">
                  <c:v>117.41</c:v>
                </c:pt>
                <c:pt idx="208">
                  <c:v>116.54</c:v>
                </c:pt>
                <c:pt idx="209">
                  <c:v>116.69</c:v>
                </c:pt>
                <c:pt idx="210">
                  <c:v>118.15</c:v>
                </c:pt>
                <c:pt idx="211">
                  <c:v>119.42</c:v>
                </c:pt>
                <c:pt idx="212">
                  <c:v>119.22</c:v>
                </c:pt>
                <c:pt idx="213">
                  <c:v>119.11</c:v>
                </c:pt>
                <c:pt idx="214">
                  <c:v>120.53</c:v>
                </c:pt>
                <c:pt idx="215">
                  <c:v>120.99</c:v>
                </c:pt>
                <c:pt idx="216">
                  <c:v>120.34</c:v>
                </c:pt>
                <c:pt idx="217">
                  <c:v>122.65</c:v>
                </c:pt>
                <c:pt idx="218">
                  <c:v>125.36</c:v>
                </c:pt>
                <c:pt idx="219">
                  <c:v>121.05</c:v>
                </c:pt>
                <c:pt idx="220">
                  <c:v>118.49</c:v>
                </c:pt>
                <c:pt idx="221">
                  <c:v>122.91</c:v>
                </c:pt>
                <c:pt idx="222">
                  <c:v>124.61</c:v>
                </c:pt>
                <c:pt idx="223">
                  <c:v>124.03</c:v>
                </c:pt>
                <c:pt idx="224">
                  <c:v>126.54</c:v>
                </c:pt>
                <c:pt idx="225">
                  <c:v>130.19999999999999</c:v>
                </c:pt>
                <c:pt idx="226">
                  <c:v>129.13</c:v>
                </c:pt>
                <c:pt idx="227">
                  <c:v>129.88999999999999</c:v>
                </c:pt>
                <c:pt idx="228">
                  <c:v>130.46</c:v>
                </c:pt>
                <c:pt idx="229">
                  <c:v>133.61000000000001</c:v>
                </c:pt>
                <c:pt idx="230">
                  <c:v>133.63999999999999</c:v>
                </c:pt>
                <c:pt idx="231">
                  <c:v>134.97</c:v>
                </c:pt>
                <c:pt idx="232">
                  <c:v>134.84</c:v>
                </c:pt>
                <c:pt idx="233">
                  <c:v>136.83000000000001</c:v>
                </c:pt>
                <c:pt idx="234">
                  <c:v>137.58000000000001</c:v>
                </c:pt>
                <c:pt idx="235">
                  <c:v>140.51</c:v>
                </c:pt>
                <c:pt idx="236">
                  <c:v>141.4</c:v>
                </c:pt>
                <c:pt idx="237">
                  <c:v>138.4</c:v>
                </c:pt>
                <c:pt idx="238">
                  <c:v>143.72999999999999</c:v>
                </c:pt>
                <c:pt idx="239">
                  <c:v>147.59</c:v>
                </c:pt>
                <c:pt idx="240">
                  <c:v>146.08000000000001</c:v>
                </c:pt>
                <c:pt idx="241">
                  <c:v>149.05000000000001</c:v>
                </c:pt>
                <c:pt idx="242">
                  <c:v>151.21</c:v>
                </c:pt>
                <c:pt idx="243">
                  <c:v>151.59</c:v>
                </c:pt>
                <c:pt idx="244">
                  <c:v>155.56</c:v>
                </c:pt>
                <c:pt idx="245">
                  <c:v>149.93</c:v>
                </c:pt>
                <c:pt idx="246">
                  <c:v>148.44999999999999</c:v>
                </c:pt>
                <c:pt idx="247">
                  <c:v>146.19</c:v>
                </c:pt>
                <c:pt idx="248">
                  <c:v>150.68</c:v>
                </c:pt>
                <c:pt idx="249">
                  <c:v>150.97</c:v>
                </c:pt>
                <c:pt idx="250">
                  <c:v>147.28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95-4A05-BD10-0C7AA43203DB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Data!$J$2:$J$254</c:f>
              <c:numCache>
                <c:formatCode>General</c:formatCode>
                <c:ptCount val="253"/>
                <c:pt idx="19">
                  <c:v>110.46900000000001</c:v>
                </c:pt>
                <c:pt idx="20">
                  <c:v>110.70950000000002</c:v>
                </c:pt>
                <c:pt idx="21">
                  <c:v>110.93600000000006</c:v>
                </c:pt>
                <c:pt idx="22">
                  <c:v>111.27900000000002</c:v>
                </c:pt>
                <c:pt idx="23">
                  <c:v>111.71950000000001</c:v>
                </c:pt>
                <c:pt idx="24">
                  <c:v>112.10650000000001</c:v>
                </c:pt>
                <c:pt idx="25">
                  <c:v>112.4265</c:v>
                </c:pt>
                <c:pt idx="26">
                  <c:v>112.98499999999999</c:v>
                </c:pt>
                <c:pt idx="27">
                  <c:v>113.55999999999999</c:v>
                </c:pt>
                <c:pt idx="28">
                  <c:v>114.22150000000002</c:v>
                </c:pt>
                <c:pt idx="29">
                  <c:v>114.46199999999999</c:v>
                </c:pt>
                <c:pt idx="30">
                  <c:v>114.22799999999999</c:v>
                </c:pt>
                <c:pt idx="31">
                  <c:v>113.78500000000001</c:v>
                </c:pt>
                <c:pt idx="32">
                  <c:v>113.36550000000003</c:v>
                </c:pt>
                <c:pt idx="33">
                  <c:v>113.199</c:v>
                </c:pt>
                <c:pt idx="34">
                  <c:v>112.76200000000001</c:v>
                </c:pt>
                <c:pt idx="35">
                  <c:v>112.324</c:v>
                </c:pt>
                <c:pt idx="36">
                  <c:v>111.80550000000001</c:v>
                </c:pt>
                <c:pt idx="37">
                  <c:v>111.27850000000001</c:v>
                </c:pt>
                <c:pt idx="38">
                  <c:v>110.71750000000002</c:v>
                </c:pt>
                <c:pt idx="39">
                  <c:v>110.26850000000002</c:v>
                </c:pt>
                <c:pt idx="40">
                  <c:v>109.761</c:v>
                </c:pt>
                <c:pt idx="41">
                  <c:v>109.38600000000001</c:v>
                </c:pt>
                <c:pt idx="42">
                  <c:v>108.925</c:v>
                </c:pt>
                <c:pt idx="43">
                  <c:v>108.44300000000001</c:v>
                </c:pt>
                <c:pt idx="44">
                  <c:v>107.97700000000002</c:v>
                </c:pt>
                <c:pt idx="45">
                  <c:v>107.52200000000001</c:v>
                </c:pt>
                <c:pt idx="46">
                  <c:v>106.9935</c:v>
                </c:pt>
                <c:pt idx="47">
                  <c:v>106.32299999999998</c:v>
                </c:pt>
                <c:pt idx="48">
                  <c:v>105.67849999999999</c:v>
                </c:pt>
                <c:pt idx="49">
                  <c:v>105.36749999999998</c:v>
                </c:pt>
                <c:pt idx="50">
                  <c:v>105.31399999999999</c:v>
                </c:pt>
                <c:pt idx="51">
                  <c:v>105.40249999999996</c:v>
                </c:pt>
                <c:pt idx="52">
                  <c:v>105.59449999999997</c:v>
                </c:pt>
                <c:pt idx="53">
                  <c:v>105.60799999999999</c:v>
                </c:pt>
                <c:pt idx="54">
                  <c:v>105.977</c:v>
                </c:pt>
                <c:pt idx="55">
                  <c:v>106.27799999999998</c:v>
                </c:pt>
                <c:pt idx="56">
                  <c:v>106.58149999999998</c:v>
                </c:pt>
                <c:pt idx="57">
                  <c:v>106.85050000000001</c:v>
                </c:pt>
                <c:pt idx="58">
                  <c:v>107.07000000000001</c:v>
                </c:pt>
                <c:pt idx="59">
                  <c:v>107.13349999999998</c:v>
                </c:pt>
                <c:pt idx="60">
                  <c:v>107.1895</c:v>
                </c:pt>
                <c:pt idx="61">
                  <c:v>107.02199999999998</c:v>
                </c:pt>
                <c:pt idx="62">
                  <c:v>106.8365</c:v>
                </c:pt>
                <c:pt idx="63">
                  <c:v>106.55350000000001</c:v>
                </c:pt>
                <c:pt idx="64">
                  <c:v>106.27650000000001</c:v>
                </c:pt>
                <c:pt idx="65">
                  <c:v>106.02100000000003</c:v>
                </c:pt>
                <c:pt idx="66">
                  <c:v>105.7085</c:v>
                </c:pt>
                <c:pt idx="67">
                  <c:v>105.56149999999998</c:v>
                </c:pt>
                <c:pt idx="68">
                  <c:v>105.38750000000002</c:v>
                </c:pt>
                <c:pt idx="69">
                  <c:v>105.2295</c:v>
                </c:pt>
                <c:pt idx="70">
                  <c:v>105.25600000000001</c:v>
                </c:pt>
                <c:pt idx="71">
                  <c:v>105.13550000000001</c:v>
                </c:pt>
                <c:pt idx="72">
                  <c:v>104.9965</c:v>
                </c:pt>
                <c:pt idx="73">
                  <c:v>104.90649999999998</c:v>
                </c:pt>
                <c:pt idx="74">
                  <c:v>104.78949999999998</c:v>
                </c:pt>
                <c:pt idx="75">
                  <c:v>104.69249999999997</c:v>
                </c:pt>
                <c:pt idx="76">
                  <c:v>104.68499999999999</c:v>
                </c:pt>
                <c:pt idx="77">
                  <c:v>104.74749999999999</c:v>
                </c:pt>
                <c:pt idx="78">
                  <c:v>104.92449999999999</c:v>
                </c:pt>
                <c:pt idx="79">
                  <c:v>105.13899999999998</c:v>
                </c:pt>
                <c:pt idx="80">
                  <c:v>105.5155</c:v>
                </c:pt>
                <c:pt idx="81">
                  <c:v>105.92749999999998</c:v>
                </c:pt>
                <c:pt idx="82">
                  <c:v>106.47949999999999</c:v>
                </c:pt>
                <c:pt idx="83">
                  <c:v>106.91800000000001</c:v>
                </c:pt>
                <c:pt idx="84">
                  <c:v>107.18350000000001</c:v>
                </c:pt>
                <c:pt idx="85">
                  <c:v>107.426</c:v>
                </c:pt>
                <c:pt idx="86">
                  <c:v>107.82000000000001</c:v>
                </c:pt>
                <c:pt idx="87">
                  <c:v>108.15450000000001</c:v>
                </c:pt>
                <c:pt idx="88">
                  <c:v>108.4295</c:v>
                </c:pt>
                <c:pt idx="89">
                  <c:v>108.73899999999999</c:v>
                </c:pt>
                <c:pt idx="90">
                  <c:v>109.10150000000002</c:v>
                </c:pt>
                <c:pt idx="91">
                  <c:v>109.59649999999999</c:v>
                </c:pt>
                <c:pt idx="92">
                  <c:v>110.0605</c:v>
                </c:pt>
                <c:pt idx="93">
                  <c:v>110.5565</c:v>
                </c:pt>
                <c:pt idx="94">
                  <c:v>110.99799999999998</c:v>
                </c:pt>
                <c:pt idx="95">
                  <c:v>111.3835</c:v>
                </c:pt>
                <c:pt idx="96">
                  <c:v>111.68949999999998</c:v>
                </c:pt>
                <c:pt idx="97">
                  <c:v>111.899</c:v>
                </c:pt>
                <c:pt idx="98">
                  <c:v>111.9385</c:v>
                </c:pt>
                <c:pt idx="99">
                  <c:v>111.926</c:v>
                </c:pt>
                <c:pt idx="100">
                  <c:v>111.809</c:v>
                </c:pt>
                <c:pt idx="101">
                  <c:v>111.53800000000001</c:v>
                </c:pt>
                <c:pt idx="102">
                  <c:v>111.20550000000003</c:v>
                </c:pt>
                <c:pt idx="103">
                  <c:v>111.04550000000002</c:v>
                </c:pt>
                <c:pt idx="104">
                  <c:v>111.125</c:v>
                </c:pt>
                <c:pt idx="105">
                  <c:v>111.24600000000001</c:v>
                </c:pt>
                <c:pt idx="106">
                  <c:v>111.26650000000002</c:v>
                </c:pt>
                <c:pt idx="107">
                  <c:v>111.36950000000002</c:v>
                </c:pt>
                <c:pt idx="108">
                  <c:v>111.62350000000001</c:v>
                </c:pt>
                <c:pt idx="109">
                  <c:v>111.7565</c:v>
                </c:pt>
                <c:pt idx="110">
                  <c:v>111.78600000000002</c:v>
                </c:pt>
                <c:pt idx="111">
                  <c:v>111.65799999999999</c:v>
                </c:pt>
                <c:pt idx="112">
                  <c:v>111.471</c:v>
                </c:pt>
                <c:pt idx="113">
                  <c:v>111.12350000000001</c:v>
                </c:pt>
                <c:pt idx="114">
                  <c:v>110.75900000000001</c:v>
                </c:pt>
                <c:pt idx="115">
                  <c:v>110.30999999999999</c:v>
                </c:pt>
                <c:pt idx="116">
                  <c:v>109.8785</c:v>
                </c:pt>
                <c:pt idx="117">
                  <c:v>109.474</c:v>
                </c:pt>
                <c:pt idx="118">
                  <c:v>109.13500000000002</c:v>
                </c:pt>
                <c:pt idx="119">
                  <c:v>108.90350000000001</c:v>
                </c:pt>
                <c:pt idx="120">
                  <c:v>108.68950000000002</c:v>
                </c:pt>
                <c:pt idx="121">
                  <c:v>108.62549999999999</c:v>
                </c:pt>
                <c:pt idx="122">
                  <c:v>108.559</c:v>
                </c:pt>
                <c:pt idx="123">
                  <c:v>108.503</c:v>
                </c:pt>
                <c:pt idx="124">
                  <c:v>108.43300000000002</c:v>
                </c:pt>
                <c:pt idx="125">
                  <c:v>108.35500000000002</c:v>
                </c:pt>
                <c:pt idx="126">
                  <c:v>108.399</c:v>
                </c:pt>
                <c:pt idx="127">
                  <c:v>108.41399999999999</c:v>
                </c:pt>
                <c:pt idx="128">
                  <c:v>108.34449999999997</c:v>
                </c:pt>
                <c:pt idx="129">
                  <c:v>108.38700000000001</c:v>
                </c:pt>
                <c:pt idx="130">
                  <c:v>108.47250000000001</c:v>
                </c:pt>
                <c:pt idx="131">
                  <c:v>108.705</c:v>
                </c:pt>
                <c:pt idx="132">
                  <c:v>109.071</c:v>
                </c:pt>
                <c:pt idx="133">
                  <c:v>109.30449999999999</c:v>
                </c:pt>
                <c:pt idx="134">
                  <c:v>109.599</c:v>
                </c:pt>
                <c:pt idx="135">
                  <c:v>109.76299999999999</c:v>
                </c:pt>
                <c:pt idx="136">
                  <c:v>109.91549999999999</c:v>
                </c:pt>
                <c:pt idx="137">
                  <c:v>110.15650000000001</c:v>
                </c:pt>
                <c:pt idx="138">
                  <c:v>110.47499999999999</c:v>
                </c:pt>
                <c:pt idx="139">
                  <c:v>110.70200000000003</c:v>
                </c:pt>
                <c:pt idx="140">
                  <c:v>110.941</c:v>
                </c:pt>
                <c:pt idx="141">
                  <c:v>111.23400000000001</c:v>
                </c:pt>
                <c:pt idx="142">
                  <c:v>111.63200000000002</c:v>
                </c:pt>
                <c:pt idx="143">
                  <c:v>112.02550000000001</c:v>
                </c:pt>
                <c:pt idx="144">
                  <c:v>112.29549999999999</c:v>
                </c:pt>
                <c:pt idx="145">
                  <c:v>112.47499999999999</c:v>
                </c:pt>
                <c:pt idx="146">
                  <c:v>112.51200000000001</c:v>
                </c:pt>
                <c:pt idx="147">
                  <c:v>112.62250000000002</c:v>
                </c:pt>
                <c:pt idx="148">
                  <c:v>112.776</c:v>
                </c:pt>
                <c:pt idx="149">
                  <c:v>112.91800000000001</c:v>
                </c:pt>
                <c:pt idx="150">
                  <c:v>113.11149999999998</c:v>
                </c:pt>
                <c:pt idx="151">
                  <c:v>113.10799999999998</c:v>
                </c:pt>
                <c:pt idx="152">
                  <c:v>113.011</c:v>
                </c:pt>
                <c:pt idx="153">
                  <c:v>113.01499999999999</c:v>
                </c:pt>
                <c:pt idx="154">
                  <c:v>112.95949999999998</c:v>
                </c:pt>
                <c:pt idx="155">
                  <c:v>113.16100000000002</c:v>
                </c:pt>
                <c:pt idx="156">
                  <c:v>113.37849999999999</c:v>
                </c:pt>
                <c:pt idx="157">
                  <c:v>113.559</c:v>
                </c:pt>
                <c:pt idx="158">
                  <c:v>113.63499999999999</c:v>
                </c:pt>
                <c:pt idx="159">
                  <c:v>113.67349999999999</c:v>
                </c:pt>
                <c:pt idx="160">
                  <c:v>113.602</c:v>
                </c:pt>
                <c:pt idx="161">
                  <c:v>113.59649999999999</c:v>
                </c:pt>
                <c:pt idx="162">
                  <c:v>113.477</c:v>
                </c:pt>
                <c:pt idx="163">
                  <c:v>113.29300000000001</c:v>
                </c:pt>
                <c:pt idx="164">
                  <c:v>113.12849999999999</c:v>
                </c:pt>
                <c:pt idx="165">
                  <c:v>113.09949999999999</c:v>
                </c:pt>
                <c:pt idx="166">
                  <c:v>113.1335</c:v>
                </c:pt>
                <c:pt idx="167">
                  <c:v>113.07149999999999</c:v>
                </c:pt>
                <c:pt idx="168">
                  <c:v>113.07899999999999</c:v>
                </c:pt>
                <c:pt idx="169">
                  <c:v>113.09850000000002</c:v>
                </c:pt>
                <c:pt idx="170">
                  <c:v>113.00699999999999</c:v>
                </c:pt>
                <c:pt idx="171">
                  <c:v>113.093</c:v>
                </c:pt>
                <c:pt idx="172">
                  <c:v>113.20700000000002</c:v>
                </c:pt>
                <c:pt idx="173">
                  <c:v>113.43000000000002</c:v>
                </c:pt>
                <c:pt idx="174">
                  <c:v>113.60000000000002</c:v>
                </c:pt>
                <c:pt idx="175">
                  <c:v>113.65500000000002</c:v>
                </c:pt>
                <c:pt idx="176">
                  <c:v>113.63300000000001</c:v>
                </c:pt>
                <c:pt idx="177">
                  <c:v>113.62700000000002</c:v>
                </c:pt>
                <c:pt idx="178">
                  <c:v>113.60999999999999</c:v>
                </c:pt>
                <c:pt idx="179">
                  <c:v>113.68950000000002</c:v>
                </c:pt>
                <c:pt idx="180">
                  <c:v>114.01400000000001</c:v>
                </c:pt>
                <c:pt idx="181">
                  <c:v>114.31299999999999</c:v>
                </c:pt>
                <c:pt idx="182">
                  <c:v>114.6875</c:v>
                </c:pt>
                <c:pt idx="183">
                  <c:v>115.01300000000001</c:v>
                </c:pt>
                <c:pt idx="184">
                  <c:v>115.42049999999999</c:v>
                </c:pt>
                <c:pt idx="185">
                  <c:v>115.773</c:v>
                </c:pt>
                <c:pt idx="186">
                  <c:v>116.02200000000001</c:v>
                </c:pt>
                <c:pt idx="187">
                  <c:v>116.33800000000001</c:v>
                </c:pt>
                <c:pt idx="188">
                  <c:v>116.47</c:v>
                </c:pt>
                <c:pt idx="189">
                  <c:v>116.52200000000001</c:v>
                </c:pt>
                <c:pt idx="190">
                  <c:v>116.60649999999998</c:v>
                </c:pt>
                <c:pt idx="191">
                  <c:v>116.60799999999999</c:v>
                </c:pt>
                <c:pt idx="192">
                  <c:v>116.58199999999999</c:v>
                </c:pt>
                <c:pt idx="193">
                  <c:v>116.498</c:v>
                </c:pt>
                <c:pt idx="194">
                  <c:v>116.5595</c:v>
                </c:pt>
                <c:pt idx="195">
                  <c:v>116.673</c:v>
                </c:pt>
                <c:pt idx="196">
                  <c:v>116.75399999999999</c:v>
                </c:pt>
                <c:pt idx="197">
                  <c:v>116.93700000000001</c:v>
                </c:pt>
                <c:pt idx="198">
                  <c:v>117.10999999999999</c:v>
                </c:pt>
                <c:pt idx="199">
                  <c:v>117.21199999999999</c:v>
                </c:pt>
                <c:pt idx="200">
                  <c:v>117.15000000000002</c:v>
                </c:pt>
                <c:pt idx="201">
                  <c:v>117.15150000000001</c:v>
                </c:pt>
                <c:pt idx="202">
                  <c:v>117.13950000000003</c:v>
                </c:pt>
                <c:pt idx="203">
                  <c:v>117.2105</c:v>
                </c:pt>
                <c:pt idx="204">
                  <c:v>117.21200000000002</c:v>
                </c:pt>
                <c:pt idx="205">
                  <c:v>117.13550000000002</c:v>
                </c:pt>
                <c:pt idx="206">
                  <c:v>116.9855</c:v>
                </c:pt>
                <c:pt idx="207">
                  <c:v>116.90449999999998</c:v>
                </c:pt>
                <c:pt idx="208">
                  <c:v>116.86399999999999</c:v>
                </c:pt>
                <c:pt idx="209">
                  <c:v>116.8475</c:v>
                </c:pt>
                <c:pt idx="210">
                  <c:v>116.901</c:v>
                </c:pt>
                <c:pt idx="211">
                  <c:v>117.0735</c:v>
                </c:pt>
                <c:pt idx="212">
                  <c:v>117.309</c:v>
                </c:pt>
                <c:pt idx="213">
                  <c:v>117.526</c:v>
                </c:pt>
                <c:pt idx="214">
                  <c:v>117.75650000000003</c:v>
                </c:pt>
                <c:pt idx="215">
                  <c:v>117.97450000000001</c:v>
                </c:pt>
                <c:pt idx="216">
                  <c:v>118.22250000000001</c:v>
                </c:pt>
                <c:pt idx="217">
                  <c:v>118.465</c:v>
                </c:pt>
                <c:pt idx="218">
                  <c:v>118.87600000000002</c:v>
                </c:pt>
                <c:pt idx="219">
                  <c:v>119.10150000000003</c:v>
                </c:pt>
                <c:pt idx="220">
                  <c:v>119.227</c:v>
                </c:pt>
                <c:pt idx="221">
                  <c:v>119.45999999999997</c:v>
                </c:pt>
                <c:pt idx="222">
                  <c:v>119.71349999999998</c:v>
                </c:pt>
                <c:pt idx="223">
                  <c:v>119.93799999999999</c:v>
                </c:pt>
                <c:pt idx="224">
                  <c:v>120.324</c:v>
                </c:pt>
                <c:pt idx="225">
                  <c:v>120.94599999999998</c:v>
                </c:pt>
                <c:pt idx="226">
                  <c:v>121.66849999999999</c:v>
                </c:pt>
                <c:pt idx="227">
                  <c:v>122.29249999999999</c:v>
                </c:pt>
                <c:pt idx="228">
                  <c:v>122.9885</c:v>
                </c:pt>
                <c:pt idx="229">
                  <c:v>123.83450000000001</c:v>
                </c:pt>
                <c:pt idx="230">
                  <c:v>124.60899999999999</c:v>
                </c:pt>
                <c:pt idx="231">
                  <c:v>125.38649999999998</c:v>
                </c:pt>
                <c:pt idx="232">
                  <c:v>126.16749999999999</c:v>
                </c:pt>
                <c:pt idx="233">
                  <c:v>127.05349999999999</c:v>
                </c:pt>
                <c:pt idx="234">
                  <c:v>127.90599999999999</c:v>
                </c:pt>
                <c:pt idx="235">
                  <c:v>128.88199999999998</c:v>
                </c:pt>
                <c:pt idx="236">
                  <c:v>129.93499999999997</c:v>
                </c:pt>
                <c:pt idx="237">
                  <c:v>130.7225</c:v>
                </c:pt>
                <c:pt idx="238">
                  <c:v>131.64100000000002</c:v>
                </c:pt>
                <c:pt idx="239">
                  <c:v>132.96800000000002</c:v>
                </c:pt>
                <c:pt idx="240">
                  <c:v>134.3475</c:v>
                </c:pt>
                <c:pt idx="241">
                  <c:v>135.65450000000001</c:v>
                </c:pt>
                <c:pt idx="242">
                  <c:v>136.9845</c:v>
                </c:pt>
                <c:pt idx="243">
                  <c:v>138.36250000000001</c:v>
                </c:pt>
                <c:pt idx="244">
                  <c:v>139.81350000000003</c:v>
                </c:pt>
                <c:pt idx="245">
                  <c:v>140.80000000000001</c:v>
                </c:pt>
                <c:pt idx="246">
                  <c:v>141.76600000000002</c:v>
                </c:pt>
                <c:pt idx="247">
                  <c:v>142.58099999999999</c:v>
                </c:pt>
                <c:pt idx="248">
                  <c:v>143.59199999999998</c:v>
                </c:pt>
                <c:pt idx="249">
                  <c:v>144.45999999999998</c:v>
                </c:pt>
                <c:pt idx="250">
                  <c:v>145.14199999999997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95-4A05-BD10-0C7AA43203DB}"/>
            </c:ext>
          </c:extLst>
        </c:ser>
        <c:ser>
          <c:idx val="2"/>
          <c:order val="2"/>
          <c:tx>
            <c:strRef>
              <c:f>Data!$AB$1</c:f>
              <c:strCache>
                <c:ptCount val="1"/>
                <c:pt idx="0">
                  <c:v>100d SMA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Data!$AB$2:$AB$254</c:f>
              <c:numCache>
                <c:formatCode>General</c:formatCode>
                <c:ptCount val="253"/>
                <c:pt idx="99">
                  <c:v>108.98719999999999</c:v>
                </c:pt>
                <c:pt idx="100">
                  <c:v>108.99690000000001</c:v>
                </c:pt>
                <c:pt idx="101">
                  <c:v>108.96190000000003</c:v>
                </c:pt>
                <c:pt idx="102">
                  <c:v>108.9451</c:v>
                </c:pt>
                <c:pt idx="103">
                  <c:v>108.9359</c:v>
                </c:pt>
                <c:pt idx="104">
                  <c:v>108.9337</c:v>
                </c:pt>
                <c:pt idx="105">
                  <c:v>108.92829999999999</c:v>
                </c:pt>
                <c:pt idx="106">
                  <c:v>108.95469999999999</c:v>
                </c:pt>
                <c:pt idx="107">
                  <c:v>108.9937</c:v>
                </c:pt>
                <c:pt idx="108">
                  <c:v>109.0681</c:v>
                </c:pt>
                <c:pt idx="109">
                  <c:v>109.11089999999999</c:v>
                </c:pt>
                <c:pt idx="110">
                  <c:v>109.13709999999999</c:v>
                </c:pt>
                <c:pt idx="111">
                  <c:v>109.11549999999997</c:v>
                </c:pt>
                <c:pt idx="112">
                  <c:v>109.0976</c:v>
                </c:pt>
                <c:pt idx="113">
                  <c:v>109.07869999999998</c:v>
                </c:pt>
                <c:pt idx="114">
                  <c:v>109.05710000000001</c:v>
                </c:pt>
                <c:pt idx="115">
                  <c:v>108.99760000000002</c:v>
                </c:pt>
                <c:pt idx="116">
                  <c:v>108.92800000000001</c:v>
                </c:pt>
                <c:pt idx="117">
                  <c:v>108.84989999999999</c:v>
                </c:pt>
                <c:pt idx="118">
                  <c:v>108.75709999999999</c:v>
                </c:pt>
                <c:pt idx="119">
                  <c:v>108.6741</c:v>
                </c:pt>
                <c:pt idx="120">
                  <c:v>108.59289999999999</c:v>
                </c:pt>
                <c:pt idx="121">
                  <c:v>108.49979999999998</c:v>
                </c:pt>
                <c:pt idx="122">
                  <c:v>108.40109999999999</c:v>
                </c:pt>
                <c:pt idx="123">
                  <c:v>108.29259999999998</c:v>
                </c:pt>
                <c:pt idx="124">
                  <c:v>108.199</c:v>
                </c:pt>
                <c:pt idx="125">
                  <c:v>108.11399999999998</c:v>
                </c:pt>
                <c:pt idx="126">
                  <c:v>108.03749999999998</c:v>
                </c:pt>
                <c:pt idx="127">
                  <c:v>107.96449999999997</c:v>
                </c:pt>
                <c:pt idx="128">
                  <c:v>107.89269999999996</c:v>
                </c:pt>
                <c:pt idx="129">
                  <c:v>107.89589999999997</c:v>
                </c:pt>
                <c:pt idx="130">
                  <c:v>107.98599999999996</c:v>
                </c:pt>
                <c:pt idx="131">
                  <c:v>108.09949999999998</c:v>
                </c:pt>
                <c:pt idx="132">
                  <c:v>108.23869999999997</c:v>
                </c:pt>
                <c:pt idx="133">
                  <c:v>108.29979999999999</c:v>
                </c:pt>
                <c:pt idx="134">
                  <c:v>108.42449999999999</c:v>
                </c:pt>
                <c:pt idx="135">
                  <c:v>108.48539999999997</c:v>
                </c:pt>
                <c:pt idx="136">
                  <c:v>108.54999999999998</c:v>
                </c:pt>
                <c:pt idx="137">
                  <c:v>108.62549999999997</c:v>
                </c:pt>
                <c:pt idx="138">
                  <c:v>108.70859999999998</c:v>
                </c:pt>
                <c:pt idx="139">
                  <c:v>108.76079999999996</c:v>
                </c:pt>
                <c:pt idx="140">
                  <c:v>108.82889999999996</c:v>
                </c:pt>
                <c:pt idx="141">
                  <c:v>108.86939999999997</c:v>
                </c:pt>
                <c:pt idx="142">
                  <c:v>108.94249999999998</c:v>
                </c:pt>
                <c:pt idx="143">
                  <c:v>109.0091</c:v>
                </c:pt>
                <c:pt idx="144">
                  <c:v>109.06270000000002</c:v>
                </c:pt>
                <c:pt idx="145">
                  <c:v>109.10460000000003</c:v>
                </c:pt>
                <c:pt idx="146">
                  <c:v>109.14120000000003</c:v>
                </c:pt>
                <c:pt idx="147">
                  <c:v>109.22440000000002</c:v>
                </c:pt>
                <c:pt idx="148">
                  <c:v>109.31220000000003</c:v>
                </c:pt>
                <c:pt idx="149">
                  <c:v>109.40600000000002</c:v>
                </c:pt>
                <c:pt idx="150">
                  <c:v>109.5455</c:v>
                </c:pt>
                <c:pt idx="151">
                  <c:v>109.64059999999999</c:v>
                </c:pt>
                <c:pt idx="152">
                  <c:v>109.72199999999999</c:v>
                </c:pt>
                <c:pt idx="153">
                  <c:v>109.78119999999998</c:v>
                </c:pt>
                <c:pt idx="154">
                  <c:v>109.821</c:v>
                </c:pt>
                <c:pt idx="155">
                  <c:v>109.86200000000001</c:v>
                </c:pt>
                <c:pt idx="156">
                  <c:v>109.90940000000001</c:v>
                </c:pt>
                <c:pt idx="157">
                  <c:v>109.96720000000001</c:v>
                </c:pt>
                <c:pt idx="158">
                  <c:v>110.02159999999999</c:v>
                </c:pt>
                <c:pt idx="159">
                  <c:v>110.0688</c:v>
                </c:pt>
                <c:pt idx="160">
                  <c:v>110.11139999999999</c:v>
                </c:pt>
                <c:pt idx="161">
                  <c:v>110.18430000000001</c:v>
                </c:pt>
                <c:pt idx="162">
                  <c:v>110.27060000000002</c:v>
                </c:pt>
                <c:pt idx="163">
                  <c:v>110.35700000000001</c:v>
                </c:pt>
                <c:pt idx="164">
                  <c:v>110.43310000000001</c:v>
                </c:pt>
                <c:pt idx="165">
                  <c:v>110.52030000000002</c:v>
                </c:pt>
                <c:pt idx="166">
                  <c:v>110.62620000000001</c:v>
                </c:pt>
                <c:pt idx="167">
                  <c:v>110.72640000000001</c:v>
                </c:pt>
                <c:pt idx="168">
                  <c:v>110.8505</c:v>
                </c:pt>
                <c:pt idx="169">
                  <c:v>110.97979999999998</c:v>
                </c:pt>
                <c:pt idx="170">
                  <c:v>111.09569999999999</c:v>
                </c:pt>
                <c:pt idx="171">
                  <c:v>111.23209999999999</c:v>
                </c:pt>
                <c:pt idx="172">
                  <c:v>111.36409999999999</c:v>
                </c:pt>
                <c:pt idx="173">
                  <c:v>111.4859</c:v>
                </c:pt>
                <c:pt idx="174">
                  <c:v>111.5831</c:v>
                </c:pt>
                <c:pt idx="175">
                  <c:v>111.65450000000001</c:v>
                </c:pt>
                <c:pt idx="176">
                  <c:v>111.69900000000001</c:v>
                </c:pt>
                <c:pt idx="177">
                  <c:v>111.74310000000001</c:v>
                </c:pt>
                <c:pt idx="178">
                  <c:v>111.75870000000005</c:v>
                </c:pt>
                <c:pt idx="179">
                  <c:v>111.77890000000004</c:v>
                </c:pt>
                <c:pt idx="180">
                  <c:v>111.81110000000002</c:v>
                </c:pt>
                <c:pt idx="181">
                  <c:v>111.86140000000002</c:v>
                </c:pt>
                <c:pt idx="182">
                  <c:v>111.91220000000001</c:v>
                </c:pt>
                <c:pt idx="183">
                  <c:v>111.976</c:v>
                </c:pt>
                <c:pt idx="184">
                  <c:v>112.08050000000001</c:v>
                </c:pt>
                <c:pt idx="185">
                  <c:v>112.18970000000003</c:v>
                </c:pt>
                <c:pt idx="186">
                  <c:v>112.26660000000004</c:v>
                </c:pt>
                <c:pt idx="187">
                  <c:v>112.36310000000005</c:v>
                </c:pt>
                <c:pt idx="188">
                  <c:v>112.45860000000005</c:v>
                </c:pt>
                <c:pt idx="189">
                  <c:v>112.53640000000004</c:v>
                </c:pt>
                <c:pt idx="190">
                  <c:v>112.59670000000004</c:v>
                </c:pt>
                <c:pt idx="191">
                  <c:v>112.63440000000004</c:v>
                </c:pt>
                <c:pt idx="192">
                  <c:v>112.66840000000003</c:v>
                </c:pt>
                <c:pt idx="193">
                  <c:v>112.67420000000004</c:v>
                </c:pt>
                <c:pt idx="194">
                  <c:v>112.69540000000005</c:v>
                </c:pt>
                <c:pt idx="195">
                  <c:v>112.71240000000006</c:v>
                </c:pt>
                <c:pt idx="196">
                  <c:v>112.71190000000004</c:v>
                </c:pt>
                <c:pt idx="197">
                  <c:v>112.75070000000005</c:v>
                </c:pt>
                <c:pt idx="198">
                  <c:v>112.79300000000003</c:v>
                </c:pt>
                <c:pt idx="199">
                  <c:v>112.83610000000003</c:v>
                </c:pt>
                <c:pt idx="200">
                  <c:v>112.87930000000001</c:v>
                </c:pt>
                <c:pt idx="201">
                  <c:v>112.9841</c:v>
                </c:pt>
                <c:pt idx="202">
                  <c:v>113.09900000000002</c:v>
                </c:pt>
                <c:pt idx="203">
                  <c:v>113.20900000000002</c:v>
                </c:pt>
                <c:pt idx="204">
                  <c:v>113.29790000000001</c:v>
                </c:pt>
                <c:pt idx="205">
                  <c:v>113.36760000000002</c:v>
                </c:pt>
                <c:pt idx="206">
                  <c:v>113.41040000000002</c:v>
                </c:pt>
                <c:pt idx="207">
                  <c:v>113.47010000000002</c:v>
                </c:pt>
                <c:pt idx="208">
                  <c:v>113.50670000000004</c:v>
                </c:pt>
                <c:pt idx="209">
                  <c:v>113.55460000000005</c:v>
                </c:pt>
                <c:pt idx="210">
                  <c:v>113.61970000000002</c:v>
                </c:pt>
                <c:pt idx="211">
                  <c:v>113.71750000000002</c:v>
                </c:pt>
                <c:pt idx="212">
                  <c:v>113.836</c:v>
                </c:pt>
                <c:pt idx="213">
                  <c:v>113.95469999999999</c:v>
                </c:pt>
                <c:pt idx="214">
                  <c:v>114.0949</c:v>
                </c:pt>
                <c:pt idx="215">
                  <c:v>114.24529999999999</c:v>
                </c:pt>
                <c:pt idx="216">
                  <c:v>114.38069999999999</c:v>
                </c:pt>
                <c:pt idx="217">
                  <c:v>114.54889999999999</c:v>
                </c:pt>
                <c:pt idx="218">
                  <c:v>114.74119999999999</c:v>
                </c:pt>
                <c:pt idx="219">
                  <c:v>114.87569999999999</c:v>
                </c:pt>
                <c:pt idx="220">
                  <c:v>114.98679999999999</c:v>
                </c:pt>
                <c:pt idx="221">
                  <c:v>115.15099999999998</c:v>
                </c:pt>
                <c:pt idx="222">
                  <c:v>115.32989999999999</c:v>
                </c:pt>
                <c:pt idx="223">
                  <c:v>115.49600000000002</c:v>
                </c:pt>
                <c:pt idx="224">
                  <c:v>115.67610000000005</c:v>
                </c:pt>
                <c:pt idx="225">
                  <c:v>115.88580000000006</c:v>
                </c:pt>
                <c:pt idx="226">
                  <c:v>116.06430000000006</c:v>
                </c:pt>
                <c:pt idx="227">
                  <c:v>116.24580000000006</c:v>
                </c:pt>
                <c:pt idx="228">
                  <c:v>116.43550000000005</c:v>
                </c:pt>
                <c:pt idx="229">
                  <c:v>116.64410000000005</c:v>
                </c:pt>
                <c:pt idx="230">
                  <c:v>116.84700000000002</c:v>
                </c:pt>
                <c:pt idx="231">
                  <c:v>117.05380000000001</c:v>
                </c:pt>
                <c:pt idx="232">
                  <c:v>117.25530000000002</c:v>
                </c:pt>
                <c:pt idx="233">
                  <c:v>117.50450000000001</c:v>
                </c:pt>
                <c:pt idx="234">
                  <c:v>117.75630000000001</c:v>
                </c:pt>
                <c:pt idx="235">
                  <c:v>118.06910000000003</c:v>
                </c:pt>
                <c:pt idx="236">
                  <c:v>118.38460000000001</c:v>
                </c:pt>
                <c:pt idx="237">
                  <c:v>118.66210000000001</c:v>
                </c:pt>
                <c:pt idx="238">
                  <c:v>118.9744</c:v>
                </c:pt>
                <c:pt idx="239">
                  <c:v>119.32889999999999</c:v>
                </c:pt>
                <c:pt idx="240">
                  <c:v>119.6681</c:v>
                </c:pt>
                <c:pt idx="241">
                  <c:v>120.0351</c:v>
                </c:pt>
                <c:pt idx="242">
                  <c:v>120.40039999999999</c:v>
                </c:pt>
                <c:pt idx="243">
                  <c:v>120.76339999999999</c:v>
                </c:pt>
                <c:pt idx="244">
                  <c:v>121.17969999999997</c:v>
                </c:pt>
                <c:pt idx="245">
                  <c:v>121.55079999999997</c:v>
                </c:pt>
                <c:pt idx="246">
                  <c:v>121.91509999999998</c:v>
                </c:pt>
                <c:pt idx="247">
                  <c:v>122.23749999999998</c:v>
                </c:pt>
                <c:pt idx="248">
                  <c:v>122.59869999999999</c:v>
                </c:pt>
                <c:pt idx="249">
                  <c:v>122.95249999999999</c:v>
                </c:pt>
                <c:pt idx="250">
                  <c:v>123.25309999999999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95-4A05-BD10-0C7AA4320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4883248"/>
        <c:axId val="1154883728"/>
      </c:lineChart>
      <c:dateAx>
        <c:axId val="1154883248"/>
        <c:scaling>
          <c:orientation val="minMax"/>
          <c:min val="4595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883728"/>
        <c:crosses val="autoZero"/>
        <c:auto val="1"/>
        <c:lblOffset val="100"/>
        <c:baseTimeUnit val="days"/>
      </c:dateAx>
      <c:valAx>
        <c:axId val="1154883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88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+ VWAP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Data!$C$2:$C$254</c:f>
              <c:numCache>
                <c:formatCode>_([$$-409]* #,##0.00_);_([$$-409]* \(#,##0.00\);_([$$-409]* "-"??_);_(@_)</c:formatCode>
                <c:ptCount val="253"/>
                <c:pt idx="0">
                  <c:v>110.69</c:v>
                </c:pt>
                <c:pt idx="1">
                  <c:v>111.27</c:v>
                </c:pt>
                <c:pt idx="2">
                  <c:v>109.73</c:v>
                </c:pt>
                <c:pt idx="3">
                  <c:v>109.46</c:v>
                </c:pt>
                <c:pt idx="4">
                  <c:v>110.15</c:v>
                </c:pt>
                <c:pt idx="5">
                  <c:v>111.33</c:v>
                </c:pt>
                <c:pt idx="6">
                  <c:v>107.76</c:v>
                </c:pt>
                <c:pt idx="7">
                  <c:v>107.54</c:v>
                </c:pt>
                <c:pt idx="8">
                  <c:v>105.44</c:v>
                </c:pt>
                <c:pt idx="9">
                  <c:v>107.62</c:v>
                </c:pt>
                <c:pt idx="10">
                  <c:v>109.02</c:v>
                </c:pt>
                <c:pt idx="11">
                  <c:v>111.8</c:v>
                </c:pt>
                <c:pt idx="12">
                  <c:v>109.16</c:v>
                </c:pt>
                <c:pt idx="13">
                  <c:v>109.13</c:v>
                </c:pt>
                <c:pt idx="14">
                  <c:v>108.67</c:v>
                </c:pt>
                <c:pt idx="15">
                  <c:v>111.9</c:v>
                </c:pt>
                <c:pt idx="16">
                  <c:v>113.76</c:v>
                </c:pt>
                <c:pt idx="17">
                  <c:v>113.64</c:v>
                </c:pt>
                <c:pt idx="18">
                  <c:v>115.41</c:v>
                </c:pt>
                <c:pt idx="19">
                  <c:v>115.9</c:v>
                </c:pt>
                <c:pt idx="20">
                  <c:v>115.5</c:v>
                </c:pt>
                <c:pt idx="21">
                  <c:v>115.8</c:v>
                </c:pt>
                <c:pt idx="22">
                  <c:v>116.59</c:v>
                </c:pt>
                <c:pt idx="23">
                  <c:v>118.27</c:v>
                </c:pt>
                <c:pt idx="24">
                  <c:v>117.89</c:v>
                </c:pt>
                <c:pt idx="25">
                  <c:v>117.73</c:v>
                </c:pt>
                <c:pt idx="26">
                  <c:v>118.93</c:v>
                </c:pt>
                <c:pt idx="27">
                  <c:v>119.04</c:v>
                </c:pt>
                <c:pt idx="28">
                  <c:v>118.67</c:v>
                </c:pt>
                <c:pt idx="29">
                  <c:v>112.43</c:v>
                </c:pt>
                <c:pt idx="30">
                  <c:v>104.34</c:v>
                </c:pt>
                <c:pt idx="31">
                  <c:v>102.94</c:v>
                </c:pt>
                <c:pt idx="32">
                  <c:v>100.77</c:v>
                </c:pt>
                <c:pt idx="33">
                  <c:v>105.8</c:v>
                </c:pt>
                <c:pt idx="34">
                  <c:v>99.93</c:v>
                </c:pt>
                <c:pt idx="35">
                  <c:v>103.14</c:v>
                </c:pt>
                <c:pt idx="36">
                  <c:v>103.39</c:v>
                </c:pt>
                <c:pt idx="37">
                  <c:v>103.1</c:v>
                </c:pt>
                <c:pt idx="38">
                  <c:v>104.19</c:v>
                </c:pt>
                <c:pt idx="39">
                  <c:v>106.92</c:v>
                </c:pt>
                <c:pt idx="40">
                  <c:v>105.35</c:v>
                </c:pt>
                <c:pt idx="41">
                  <c:v>108.3</c:v>
                </c:pt>
                <c:pt idx="42">
                  <c:v>107.37</c:v>
                </c:pt>
                <c:pt idx="43">
                  <c:v>108.63</c:v>
                </c:pt>
                <c:pt idx="44">
                  <c:v>108.57</c:v>
                </c:pt>
                <c:pt idx="45">
                  <c:v>108.63</c:v>
                </c:pt>
                <c:pt idx="46">
                  <c:v>108.36</c:v>
                </c:pt>
                <c:pt idx="47">
                  <c:v>105.63</c:v>
                </c:pt>
                <c:pt idx="48">
                  <c:v>105.78</c:v>
                </c:pt>
                <c:pt idx="49">
                  <c:v>106.21</c:v>
                </c:pt>
                <c:pt idx="50">
                  <c:v>103.27</c:v>
                </c:pt>
                <c:pt idx="51">
                  <c:v>104.71</c:v>
                </c:pt>
                <c:pt idx="52">
                  <c:v>104.61</c:v>
                </c:pt>
                <c:pt idx="53">
                  <c:v>106.07</c:v>
                </c:pt>
                <c:pt idx="54">
                  <c:v>107.31</c:v>
                </c:pt>
                <c:pt idx="55">
                  <c:v>109.16</c:v>
                </c:pt>
                <c:pt idx="56">
                  <c:v>109.46</c:v>
                </c:pt>
                <c:pt idx="57">
                  <c:v>108.48</c:v>
                </c:pt>
                <c:pt idx="58">
                  <c:v>108.58</c:v>
                </c:pt>
                <c:pt idx="59">
                  <c:v>108.19</c:v>
                </c:pt>
                <c:pt idx="60">
                  <c:v>106.47</c:v>
                </c:pt>
                <c:pt idx="61">
                  <c:v>104.95</c:v>
                </c:pt>
                <c:pt idx="62">
                  <c:v>103.66</c:v>
                </c:pt>
                <c:pt idx="63">
                  <c:v>102.97</c:v>
                </c:pt>
                <c:pt idx="64">
                  <c:v>103.03</c:v>
                </c:pt>
                <c:pt idx="65">
                  <c:v>103.52</c:v>
                </c:pt>
                <c:pt idx="66">
                  <c:v>102.11</c:v>
                </c:pt>
                <c:pt idx="67">
                  <c:v>102.69</c:v>
                </c:pt>
                <c:pt idx="68">
                  <c:v>102.3</c:v>
                </c:pt>
                <c:pt idx="69">
                  <c:v>103.05</c:v>
                </c:pt>
                <c:pt idx="70">
                  <c:v>103.8</c:v>
                </c:pt>
                <c:pt idx="71">
                  <c:v>102.3</c:v>
                </c:pt>
                <c:pt idx="72">
                  <c:v>101.83</c:v>
                </c:pt>
                <c:pt idx="73">
                  <c:v>104.27</c:v>
                </c:pt>
                <c:pt idx="74">
                  <c:v>104.97</c:v>
                </c:pt>
                <c:pt idx="75">
                  <c:v>107.22</c:v>
                </c:pt>
                <c:pt idx="76">
                  <c:v>109.31</c:v>
                </c:pt>
                <c:pt idx="77">
                  <c:v>109.73</c:v>
                </c:pt>
                <c:pt idx="78">
                  <c:v>112.12</c:v>
                </c:pt>
                <c:pt idx="79">
                  <c:v>112.48</c:v>
                </c:pt>
                <c:pt idx="80">
                  <c:v>114</c:v>
                </c:pt>
                <c:pt idx="81">
                  <c:v>113.19</c:v>
                </c:pt>
                <c:pt idx="82">
                  <c:v>114.7</c:v>
                </c:pt>
                <c:pt idx="83">
                  <c:v>111.74</c:v>
                </c:pt>
                <c:pt idx="84">
                  <c:v>108.34</c:v>
                </c:pt>
                <c:pt idx="85">
                  <c:v>108.37</c:v>
                </c:pt>
                <c:pt idx="86">
                  <c:v>109.99</c:v>
                </c:pt>
                <c:pt idx="87">
                  <c:v>109.38</c:v>
                </c:pt>
                <c:pt idx="88">
                  <c:v>107.8</c:v>
                </c:pt>
                <c:pt idx="89">
                  <c:v>109.24</c:v>
                </c:pt>
                <c:pt idx="90">
                  <c:v>111.05</c:v>
                </c:pt>
                <c:pt idx="91">
                  <c:v>112.2</c:v>
                </c:pt>
                <c:pt idx="92">
                  <c:v>111.11</c:v>
                </c:pt>
                <c:pt idx="93">
                  <c:v>114.19</c:v>
                </c:pt>
                <c:pt idx="94">
                  <c:v>113.8</c:v>
                </c:pt>
                <c:pt idx="95">
                  <c:v>114.93</c:v>
                </c:pt>
                <c:pt idx="96">
                  <c:v>115.43</c:v>
                </c:pt>
                <c:pt idx="97">
                  <c:v>113.92</c:v>
                </c:pt>
                <c:pt idx="98">
                  <c:v>112.91</c:v>
                </c:pt>
                <c:pt idx="99">
                  <c:v>112.23</c:v>
                </c:pt>
                <c:pt idx="100">
                  <c:v>111.66</c:v>
                </c:pt>
                <c:pt idx="101">
                  <c:v>107.77</c:v>
                </c:pt>
                <c:pt idx="102">
                  <c:v>108.05</c:v>
                </c:pt>
                <c:pt idx="103">
                  <c:v>108.54</c:v>
                </c:pt>
                <c:pt idx="104">
                  <c:v>109.93</c:v>
                </c:pt>
                <c:pt idx="105">
                  <c:v>110.79</c:v>
                </c:pt>
                <c:pt idx="106">
                  <c:v>110.4</c:v>
                </c:pt>
                <c:pt idx="107">
                  <c:v>111.44</c:v>
                </c:pt>
                <c:pt idx="108">
                  <c:v>112.88</c:v>
                </c:pt>
                <c:pt idx="109">
                  <c:v>111.9</c:v>
                </c:pt>
                <c:pt idx="110">
                  <c:v>111.64</c:v>
                </c:pt>
                <c:pt idx="111">
                  <c:v>109.64</c:v>
                </c:pt>
                <c:pt idx="112">
                  <c:v>107.37</c:v>
                </c:pt>
                <c:pt idx="113">
                  <c:v>107.24</c:v>
                </c:pt>
                <c:pt idx="114">
                  <c:v>106.51</c:v>
                </c:pt>
                <c:pt idx="115">
                  <c:v>105.95</c:v>
                </c:pt>
                <c:pt idx="116">
                  <c:v>106.8</c:v>
                </c:pt>
                <c:pt idx="117">
                  <c:v>105.83</c:v>
                </c:pt>
                <c:pt idx="118">
                  <c:v>106.13</c:v>
                </c:pt>
                <c:pt idx="119">
                  <c:v>107.6</c:v>
                </c:pt>
                <c:pt idx="120">
                  <c:v>107.38</c:v>
                </c:pt>
                <c:pt idx="121">
                  <c:v>106.49</c:v>
                </c:pt>
                <c:pt idx="122">
                  <c:v>106.72</c:v>
                </c:pt>
                <c:pt idx="123">
                  <c:v>107.42</c:v>
                </c:pt>
                <c:pt idx="124">
                  <c:v>108.53</c:v>
                </c:pt>
                <c:pt idx="125">
                  <c:v>109.23</c:v>
                </c:pt>
                <c:pt idx="126">
                  <c:v>111.28</c:v>
                </c:pt>
                <c:pt idx="127">
                  <c:v>111.74</c:v>
                </c:pt>
                <c:pt idx="128">
                  <c:v>111.49</c:v>
                </c:pt>
                <c:pt idx="129">
                  <c:v>112.75</c:v>
                </c:pt>
                <c:pt idx="130">
                  <c:v>113.35</c:v>
                </c:pt>
                <c:pt idx="131">
                  <c:v>114.29</c:v>
                </c:pt>
                <c:pt idx="132">
                  <c:v>114.69</c:v>
                </c:pt>
                <c:pt idx="133">
                  <c:v>111.91</c:v>
                </c:pt>
                <c:pt idx="134">
                  <c:v>112.4</c:v>
                </c:pt>
                <c:pt idx="135">
                  <c:v>109.23</c:v>
                </c:pt>
                <c:pt idx="136">
                  <c:v>109.85</c:v>
                </c:pt>
                <c:pt idx="137">
                  <c:v>110.65</c:v>
                </c:pt>
                <c:pt idx="138">
                  <c:v>112.5</c:v>
                </c:pt>
                <c:pt idx="139">
                  <c:v>112.14</c:v>
                </c:pt>
                <c:pt idx="140">
                  <c:v>112.16</c:v>
                </c:pt>
                <c:pt idx="141">
                  <c:v>112.35</c:v>
                </c:pt>
                <c:pt idx="142">
                  <c:v>114.68</c:v>
                </c:pt>
                <c:pt idx="143">
                  <c:v>115.29</c:v>
                </c:pt>
                <c:pt idx="144">
                  <c:v>113.93</c:v>
                </c:pt>
                <c:pt idx="145">
                  <c:v>112.82</c:v>
                </c:pt>
                <c:pt idx="146">
                  <c:v>112.02</c:v>
                </c:pt>
                <c:pt idx="147">
                  <c:v>113.95</c:v>
                </c:pt>
                <c:pt idx="148">
                  <c:v>114.56</c:v>
                </c:pt>
                <c:pt idx="149">
                  <c:v>115.59</c:v>
                </c:pt>
                <c:pt idx="150">
                  <c:v>117.22</c:v>
                </c:pt>
                <c:pt idx="151">
                  <c:v>114.22</c:v>
                </c:pt>
                <c:pt idx="152">
                  <c:v>112.75</c:v>
                </c:pt>
                <c:pt idx="153">
                  <c:v>111.99</c:v>
                </c:pt>
                <c:pt idx="154">
                  <c:v>111.29</c:v>
                </c:pt>
                <c:pt idx="155">
                  <c:v>113.26</c:v>
                </c:pt>
                <c:pt idx="156">
                  <c:v>114.2</c:v>
                </c:pt>
                <c:pt idx="157">
                  <c:v>114.26</c:v>
                </c:pt>
                <c:pt idx="158">
                  <c:v>114.02</c:v>
                </c:pt>
                <c:pt idx="159">
                  <c:v>112.91</c:v>
                </c:pt>
                <c:pt idx="160">
                  <c:v>110.73</c:v>
                </c:pt>
                <c:pt idx="161">
                  <c:v>112.24</c:v>
                </c:pt>
                <c:pt idx="162">
                  <c:v>112.29</c:v>
                </c:pt>
                <c:pt idx="163">
                  <c:v>111.61</c:v>
                </c:pt>
                <c:pt idx="164">
                  <c:v>110.64</c:v>
                </c:pt>
                <c:pt idx="165">
                  <c:v>112.24</c:v>
                </c:pt>
                <c:pt idx="166">
                  <c:v>112.7</c:v>
                </c:pt>
                <c:pt idx="167">
                  <c:v>112.71</c:v>
                </c:pt>
                <c:pt idx="168">
                  <c:v>114.71</c:v>
                </c:pt>
                <c:pt idx="169">
                  <c:v>115.98</c:v>
                </c:pt>
                <c:pt idx="170">
                  <c:v>115.39</c:v>
                </c:pt>
                <c:pt idx="171">
                  <c:v>115.94</c:v>
                </c:pt>
                <c:pt idx="172">
                  <c:v>115.03</c:v>
                </c:pt>
                <c:pt idx="173">
                  <c:v>116.45</c:v>
                </c:pt>
                <c:pt idx="174">
                  <c:v>114.69</c:v>
                </c:pt>
                <c:pt idx="175">
                  <c:v>114.36</c:v>
                </c:pt>
                <c:pt idx="176">
                  <c:v>113.76</c:v>
                </c:pt>
                <c:pt idx="177">
                  <c:v>114.14</c:v>
                </c:pt>
                <c:pt idx="178">
                  <c:v>113.68</c:v>
                </c:pt>
                <c:pt idx="179">
                  <c:v>114.5</c:v>
                </c:pt>
                <c:pt idx="180">
                  <c:v>117.22</c:v>
                </c:pt>
                <c:pt idx="181">
                  <c:v>118.22</c:v>
                </c:pt>
                <c:pt idx="182">
                  <c:v>119.78</c:v>
                </c:pt>
                <c:pt idx="183">
                  <c:v>118.12</c:v>
                </c:pt>
                <c:pt idx="184">
                  <c:v>118.79</c:v>
                </c:pt>
                <c:pt idx="185">
                  <c:v>119.29</c:v>
                </c:pt>
                <c:pt idx="186">
                  <c:v>117.68</c:v>
                </c:pt>
                <c:pt idx="187">
                  <c:v>119.03</c:v>
                </c:pt>
                <c:pt idx="188">
                  <c:v>117.35</c:v>
                </c:pt>
                <c:pt idx="189">
                  <c:v>117.02</c:v>
                </c:pt>
                <c:pt idx="190">
                  <c:v>117.08</c:v>
                </c:pt>
                <c:pt idx="191">
                  <c:v>115.97</c:v>
                </c:pt>
                <c:pt idx="192">
                  <c:v>114.51</c:v>
                </c:pt>
                <c:pt idx="193">
                  <c:v>114.77</c:v>
                </c:pt>
                <c:pt idx="194">
                  <c:v>115.92</c:v>
                </c:pt>
                <c:pt idx="195">
                  <c:v>116.63</c:v>
                </c:pt>
                <c:pt idx="196">
                  <c:v>115.38</c:v>
                </c:pt>
                <c:pt idx="197">
                  <c:v>117.8</c:v>
                </c:pt>
                <c:pt idx="198">
                  <c:v>117.14</c:v>
                </c:pt>
                <c:pt idx="199">
                  <c:v>116.54</c:v>
                </c:pt>
                <c:pt idx="200">
                  <c:v>115.98</c:v>
                </c:pt>
                <c:pt idx="201">
                  <c:v>118.25</c:v>
                </c:pt>
                <c:pt idx="202">
                  <c:v>119.54</c:v>
                </c:pt>
                <c:pt idx="203">
                  <c:v>119.54</c:v>
                </c:pt>
                <c:pt idx="204">
                  <c:v>118.82</c:v>
                </c:pt>
                <c:pt idx="205">
                  <c:v>117.76</c:v>
                </c:pt>
                <c:pt idx="206">
                  <c:v>114.68</c:v>
                </c:pt>
                <c:pt idx="207">
                  <c:v>117.41</c:v>
                </c:pt>
                <c:pt idx="208">
                  <c:v>116.54</c:v>
                </c:pt>
                <c:pt idx="209">
                  <c:v>116.69</c:v>
                </c:pt>
                <c:pt idx="210">
                  <c:v>118.15</c:v>
                </c:pt>
                <c:pt idx="211">
                  <c:v>119.42</c:v>
                </c:pt>
                <c:pt idx="212">
                  <c:v>119.22</c:v>
                </c:pt>
                <c:pt idx="213">
                  <c:v>119.11</c:v>
                </c:pt>
                <c:pt idx="214">
                  <c:v>120.53</c:v>
                </c:pt>
                <c:pt idx="215">
                  <c:v>120.99</c:v>
                </c:pt>
                <c:pt idx="216">
                  <c:v>120.34</c:v>
                </c:pt>
                <c:pt idx="217">
                  <c:v>122.65</c:v>
                </c:pt>
                <c:pt idx="218">
                  <c:v>125.36</c:v>
                </c:pt>
                <c:pt idx="219">
                  <c:v>121.05</c:v>
                </c:pt>
                <c:pt idx="220">
                  <c:v>118.49</c:v>
                </c:pt>
                <c:pt idx="221">
                  <c:v>122.91</c:v>
                </c:pt>
                <c:pt idx="222">
                  <c:v>124.61</c:v>
                </c:pt>
                <c:pt idx="223">
                  <c:v>124.03</c:v>
                </c:pt>
                <c:pt idx="224">
                  <c:v>126.54</c:v>
                </c:pt>
                <c:pt idx="225">
                  <c:v>130.19999999999999</c:v>
                </c:pt>
                <c:pt idx="226">
                  <c:v>129.13</c:v>
                </c:pt>
                <c:pt idx="227">
                  <c:v>129.88999999999999</c:v>
                </c:pt>
                <c:pt idx="228">
                  <c:v>130.46</c:v>
                </c:pt>
                <c:pt idx="229">
                  <c:v>133.61000000000001</c:v>
                </c:pt>
                <c:pt idx="230">
                  <c:v>133.63999999999999</c:v>
                </c:pt>
                <c:pt idx="231">
                  <c:v>134.97</c:v>
                </c:pt>
                <c:pt idx="232">
                  <c:v>134.84</c:v>
                </c:pt>
                <c:pt idx="233">
                  <c:v>136.83000000000001</c:v>
                </c:pt>
                <c:pt idx="234">
                  <c:v>137.58000000000001</c:v>
                </c:pt>
                <c:pt idx="235">
                  <c:v>140.51</c:v>
                </c:pt>
                <c:pt idx="236">
                  <c:v>141.4</c:v>
                </c:pt>
                <c:pt idx="237">
                  <c:v>138.4</c:v>
                </c:pt>
                <c:pt idx="238">
                  <c:v>143.72999999999999</c:v>
                </c:pt>
                <c:pt idx="239">
                  <c:v>147.59</c:v>
                </c:pt>
                <c:pt idx="240">
                  <c:v>146.08000000000001</c:v>
                </c:pt>
                <c:pt idx="241">
                  <c:v>149.05000000000001</c:v>
                </c:pt>
                <c:pt idx="242">
                  <c:v>151.21</c:v>
                </c:pt>
                <c:pt idx="243">
                  <c:v>151.59</c:v>
                </c:pt>
                <c:pt idx="244">
                  <c:v>155.56</c:v>
                </c:pt>
                <c:pt idx="245">
                  <c:v>149.93</c:v>
                </c:pt>
                <c:pt idx="246">
                  <c:v>148.44999999999999</c:v>
                </c:pt>
                <c:pt idx="247">
                  <c:v>146.19</c:v>
                </c:pt>
                <c:pt idx="248">
                  <c:v>150.68</c:v>
                </c:pt>
                <c:pt idx="249">
                  <c:v>150.97</c:v>
                </c:pt>
                <c:pt idx="250">
                  <c:v>147.28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E7-48B5-A6A0-5C4C5A32B4FE}"/>
            </c:ext>
          </c:extLst>
        </c:ser>
        <c:ser>
          <c:idx val="1"/>
          <c:order val="1"/>
          <c:tx>
            <c:strRef>
              <c:f>Data!$F$1</c:f>
              <c:strCache>
                <c:ptCount val="1"/>
                <c:pt idx="0">
                  <c:v>VWAP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Data!$F$2:$F$254</c:f>
              <c:numCache>
                <c:formatCode>General</c:formatCode>
                <c:ptCount val="253"/>
                <c:pt idx="0">
                  <c:v>110.68999999999998</c:v>
                </c:pt>
                <c:pt idx="1">
                  <c:v>110.96379996149794</c:v>
                </c:pt>
                <c:pt idx="2">
                  <c:v>110.54155783960593</c:v>
                </c:pt>
                <c:pt idx="3">
                  <c:v>110.32760081372058</c:v>
                </c:pt>
                <c:pt idx="4">
                  <c:v>110.28771711256144</c:v>
                </c:pt>
                <c:pt idx="5">
                  <c:v>110.51340882928115</c:v>
                </c:pt>
                <c:pt idx="6">
                  <c:v>110.02577845181277</c:v>
                </c:pt>
                <c:pt idx="7">
                  <c:v>109.64015928932116</c:v>
                </c:pt>
                <c:pt idx="8">
                  <c:v>108.94439432252747</c:v>
                </c:pt>
                <c:pt idx="9">
                  <c:v>108.80838099636264</c:v>
                </c:pt>
                <c:pt idx="10">
                  <c:v>108.83063475123284</c:v>
                </c:pt>
                <c:pt idx="11">
                  <c:v>109.15327084401311</c:v>
                </c:pt>
                <c:pt idx="12">
                  <c:v>109.15385504308897</c:v>
                </c:pt>
                <c:pt idx="13">
                  <c:v>109.1524774719901</c:v>
                </c:pt>
                <c:pt idx="14">
                  <c:v>109.1196441649065</c:v>
                </c:pt>
                <c:pt idx="15">
                  <c:v>109.27914801317998</c:v>
                </c:pt>
                <c:pt idx="16">
                  <c:v>109.57962114996585</c:v>
                </c:pt>
                <c:pt idx="17">
                  <c:v>109.78723565959341</c:v>
                </c:pt>
                <c:pt idx="18">
                  <c:v>110.08207582988952</c:v>
                </c:pt>
                <c:pt idx="19">
                  <c:v>110.35464861894287</c:v>
                </c:pt>
                <c:pt idx="20">
                  <c:v>110.90036836886124</c:v>
                </c:pt>
                <c:pt idx="21">
                  <c:v>111.07363974191499</c:v>
                </c:pt>
                <c:pt idx="22">
                  <c:v>111.23469047632815</c:v>
                </c:pt>
                <c:pt idx="23">
                  <c:v>111.46670220526775</c:v>
                </c:pt>
                <c:pt idx="24">
                  <c:v>111.6524090912403</c:v>
                </c:pt>
                <c:pt idx="25">
                  <c:v>111.7903384691441</c:v>
                </c:pt>
                <c:pt idx="26">
                  <c:v>112.11746635121881</c:v>
                </c:pt>
                <c:pt idx="27">
                  <c:v>112.29481999302733</c:v>
                </c:pt>
                <c:pt idx="28">
                  <c:v>112.45643365260891</c:v>
                </c:pt>
                <c:pt idx="29">
                  <c:v>112.45535327196795</c:v>
                </c:pt>
                <c:pt idx="30">
                  <c:v>111.99999798999279</c:v>
                </c:pt>
                <c:pt idx="31">
                  <c:v>111.45662962394819</c:v>
                </c:pt>
                <c:pt idx="32">
                  <c:v>110.98248070052172</c:v>
                </c:pt>
                <c:pt idx="33">
                  <c:v>110.73977296326795</c:v>
                </c:pt>
                <c:pt idx="34">
                  <c:v>110.1960436295729</c:v>
                </c:pt>
                <c:pt idx="35">
                  <c:v>109.96497503525153</c:v>
                </c:pt>
                <c:pt idx="36">
                  <c:v>109.79969247162482</c:v>
                </c:pt>
                <c:pt idx="37">
                  <c:v>109.6788703208056</c:v>
                </c:pt>
                <c:pt idx="38">
                  <c:v>109.57843166751415</c:v>
                </c:pt>
                <c:pt idx="39">
                  <c:v>109.51588661663429</c:v>
                </c:pt>
                <c:pt idx="40">
                  <c:v>109.42530458918039</c:v>
                </c:pt>
                <c:pt idx="41">
                  <c:v>109.40661530957848</c:v>
                </c:pt>
                <c:pt idx="42">
                  <c:v>109.37063692968056</c:v>
                </c:pt>
                <c:pt idx="43">
                  <c:v>109.3616935999171</c:v>
                </c:pt>
                <c:pt idx="44">
                  <c:v>109.35092701690513</c:v>
                </c:pt>
                <c:pt idx="45">
                  <c:v>109.33901688240854</c:v>
                </c:pt>
                <c:pt idx="46">
                  <c:v>109.32809827306636</c:v>
                </c:pt>
                <c:pt idx="47">
                  <c:v>109.24154040124073</c:v>
                </c:pt>
                <c:pt idx="48">
                  <c:v>109.16910079584277</c:v>
                </c:pt>
                <c:pt idx="49">
                  <c:v>109.11493510768393</c:v>
                </c:pt>
                <c:pt idx="50">
                  <c:v>108.99100126506363</c:v>
                </c:pt>
                <c:pt idx="51">
                  <c:v>108.91689339247736</c:v>
                </c:pt>
                <c:pt idx="52">
                  <c:v>108.86121024578601</c:v>
                </c:pt>
                <c:pt idx="53">
                  <c:v>108.80616082891316</c:v>
                </c:pt>
                <c:pt idx="54">
                  <c:v>108.78945307353312</c:v>
                </c:pt>
                <c:pt idx="55">
                  <c:v>108.79473889372758</c:v>
                </c:pt>
                <c:pt idx="56">
                  <c:v>108.80351602816559</c:v>
                </c:pt>
                <c:pt idx="57">
                  <c:v>108.79863694788824</c:v>
                </c:pt>
                <c:pt idx="58">
                  <c:v>108.79548996046712</c:v>
                </c:pt>
                <c:pt idx="59">
                  <c:v>108.78744179149292</c:v>
                </c:pt>
                <c:pt idx="60">
                  <c:v>108.75116072254718</c:v>
                </c:pt>
                <c:pt idx="61">
                  <c:v>108.70764414533235</c:v>
                </c:pt>
                <c:pt idx="62">
                  <c:v>108.63110589656864</c:v>
                </c:pt>
                <c:pt idx="63">
                  <c:v>108.56303359118314</c:v>
                </c:pt>
                <c:pt idx="64">
                  <c:v>108.50386371731587</c:v>
                </c:pt>
                <c:pt idx="65">
                  <c:v>108.44688635388933</c:v>
                </c:pt>
                <c:pt idx="66">
                  <c:v>108.36848701432172</c:v>
                </c:pt>
                <c:pt idx="67">
                  <c:v>108.30129840412084</c:v>
                </c:pt>
                <c:pt idx="68">
                  <c:v>108.15776420374833</c:v>
                </c:pt>
                <c:pt idx="69">
                  <c:v>108.08507631262474</c:v>
                </c:pt>
                <c:pt idx="70">
                  <c:v>108.01843416609758</c:v>
                </c:pt>
                <c:pt idx="71">
                  <c:v>107.94683701698699</c:v>
                </c:pt>
                <c:pt idx="72">
                  <c:v>107.87935525214672</c:v>
                </c:pt>
                <c:pt idx="73">
                  <c:v>107.8356575847572</c:v>
                </c:pt>
                <c:pt idx="74">
                  <c:v>107.79788526990941</c:v>
                </c:pt>
                <c:pt idx="75">
                  <c:v>107.7901296037316</c:v>
                </c:pt>
                <c:pt idx="76">
                  <c:v>107.81588245976779</c:v>
                </c:pt>
                <c:pt idx="77">
                  <c:v>107.84057653785045</c:v>
                </c:pt>
                <c:pt idx="78">
                  <c:v>107.92891084463646</c:v>
                </c:pt>
                <c:pt idx="79">
                  <c:v>108.00333396860665</c:v>
                </c:pt>
                <c:pt idx="80">
                  <c:v>108.08518529924282</c:v>
                </c:pt>
                <c:pt idx="81">
                  <c:v>108.1487502669619</c:v>
                </c:pt>
                <c:pt idx="82">
                  <c:v>108.30938739885794</c:v>
                </c:pt>
                <c:pt idx="83">
                  <c:v>108.37005352353989</c:v>
                </c:pt>
                <c:pt idx="84">
                  <c:v>108.36956607757341</c:v>
                </c:pt>
                <c:pt idx="85">
                  <c:v>108.36957097746311</c:v>
                </c:pt>
                <c:pt idx="86">
                  <c:v>108.38850505043013</c:v>
                </c:pt>
                <c:pt idx="87">
                  <c:v>108.40223741132795</c:v>
                </c:pt>
                <c:pt idx="88">
                  <c:v>108.39504588404563</c:v>
                </c:pt>
                <c:pt idx="89">
                  <c:v>108.40313301362269</c:v>
                </c:pt>
                <c:pt idx="90">
                  <c:v>108.4223825334626</c:v>
                </c:pt>
                <c:pt idx="91">
                  <c:v>108.4481342236984</c:v>
                </c:pt>
                <c:pt idx="92">
                  <c:v>108.47282664110175</c:v>
                </c:pt>
                <c:pt idx="93">
                  <c:v>108.53379606103537</c:v>
                </c:pt>
                <c:pt idx="94">
                  <c:v>108.56698081436407</c:v>
                </c:pt>
                <c:pt idx="95">
                  <c:v>108.62259142456882</c:v>
                </c:pt>
                <c:pt idx="96">
                  <c:v>108.66891463197791</c:v>
                </c:pt>
                <c:pt idx="97">
                  <c:v>108.70903722090925</c:v>
                </c:pt>
                <c:pt idx="98">
                  <c:v>108.73547894652418</c:v>
                </c:pt>
                <c:pt idx="99">
                  <c:v>108.75773197080315</c:v>
                </c:pt>
                <c:pt idx="100">
                  <c:v>108.77935147060954</c:v>
                </c:pt>
                <c:pt idx="101">
                  <c:v>108.76118024355284</c:v>
                </c:pt>
                <c:pt idx="102">
                  <c:v>108.75451448748112</c:v>
                </c:pt>
                <c:pt idx="103">
                  <c:v>108.75287576572127</c:v>
                </c:pt>
                <c:pt idx="104">
                  <c:v>108.76055087361561</c:v>
                </c:pt>
                <c:pt idx="105">
                  <c:v>108.77765586327294</c:v>
                </c:pt>
                <c:pt idx="106">
                  <c:v>108.7868222621359</c:v>
                </c:pt>
                <c:pt idx="107">
                  <c:v>108.80426122446183</c:v>
                </c:pt>
                <c:pt idx="108">
                  <c:v>108.8385131828544</c:v>
                </c:pt>
                <c:pt idx="109">
                  <c:v>108.85936396051859</c:v>
                </c:pt>
                <c:pt idx="110">
                  <c:v>108.88425077160001</c:v>
                </c:pt>
                <c:pt idx="111">
                  <c:v>108.89188597622388</c:v>
                </c:pt>
                <c:pt idx="112">
                  <c:v>108.87706521115851</c:v>
                </c:pt>
                <c:pt idx="113">
                  <c:v>108.85949266864665</c:v>
                </c:pt>
                <c:pt idx="114">
                  <c:v>108.84150212025524</c:v>
                </c:pt>
                <c:pt idx="115">
                  <c:v>108.82216985750215</c:v>
                </c:pt>
                <c:pt idx="116">
                  <c:v>108.80779961204057</c:v>
                </c:pt>
                <c:pt idx="117">
                  <c:v>108.78801394193417</c:v>
                </c:pt>
                <c:pt idx="118">
                  <c:v>108.76977301656507</c:v>
                </c:pt>
                <c:pt idx="119">
                  <c:v>108.75964640887199</c:v>
                </c:pt>
                <c:pt idx="120">
                  <c:v>108.75060582472669</c:v>
                </c:pt>
                <c:pt idx="121">
                  <c:v>108.72993341268396</c:v>
                </c:pt>
                <c:pt idx="122">
                  <c:v>108.71757326772266</c:v>
                </c:pt>
                <c:pt idx="123">
                  <c:v>108.70778736848833</c:v>
                </c:pt>
                <c:pt idx="124">
                  <c:v>108.70622360209136</c:v>
                </c:pt>
                <c:pt idx="125">
                  <c:v>108.70917014759513</c:v>
                </c:pt>
                <c:pt idx="126">
                  <c:v>108.72518274904897</c:v>
                </c:pt>
                <c:pt idx="127">
                  <c:v>108.73859118137047</c:v>
                </c:pt>
                <c:pt idx="128">
                  <c:v>108.76118780600878</c:v>
                </c:pt>
                <c:pt idx="129">
                  <c:v>108.78855568952693</c:v>
                </c:pt>
                <c:pt idx="130">
                  <c:v>108.81746823085152</c:v>
                </c:pt>
                <c:pt idx="131">
                  <c:v>108.85292195374964</c:v>
                </c:pt>
                <c:pt idx="132">
                  <c:v>108.89205038854644</c:v>
                </c:pt>
                <c:pt idx="133">
                  <c:v>108.91177004001888</c:v>
                </c:pt>
                <c:pt idx="134">
                  <c:v>108.93131217144015</c:v>
                </c:pt>
                <c:pt idx="135">
                  <c:v>108.93348497991474</c:v>
                </c:pt>
                <c:pt idx="136">
                  <c:v>108.93956236982567</c:v>
                </c:pt>
                <c:pt idx="137">
                  <c:v>108.9504372565907</c:v>
                </c:pt>
                <c:pt idx="138">
                  <c:v>108.97426507652655</c:v>
                </c:pt>
                <c:pt idx="139">
                  <c:v>108.98966703170088</c:v>
                </c:pt>
                <c:pt idx="140">
                  <c:v>109.00444869316256</c:v>
                </c:pt>
                <c:pt idx="141">
                  <c:v>109.02244281428435</c:v>
                </c:pt>
                <c:pt idx="142">
                  <c:v>109.06280564531552</c:v>
                </c:pt>
                <c:pt idx="143">
                  <c:v>109.09695975625004</c:v>
                </c:pt>
                <c:pt idx="144">
                  <c:v>109.12593638763781</c:v>
                </c:pt>
                <c:pt idx="145">
                  <c:v>109.18368154357317</c:v>
                </c:pt>
                <c:pt idx="146">
                  <c:v>109.20143370620828</c:v>
                </c:pt>
                <c:pt idx="147">
                  <c:v>109.24924435335471</c:v>
                </c:pt>
                <c:pt idx="148">
                  <c:v>109.28016491892596</c:v>
                </c:pt>
                <c:pt idx="149">
                  <c:v>109.31732088999127</c:v>
                </c:pt>
                <c:pt idx="150">
                  <c:v>109.37446417661617</c:v>
                </c:pt>
                <c:pt idx="151">
                  <c:v>109.41040360593655</c:v>
                </c:pt>
                <c:pt idx="152">
                  <c:v>109.43357481774056</c:v>
                </c:pt>
                <c:pt idx="153">
                  <c:v>109.4497740231119</c:v>
                </c:pt>
                <c:pt idx="154">
                  <c:v>109.4588968165839</c:v>
                </c:pt>
                <c:pt idx="155">
                  <c:v>109.47748694754007</c:v>
                </c:pt>
                <c:pt idx="156">
                  <c:v>109.49885744403686</c:v>
                </c:pt>
                <c:pt idx="157">
                  <c:v>109.52014284762605</c:v>
                </c:pt>
                <c:pt idx="158">
                  <c:v>109.54076464700539</c:v>
                </c:pt>
                <c:pt idx="159">
                  <c:v>109.55448610272907</c:v>
                </c:pt>
                <c:pt idx="160">
                  <c:v>109.56047942141281</c:v>
                </c:pt>
                <c:pt idx="161">
                  <c:v>109.57062543486924</c:v>
                </c:pt>
                <c:pt idx="162">
                  <c:v>109.58174737195681</c:v>
                </c:pt>
                <c:pt idx="163">
                  <c:v>109.590757052645</c:v>
                </c:pt>
                <c:pt idx="164">
                  <c:v>109.59524529422838</c:v>
                </c:pt>
                <c:pt idx="165">
                  <c:v>109.608106724362</c:v>
                </c:pt>
                <c:pt idx="166">
                  <c:v>109.61870880839487</c:v>
                </c:pt>
                <c:pt idx="167">
                  <c:v>109.62891742429274</c:v>
                </c:pt>
                <c:pt idx="168">
                  <c:v>109.6524011119034</c:v>
                </c:pt>
                <c:pt idx="169">
                  <c:v>109.68612651467222</c:v>
                </c:pt>
                <c:pt idx="170">
                  <c:v>109.70615846359642</c:v>
                </c:pt>
                <c:pt idx="171">
                  <c:v>109.73028859967532</c:v>
                </c:pt>
                <c:pt idx="172">
                  <c:v>109.7480512461333</c:v>
                </c:pt>
                <c:pt idx="173">
                  <c:v>109.77753389903741</c:v>
                </c:pt>
                <c:pt idx="174">
                  <c:v>109.80518089559092</c:v>
                </c:pt>
                <c:pt idx="175">
                  <c:v>109.83699536668151</c:v>
                </c:pt>
                <c:pt idx="176">
                  <c:v>109.85358573993415</c:v>
                </c:pt>
                <c:pt idx="177">
                  <c:v>109.8783105615001</c:v>
                </c:pt>
                <c:pt idx="178">
                  <c:v>109.89437088804843</c:v>
                </c:pt>
                <c:pt idx="179">
                  <c:v>109.91657345045083</c:v>
                </c:pt>
                <c:pt idx="180">
                  <c:v>109.95886773284793</c:v>
                </c:pt>
                <c:pt idx="181">
                  <c:v>109.9950402824077</c:v>
                </c:pt>
                <c:pt idx="182">
                  <c:v>110.04754846472136</c:v>
                </c:pt>
                <c:pt idx="183">
                  <c:v>110.08453668097893</c:v>
                </c:pt>
                <c:pt idx="184">
                  <c:v>110.13426590102441</c:v>
                </c:pt>
                <c:pt idx="185">
                  <c:v>110.18558950721729</c:v>
                </c:pt>
                <c:pt idx="186">
                  <c:v>110.22485918863518</c:v>
                </c:pt>
                <c:pt idx="187">
                  <c:v>110.27011188335364</c:v>
                </c:pt>
                <c:pt idx="188">
                  <c:v>110.30656409239731</c:v>
                </c:pt>
                <c:pt idx="189">
                  <c:v>110.33768805482171</c:v>
                </c:pt>
                <c:pt idx="190">
                  <c:v>110.37152438568236</c:v>
                </c:pt>
                <c:pt idx="191">
                  <c:v>110.40367983124482</c:v>
                </c:pt>
                <c:pt idx="192">
                  <c:v>110.42247018135933</c:v>
                </c:pt>
                <c:pt idx="193">
                  <c:v>110.43846827570911</c:v>
                </c:pt>
                <c:pt idx="194">
                  <c:v>110.45097591625031</c:v>
                </c:pt>
                <c:pt idx="195">
                  <c:v>110.47552554359501</c:v>
                </c:pt>
                <c:pt idx="196">
                  <c:v>110.4979098811157</c:v>
                </c:pt>
                <c:pt idx="197">
                  <c:v>110.53608182523725</c:v>
                </c:pt>
                <c:pt idx="198">
                  <c:v>110.56405596055208</c:v>
                </c:pt>
                <c:pt idx="199">
                  <c:v>110.58711668212493</c:v>
                </c:pt>
                <c:pt idx="200">
                  <c:v>110.61178323726577</c:v>
                </c:pt>
                <c:pt idx="201">
                  <c:v>110.66714652096883</c:v>
                </c:pt>
                <c:pt idx="202">
                  <c:v>110.72047034323373</c:v>
                </c:pt>
                <c:pt idx="203">
                  <c:v>110.75977421023063</c:v>
                </c:pt>
                <c:pt idx="204">
                  <c:v>110.79475869107065</c:v>
                </c:pt>
                <c:pt idx="205">
                  <c:v>110.82879406889259</c:v>
                </c:pt>
                <c:pt idx="206">
                  <c:v>110.84897903110728</c:v>
                </c:pt>
                <c:pt idx="207">
                  <c:v>110.88485278217902</c:v>
                </c:pt>
                <c:pt idx="208">
                  <c:v>110.90766504568847</c:v>
                </c:pt>
                <c:pt idx="209">
                  <c:v>110.98393314937523</c:v>
                </c:pt>
                <c:pt idx="210">
                  <c:v>111.00834414065835</c:v>
                </c:pt>
                <c:pt idx="211">
                  <c:v>111.0388327241474</c:v>
                </c:pt>
                <c:pt idx="212">
                  <c:v>111.05328826829589</c:v>
                </c:pt>
                <c:pt idx="213">
                  <c:v>111.07195421224596</c:v>
                </c:pt>
                <c:pt idx="214">
                  <c:v>111.11194284276381</c:v>
                </c:pt>
                <c:pt idx="215">
                  <c:v>111.14334571452932</c:v>
                </c:pt>
                <c:pt idx="216">
                  <c:v>111.17095065097426</c:v>
                </c:pt>
                <c:pt idx="217">
                  <c:v>111.21701689434661</c:v>
                </c:pt>
                <c:pt idx="218">
                  <c:v>111.336566873366</c:v>
                </c:pt>
                <c:pt idx="219">
                  <c:v>111.39976333435195</c:v>
                </c:pt>
                <c:pt idx="220">
                  <c:v>111.43978181353906</c:v>
                </c:pt>
                <c:pt idx="221">
                  <c:v>111.50378012486226</c:v>
                </c:pt>
                <c:pt idx="222">
                  <c:v>111.56184754124278</c:v>
                </c:pt>
                <c:pt idx="223">
                  <c:v>111.6140520510917</c:v>
                </c:pt>
                <c:pt idx="224">
                  <c:v>111.70175709628701</c:v>
                </c:pt>
                <c:pt idx="225">
                  <c:v>111.8394563758892</c:v>
                </c:pt>
                <c:pt idx="226">
                  <c:v>111.92023800217294</c:v>
                </c:pt>
                <c:pt idx="227">
                  <c:v>111.999940788706</c:v>
                </c:pt>
                <c:pt idx="228">
                  <c:v>112.08089382389385</c:v>
                </c:pt>
                <c:pt idx="229">
                  <c:v>112.18853120153629</c:v>
                </c:pt>
                <c:pt idx="230">
                  <c:v>112.28241728012067</c:v>
                </c:pt>
                <c:pt idx="231">
                  <c:v>112.3881456820606</c:v>
                </c:pt>
                <c:pt idx="232">
                  <c:v>112.48234970736472</c:v>
                </c:pt>
                <c:pt idx="233">
                  <c:v>112.57436676499913</c:v>
                </c:pt>
                <c:pt idx="234">
                  <c:v>112.67575050437058</c:v>
                </c:pt>
                <c:pt idx="235">
                  <c:v>112.93145925253039</c:v>
                </c:pt>
                <c:pt idx="236">
                  <c:v>113.14672100578431</c:v>
                </c:pt>
                <c:pt idx="237">
                  <c:v>113.32404165694074</c:v>
                </c:pt>
                <c:pt idx="238">
                  <c:v>113.61058010690944</c:v>
                </c:pt>
                <c:pt idx="239">
                  <c:v>113.8594944882976</c:v>
                </c:pt>
                <c:pt idx="240">
                  <c:v>114.00666124702921</c:v>
                </c:pt>
                <c:pt idx="241">
                  <c:v>114.1555289772506</c:v>
                </c:pt>
                <c:pt idx="242">
                  <c:v>114.34923855609509</c:v>
                </c:pt>
                <c:pt idx="243">
                  <c:v>114.49311425236019</c:v>
                </c:pt>
                <c:pt idx="244">
                  <c:v>114.72368449683603</c:v>
                </c:pt>
                <c:pt idx="245">
                  <c:v>114.98413241350218</c:v>
                </c:pt>
                <c:pt idx="246">
                  <c:v>115.1462196378241</c:v>
                </c:pt>
                <c:pt idx="247">
                  <c:v>115.29290109587707</c:v>
                </c:pt>
                <c:pt idx="248">
                  <c:v>115.4600147088299</c:v>
                </c:pt>
                <c:pt idx="249">
                  <c:v>115.63073089139083</c:v>
                </c:pt>
                <c:pt idx="250">
                  <c:v>115.8236929887061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E7-48B5-A6A0-5C4C5A32B4FE}"/>
            </c:ext>
          </c:extLst>
        </c:ser>
        <c:ser>
          <c:idx val="2"/>
          <c:order val="2"/>
          <c:tx>
            <c:strRef>
              <c:f>Data!$H$1</c:f>
              <c:strCache>
                <c:ptCount val="1"/>
                <c:pt idx="0">
                  <c:v>Plus 1 Sd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Data!$H$2:$H$254</c:f>
              <c:numCache>
                <c:formatCode>General</c:formatCode>
                <c:ptCount val="253"/>
                <c:pt idx="0">
                  <c:v>110.68999999999998</c:v>
                </c:pt>
                <c:pt idx="1">
                  <c:v>111.25379996149795</c:v>
                </c:pt>
                <c:pt idx="2">
                  <c:v>111.17660814382512</c:v>
                </c:pt>
                <c:pt idx="3">
                  <c:v>111.05610527492861</c:v>
                </c:pt>
                <c:pt idx="4">
                  <c:v>110.94162842153231</c:v>
                </c:pt>
                <c:pt idx="5">
                  <c:v>111.23128571442388</c:v>
                </c:pt>
                <c:pt idx="6">
                  <c:v>111.17473894028991</c:v>
                </c:pt>
                <c:pt idx="7">
                  <c:v>110.99931746168375</c:v>
                </c:pt>
                <c:pt idx="8">
                  <c:v>110.80699704154431</c:v>
                </c:pt>
                <c:pt idx="9">
                  <c:v>110.64288610673982</c:v>
                </c:pt>
                <c:pt idx="10">
                  <c:v>110.57991417785303</c:v>
                </c:pt>
                <c:pt idx="11">
                  <c:v>110.98772864310979</c:v>
                </c:pt>
                <c:pt idx="12">
                  <c:v>110.91684470397149</c:v>
                </c:pt>
                <c:pt idx="13">
                  <c:v>110.85193717004302</c:v>
                </c:pt>
                <c:pt idx="14">
                  <c:v>110.76881311386904</c:v>
                </c:pt>
                <c:pt idx="15">
                  <c:v>110.99985542130462</c:v>
                </c:pt>
                <c:pt idx="16">
                  <c:v>111.53690777543899</c:v>
                </c:pt>
                <c:pt idx="17">
                  <c:v>111.89534383085227</c:v>
                </c:pt>
                <c:pt idx="18">
                  <c:v>112.47539779479537</c:v>
                </c:pt>
                <c:pt idx="19">
                  <c:v>112.99926560444381</c:v>
                </c:pt>
                <c:pt idx="20">
                  <c:v>113.69479868939645</c:v>
                </c:pt>
                <c:pt idx="21">
                  <c:v>114.0025706669517</c:v>
                </c:pt>
                <c:pt idx="22">
                  <c:v>114.32228532766042</c:v>
                </c:pt>
                <c:pt idx="23">
                  <c:v>114.80437469352793</c:v>
                </c:pt>
                <c:pt idx="24">
                  <c:v>115.1555260119268</c:v>
                </c:pt>
                <c:pt idx="25">
                  <c:v>115.41359699799129</c:v>
                </c:pt>
                <c:pt idx="26">
                  <c:v>115.90832507669819</c:v>
                </c:pt>
                <c:pt idx="27">
                  <c:v>116.22630766064276</c:v>
                </c:pt>
                <c:pt idx="28">
                  <c:v>116.48183566427547</c:v>
                </c:pt>
                <c:pt idx="29">
                  <c:v>116.41335671085254</c:v>
                </c:pt>
                <c:pt idx="30">
                  <c:v>116.16279081701501</c:v>
                </c:pt>
                <c:pt idx="31">
                  <c:v>115.87247360073719</c:v>
                </c:pt>
                <c:pt idx="32">
                  <c:v>115.74560161488152</c:v>
                </c:pt>
                <c:pt idx="33">
                  <c:v>115.53937033680846</c:v>
                </c:pt>
                <c:pt idx="34">
                  <c:v>115.30992688588445</c:v>
                </c:pt>
                <c:pt idx="35">
                  <c:v>115.18080394532285</c:v>
                </c:pt>
                <c:pt idx="36">
                  <c:v>115.09169643200954</c:v>
                </c:pt>
                <c:pt idx="37">
                  <c:v>115.04520699046</c:v>
                </c:pt>
                <c:pt idx="38">
                  <c:v>114.97220488119351</c:v>
                </c:pt>
                <c:pt idx="39">
                  <c:v>114.8703652035277</c:v>
                </c:pt>
                <c:pt idx="40">
                  <c:v>114.77044405259971</c:v>
                </c:pt>
                <c:pt idx="41">
                  <c:v>114.69606842740781</c:v>
                </c:pt>
                <c:pt idx="42">
                  <c:v>114.61559430089453</c:v>
                </c:pt>
                <c:pt idx="43">
                  <c:v>114.55155040298631</c:v>
                </c:pt>
                <c:pt idx="44">
                  <c:v>114.48774808315483</c:v>
                </c:pt>
                <c:pt idx="45">
                  <c:v>114.42401003751934</c:v>
                </c:pt>
                <c:pt idx="46">
                  <c:v>114.36450691828647</c:v>
                </c:pt>
                <c:pt idx="47">
                  <c:v>114.26412715851779</c:v>
                </c:pt>
                <c:pt idx="48">
                  <c:v>114.17432207632966</c:v>
                </c:pt>
                <c:pt idx="49">
                  <c:v>114.09561512551282</c:v>
                </c:pt>
                <c:pt idx="50">
                  <c:v>114.00382024957449</c:v>
                </c:pt>
                <c:pt idx="51">
                  <c:v>113.92694866623971</c:v>
                </c:pt>
                <c:pt idx="52">
                  <c:v>113.86872097349746</c:v>
                </c:pt>
                <c:pt idx="53">
                  <c:v>113.78781522492078</c:v>
                </c:pt>
                <c:pt idx="54">
                  <c:v>113.7333151834613</c:v>
                </c:pt>
                <c:pt idx="55">
                  <c:v>113.69431678253805</c:v>
                </c:pt>
                <c:pt idx="56">
                  <c:v>113.65995311346124</c:v>
                </c:pt>
                <c:pt idx="57">
                  <c:v>113.61431636846925</c:v>
                </c:pt>
                <c:pt idx="58">
                  <c:v>113.57114350343112</c:v>
                </c:pt>
                <c:pt idx="59">
                  <c:v>113.52529713143548</c:v>
                </c:pt>
                <c:pt idx="60">
                  <c:v>113.46364897171257</c:v>
                </c:pt>
                <c:pt idx="61">
                  <c:v>113.41316963514491</c:v>
                </c:pt>
                <c:pt idx="62">
                  <c:v>113.34974983896109</c:v>
                </c:pt>
                <c:pt idx="63">
                  <c:v>113.30574100450714</c:v>
                </c:pt>
                <c:pt idx="64">
                  <c:v>113.26680527770607</c:v>
                </c:pt>
                <c:pt idx="65">
                  <c:v>113.21907638618225</c:v>
                </c:pt>
                <c:pt idx="66">
                  <c:v>113.17427133908744</c:v>
                </c:pt>
                <c:pt idx="67">
                  <c:v>113.12649177744439</c:v>
                </c:pt>
                <c:pt idx="68">
                  <c:v>113.00722841431785</c:v>
                </c:pt>
                <c:pt idx="69">
                  <c:v>112.94362031431152</c:v>
                </c:pt>
                <c:pt idx="70">
                  <c:v>112.87378883435535</c:v>
                </c:pt>
                <c:pt idx="71">
                  <c:v>112.82081506553695</c:v>
                </c:pt>
                <c:pt idx="72">
                  <c:v>112.77807465159701</c:v>
                </c:pt>
                <c:pt idx="73">
                  <c:v>112.72249858070226</c:v>
                </c:pt>
                <c:pt idx="74">
                  <c:v>112.66586973806687</c:v>
                </c:pt>
                <c:pt idx="75">
                  <c:v>112.62708013513186</c:v>
                </c:pt>
                <c:pt idx="76">
                  <c:v>112.62323335898878</c:v>
                </c:pt>
                <c:pt idx="77">
                  <c:v>112.62040980362994</c:v>
                </c:pt>
                <c:pt idx="78">
                  <c:v>112.69910087214836</c:v>
                </c:pt>
                <c:pt idx="79">
                  <c:v>112.76741874430073</c:v>
                </c:pt>
                <c:pt idx="80">
                  <c:v>112.86211834097263</c:v>
                </c:pt>
                <c:pt idx="81">
                  <c:v>112.92641764208265</c:v>
                </c:pt>
                <c:pt idx="82">
                  <c:v>113.10793989446827</c:v>
                </c:pt>
                <c:pt idx="83">
                  <c:v>113.15321366137712</c:v>
                </c:pt>
                <c:pt idx="84">
                  <c:v>113.12453724569721</c:v>
                </c:pt>
                <c:pt idx="85">
                  <c:v>113.09683546440219</c:v>
                </c:pt>
                <c:pt idx="86">
                  <c:v>113.09122486233444</c:v>
                </c:pt>
                <c:pt idx="87">
                  <c:v>113.07906622756047</c:v>
                </c:pt>
                <c:pt idx="88">
                  <c:v>113.04614826568314</c:v>
                </c:pt>
                <c:pt idx="89">
                  <c:v>113.02895047891704</c:v>
                </c:pt>
                <c:pt idx="90">
                  <c:v>113.03025810475592</c:v>
                </c:pt>
                <c:pt idx="91">
                  <c:v>113.04650436316179</c:v>
                </c:pt>
                <c:pt idx="92">
                  <c:v>113.05379144392276</c:v>
                </c:pt>
                <c:pt idx="93">
                  <c:v>113.12606931654149</c:v>
                </c:pt>
                <c:pt idx="94">
                  <c:v>113.16486050153821</c:v>
                </c:pt>
                <c:pt idx="95">
                  <c:v>113.23958146546781</c:v>
                </c:pt>
                <c:pt idx="96">
                  <c:v>113.31069598016605</c:v>
                </c:pt>
                <c:pt idx="97">
                  <c:v>113.35496210559609</c:v>
                </c:pt>
                <c:pt idx="98">
                  <c:v>113.37511782619815</c:v>
                </c:pt>
                <c:pt idx="99">
                  <c:v>113.38560471754111</c:v>
                </c:pt>
                <c:pt idx="100">
                  <c:v>113.3918546510581</c:v>
                </c:pt>
                <c:pt idx="101">
                  <c:v>113.35265281631094</c:v>
                </c:pt>
                <c:pt idx="102">
                  <c:v>113.32459636986856</c:v>
                </c:pt>
                <c:pt idx="103">
                  <c:v>113.3011471349587</c:v>
                </c:pt>
                <c:pt idx="104">
                  <c:v>113.28803673418847</c:v>
                </c:pt>
                <c:pt idx="105">
                  <c:v>113.28706791816565</c:v>
                </c:pt>
                <c:pt idx="106">
                  <c:v>113.2770943592346</c:v>
                </c:pt>
                <c:pt idx="107">
                  <c:v>113.27966944855612</c:v>
                </c:pt>
                <c:pt idx="108">
                  <c:v>113.30829291052606</c:v>
                </c:pt>
                <c:pt idx="109">
                  <c:v>113.31679901216762</c:v>
                </c:pt>
                <c:pt idx="110">
                  <c:v>113.32799740763208</c:v>
                </c:pt>
                <c:pt idx="111">
                  <c:v>113.31600744441461</c:v>
                </c:pt>
                <c:pt idx="112">
                  <c:v>113.28467572934962</c:v>
                </c:pt>
                <c:pt idx="113">
                  <c:v>113.25123476993295</c:v>
                </c:pt>
                <c:pt idx="114">
                  <c:v>113.22074060702523</c:v>
                </c:pt>
                <c:pt idx="115">
                  <c:v>113.19209694445037</c:v>
                </c:pt>
                <c:pt idx="116">
                  <c:v>113.16396232515964</c:v>
                </c:pt>
                <c:pt idx="117">
                  <c:v>113.13562411535723</c:v>
                </c:pt>
                <c:pt idx="118">
                  <c:v>113.10704665364672</c:v>
                </c:pt>
                <c:pt idx="119">
                  <c:v>113.08064439593085</c:v>
                </c:pt>
                <c:pt idx="120">
                  <c:v>113.05612822435089</c:v>
                </c:pt>
                <c:pt idx="121">
                  <c:v>113.02355391551207</c:v>
                </c:pt>
                <c:pt idx="122">
                  <c:v>112.99834822083804</c:v>
                </c:pt>
                <c:pt idx="123">
                  <c:v>112.97338151752886</c:v>
                </c:pt>
                <c:pt idx="124">
                  <c:v>112.95485574790017</c:v>
                </c:pt>
                <c:pt idx="125">
                  <c:v>112.94100632889474</c:v>
                </c:pt>
                <c:pt idx="126">
                  <c:v>112.94553046579811</c:v>
                </c:pt>
                <c:pt idx="127">
                  <c:v>112.94970537930976</c:v>
                </c:pt>
                <c:pt idx="128">
                  <c:v>112.96185974569975</c:v>
                </c:pt>
                <c:pt idx="129">
                  <c:v>112.98605508318541</c:v>
                </c:pt>
                <c:pt idx="130">
                  <c:v>113.01603228955095</c:v>
                </c:pt>
                <c:pt idx="131">
                  <c:v>113.06032797219383</c:v>
                </c:pt>
                <c:pt idx="132">
                  <c:v>113.11161399684659</c:v>
                </c:pt>
                <c:pt idx="133">
                  <c:v>113.12244157798331</c:v>
                </c:pt>
                <c:pt idx="134">
                  <c:v>113.13569247528625</c:v>
                </c:pt>
                <c:pt idx="135">
                  <c:v>113.12238388055482</c:v>
                </c:pt>
                <c:pt idx="136">
                  <c:v>113.11355920648151</c:v>
                </c:pt>
                <c:pt idx="137">
                  <c:v>113.11119147194898</c:v>
                </c:pt>
                <c:pt idx="138">
                  <c:v>113.1295365079378</c:v>
                </c:pt>
                <c:pt idx="139">
                  <c:v>113.13747152286712</c:v>
                </c:pt>
                <c:pt idx="140">
                  <c:v>113.14487432347897</c:v>
                </c:pt>
                <c:pt idx="141">
                  <c:v>113.15644639651948</c:v>
                </c:pt>
                <c:pt idx="142">
                  <c:v>113.20698776603069</c:v>
                </c:pt>
                <c:pt idx="143">
                  <c:v>113.25656882016722</c:v>
                </c:pt>
                <c:pt idx="144">
                  <c:v>113.28852734082065</c:v>
                </c:pt>
                <c:pt idx="145">
                  <c:v>113.34171701244611</c:v>
                </c:pt>
                <c:pt idx="146">
                  <c:v>113.35090431971368</c:v>
                </c:pt>
                <c:pt idx="147">
                  <c:v>113.4013232080661</c:v>
                </c:pt>
                <c:pt idx="148">
                  <c:v>113.43929836887163</c:v>
                </c:pt>
                <c:pt idx="149">
                  <c:v>113.49227620631902</c:v>
                </c:pt>
                <c:pt idx="150">
                  <c:v>113.58216507847729</c:v>
                </c:pt>
                <c:pt idx="151">
                  <c:v>113.62103929324961</c:v>
                </c:pt>
                <c:pt idx="152">
                  <c:v>113.63808313573429</c:v>
                </c:pt>
                <c:pt idx="153">
                  <c:v>113.64491804665984</c:v>
                </c:pt>
                <c:pt idx="154">
                  <c:v>113.64257565416513</c:v>
                </c:pt>
                <c:pt idx="155">
                  <c:v>113.65767857990974</c:v>
                </c:pt>
                <c:pt idx="156">
                  <c:v>113.68125307844639</c:v>
                </c:pt>
                <c:pt idx="157">
                  <c:v>113.70492683877251</c:v>
                </c:pt>
                <c:pt idx="158">
                  <c:v>113.72613045641626</c:v>
                </c:pt>
                <c:pt idx="159">
                  <c:v>113.73414431057036</c:v>
                </c:pt>
                <c:pt idx="160">
                  <c:v>113.72780995073208</c:v>
                </c:pt>
                <c:pt idx="161">
                  <c:v>113.72952948371639</c:v>
                </c:pt>
                <c:pt idx="162">
                  <c:v>113.73243833127891</c:v>
                </c:pt>
                <c:pt idx="163">
                  <c:v>113.7311374677047</c:v>
                </c:pt>
                <c:pt idx="164">
                  <c:v>113.72354561306393</c:v>
                </c:pt>
                <c:pt idx="165">
                  <c:v>113.7281792895448</c:v>
                </c:pt>
                <c:pt idx="166">
                  <c:v>113.73233404262307</c:v>
                </c:pt>
                <c:pt idx="167">
                  <c:v>113.73613315691053</c:v>
                </c:pt>
                <c:pt idx="168">
                  <c:v>113.76418366596153</c:v>
                </c:pt>
                <c:pt idx="169">
                  <c:v>113.81202333654927</c:v>
                </c:pt>
                <c:pt idx="170">
                  <c:v>113.84089271603953</c:v>
                </c:pt>
                <c:pt idx="171">
                  <c:v>113.87786274715184</c:v>
                </c:pt>
                <c:pt idx="172">
                  <c:v>113.90110328098469</c:v>
                </c:pt>
                <c:pt idx="173">
                  <c:v>113.9469068386379</c:v>
                </c:pt>
                <c:pt idx="174">
                  <c:v>113.97715539998403</c:v>
                </c:pt>
                <c:pt idx="175">
                  <c:v>114.00940011219794</c:v>
                </c:pt>
                <c:pt idx="176">
                  <c:v>114.02309800849676</c:v>
                </c:pt>
                <c:pt idx="177">
                  <c:v>114.04679923475909</c:v>
                </c:pt>
                <c:pt idx="178">
                  <c:v>114.05943308421139</c:v>
                </c:pt>
                <c:pt idx="179">
                  <c:v>114.08239938748352</c:v>
                </c:pt>
                <c:pt idx="180">
                  <c:v>114.14552450379747</c:v>
                </c:pt>
                <c:pt idx="181">
                  <c:v>114.21153836675191</c:v>
                </c:pt>
                <c:pt idx="182">
                  <c:v>114.31026137474477</c:v>
                </c:pt>
                <c:pt idx="183">
                  <c:v>114.3738999838836</c:v>
                </c:pt>
                <c:pt idx="184">
                  <c:v>114.45615104621061</c:v>
                </c:pt>
                <c:pt idx="185">
                  <c:v>114.5442242542474</c:v>
                </c:pt>
                <c:pt idx="186">
                  <c:v>114.60341454255405</c:v>
                </c:pt>
                <c:pt idx="187">
                  <c:v>114.68066264020061</c:v>
                </c:pt>
                <c:pt idx="188">
                  <c:v>114.73288552369603</c:v>
                </c:pt>
                <c:pt idx="189">
                  <c:v>114.77671161450631</c:v>
                </c:pt>
                <c:pt idx="190">
                  <c:v>114.82327933629367</c:v>
                </c:pt>
                <c:pt idx="191">
                  <c:v>114.8601951878058</c:v>
                </c:pt>
                <c:pt idx="192">
                  <c:v>114.87585132714369</c:v>
                </c:pt>
                <c:pt idx="193">
                  <c:v>114.88983450213348</c:v>
                </c:pt>
                <c:pt idx="194">
                  <c:v>114.90632309227472</c:v>
                </c:pt>
                <c:pt idx="195">
                  <c:v>114.93910598788557</c:v>
                </c:pt>
                <c:pt idx="196">
                  <c:v>114.9620636019106</c:v>
                </c:pt>
                <c:pt idx="197">
                  <c:v>115.01638139658917</c:v>
                </c:pt>
                <c:pt idx="198">
                  <c:v>115.0551492367134</c:v>
                </c:pt>
                <c:pt idx="199">
                  <c:v>115.08470011965002</c:v>
                </c:pt>
                <c:pt idx="200">
                  <c:v>115.1123148395711</c:v>
                </c:pt>
                <c:pt idx="201">
                  <c:v>115.18577074043881</c:v>
                </c:pt>
                <c:pt idx="202">
                  <c:v>115.26768280613354</c:v>
                </c:pt>
                <c:pt idx="203">
                  <c:v>115.33473506685849</c:v>
                </c:pt>
                <c:pt idx="204">
                  <c:v>115.39048508547307</c:v>
                </c:pt>
                <c:pt idx="205">
                  <c:v>115.43669740908673</c:v>
                </c:pt>
                <c:pt idx="206">
                  <c:v>115.45233430349521</c:v>
                </c:pt>
                <c:pt idx="207">
                  <c:v>115.49753417378518</c:v>
                </c:pt>
                <c:pt idx="208">
                  <c:v>115.52416897780064</c:v>
                </c:pt>
                <c:pt idx="209">
                  <c:v>115.60491255984853</c:v>
                </c:pt>
                <c:pt idx="210">
                  <c:v>115.64281930127528</c:v>
                </c:pt>
                <c:pt idx="211">
                  <c:v>115.69605402271526</c:v>
                </c:pt>
                <c:pt idx="212">
                  <c:v>115.73101840785338</c:v>
                </c:pt>
                <c:pt idx="213">
                  <c:v>115.76877003764515</c:v>
                </c:pt>
                <c:pt idx="214">
                  <c:v>115.83907879288923</c:v>
                </c:pt>
                <c:pt idx="215">
                  <c:v>115.90411754507282</c:v>
                </c:pt>
                <c:pt idx="216">
                  <c:v>115.9586810406459</c:v>
                </c:pt>
                <c:pt idx="217">
                  <c:v>116.05281862598967</c:v>
                </c:pt>
                <c:pt idx="218">
                  <c:v>116.25032736399376</c:v>
                </c:pt>
                <c:pt idx="219">
                  <c:v>116.343267333048</c:v>
                </c:pt>
                <c:pt idx="220">
                  <c:v>116.39336762869185</c:v>
                </c:pt>
                <c:pt idx="221">
                  <c:v>116.50300834546998</c:v>
                </c:pt>
                <c:pt idx="222">
                  <c:v>116.62345939329261</c:v>
                </c:pt>
                <c:pt idx="223">
                  <c:v>116.72979220491388</c:v>
                </c:pt>
                <c:pt idx="224">
                  <c:v>116.89880566306336</c:v>
                </c:pt>
                <c:pt idx="225">
                  <c:v>117.16511098579798</c:v>
                </c:pt>
                <c:pt idx="226">
                  <c:v>117.35394782917309</c:v>
                </c:pt>
                <c:pt idx="227">
                  <c:v>117.54810359233181</c:v>
                </c:pt>
                <c:pt idx="228">
                  <c:v>117.74705003010638</c:v>
                </c:pt>
                <c:pt idx="229">
                  <c:v>118.01472616176169</c:v>
                </c:pt>
                <c:pt idx="230">
                  <c:v>118.26207412606112</c:v>
                </c:pt>
                <c:pt idx="231">
                  <c:v>118.53513773960623</c:v>
                </c:pt>
                <c:pt idx="232">
                  <c:v>118.78740859008721</c:v>
                </c:pt>
                <c:pt idx="233">
                  <c:v>119.06131042886025</c:v>
                </c:pt>
                <c:pt idx="234">
                  <c:v>119.34821826585636</c:v>
                </c:pt>
                <c:pt idx="235">
                  <c:v>119.8284800674768</c:v>
                </c:pt>
                <c:pt idx="236">
                  <c:v>120.27221197852882</c:v>
                </c:pt>
                <c:pt idx="237">
                  <c:v>120.62109665451312</c:v>
                </c:pt>
                <c:pt idx="238">
                  <c:v>121.15495972805321</c:v>
                </c:pt>
                <c:pt idx="239">
                  <c:v>121.70566156563896</c:v>
                </c:pt>
                <c:pt idx="240">
                  <c:v>122.11291091118997</c:v>
                </c:pt>
                <c:pt idx="241">
                  <c:v>122.55914270113824</c:v>
                </c:pt>
                <c:pt idx="242">
                  <c:v>123.07231239889933</c:v>
                </c:pt>
                <c:pt idx="243">
                  <c:v>123.5257136073019</c:v>
                </c:pt>
                <c:pt idx="244">
                  <c:v>124.1187989506448</c:v>
                </c:pt>
                <c:pt idx="245">
                  <c:v>124.63192722109159</c:v>
                </c:pt>
                <c:pt idx="246">
                  <c:v>125.01511447906148</c:v>
                </c:pt>
                <c:pt idx="247">
                  <c:v>125.34484355930081</c:v>
                </c:pt>
                <c:pt idx="248">
                  <c:v>125.7479493433995</c:v>
                </c:pt>
                <c:pt idx="249">
                  <c:v>126.14952987994461</c:v>
                </c:pt>
                <c:pt idx="250">
                  <c:v>126.51791740515033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E7-48B5-A6A0-5C4C5A32B4FE}"/>
            </c:ext>
          </c:extLst>
        </c:ser>
        <c:ser>
          <c:idx val="3"/>
          <c:order val="3"/>
          <c:tx>
            <c:strRef>
              <c:f>Data!$I$1</c:f>
              <c:strCache>
                <c:ptCount val="1"/>
                <c:pt idx="0">
                  <c:v>Minus 1 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Data!$I$2:$I$254</c:f>
              <c:numCache>
                <c:formatCode>General</c:formatCode>
                <c:ptCount val="253"/>
                <c:pt idx="0">
                  <c:v>110.68999999999998</c:v>
                </c:pt>
                <c:pt idx="1">
                  <c:v>110.67379996149793</c:v>
                </c:pt>
                <c:pt idx="2">
                  <c:v>109.90650753538674</c:v>
                </c:pt>
                <c:pt idx="3">
                  <c:v>109.59909635251255</c:v>
                </c:pt>
                <c:pt idx="4">
                  <c:v>109.63380580359056</c:v>
                </c:pt>
                <c:pt idx="5">
                  <c:v>109.79553194413842</c:v>
                </c:pt>
                <c:pt idx="6">
                  <c:v>108.87681796333563</c:v>
                </c:pt>
                <c:pt idx="7">
                  <c:v>108.28100111695858</c:v>
                </c:pt>
                <c:pt idx="8">
                  <c:v>107.08179160351064</c:v>
                </c:pt>
                <c:pt idx="9">
                  <c:v>106.97387588598546</c:v>
                </c:pt>
                <c:pt idx="10">
                  <c:v>107.08135532461264</c:v>
                </c:pt>
                <c:pt idx="11">
                  <c:v>107.31881304491642</c:v>
                </c:pt>
                <c:pt idx="12">
                  <c:v>107.39086538220644</c:v>
                </c:pt>
                <c:pt idx="13">
                  <c:v>107.45301777393718</c:v>
                </c:pt>
                <c:pt idx="14">
                  <c:v>107.47047521594396</c:v>
                </c:pt>
                <c:pt idx="15">
                  <c:v>107.55844060505534</c:v>
                </c:pt>
                <c:pt idx="16">
                  <c:v>107.6223345244927</c:v>
                </c:pt>
                <c:pt idx="17">
                  <c:v>107.67912748833454</c:v>
                </c:pt>
                <c:pt idx="18">
                  <c:v>107.68875386498367</c:v>
                </c:pt>
                <c:pt idx="19">
                  <c:v>107.71003163344194</c:v>
                </c:pt>
                <c:pt idx="20">
                  <c:v>108.10593804832602</c:v>
                </c:pt>
                <c:pt idx="21">
                  <c:v>108.14470881687828</c:v>
                </c:pt>
                <c:pt idx="22">
                  <c:v>108.14709562499588</c:v>
                </c:pt>
                <c:pt idx="23">
                  <c:v>108.12902971700757</c:v>
                </c:pt>
                <c:pt idx="24">
                  <c:v>108.14929217055381</c:v>
                </c:pt>
                <c:pt idx="25">
                  <c:v>108.16707994029692</c:v>
                </c:pt>
                <c:pt idx="26">
                  <c:v>108.32660762573943</c:v>
                </c:pt>
                <c:pt idx="27">
                  <c:v>108.3633323254119</c:v>
                </c:pt>
                <c:pt idx="28">
                  <c:v>108.43103164094235</c:v>
                </c:pt>
                <c:pt idx="29">
                  <c:v>108.49734983308336</c:v>
                </c:pt>
                <c:pt idx="30">
                  <c:v>107.83720516297058</c:v>
                </c:pt>
                <c:pt idx="31">
                  <c:v>107.04078564715918</c:v>
                </c:pt>
                <c:pt idx="32">
                  <c:v>106.21935978616192</c:v>
                </c:pt>
                <c:pt idx="33">
                  <c:v>105.94017558972745</c:v>
                </c:pt>
                <c:pt idx="34">
                  <c:v>105.08216037326135</c:v>
                </c:pt>
                <c:pt idx="35">
                  <c:v>104.7491461251802</c:v>
                </c:pt>
                <c:pt idx="36">
                  <c:v>104.5076885112401</c:v>
                </c:pt>
                <c:pt idx="37">
                  <c:v>104.3125336511512</c:v>
                </c:pt>
                <c:pt idx="38">
                  <c:v>104.1846584538348</c:v>
                </c:pt>
                <c:pt idx="39">
                  <c:v>104.16140802974088</c:v>
                </c:pt>
                <c:pt idx="40">
                  <c:v>104.08016512576106</c:v>
                </c:pt>
                <c:pt idx="41">
                  <c:v>104.11716219174916</c:v>
                </c:pt>
                <c:pt idx="42">
                  <c:v>104.12567955846659</c:v>
                </c:pt>
                <c:pt idx="43">
                  <c:v>104.1718367968479</c:v>
                </c:pt>
                <c:pt idx="44">
                  <c:v>104.21410595065544</c:v>
                </c:pt>
                <c:pt idx="45">
                  <c:v>104.25402372729775</c:v>
                </c:pt>
                <c:pt idx="46">
                  <c:v>104.29168962784625</c:v>
                </c:pt>
                <c:pt idx="47">
                  <c:v>104.21895364396366</c:v>
                </c:pt>
                <c:pt idx="48">
                  <c:v>104.16387951535587</c:v>
                </c:pt>
                <c:pt idx="49">
                  <c:v>104.13425508985505</c:v>
                </c:pt>
                <c:pt idx="50">
                  <c:v>103.97818228055277</c:v>
                </c:pt>
                <c:pt idx="51">
                  <c:v>103.90683811871502</c:v>
                </c:pt>
                <c:pt idx="52">
                  <c:v>103.85369951807456</c:v>
                </c:pt>
                <c:pt idx="53">
                  <c:v>103.82450643290555</c:v>
                </c:pt>
                <c:pt idx="54">
                  <c:v>103.84559096360495</c:v>
                </c:pt>
                <c:pt idx="55">
                  <c:v>103.89516100491711</c:v>
                </c:pt>
                <c:pt idx="56">
                  <c:v>103.94707894286994</c:v>
                </c:pt>
                <c:pt idx="57">
                  <c:v>103.98295752730724</c:v>
                </c:pt>
                <c:pt idx="58">
                  <c:v>104.01983641750313</c:v>
                </c:pt>
                <c:pt idx="59">
                  <c:v>104.04958645155037</c:v>
                </c:pt>
                <c:pt idx="60">
                  <c:v>104.03867247338179</c:v>
                </c:pt>
                <c:pt idx="61">
                  <c:v>104.00211865551979</c:v>
                </c:pt>
                <c:pt idx="62">
                  <c:v>103.91246195417619</c:v>
                </c:pt>
                <c:pt idx="63">
                  <c:v>103.82032617785914</c:v>
                </c:pt>
                <c:pt idx="64">
                  <c:v>103.74092215692566</c:v>
                </c:pt>
                <c:pt idx="65">
                  <c:v>103.6746963215964</c:v>
                </c:pt>
                <c:pt idx="66">
                  <c:v>103.56270268955599</c:v>
                </c:pt>
                <c:pt idx="67">
                  <c:v>103.4761050307973</c:v>
                </c:pt>
                <c:pt idx="68">
                  <c:v>103.30829999317881</c:v>
                </c:pt>
                <c:pt idx="69">
                  <c:v>103.22653231093796</c:v>
                </c:pt>
                <c:pt idx="70">
                  <c:v>103.1630794978398</c:v>
                </c:pt>
                <c:pt idx="71">
                  <c:v>103.07285896843703</c:v>
                </c:pt>
                <c:pt idx="72">
                  <c:v>102.98063585269644</c:v>
                </c:pt>
                <c:pt idx="73">
                  <c:v>102.94881658881214</c:v>
                </c:pt>
                <c:pt idx="74">
                  <c:v>102.92990080175196</c:v>
                </c:pt>
                <c:pt idx="75">
                  <c:v>102.95317907233134</c:v>
                </c:pt>
                <c:pt idx="76">
                  <c:v>103.0085315605468</c:v>
                </c:pt>
                <c:pt idx="77">
                  <c:v>103.06074327207097</c:v>
                </c:pt>
                <c:pt idx="78">
                  <c:v>103.15872081712456</c:v>
                </c:pt>
                <c:pt idx="79">
                  <c:v>103.23924919291258</c:v>
                </c:pt>
                <c:pt idx="80">
                  <c:v>103.30825225751302</c:v>
                </c:pt>
                <c:pt idx="81">
                  <c:v>103.37108289184114</c:v>
                </c:pt>
                <c:pt idx="82">
                  <c:v>103.5108349032476</c:v>
                </c:pt>
                <c:pt idx="83">
                  <c:v>103.58689338570267</c:v>
                </c:pt>
                <c:pt idx="84">
                  <c:v>103.61459490944961</c:v>
                </c:pt>
                <c:pt idx="85">
                  <c:v>103.64230649052404</c:v>
                </c:pt>
                <c:pt idx="86">
                  <c:v>103.68578523852581</c:v>
                </c:pt>
                <c:pt idx="87">
                  <c:v>103.72540859509542</c:v>
                </c:pt>
                <c:pt idx="88">
                  <c:v>103.74394350240811</c:v>
                </c:pt>
                <c:pt idx="89">
                  <c:v>103.77731554832835</c:v>
                </c:pt>
                <c:pt idx="90">
                  <c:v>103.81450696216928</c:v>
                </c:pt>
                <c:pt idx="91">
                  <c:v>103.84976408423502</c:v>
                </c:pt>
                <c:pt idx="92">
                  <c:v>103.89186183828073</c:v>
                </c:pt>
                <c:pt idx="93">
                  <c:v>103.94152280552926</c:v>
                </c:pt>
                <c:pt idx="94">
                  <c:v>103.96910112718993</c:v>
                </c:pt>
                <c:pt idx="95">
                  <c:v>104.00560138366984</c:v>
                </c:pt>
                <c:pt idx="96">
                  <c:v>104.02713328378978</c:v>
                </c:pt>
                <c:pt idx="97">
                  <c:v>104.06311233622242</c:v>
                </c:pt>
                <c:pt idx="98">
                  <c:v>104.09584006685022</c:v>
                </c:pt>
                <c:pt idx="99">
                  <c:v>104.12985922406519</c:v>
                </c:pt>
                <c:pt idx="100">
                  <c:v>104.16684829016098</c:v>
                </c:pt>
                <c:pt idx="101">
                  <c:v>104.16970767079475</c:v>
                </c:pt>
                <c:pt idx="102">
                  <c:v>104.18443260509368</c:v>
                </c:pt>
                <c:pt idx="103">
                  <c:v>104.20460439648384</c:v>
                </c:pt>
                <c:pt idx="104">
                  <c:v>104.23306501304276</c:v>
                </c:pt>
                <c:pt idx="105">
                  <c:v>104.26824380838023</c:v>
                </c:pt>
                <c:pt idx="106">
                  <c:v>104.2965501650372</c:v>
                </c:pt>
                <c:pt idx="107">
                  <c:v>104.32885300036753</c:v>
                </c:pt>
                <c:pt idx="108">
                  <c:v>104.36873345518273</c:v>
                </c:pt>
                <c:pt idx="109">
                  <c:v>104.40192890886956</c:v>
                </c:pt>
                <c:pt idx="110">
                  <c:v>104.44050413556793</c:v>
                </c:pt>
                <c:pt idx="111">
                  <c:v>104.46776450803314</c:v>
                </c:pt>
                <c:pt idx="112">
                  <c:v>104.4694546929674</c:v>
                </c:pt>
                <c:pt idx="113">
                  <c:v>104.46775056736035</c:v>
                </c:pt>
                <c:pt idx="114">
                  <c:v>104.46226363348525</c:v>
                </c:pt>
                <c:pt idx="115">
                  <c:v>104.45224277055392</c:v>
                </c:pt>
                <c:pt idx="116">
                  <c:v>104.45163689892149</c:v>
                </c:pt>
                <c:pt idx="117">
                  <c:v>104.4404037685111</c:v>
                </c:pt>
                <c:pt idx="118">
                  <c:v>104.43249937948342</c:v>
                </c:pt>
                <c:pt idx="119">
                  <c:v>104.43864842181313</c:v>
                </c:pt>
                <c:pt idx="120">
                  <c:v>104.4450834251025</c:v>
                </c:pt>
                <c:pt idx="121">
                  <c:v>104.43631290985586</c:v>
                </c:pt>
                <c:pt idx="122">
                  <c:v>104.43679831460727</c:v>
                </c:pt>
                <c:pt idx="123">
                  <c:v>104.44219321944779</c:v>
                </c:pt>
                <c:pt idx="124">
                  <c:v>104.45759145628254</c:v>
                </c:pt>
                <c:pt idx="125">
                  <c:v>104.47733396629552</c:v>
                </c:pt>
                <c:pt idx="126">
                  <c:v>104.50483503229982</c:v>
                </c:pt>
                <c:pt idx="127">
                  <c:v>104.52747698343117</c:v>
                </c:pt>
                <c:pt idx="128">
                  <c:v>104.5605158663178</c:v>
                </c:pt>
                <c:pt idx="129">
                  <c:v>104.59105629586846</c:v>
                </c:pt>
                <c:pt idx="130">
                  <c:v>104.61890417215209</c:v>
                </c:pt>
                <c:pt idx="131">
                  <c:v>104.64551593530545</c:v>
                </c:pt>
                <c:pt idx="132">
                  <c:v>104.67248678024629</c:v>
                </c:pt>
                <c:pt idx="133">
                  <c:v>104.70109850205445</c:v>
                </c:pt>
                <c:pt idx="134">
                  <c:v>104.72693186759406</c:v>
                </c:pt>
                <c:pt idx="135">
                  <c:v>104.74458607927465</c:v>
                </c:pt>
                <c:pt idx="136">
                  <c:v>104.76556553316982</c:v>
                </c:pt>
                <c:pt idx="137">
                  <c:v>104.78968304123242</c:v>
                </c:pt>
                <c:pt idx="138">
                  <c:v>104.8189936451153</c:v>
                </c:pt>
                <c:pt idx="139">
                  <c:v>104.84186254053463</c:v>
                </c:pt>
                <c:pt idx="140">
                  <c:v>104.86402306284614</c:v>
                </c:pt>
                <c:pt idx="141">
                  <c:v>104.88843923204921</c:v>
                </c:pt>
                <c:pt idx="142">
                  <c:v>104.91862352460035</c:v>
                </c:pt>
                <c:pt idx="143">
                  <c:v>104.93735069233287</c:v>
                </c:pt>
                <c:pt idx="144">
                  <c:v>104.96334543445496</c:v>
                </c:pt>
                <c:pt idx="145">
                  <c:v>105.02564607470023</c:v>
                </c:pt>
                <c:pt idx="146">
                  <c:v>105.05196309270288</c:v>
                </c:pt>
                <c:pt idx="147">
                  <c:v>105.09716549864332</c:v>
                </c:pt>
                <c:pt idx="148">
                  <c:v>105.12103146898029</c:v>
                </c:pt>
                <c:pt idx="149">
                  <c:v>105.14236557366351</c:v>
                </c:pt>
                <c:pt idx="150">
                  <c:v>105.16676327475506</c:v>
                </c:pt>
                <c:pt idx="151">
                  <c:v>105.19976791862349</c:v>
                </c:pt>
                <c:pt idx="152">
                  <c:v>105.22906649974684</c:v>
                </c:pt>
                <c:pt idx="153">
                  <c:v>105.25462999956396</c:v>
                </c:pt>
                <c:pt idx="154">
                  <c:v>105.27521797900268</c:v>
                </c:pt>
                <c:pt idx="155">
                  <c:v>105.2972953151704</c:v>
                </c:pt>
                <c:pt idx="156">
                  <c:v>105.31646180962733</c:v>
                </c:pt>
                <c:pt idx="157">
                  <c:v>105.33535885647959</c:v>
                </c:pt>
                <c:pt idx="158">
                  <c:v>105.35539883759452</c:v>
                </c:pt>
                <c:pt idx="159">
                  <c:v>105.37482789488779</c:v>
                </c:pt>
                <c:pt idx="160">
                  <c:v>105.39314889209354</c:v>
                </c:pt>
                <c:pt idx="161">
                  <c:v>105.41172138602209</c:v>
                </c:pt>
                <c:pt idx="162">
                  <c:v>105.4310564126347</c:v>
                </c:pt>
                <c:pt idx="163">
                  <c:v>105.45037663758531</c:v>
                </c:pt>
                <c:pt idx="164">
                  <c:v>105.46694497539282</c:v>
                </c:pt>
                <c:pt idx="165">
                  <c:v>105.48803415917921</c:v>
                </c:pt>
                <c:pt idx="166">
                  <c:v>105.50508357416668</c:v>
                </c:pt>
                <c:pt idx="167">
                  <c:v>105.52170169167495</c:v>
                </c:pt>
                <c:pt idx="168">
                  <c:v>105.54061855784528</c:v>
                </c:pt>
                <c:pt idx="169">
                  <c:v>105.56022969279518</c:v>
                </c:pt>
                <c:pt idx="170">
                  <c:v>105.57142421115331</c:v>
                </c:pt>
                <c:pt idx="171">
                  <c:v>105.5827144521988</c:v>
                </c:pt>
                <c:pt idx="172">
                  <c:v>105.59499921128192</c:v>
                </c:pt>
                <c:pt idx="173">
                  <c:v>105.60816095943692</c:v>
                </c:pt>
                <c:pt idx="174">
                  <c:v>105.63320639119782</c:v>
                </c:pt>
                <c:pt idx="175">
                  <c:v>105.66459062116508</c:v>
                </c:pt>
                <c:pt idx="176">
                  <c:v>105.68407347137153</c:v>
                </c:pt>
                <c:pt idx="177">
                  <c:v>105.70982188824111</c:v>
                </c:pt>
                <c:pt idx="178">
                  <c:v>105.72930869188546</c:v>
                </c:pt>
                <c:pt idx="179">
                  <c:v>105.75074751341813</c:v>
                </c:pt>
                <c:pt idx="180">
                  <c:v>105.77221096189839</c:v>
                </c:pt>
                <c:pt idx="181">
                  <c:v>105.77854219806349</c:v>
                </c:pt>
                <c:pt idx="182">
                  <c:v>105.78483555469795</c:v>
                </c:pt>
                <c:pt idx="183">
                  <c:v>105.79517337807425</c:v>
                </c:pt>
                <c:pt idx="184">
                  <c:v>105.81238075583821</c:v>
                </c:pt>
                <c:pt idx="185">
                  <c:v>105.82695476018718</c:v>
                </c:pt>
                <c:pt idx="186">
                  <c:v>105.84630383471631</c:v>
                </c:pt>
                <c:pt idx="187">
                  <c:v>105.85956112650666</c:v>
                </c:pt>
                <c:pt idx="188">
                  <c:v>105.88024266109859</c:v>
                </c:pt>
                <c:pt idx="189">
                  <c:v>105.89866449513711</c:v>
                </c:pt>
                <c:pt idx="190">
                  <c:v>105.91976943507106</c:v>
                </c:pt>
                <c:pt idx="191">
                  <c:v>105.94716447468383</c:v>
                </c:pt>
                <c:pt idx="192">
                  <c:v>105.96908903557497</c:v>
                </c:pt>
                <c:pt idx="193">
                  <c:v>105.98710204928474</c:v>
                </c:pt>
                <c:pt idx="194">
                  <c:v>105.99562874022591</c:v>
                </c:pt>
                <c:pt idx="195">
                  <c:v>106.01194509930446</c:v>
                </c:pt>
                <c:pt idx="196">
                  <c:v>106.03375616032081</c:v>
                </c:pt>
                <c:pt idx="197">
                  <c:v>106.05578225388533</c:v>
                </c:pt>
                <c:pt idx="198">
                  <c:v>106.07296268439076</c:v>
                </c:pt>
                <c:pt idx="199">
                  <c:v>106.08953324459983</c:v>
                </c:pt>
                <c:pt idx="200">
                  <c:v>106.11125163496044</c:v>
                </c:pt>
                <c:pt idx="201">
                  <c:v>106.14852230149884</c:v>
                </c:pt>
                <c:pt idx="202">
                  <c:v>106.17325788033392</c:v>
                </c:pt>
                <c:pt idx="203">
                  <c:v>106.18481335360278</c:v>
                </c:pt>
                <c:pt idx="204">
                  <c:v>106.19903229666824</c:v>
                </c:pt>
                <c:pt idx="205">
                  <c:v>106.22089072869845</c:v>
                </c:pt>
                <c:pt idx="206">
                  <c:v>106.24562375871935</c:v>
                </c:pt>
                <c:pt idx="207">
                  <c:v>106.27217139057286</c:v>
                </c:pt>
                <c:pt idx="208">
                  <c:v>106.29116111357631</c:v>
                </c:pt>
                <c:pt idx="209">
                  <c:v>106.36295373890194</c:v>
                </c:pt>
                <c:pt idx="210">
                  <c:v>106.37386898004142</c:v>
                </c:pt>
                <c:pt idx="211">
                  <c:v>106.38161142557954</c:v>
                </c:pt>
                <c:pt idx="212">
                  <c:v>106.37555812873839</c:v>
                </c:pt>
                <c:pt idx="213">
                  <c:v>106.37513838684676</c:v>
                </c:pt>
                <c:pt idx="214">
                  <c:v>106.38480689263839</c:v>
                </c:pt>
                <c:pt idx="215">
                  <c:v>106.38257388398581</c:v>
                </c:pt>
                <c:pt idx="216">
                  <c:v>106.38322026130263</c:v>
                </c:pt>
                <c:pt idx="217">
                  <c:v>106.38121516270355</c:v>
                </c:pt>
                <c:pt idx="218">
                  <c:v>106.42280638273823</c:v>
                </c:pt>
                <c:pt idx="219">
                  <c:v>106.45625933565589</c:v>
                </c:pt>
                <c:pt idx="220">
                  <c:v>106.48619599838626</c:v>
                </c:pt>
                <c:pt idx="221">
                  <c:v>106.50455190425454</c:v>
                </c:pt>
                <c:pt idx="222">
                  <c:v>106.50023568919296</c:v>
                </c:pt>
                <c:pt idx="223">
                  <c:v>106.49831189726953</c:v>
                </c:pt>
                <c:pt idx="224">
                  <c:v>106.50470852951067</c:v>
                </c:pt>
                <c:pt idx="225">
                  <c:v>106.51380176598042</c:v>
                </c:pt>
                <c:pt idx="226">
                  <c:v>106.48652817517278</c:v>
                </c:pt>
                <c:pt idx="227">
                  <c:v>106.45177798508018</c:v>
                </c:pt>
                <c:pt idx="228">
                  <c:v>106.41473761768131</c:v>
                </c:pt>
                <c:pt idx="229">
                  <c:v>106.3623362413109</c:v>
                </c:pt>
                <c:pt idx="230">
                  <c:v>106.30276043418021</c:v>
                </c:pt>
                <c:pt idx="231">
                  <c:v>106.24115362451496</c:v>
                </c:pt>
                <c:pt idx="232">
                  <c:v>106.17729082464223</c:v>
                </c:pt>
                <c:pt idx="233">
                  <c:v>106.087423101138</c:v>
                </c:pt>
                <c:pt idx="234">
                  <c:v>106.00328274288481</c:v>
                </c:pt>
                <c:pt idx="235">
                  <c:v>106.03443843758397</c:v>
                </c:pt>
                <c:pt idx="236">
                  <c:v>106.02123003303981</c:v>
                </c:pt>
                <c:pt idx="237">
                  <c:v>106.02698665936835</c:v>
                </c:pt>
                <c:pt idx="238">
                  <c:v>106.06620048576566</c:v>
                </c:pt>
                <c:pt idx="239">
                  <c:v>106.01332741095624</c:v>
                </c:pt>
                <c:pt idx="240">
                  <c:v>105.90041158286846</c:v>
                </c:pt>
                <c:pt idx="241">
                  <c:v>105.75191525336295</c:v>
                </c:pt>
                <c:pt idx="242">
                  <c:v>105.62616471329085</c:v>
                </c:pt>
                <c:pt idx="243">
                  <c:v>105.46051489741848</c:v>
                </c:pt>
                <c:pt idx="244">
                  <c:v>105.32857004302726</c:v>
                </c:pt>
                <c:pt idx="245">
                  <c:v>105.33633760591277</c:v>
                </c:pt>
                <c:pt idx="246">
                  <c:v>105.27732479658673</c:v>
                </c:pt>
                <c:pt idx="247">
                  <c:v>105.24095863245333</c:v>
                </c:pt>
                <c:pt idx="248">
                  <c:v>105.17208007426031</c:v>
                </c:pt>
                <c:pt idx="249">
                  <c:v>105.11193190283704</c:v>
                </c:pt>
                <c:pt idx="250">
                  <c:v>105.12946857226187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E7-48B5-A6A0-5C4C5A32B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883568"/>
        <c:axId val="1366874928"/>
      </c:lineChart>
      <c:dateAx>
        <c:axId val="1366883568"/>
        <c:scaling>
          <c:orientation val="minMax"/>
          <c:min val="4595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874928"/>
        <c:crosses val="autoZero"/>
        <c:auto val="1"/>
        <c:lblOffset val="100"/>
        <c:baseTimeUnit val="days"/>
      </c:dateAx>
      <c:valAx>
        <c:axId val="13668749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88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Bollinger Bands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Data!$C$2:$C$254</c:f>
              <c:numCache>
                <c:formatCode>_([$$-409]* #,##0.00_);_([$$-409]* \(#,##0.00\);_([$$-409]* "-"??_);_(@_)</c:formatCode>
                <c:ptCount val="253"/>
                <c:pt idx="0">
                  <c:v>110.69</c:v>
                </c:pt>
                <c:pt idx="1">
                  <c:v>111.27</c:v>
                </c:pt>
                <c:pt idx="2">
                  <c:v>109.73</c:v>
                </c:pt>
                <c:pt idx="3">
                  <c:v>109.46</c:v>
                </c:pt>
                <c:pt idx="4">
                  <c:v>110.15</c:v>
                </c:pt>
                <c:pt idx="5">
                  <c:v>111.33</c:v>
                </c:pt>
                <c:pt idx="6">
                  <c:v>107.76</c:v>
                </c:pt>
                <c:pt idx="7">
                  <c:v>107.54</c:v>
                </c:pt>
                <c:pt idx="8">
                  <c:v>105.44</c:v>
                </c:pt>
                <c:pt idx="9">
                  <c:v>107.62</c:v>
                </c:pt>
                <c:pt idx="10">
                  <c:v>109.02</c:v>
                </c:pt>
                <c:pt idx="11">
                  <c:v>111.8</c:v>
                </c:pt>
                <c:pt idx="12">
                  <c:v>109.16</c:v>
                </c:pt>
                <c:pt idx="13">
                  <c:v>109.13</c:v>
                </c:pt>
                <c:pt idx="14">
                  <c:v>108.67</c:v>
                </c:pt>
                <c:pt idx="15">
                  <c:v>111.9</c:v>
                </c:pt>
                <c:pt idx="16">
                  <c:v>113.76</c:v>
                </c:pt>
                <c:pt idx="17">
                  <c:v>113.64</c:v>
                </c:pt>
                <c:pt idx="18">
                  <c:v>115.41</c:v>
                </c:pt>
                <c:pt idx="19">
                  <c:v>115.9</c:v>
                </c:pt>
                <c:pt idx="20">
                  <c:v>115.5</c:v>
                </c:pt>
                <c:pt idx="21">
                  <c:v>115.8</c:v>
                </c:pt>
                <c:pt idx="22">
                  <c:v>116.59</c:v>
                </c:pt>
                <c:pt idx="23">
                  <c:v>118.27</c:v>
                </c:pt>
                <c:pt idx="24">
                  <c:v>117.89</c:v>
                </c:pt>
                <c:pt idx="25">
                  <c:v>117.73</c:v>
                </c:pt>
                <c:pt idx="26">
                  <c:v>118.93</c:v>
                </c:pt>
                <c:pt idx="27">
                  <c:v>119.04</c:v>
                </c:pt>
                <c:pt idx="28">
                  <c:v>118.67</c:v>
                </c:pt>
                <c:pt idx="29">
                  <c:v>112.43</c:v>
                </c:pt>
                <c:pt idx="30">
                  <c:v>104.34</c:v>
                </c:pt>
                <c:pt idx="31">
                  <c:v>102.94</c:v>
                </c:pt>
                <c:pt idx="32">
                  <c:v>100.77</c:v>
                </c:pt>
                <c:pt idx="33">
                  <c:v>105.8</c:v>
                </c:pt>
                <c:pt idx="34">
                  <c:v>99.93</c:v>
                </c:pt>
                <c:pt idx="35">
                  <c:v>103.14</c:v>
                </c:pt>
                <c:pt idx="36">
                  <c:v>103.39</c:v>
                </c:pt>
                <c:pt idx="37">
                  <c:v>103.1</c:v>
                </c:pt>
                <c:pt idx="38">
                  <c:v>104.19</c:v>
                </c:pt>
                <c:pt idx="39">
                  <c:v>106.92</c:v>
                </c:pt>
                <c:pt idx="40">
                  <c:v>105.35</c:v>
                </c:pt>
                <c:pt idx="41">
                  <c:v>108.3</c:v>
                </c:pt>
                <c:pt idx="42">
                  <c:v>107.37</c:v>
                </c:pt>
                <c:pt idx="43">
                  <c:v>108.63</c:v>
                </c:pt>
                <c:pt idx="44">
                  <c:v>108.57</c:v>
                </c:pt>
                <c:pt idx="45">
                  <c:v>108.63</c:v>
                </c:pt>
                <c:pt idx="46">
                  <c:v>108.36</c:v>
                </c:pt>
                <c:pt idx="47">
                  <c:v>105.63</c:v>
                </c:pt>
                <c:pt idx="48">
                  <c:v>105.78</c:v>
                </c:pt>
                <c:pt idx="49">
                  <c:v>106.21</c:v>
                </c:pt>
                <c:pt idx="50">
                  <c:v>103.27</c:v>
                </c:pt>
                <c:pt idx="51">
                  <c:v>104.71</c:v>
                </c:pt>
                <c:pt idx="52">
                  <c:v>104.61</c:v>
                </c:pt>
                <c:pt idx="53">
                  <c:v>106.07</c:v>
                </c:pt>
                <c:pt idx="54">
                  <c:v>107.31</c:v>
                </c:pt>
                <c:pt idx="55">
                  <c:v>109.16</c:v>
                </c:pt>
                <c:pt idx="56">
                  <c:v>109.46</c:v>
                </c:pt>
                <c:pt idx="57">
                  <c:v>108.48</c:v>
                </c:pt>
                <c:pt idx="58">
                  <c:v>108.58</c:v>
                </c:pt>
                <c:pt idx="59">
                  <c:v>108.19</c:v>
                </c:pt>
                <c:pt idx="60">
                  <c:v>106.47</c:v>
                </c:pt>
                <c:pt idx="61">
                  <c:v>104.95</c:v>
                </c:pt>
                <c:pt idx="62">
                  <c:v>103.66</c:v>
                </c:pt>
                <c:pt idx="63">
                  <c:v>102.97</c:v>
                </c:pt>
                <c:pt idx="64">
                  <c:v>103.03</c:v>
                </c:pt>
                <c:pt idx="65">
                  <c:v>103.52</c:v>
                </c:pt>
                <c:pt idx="66">
                  <c:v>102.11</c:v>
                </c:pt>
                <c:pt idx="67">
                  <c:v>102.69</c:v>
                </c:pt>
                <c:pt idx="68">
                  <c:v>102.3</c:v>
                </c:pt>
                <c:pt idx="69">
                  <c:v>103.05</c:v>
                </c:pt>
                <c:pt idx="70">
                  <c:v>103.8</c:v>
                </c:pt>
                <c:pt idx="71">
                  <c:v>102.3</c:v>
                </c:pt>
                <c:pt idx="72">
                  <c:v>101.83</c:v>
                </c:pt>
                <c:pt idx="73">
                  <c:v>104.27</c:v>
                </c:pt>
                <c:pt idx="74">
                  <c:v>104.97</c:v>
                </c:pt>
                <c:pt idx="75">
                  <c:v>107.22</c:v>
                </c:pt>
                <c:pt idx="76">
                  <c:v>109.31</c:v>
                </c:pt>
                <c:pt idx="77">
                  <c:v>109.73</c:v>
                </c:pt>
                <c:pt idx="78">
                  <c:v>112.12</c:v>
                </c:pt>
                <c:pt idx="79">
                  <c:v>112.48</c:v>
                </c:pt>
                <c:pt idx="80">
                  <c:v>114</c:v>
                </c:pt>
                <c:pt idx="81">
                  <c:v>113.19</c:v>
                </c:pt>
                <c:pt idx="82">
                  <c:v>114.7</c:v>
                </c:pt>
                <c:pt idx="83">
                  <c:v>111.74</c:v>
                </c:pt>
                <c:pt idx="84">
                  <c:v>108.34</c:v>
                </c:pt>
                <c:pt idx="85">
                  <c:v>108.37</c:v>
                </c:pt>
                <c:pt idx="86">
                  <c:v>109.99</c:v>
                </c:pt>
                <c:pt idx="87">
                  <c:v>109.38</c:v>
                </c:pt>
                <c:pt idx="88">
                  <c:v>107.8</c:v>
                </c:pt>
                <c:pt idx="89">
                  <c:v>109.24</c:v>
                </c:pt>
                <c:pt idx="90">
                  <c:v>111.05</c:v>
                </c:pt>
                <c:pt idx="91">
                  <c:v>112.2</c:v>
                </c:pt>
                <c:pt idx="92">
                  <c:v>111.11</c:v>
                </c:pt>
                <c:pt idx="93">
                  <c:v>114.19</c:v>
                </c:pt>
                <c:pt idx="94">
                  <c:v>113.8</c:v>
                </c:pt>
                <c:pt idx="95">
                  <c:v>114.93</c:v>
                </c:pt>
                <c:pt idx="96">
                  <c:v>115.43</c:v>
                </c:pt>
                <c:pt idx="97">
                  <c:v>113.92</c:v>
                </c:pt>
                <c:pt idx="98">
                  <c:v>112.91</c:v>
                </c:pt>
                <c:pt idx="99">
                  <c:v>112.23</c:v>
                </c:pt>
                <c:pt idx="100">
                  <c:v>111.66</c:v>
                </c:pt>
                <c:pt idx="101">
                  <c:v>107.77</c:v>
                </c:pt>
                <c:pt idx="102">
                  <c:v>108.05</c:v>
                </c:pt>
                <c:pt idx="103">
                  <c:v>108.54</c:v>
                </c:pt>
                <c:pt idx="104">
                  <c:v>109.93</c:v>
                </c:pt>
                <c:pt idx="105">
                  <c:v>110.79</c:v>
                </c:pt>
                <c:pt idx="106">
                  <c:v>110.4</c:v>
                </c:pt>
                <c:pt idx="107">
                  <c:v>111.44</c:v>
                </c:pt>
                <c:pt idx="108">
                  <c:v>112.88</c:v>
                </c:pt>
                <c:pt idx="109">
                  <c:v>111.9</c:v>
                </c:pt>
                <c:pt idx="110">
                  <c:v>111.64</c:v>
                </c:pt>
                <c:pt idx="111">
                  <c:v>109.64</c:v>
                </c:pt>
                <c:pt idx="112">
                  <c:v>107.37</c:v>
                </c:pt>
                <c:pt idx="113">
                  <c:v>107.24</c:v>
                </c:pt>
                <c:pt idx="114">
                  <c:v>106.51</c:v>
                </c:pt>
                <c:pt idx="115">
                  <c:v>105.95</c:v>
                </c:pt>
                <c:pt idx="116">
                  <c:v>106.8</c:v>
                </c:pt>
                <c:pt idx="117">
                  <c:v>105.83</c:v>
                </c:pt>
                <c:pt idx="118">
                  <c:v>106.13</c:v>
                </c:pt>
                <c:pt idx="119">
                  <c:v>107.6</c:v>
                </c:pt>
                <c:pt idx="120">
                  <c:v>107.38</c:v>
                </c:pt>
                <c:pt idx="121">
                  <c:v>106.49</c:v>
                </c:pt>
                <c:pt idx="122">
                  <c:v>106.72</c:v>
                </c:pt>
                <c:pt idx="123">
                  <c:v>107.42</c:v>
                </c:pt>
                <c:pt idx="124">
                  <c:v>108.53</c:v>
                </c:pt>
                <c:pt idx="125">
                  <c:v>109.23</c:v>
                </c:pt>
                <c:pt idx="126">
                  <c:v>111.28</c:v>
                </c:pt>
                <c:pt idx="127">
                  <c:v>111.74</c:v>
                </c:pt>
                <c:pt idx="128">
                  <c:v>111.49</c:v>
                </c:pt>
                <c:pt idx="129">
                  <c:v>112.75</c:v>
                </c:pt>
                <c:pt idx="130">
                  <c:v>113.35</c:v>
                </c:pt>
                <c:pt idx="131">
                  <c:v>114.29</c:v>
                </c:pt>
                <c:pt idx="132">
                  <c:v>114.69</c:v>
                </c:pt>
                <c:pt idx="133">
                  <c:v>111.91</c:v>
                </c:pt>
                <c:pt idx="134">
                  <c:v>112.4</c:v>
                </c:pt>
                <c:pt idx="135">
                  <c:v>109.23</c:v>
                </c:pt>
                <c:pt idx="136">
                  <c:v>109.85</c:v>
                </c:pt>
                <c:pt idx="137">
                  <c:v>110.65</c:v>
                </c:pt>
                <c:pt idx="138">
                  <c:v>112.5</c:v>
                </c:pt>
                <c:pt idx="139">
                  <c:v>112.14</c:v>
                </c:pt>
                <c:pt idx="140">
                  <c:v>112.16</c:v>
                </c:pt>
                <c:pt idx="141">
                  <c:v>112.35</c:v>
                </c:pt>
                <c:pt idx="142">
                  <c:v>114.68</c:v>
                </c:pt>
                <c:pt idx="143">
                  <c:v>115.29</c:v>
                </c:pt>
                <c:pt idx="144">
                  <c:v>113.93</c:v>
                </c:pt>
                <c:pt idx="145">
                  <c:v>112.82</c:v>
                </c:pt>
                <c:pt idx="146">
                  <c:v>112.02</c:v>
                </c:pt>
                <c:pt idx="147">
                  <c:v>113.95</c:v>
                </c:pt>
                <c:pt idx="148">
                  <c:v>114.56</c:v>
                </c:pt>
                <c:pt idx="149">
                  <c:v>115.59</c:v>
                </c:pt>
                <c:pt idx="150">
                  <c:v>117.22</c:v>
                </c:pt>
                <c:pt idx="151">
                  <c:v>114.22</c:v>
                </c:pt>
                <c:pt idx="152">
                  <c:v>112.75</c:v>
                </c:pt>
                <c:pt idx="153">
                  <c:v>111.99</c:v>
                </c:pt>
                <c:pt idx="154">
                  <c:v>111.29</c:v>
                </c:pt>
                <c:pt idx="155">
                  <c:v>113.26</c:v>
                </c:pt>
                <c:pt idx="156">
                  <c:v>114.2</c:v>
                </c:pt>
                <c:pt idx="157">
                  <c:v>114.26</c:v>
                </c:pt>
                <c:pt idx="158">
                  <c:v>114.02</c:v>
                </c:pt>
                <c:pt idx="159">
                  <c:v>112.91</c:v>
                </c:pt>
                <c:pt idx="160">
                  <c:v>110.73</c:v>
                </c:pt>
                <c:pt idx="161">
                  <c:v>112.24</c:v>
                </c:pt>
                <c:pt idx="162">
                  <c:v>112.29</c:v>
                </c:pt>
                <c:pt idx="163">
                  <c:v>111.61</c:v>
                </c:pt>
                <c:pt idx="164">
                  <c:v>110.64</c:v>
                </c:pt>
                <c:pt idx="165">
                  <c:v>112.24</c:v>
                </c:pt>
                <c:pt idx="166">
                  <c:v>112.7</c:v>
                </c:pt>
                <c:pt idx="167">
                  <c:v>112.71</c:v>
                </c:pt>
                <c:pt idx="168">
                  <c:v>114.71</c:v>
                </c:pt>
                <c:pt idx="169">
                  <c:v>115.98</c:v>
                </c:pt>
                <c:pt idx="170">
                  <c:v>115.39</c:v>
                </c:pt>
                <c:pt idx="171">
                  <c:v>115.94</c:v>
                </c:pt>
                <c:pt idx="172">
                  <c:v>115.03</c:v>
                </c:pt>
                <c:pt idx="173">
                  <c:v>116.45</c:v>
                </c:pt>
                <c:pt idx="174">
                  <c:v>114.69</c:v>
                </c:pt>
                <c:pt idx="175">
                  <c:v>114.36</c:v>
                </c:pt>
                <c:pt idx="176">
                  <c:v>113.76</c:v>
                </c:pt>
                <c:pt idx="177">
                  <c:v>114.14</c:v>
                </c:pt>
                <c:pt idx="178">
                  <c:v>113.68</c:v>
                </c:pt>
                <c:pt idx="179">
                  <c:v>114.5</c:v>
                </c:pt>
                <c:pt idx="180">
                  <c:v>117.22</c:v>
                </c:pt>
                <c:pt idx="181">
                  <c:v>118.22</c:v>
                </c:pt>
                <c:pt idx="182">
                  <c:v>119.78</c:v>
                </c:pt>
                <c:pt idx="183">
                  <c:v>118.12</c:v>
                </c:pt>
                <c:pt idx="184">
                  <c:v>118.79</c:v>
                </c:pt>
                <c:pt idx="185">
                  <c:v>119.29</c:v>
                </c:pt>
                <c:pt idx="186">
                  <c:v>117.68</c:v>
                </c:pt>
                <c:pt idx="187">
                  <c:v>119.03</c:v>
                </c:pt>
                <c:pt idx="188">
                  <c:v>117.35</c:v>
                </c:pt>
                <c:pt idx="189">
                  <c:v>117.02</c:v>
                </c:pt>
                <c:pt idx="190">
                  <c:v>117.08</c:v>
                </c:pt>
                <c:pt idx="191">
                  <c:v>115.97</c:v>
                </c:pt>
                <c:pt idx="192">
                  <c:v>114.51</c:v>
                </c:pt>
                <c:pt idx="193">
                  <c:v>114.77</c:v>
                </c:pt>
                <c:pt idx="194">
                  <c:v>115.92</c:v>
                </c:pt>
                <c:pt idx="195">
                  <c:v>116.63</c:v>
                </c:pt>
                <c:pt idx="196">
                  <c:v>115.38</c:v>
                </c:pt>
                <c:pt idx="197">
                  <c:v>117.8</c:v>
                </c:pt>
                <c:pt idx="198">
                  <c:v>117.14</c:v>
                </c:pt>
                <c:pt idx="199">
                  <c:v>116.54</c:v>
                </c:pt>
                <c:pt idx="200">
                  <c:v>115.98</c:v>
                </c:pt>
                <c:pt idx="201">
                  <c:v>118.25</c:v>
                </c:pt>
                <c:pt idx="202">
                  <c:v>119.54</c:v>
                </c:pt>
                <c:pt idx="203">
                  <c:v>119.54</c:v>
                </c:pt>
                <c:pt idx="204">
                  <c:v>118.82</c:v>
                </c:pt>
                <c:pt idx="205">
                  <c:v>117.76</c:v>
                </c:pt>
                <c:pt idx="206">
                  <c:v>114.68</c:v>
                </c:pt>
                <c:pt idx="207">
                  <c:v>117.41</c:v>
                </c:pt>
                <c:pt idx="208">
                  <c:v>116.54</c:v>
                </c:pt>
                <c:pt idx="209">
                  <c:v>116.69</c:v>
                </c:pt>
                <c:pt idx="210">
                  <c:v>118.15</c:v>
                </c:pt>
                <c:pt idx="211">
                  <c:v>119.42</c:v>
                </c:pt>
                <c:pt idx="212">
                  <c:v>119.22</c:v>
                </c:pt>
                <c:pt idx="213">
                  <c:v>119.11</c:v>
                </c:pt>
                <c:pt idx="214">
                  <c:v>120.53</c:v>
                </c:pt>
                <c:pt idx="215">
                  <c:v>120.99</c:v>
                </c:pt>
                <c:pt idx="216">
                  <c:v>120.34</c:v>
                </c:pt>
                <c:pt idx="217">
                  <c:v>122.65</c:v>
                </c:pt>
                <c:pt idx="218">
                  <c:v>125.36</c:v>
                </c:pt>
                <c:pt idx="219">
                  <c:v>121.05</c:v>
                </c:pt>
                <c:pt idx="220">
                  <c:v>118.49</c:v>
                </c:pt>
                <c:pt idx="221">
                  <c:v>122.91</c:v>
                </c:pt>
                <c:pt idx="222">
                  <c:v>124.61</c:v>
                </c:pt>
                <c:pt idx="223">
                  <c:v>124.03</c:v>
                </c:pt>
                <c:pt idx="224">
                  <c:v>126.54</c:v>
                </c:pt>
                <c:pt idx="225">
                  <c:v>130.19999999999999</c:v>
                </c:pt>
                <c:pt idx="226">
                  <c:v>129.13</c:v>
                </c:pt>
                <c:pt idx="227">
                  <c:v>129.88999999999999</c:v>
                </c:pt>
                <c:pt idx="228">
                  <c:v>130.46</c:v>
                </c:pt>
                <c:pt idx="229">
                  <c:v>133.61000000000001</c:v>
                </c:pt>
                <c:pt idx="230">
                  <c:v>133.63999999999999</c:v>
                </c:pt>
                <c:pt idx="231">
                  <c:v>134.97</c:v>
                </c:pt>
                <c:pt idx="232">
                  <c:v>134.84</c:v>
                </c:pt>
                <c:pt idx="233">
                  <c:v>136.83000000000001</c:v>
                </c:pt>
                <c:pt idx="234">
                  <c:v>137.58000000000001</c:v>
                </c:pt>
                <c:pt idx="235">
                  <c:v>140.51</c:v>
                </c:pt>
                <c:pt idx="236">
                  <c:v>141.4</c:v>
                </c:pt>
                <c:pt idx="237">
                  <c:v>138.4</c:v>
                </c:pt>
                <c:pt idx="238">
                  <c:v>143.72999999999999</c:v>
                </c:pt>
                <c:pt idx="239">
                  <c:v>147.59</c:v>
                </c:pt>
                <c:pt idx="240">
                  <c:v>146.08000000000001</c:v>
                </c:pt>
                <c:pt idx="241">
                  <c:v>149.05000000000001</c:v>
                </c:pt>
                <c:pt idx="242">
                  <c:v>151.21</c:v>
                </c:pt>
                <c:pt idx="243">
                  <c:v>151.59</c:v>
                </c:pt>
                <c:pt idx="244">
                  <c:v>155.56</c:v>
                </c:pt>
                <c:pt idx="245">
                  <c:v>149.93</c:v>
                </c:pt>
                <c:pt idx="246">
                  <c:v>148.44999999999999</c:v>
                </c:pt>
                <c:pt idx="247">
                  <c:v>146.19</c:v>
                </c:pt>
                <c:pt idx="248">
                  <c:v>150.68</c:v>
                </c:pt>
                <c:pt idx="249">
                  <c:v>150.97</c:v>
                </c:pt>
                <c:pt idx="250">
                  <c:v>147.28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6B-4880-8830-0977CCB2D5FA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Data!$J$2:$J$254</c:f>
              <c:numCache>
                <c:formatCode>General</c:formatCode>
                <c:ptCount val="253"/>
                <c:pt idx="19">
                  <c:v>110.46900000000001</c:v>
                </c:pt>
                <c:pt idx="20">
                  <c:v>110.70950000000002</c:v>
                </c:pt>
                <c:pt idx="21">
                  <c:v>110.93600000000006</c:v>
                </c:pt>
                <c:pt idx="22">
                  <c:v>111.27900000000002</c:v>
                </c:pt>
                <c:pt idx="23">
                  <c:v>111.71950000000001</c:v>
                </c:pt>
                <c:pt idx="24">
                  <c:v>112.10650000000001</c:v>
                </c:pt>
                <c:pt idx="25">
                  <c:v>112.4265</c:v>
                </c:pt>
                <c:pt idx="26">
                  <c:v>112.98499999999999</c:v>
                </c:pt>
                <c:pt idx="27">
                  <c:v>113.55999999999999</c:v>
                </c:pt>
                <c:pt idx="28">
                  <c:v>114.22150000000002</c:v>
                </c:pt>
                <c:pt idx="29">
                  <c:v>114.46199999999999</c:v>
                </c:pt>
                <c:pt idx="30">
                  <c:v>114.22799999999999</c:v>
                </c:pt>
                <c:pt idx="31">
                  <c:v>113.78500000000001</c:v>
                </c:pt>
                <c:pt idx="32">
                  <c:v>113.36550000000003</c:v>
                </c:pt>
                <c:pt idx="33">
                  <c:v>113.199</c:v>
                </c:pt>
                <c:pt idx="34">
                  <c:v>112.76200000000001</c:v>
                </c:pt>
                <c:pt idx="35">
                  <c:v>112.324</c:v>
                </c:pt>
                <c:pt idx="36">
                  <c:v>111.80550000000001</c:v>
                </c:pt>
                <c:pt idx="37">
                  <c:v>111.27850000000001</c:v>
                </c:pt>
                <c:pt idx="38">
                  <c:v>110.71750000000002</c:v>
                </c:pt>
                <c:pt idx="39">
                  <c:v>110.26850000000002</c:v>
                </c:pt>
                <c:pt idx="40">
                  <c:v>109.761</c:v>
                </c:pt>
                <c:pt idx="41">
                  <c:v>109.38600000000001</c:v>
                </c:pt>
                <c:pt idx="42">
                  <c:v>108.925</c:v>
                </c:pt>
                <c:pt idx="43">
                  <c:v>108.44300000000001</c:v>
                </c:pt>
                <c:pt idx="44">
                  <c:v>107.97700000000002</c:v>
                </c:pt>
                <c:pt idx="45">
                  <c:v>107.52200000000001</c:v>
                </c:pt>
                <c:pt idx="46">
                  <c:v>106.9935</c:v>
                </c:pt>
                <c:pt idx="47">
                  <c:v>106.32299999999998</c:v>
                </c:pt>
                <c:pt idx="48">
                  <c:v>105.67849999999999</c:v>
                </c:pt>
                <c:pt idx="49">
                  <c:v>105.36749999999998</c:v>
                </c:pt>
                <c:pt idx="50">
                  <c:v>105.31399999999999</c:v>
                </c:pt>
                <c:pt idx="51">
                  <c:v>105.40249999999996</c:v>
                </c:pt>
                <c:pt idx="52">
                  <c:v>105.59449999999997</c:v>
                </c:pt>
                <c:pt idx="53">
                  <c:v>105.60799999999999</c:v>
                </c:pt>
                <c:pt idx="54">
                  <c:v>105.977</c:v>
                </c:pt>
                <c:pt idx="55">
                  <c:v>106.27799999999998</c:v>
                </c:pt>
                <c:pt idx="56">
                  <c:v>106.58149999999998</c:v>
                </c:pt>
                <c:pt idx="57">
                  <c:v>106.85050000000001</c:v>
                </c:pt>
                <c:pt idx="58">
                  <c:v>107.07000000000001</c:v>
                </c:pt>
                <c:pt idx="59">
                  <c:v>107.13349999999998</c:v>
                </c:pt>
                <c:pt idx="60">
                  <c:v>107.1895</c:v>
                </c:pt>
                <c:pt idx="61">
                  <c:v>107.02199999999998</c:v>
                </c:pt>
                <c:pt idx="62">
                  <c:v>106.8365</c:v>
                </c:pt>
                <c:pt idx="63">
                  <c:v>106.55350000000001</c:v>
                </c:pt>
                <c:pt idx="64">
                  <c:v>106.27650000000001</c:v>
                </c:pt>
                <c:pt idx="65">
                  <c:v>106.02100000000003</c:v>
                </c:pt>
                <c:pt idx="66">
                  <c:v>105.7085</c:v>
                </c:pt>
                <c:pt idx="67">
                  <c:v>105.56149999999998</c:v>
                </c:pt>
                <c:pt idx="68">
                  <c:v>105.38750000000002</c:v>
                </c:pt>
                <c:pt idx="69">
                  <c:v>105.2295</c:v>
                </c:pt>
                <c:pt idx="70">
                  <c:v>105.25600000000001</c:v>
                </c:pt>
                <c:pt idx="71">
                  <c:v>105.13550000000001</c:v>
                </c:pt>
                <c:pt idx="72">
                  <c:v>104.9965</c:v>
                </c:pt>
                <c:pt idx="73">
                  <c:v>104.90649999999998</c:v>
                </c:pt>
                <c:pt idx="74">
                  <c:v>104.78949999999998</c:v>
                </c:pt>
                <c:pt idx="75">
                  <c:v>104.69249999999997</c:v>
                </c:pt>
                <c:pt idx="76">
                  <c:v>104.68499999999999</c:v>
                </c:pt>
                <c:pt idx="77">
                  <c:v>104.74749999999999</c:v>
                </c:pt>
                <c:pt idx="78">
                  <c:v>104.92449999999999</c:v>
                </c:pt>
                <c:pt idx="79">
                  <c:v>105.13899999999998</c:v>
                </c:pt>
                <c:pt idx="80">
                  <c:v>105.5155</c:v>
                </c:pt>
                <c:pt idx="81">
                  <c:v>105.92749999999998</c:v>
                </c:pt>
                <c:pt idx="82">
                  <c:v>106.47949999999999</c:v>
                </c:pt>
                <c:pt idx="83">
                  <c:v>106.91800000000001</c:v>
                </c:pt>
                <c:pt idx="84">
                  <c:v>107.18350000000001</c:v>
                </c:pt>
                <c:pt idx="85">
                  <c:v>107.426</c:v>
                </c:pt>
                <c:pt idx="86">
                  <c:v>107.82000000000001</c:v>
                </c:pt>
                <c:pt idx="87">
                  <c:v>108.15450000000001</c:v>
                </c:pt>
                <c:pt idx="88">
                  <c:v>108.4295</c:v>
                </c:pt>
                <c:pt idx="89">
                  <c:v>108.73899999999999</c:v>
                </c:pt>
                <c:pt idx="90">
                  <c:v>109.10150000000002</c:v>
                </c:pt>
                <c:pt idx="91">
                  <c:v>109.59649999999999</c:v>
                </c:pt>
                <c:pt idx="92">
                  <c:v>110.0605</c:v>
                </c:pt>
                <c:pt idx="93">
                  <c:v>110.5565</c:v>
                </c:pt>
                <c:pt idx="94">
                  <c:v>110.99799999999998</c:v>
                </c:pt>
                <c:pt idx="95">
                  <c:v>111.3835</c:v>
                </c:pt>
                <c:pt idx="96">
                  <c:v>111.68949999999998</c:v>
                </c:pt>
                <c:pt idx="97">
                  <c:v>111.899</c:v>
                </c:pt>
                <c:pt idx="98">
                  <c:v>111.9385</c:v>
                </c:pt>
                <c:pt idx="99">
                  <c:v>111.926</c:v>
                </c:pt>
                <c:pt idx="100">
                  <c:v>111.809</c:v>
                </c:pt>
                <c:pt idx="101">
                  <c:v>111.53800000000001</c:v>
                </c:pt>
                <c:pt idx="102">
                  <c:v>111.20550000000003</c:v>
                </c:pt>
                <c:pt idx="103">
                  <c:v>111.04550000000002</c:v>
                </c:pt>
                <c:pt idx="104">
                  <c:v>111.125</c:v>
                </c:pt>
                <c:pt idx="105">
                  <c:v>111.24600000000001</c:v>
                </c:pt>
                <c:pt idx="106">
                  <c:v>111.26650000000002</c:v>
                </c:pt>
                <c:pt idx="107">
                  <c:v>111.36950000000002</c:v>
                </c:pt>
                <c:pt idx="108">
                  <c:v>111.62350000000001</c:v>
                </c:pt>
                <c:pt idx="109">
                  <c:v>111.7565</c:v>
                </c:pt>
                <c:pt idx="110">
                  <c:v>111.78600000000002</c:v>
                </c:pt>
                <c:pt idx="111">
                  <c:v>111.65799999999999</c:v>
                </c:pt>
                <c:pt idx="112">
                  <c:v>111.471</c:v>
                </c:pt>
                <c:pt idx="113">
                  <c:v>111.12350000000001</c:v>
                </c:pt>
                <c:pt idx="114">
                  <c:v>110.75900000000001</c:v>
                </c:pt>
                <c:pt idx="115">
                  <c:v>110.30999999999999</c:v>
                </c:pt>
                <c:pt idx="116">
                  <c:v>109.8785</c:v>
                </c:pt>
                <c:pt idx="117">
                  <c:v>109.474</c:v>
                </c:pt>
                <c:pt idx="118">
                  <c:v>109.13500000000002</c:v>
                </c:pt>
                <c:pt idx="119">
                  <c:v>108.90350000000001</c:v>
                </c:pt>
                <c:pt idx="120">
                  <c:v>108.68950000000002</c:v>
                </c:pt>
                <c:pt idx="121">
                  <c:v>108.62549999999999</c:v>
                </c:pt>
                <c:pt idx="122">
                  <c:v>108.559</c:v>
                </c:pt>
                <c:pt idx="123">
                  <c:v>108.503</c:v>
                </c:pt>
                <c:pt idx="124">
                  <c:v>108.43300000000002</c:v>
                </c:pt>
                <c:pt idx="125">
                  <c:v>108.35500000000002</c:v>
                </c:pt>
                <c:pt idx="126">
                  <c:v>108.399</c:v>
                </c:pt>
                <c:pt idx="127">
                  <c:v>108.41399999999999</c:v>
                </c:pt>
                <c:pt idx="128">
                  <c:v>108.34449999999997</c:v>
                </c:pt>
                <c:pt idx="129">
                  <c:v>108.38700000000001</c:v>
                </c:pt>
                <c:pt idx="130">
                  <c:v>108.47250000000001</c:v>
                </c:pt>
                <c:pt idx="131">
                  <c:v>108.705</c:v>
                </c:pt>
                <c:pt idx="132">
                  <c:v>109.071</c:v>
                </c:pt>
                <c:pt idx="133">
                  <c:v>109.30449999999999</c:v>
                </c:pt>
                <c:pt idx="134">
                  <c:v>109.599</c:v>
                </c:pt>
                <c:pt idx="135">
                  <c:v>109.76299999999999</c:v>
                </c:pt>
                <c:pt idx="136">
                  <c:v>109.91549999999999</c:v>
                </c:pt>
                <c:pt idx="137">
                  <c:v>110.15650000000001</c:v>
                </c:pt>
                <c:pt idx="138">
                  <c:v>110.47499999999999</c:v>
                </c:pt>
                <c:pt idx="139">
                  <c:v>110.70200000000003</c:v>
                </c:pt>
                <c:pt idx="140">
                  <c:v>110.941</c:v>
                </c:pt>
                <c:pt idx="141">
                  <c:v>111.23400000000001</c:v>
                </c:pt>
                <c:pt idx="142">
                  <c:v>111.63200000000002</c:v>
                </c:pt>
                <c:pt idx="143">
                  <c:v>112.02550000000001</c:v>
                </c:pt>
                <c:pt idx="144">
                  <c:v>112.29549999999999</c:v>
                </c:pt>
                <c:pt idx="145">
                  <c:v>112.47499999999999</c:v>
                </c:pt>
                <c:pt idx="146">
                  <c:v>112.51200000000001</c:v>
                </c:pt>
                <c:pt idx="147">
                  <c:v>112.62250000000002</c:v>
                </c:pt>
                <c:pt idx="148">
                  <c:v>112.776</c:v>
                </c:pt>
                <c:pt idx="149">
                  <c:v>112.91800000000001</c:v>
                </c:pt>
                <c:pt idx="150">
                  <c:v>113.11149999999998</c:v>
                </c:pt>
                <c:pt idx="151">
                  <c:v>113.10799999999998</c:v>
                </c:pt>
                <c:pt idx="152">
                  <c:v>113.011</c:v>
                </c:pt>
                <c:pt idx="153">
                  <c:v>113.01499999999999</c:v>
                </c:pt>
                <c:pt idx="154">
                  <c:v>112.95949999999998</c:v>
                </c:pt>
                <c:pt idx="155">
                  <c:v>113.16100000000002</c:v>
                </c:pt>
                <c:pt idx="156">
                  <c:v>113.37849999999999</c:v>
                </c:pt>
                <c:pt idx="157">
                  <c:v>113.559</c:v>
                </c:pt>
                <c:pt idx="158">
                  <c:v>113.63499999999999</c:v>
                </c:pt>
                <c:pt idx="159">
                  <c:v>113.67349999999999</c:v>
                </c:pt>
                <c:pt idx="160">
                  <c:v>113.602</c:v>
                </c:pt>
                <c:pt idx="161">
                  <c:v>113.59649999999999</c:v>
                </c:pt>
                <c:pt idx="162">
                  <c:v>113.477</c:v>
                </c:pt>
                <c:pt idx="163">
                  <c:v>113.29300000000001</c:v>
                </c:pt>
                <c:pt idx="164">
                  <c:v>113.12849999999999</c:v>
                </c:pt>
                <c:pt idx="165">
                  <c:v>113.09949999999999</c:v>
                </c:pt>
                <c:pt idx="166">
                  <c:v>113.1335</c:v>
                </c:pt>
                <c:pt idx="167">
                  <c:v>113.07149999999999</c:v>
                </c:pt>
                <c:pt idx="168">
                  <c:v>113.07899999999999</c:v>
                </c:pt>
                <c:pt idx="169">
                  <c:v>113.09850000000002</c:v>
                </c:pt>
                <c:pt idx="170">
                  <c:v>113.00699999999999</c:v>
                </c:pt>
                <c:pt idx="171">
                  <c:v>113.093</c:v>
                </c:pt>
                <c:pt idx="172">
                  <c:v>113.20700000000002</c:v>
                </c:pt>
                <c:pt idx="173">
                  <c:v>113.43000000000002</c:v>
                </c:pt>
                <c:pt idx="174">
                  <c:v>113.60000000000002</c:v>
                </c:pt>
                <c:pt idx="175">
                  <c:v>113.65500000000002</c:v>
                </c:pt>
                <c:pt idx="176">
                  <c:v>113.63300000000001</c:v>
                </c:pt>
                <c:pt idx="177">
                  <c:v>113.62700000000002</c:v>
                </c:pt>
                <c:pt idx="178">
                  <c:v>113.60999999999999</c:v>
                </c:pt>
                <c:pt idx="179">
                  <c:v>113.68950000000002</c:v>
                </c:pt>
                <c:pt idx="180">
                  <c:v>114.01400000000001</c:v>
                </c:pt>
                <c:pt idx="181">
                  <c:v>114.31299999999999</c:v>
                </c:pt>
                <c:pt idx="182">
                  <c:v>114.6875</c:v>
                </c:pt>
                <c:pt idx="183">
                  <c:v>115.01300000000001</c:v>
                </c:pt>
                <c:pt idx="184">
                  <c:v>115.42049999999999</c:v>
                </c:pt>
                <c:pt idx="185">
                  <c:v>115.773</c:v>
                </c:pt>
                <c:pt idx="186">
                  <c:v>116.02200000000001</c:v>
                </c:pt>
                <c:pt idx="187">
                  <c:v>116.33800000000001</c:v>
                </c:pt>
                <c:pt idx="188">
                  <c:v>116.47</c:v>
                </c:pt>
                <c:pt idx="189">
                  <c:v>116.52200000000001</c:v>
                </c:pt>
                <c:pt idx="190">
                  <c:v>116.60649999999998</c:v>
                </c:pt>
                <c:pt idx="191">
                  <c:v>116.60799999999999</c:v>
                </c:pt>
                <c:pt idx="192">
                  <c:v>116.58199999999999</c:v>
                </c:pt>
                <c:pt idx="193">
                  <c:v>116.498</c:v>
                </c:pt>
                <c:pt idx="194">
                  <c:v>116.5595</c:v>
                </c:pt>
                <c:pt idx="195">
                  <c:v>116.673</c:v>
                </c:pt>
                <c:pt idx="196">
                  <c:v>116.75399999999999</c:v>
                </c:pt>
                <c:pt idx="197">
                  <c:v>116.93700000000001</c:v>
                </c:pt>
                <c:pt idx="198">
                  <c:v>117.10999999999999</c:v>
                </c:pt>
                <c:pt idx="199">
                  <c:v>117.21199999999999</c:v>
                </c:pt>
                <c:pt idx="200">
                  <c:v>117.15000000000002</c:v>
                </c:pt>
                <c:pt idx="201">
                  <c:v>117.15150000000001</c:v>
                </c:pt>
                <c:pt idx="202">
                  <c:v>117.13950000000003</c:v>
                </c:pt>
                <c:pt idx="203">
                  <c:v>117.2105</c:v>
                </c:pt>
                <c:pt idx="204">
                  <c:v>117.21200000000002</c:v>
                </c:pt>
                <c:pt idx="205">
                  <c:v>117.13550000000002</c:v>
                </c:pt>
                <c:pt idx="206">
                  <c:v>116.9855</c:v>
                </c:pt>
                <c:pt idx="207">
                  <c:v>116.90449999999998</c:v>
                </c:pt>
                <c:pt idx="208">
                  <c:v>116.86399999999999</c:v>
                </c:pt>
                <c:pt idx="209">
                  <c:v>116.8475</c:v>
                </c:pt>
                <c:pt idx="210">
                  <c:v>116.901</c:v>
                </c:pt>
                <c:pt idx="211">
                  <c:v>117.0735</c:v>
                </c:pt>
                <c:pt idx="212">
                  <c:v>117.309</c:v>
                </c:pt>
                <c:pt idx="213">
                  <c:v>117.526</c:v>
                </c:pt>
                <c:pt idx="214">
                  <c:v>117.75650000000003</c:v>
                </c:pt>
                <c:pt idx="215">
                  <c:v>117.97450000000001</c:v>
                </c:pt>
                <c:pt idx="216">
                  <c:v>118.22250000000001</c:v>
                </c:pt>
                <c:pt idx="217">
                  <c:v>118.465</c:v>
                </c:pt>
                <c:pt idx="218">
                  <c:v>118.87600000000002</c:v>
                </c:pt>
                <c:pt idx="219">
                  <c:v>119.10150000000003</c:v>
                </c:pt>
                <c:pt idx="220">
                  <c:v>119.227</c:v>
                </c:pt>
                <c:pt idx="221">
                  <c:v>119.45999999999997</c:v>
                </c:pt>
                <c:pt idx="222">
                  <c:v>119.71349999999998</c:v>
                </c:pt>
                <c:pt idx="223">
                  <c:v>119.93799999999999</c:v>
                </c:pt>
                <c:pt idx="224">
                  <c:v>120.324</c:v>
                </c:pt>
                <c:pt idx="225">
                  <c:v>120.94599999999998</c:v>
                </c:pt>
                <c:pt idx="226">
                  <c:v>121.66849999999999</c:v>
                </c:pt>
                <c:pt idx="227">
                  <c:v>122.29249999999999</c:v>
                </c:pt>
                <c:pt idx="228">
                  <c:v>122.9885</c:v>
                </c:pt>
                <c:pt idx="229">
                  <c:v>123.83450000000001</c:v>
                </c:pt>
                <c:pt idx="230">
                  <c:v>124.60899999999999</c:v>
                </c:pt>
                <c:pt idx="231">
                  <c:v>125.38649999999998</c:v>
                </c:pt>
                <c:pt idx="232">
                  <c:v>126.16749999999999</c:v>
                </c:pt>
                <c:pt idx="233">
                  <c:v>127.05349999999999</c:v>
                </c:pt>
                <c:pt idx="234">
                  <c:v>127.90599999999999</c:v>
                </c:pt>
                <c:pt idx="235">
                  <c:v>128.88199999999998</c:v>
                </c:pt>
                <c:pt idx="236">
                  <c:v>129.93499999999997</c:v>
                </c:pt>
                <c:pt idx="237">
                  <c:v>130.7225</c:v>
                </c:pt>
                <c:pt idx="238">
                  <c:v>131.64100000000002</c:v>
                </c:pt>
                <c:pt idx="239">
                  <c:v>132.96800000000002</c:v>
                </c:pt>
                <c:pt idx="240">
                  <c:v>134.3475</c:v>
                </c:pt>
                <c:pt idx="241">
                  <c:v>135.65450000000001</c:v>
                </c:pt>
                <c:pt idx="242">
                  <c:v>136.9845</c:v>
                </c:pt>
                <c:pt idx="243">
                  <c:v>138.36250000000001</c:v>
                </c:pt>
                <c:pt idx="244">
                  <c:v>139.81350000000003</c:v>
                </c:pt>
                <c:pt idx="245">
                  <c:v>140.80000000000001</c:v>
                </c:pt>
                <c:pt idx="246">
                  <c:v>141.76600000000002</c:v>
                </c:pt>
                <c:pt idx="247">
                  <c:v>142.58099999999999</c:v>
                </c:pt>
                <c:pt idx="248">
                  <c:v>143.59199999999998</c:v>
                </c:pt>
                <c:pt idx="249">
                  <c:v>144.45999999999998</c:v>
                </c:pt>
                <c:pt idx="250">
                  <c:v>145.14199999999997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6B-4880-8830-0977CCB2D5FA}"/>
            </c:ext>
          </c:extLst>
        </c:ser>
        <c:ser>
          <c:idx val="2"/>
          <c:order val="2"/>
          <c:tx>
            <c:strRef>
              <c:f>Data!$L$1</c:f>
              <c:strCache>
                <c:ptCount val="1"/>
                <c:pt idx="0">
                  <c:v>Upper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Data!$L$2:$L$254</c:f>
              <c:numCache>
                <c:formatCode>General</c:formatCode>
                <c:ptCount val="253"/>
                <c:pt idx="19">
                  <c:v>115.89563955336131</c:v>
                </c:pt>
                <c:pt idx="20">
                  <c:v>116.58514634742427</c:v>
                </c:pt>
                <c:pt idx="21">
                  <c:v>117.2365142647248</c:v>
                </c:pt>
                <c:pt idx="22">
                  <c:v>118.03362539379695</c:v>
                </c:pt>
                <c:pt idx="23">
                  <c:v>119.09517973673935</c:v>
                </c:pt>
                <c:pt idx="24">
                  <c:v>119.9338401410831</c:v>
                </c:pt>
                <c:pt idx="25">
                  <c:v>120.63422748855101</c:v>
                </c:pt>
                <c:pt idx="26">
                  <c:v>121.37387860268142</c:v>
                </c:pt>
                <c:pt idx="27">
                  <c:v>121.95392762969942</c:v>
                </c:pt>
                <c:pt idx="28">
                  <c:v>121.98242310027753</c:v>
                </c:pt>
                <c:pt idx="29">
                  <c:v>121.63760956515743</c:v>
                </c:pt>
                <c:pt idx="30">
                  <c:v>122.3884814099479</c:v>
                </c:pt>
                <c:pt idx="31">
                  <c:v>123.34277666284594</c:v>
                </c:pt>
                <c:pt idx="32">
                  <c:v>124.40035096362766</c:v>
                </c:pt>
                <c:pt idx="33">
                  <c:v>124.59743553438712</c:v>
                </c:pt>
                <c:pt idx="34">
                  <c:v>125.48475805914659</c:v>
                </c:pt>
                <c:pt idx="35">
                  <c:v>125.75513962323924</c:v>
                </c:pt>
                <c:pt idx="36">
                  <c:v>125.79238178634765</c:v>
                </c:pt>
                <c:pt idx="37">
                  <c:v>125.75986265033531</c:v>
                </c:pt>
                <c:pt idx="38">
                  <c:v>125.39297165923648</c:v>
                </c:pt>
                <c:pt idx="39">
                  <c:v>124.82536240774073</c:v>
                </c:pt>
                <c:pt idx="40">
                  <c:v>124.25751558860011</c:v>
                </c:pt>
                <c:pt idx="41">
                  <c:v>123.61022011551907</c:v>
                </c:pt>
                <c:pt idx="42">
                  <c:v>122.75841720541051</c:v>
                </c:pt>
                <c:pt idx="43">
                  <c:v>121.55858189410799</c:v>
                </c:pt>
                <c:pt idx="44">
                  <c:v>120.31875642195826</c:v>
                </c:pt>
                <c:pt idx="45">
                  <c:v>118.98984906184518</c:v>
                </c:pt>
                <c:pt idx="46">
                  <c:v>117.14657529247847</c:v>
                </c:pt>
                <c:pt idx="47">
                  <c:v>114.75106114932976</c:v>
                </c:pt>
                <c:pt idx="48">
                  <c:v>111.78185291803653</c:v>
                </c:pt>
                <c:pt idx="49">
                  <c:v>110.5930883577077</c:v>
                </c:pt>
                <c:pt idx="50">
                  <c:v>110.60537689771614</c:v>
                </c:pt>
                <c:pt idx="51">
                  <c:v>110.58477698380177</c:v>
                </c:pt>
                <c:pt idx="52">
                  <c:v>110.31838544359516</c:v>
                </c:pt>
                <c:pt idx="53">
                  <c:v>110.3358997228657</c:v>
                </c:pt>
                <c:pt idx="54">
                  <c:v>109.92697188530967</c:v>
                </c:pt>
                <c:pt idx="55">
                  <c:v>110.2351845387452</c:v>
                </c:pt>
                <c:pt idx="56">
                  <c:v>110.53715032247341</c:v>
                </c:pt>
                <c:pt idx="57">
                  <c:v>110.53146940892935</c:v>
                </c:pt>
                <c:pt idx="58">
                  <c:v>110.60358622067545</c:v>
                </c:pt>
                <c:pt idx="59">
                  <c:v>110.70121650396041</c:v>
                </c:pt>
                <c:pt idx="60">
                  <c:v>110.67352353608582</c:v>
                </c:pt>
                <c:pt idx="61">
                  <c:v>110.60201822988593</c:v>
                </c:pt>
                <c:pt idx="62">
                  <c:v>110.71280467000942</c:v>
                </c:pt>
                <c:pt idx="63">
                  <c:v>110.695801800995</c:v>
                </c:pt>
                <c:pt idx="64">
                  <c:v>110.58848708620272</c:v>
                </c:pt>
                <c:pt idx="65">
                  <c:v>110.35134774342058</c:v>
                </c:pt>
                <c:pt idx="66">
                  <c:v>110.22614854997073</c:v>
                </c:pt>
                <c:pt idx="67">
                  <c:v>110.27690487740921</c:v>
                </c:pt>
                <c:pt idx="68">
                  <c:v>110.32075076981648</c:v>
                </c:pt>
                <c:pt idx="69">
                  <c:v>110.2534153320053</c:v>
                </c:pt>
                <c:pt idx="70">
                  <c:v>110.24184269391054</c:v>
                </c:pt>
                <c:pt idx="71">
                  <c:v>110.29052606047831</c:v>
                </c:pt>
                <c:pt idx="72">
                  <c:v>110.35701166057476</c:v>
                </c:pt>
                <c:pt idx="73">
                  <c:v>110.25154305531375</c:v>
                </c:pt>
                <c:pt idx="74">
                  <c:v>110.01410766595518</c:v>
                </c:pt>
                <c:pt idx="75">
                  <c:v>109.64014962806634</c:v>
                </c:pt>
                <c:pt idx="76">
                  <c:v>109.60258391681802</c:v>
                </c:pt>
                <c:pt idx="77">
                  <c:v>109.89458655454713</c:v>
                </c:pt>
                <c:pt idx="78">
                  <c:v>110.8161264397247</c:v>
                </c:pt>
                <c:pt idx="79">
                  <c:v>111.79411880553528</c:v>
                </c:pt>
                <c:pt idx="80">
                  <c:v>113.25182708991194</c:v>
                </c:pt>
                <c:pt idx="81">
                  <c:v>114.38139197196675</c:v>
                </c:pt>
                <c:pt idx="82">
                  <c:v>115.7155334958705</c:v>
                </c:pt>
                <c:pt idx="83">
                  <c:v>116.2843015225075</c:v>
                </c:pt>
                <c:pt idx="84">
                  <c:v>116.38535170152412</c:v>
                </c:pt>
                <c:pt idx="85">
                  <c:v>116.47571392394606</c:v>
                </c:pt>
                <c:pt idx="86">
                  <c:v>116.57661314003369</c:v>
                </c:pt>
                <c:pt idx="87">
                  <c:v>116.59127033492146</c:v>
                </c:pt>
                <c:pt idx="88">
                  <c:v>116.40893006802656</c:v>
                </c:pt>
                <c:pt idx="89">
                  <c:v>116.30959102191187</c:v>
                </c:pt>
                <c:pt idx="90">
                  <c:v>116.36437828981265</c:v>
                </c:pt>
                <c:pt idx="91">
                  <c:v>116.22974093209027</c:v>
                </c:pt>
                <c:pt idx="92">
                  <c:v>115.61720661642782</c:v>
                </c:pt>
                <c:pt idx="93">
                  <c:v>115.69189328684048</c:v>
                </c:pt>
                <c:pt idx="94">
                  <c:v>115.60191412421622</c:v>
                </c:pt>
                <c:pt idx="95">
                  <c:v>115.94642277060727</c:v>
                </c:pt>
                <c:pt idx="96">
                  <c:v>116.48200061087769</c:v>
                </c:pt>
                <c:pt idx="97">
                  <c:v>116.69715710236206</c:v>
                </c:pt>
                <c:pt idx="98">
                  <c:v>116.75728025623651</c:v>
                </c:pt>
                <c:pt idx="99">
                  <c:v>116.74016069090914</c:v>
                </c:pt>
                <c:pt idx="100">
                  <c:v>116.52363968595915</c:v>
                </c:pt>
                <c:pt idx="101">
                  <c:v>116.53314964740798</c:v>
                </c:pt>
                <c:pt idx="102">
                  <c:v>116.19973868072005</c:v>
                </c:pt>
                <c:pt idx="103">
                  <c:v>116.17095135368072</c:v>
                </c:pt>
                <c:pt idx="104">
                  <c:v>116.1214597993295</c:v>
                </c:pt>
                <c:pt idx="105">
                  <c:v>116.07597831530494</c:v>
                </c:pt>
                <c:pt idx="106">
                  <c:v>116.07747550016191</c:v>
                </c:pt>
                <c:pt idx="107">
                  <c:v>116.09791566878826</c:v>
                </c:pt>
                <c:pt idx="108">
                  <c:v>116.08267280504616</c:v>
                </c:pt>
                <c:pt idx="109">
                  <c:v>116.07272776336735</c:v>
                </c:pt>
                <c:pt idx="110">
                  <c:v>116.08994384623907</c:v>
                </c:pt>
                <c:pt idx="111">
                  <c:v>116.06122656815728</c:v>
                </c:pt>
                <c:pt idx="112">
                  <c:v>116.27192491088957</c:v>
                </c:pt>
                <c:pt idx="113">
                  <c:v>116.09871128882193</c:v>
                </c:pt>
                <c:pt idx="114">
                  <c:v>115.97111099772748</c:v>
                </c:pt>
                <c:pt idx="115">
                  <c:v>115.55627587211306</c:v>
                </c:pt>
                <c:pt idx="116">
                  <c:v>114.7584925582342</c:v>
                </c:pt>
                <c:pt idx="117">
                  <c:v>114.28412703629158</c:v>
                </c:pt>
                <c:pt idx="118">
                  <c:v>113.88074823560939</c:v>
                </c:pt>
                <c:pt idx="119">
                  <c:v>113.46155718076879</c:v>
                </c:pt>
                <c:pt idx="120">
                  <c:v>113.10221595565173</c:v>
                </c:pt>
                <c:pt idx="121">
                  <c:v>113.13053098885304</c:v>
                </c:pt>
                <c:pt idx="122">
                  <c:v>113.13845020832483</c:v>
                </c:pt>
                <c:pt idx="123">
                  <c:v>113.11073308802999</c:v>
                </c:pt>
                <c:pt idx="124">
                  <c:v>112.99173066359026</c:v>
                </c:pt>
                <c:pt idx="125">
                  <c:v>112.79578466276544</c:v>
                </c:pt>
                <c:pt idx="126">
                  <c:v>112.94137545088934</c:v>
                </c:pt>
                <c:pt idx="127">
                  <c:v>113.00042573826629</c:v>
                </c:pt>
                <c:pt idx="128">
                  <c:v>112.68131170786482</c:v>
                </c:pt>
                <c:pt idx="129">
                  <c:v>112.8842136402795</c:v>
                </c:pt>
                <c:pt idx="130">
                  <c:v>113.28414322516912</c:v>
                </c:pt>
                <c:pt idx="131">
                  <c:v>114.16047913858893</c:v>
                </c:pt>
                <c:pt idx="132">
                  <c:v>115.10126716698881</c:v>
                </c:pt>
                <c:pt idx="133">
                  <c:v>115.39757622590894</c:v>
                </c:pt>
                <c:pt idx="134">
                  <c:v>115.69273759647861</c:v>
                </c:pt>
                <c:pt idx="135">
                  <c:v>115.61499597078682</c:v>
                </c:pt>
                <c:pt idx="136">
                  <c:v>115.59891807828981</c:v>
                </c:pt>
                <c:pt idx="137">
                  <c:v>115.50965853639602</c:v>
                </c:pt>
                <c:pt idx="138">
                  <c:v>115.57129173749739</c:v>
                </c:pt>
                <c:pt idx="139">
                  <c:v>115.66170966892219</c:v>
                </c:pt>
                <c:pt idx="140">
                  <c:v>115.68256492043891</c:v>
                </c:pt>
                <c:pt idx="141">
                  <c:v>115.51980226476113</c:v>
                </c:pt>
                <c:pt idx="142">
                  <c:v>115.62090883378032</c:v>
                </c:pt>
                <c:pt idx="143">
                  <c:v>115.81252202125546</c:v>
                </c:pt>
                <c:pt idx="144">
                  <c:v>115.79205153423754</c:v>
                </c:pt>
                <c:pt idx="145">
                  <c:v>115.66400413427469</c:v>
                </c:pt>
                <c:pt idx="146">
                  <c:v>115.65952768475766</c:v>
                </c:pt>
                <c:pt idx="147">
                  <c:v>115.81081996677348</c:v>
                </c:pt>
                <c:pt idx="148">
                  <c:v>116.02968390403376</c:v>
                </c:pt>
                <c:pt idx="149">
                  <c:v>116.40633605334301</c:v>
                </c:pt>
                <c:pt idx="150">
                  <c:v>117.09494085592236</c:v>
                </c:pt>
                <c:pt idx="151">
                  <c:v>117.08720171840902</c:v>
                </c:pt>
                <c:pt idx="152">
                  <c:v>116.92182115485522</c:v>
                </c:pt>
                <c:pt idx="153">
                  <c:v>116.92124062104136</c:v>
                </c:pt>
                <c:pt idx="154">
                  <c:v>116.93348633218848</c:v>
                </c:pt>
                <c:pt idx="155">
                  <c:v>116.72644173095595</c:v>
                </c:pt>
                <c:pt idx="156">
                  <c:v>116.60844068708779</c:v>
                </c:pt>
                <c:pt idx="157">
                  <c:v>116.540881426567</c:v>
                </c:pt>
                <c:pt idx="158">
                  <c:v>116.58049432898881</c:v>
                </c:pt>
                <c:pt idx="159">
                  <c:v>116.55617620541453</c:v>
                </c:pt>
                <c:pt idx="160">
                  <c:v>116.70523837644689</c:v>
                </c:pt>
                <c:pt idx="161">
                  <c:v>116.70945611749887</c:v>
                </c:pt>
                <c:pt idx="162">
                  <c:v>116.59830944181749</c:v>
                </c:pt>
                <c:pt idx="163">
                  <c:v>116.39813394914057</c:v>
                </c:pt>
                <c:pt idx="164">
                  <c:v>116.4336874698005</c:v>
                </c:pt>
                <c:pt idx="165">
                  <c:v>116.42619252530118</c:v>
                </c:pt>
                <c:pt idx="166">
                  <c:v>116.42747711940412</c:v>
                </c:pt>
                <c:pt idx="167">
                  <c:v>116.34739778775062</c:v>
                </c:pt>
                <c:pt idx="168">
                  <c:v>116.36989909327302</c:v>
                </c:pt>
                <c:pt idx="169">
                  <c:v>116.45599452325455</c:v>
                </c:pt>
                <c:pt idx="170">
                  <c:v>115.96788251424434</c:v>
                </c:pt>
                <c:pt idx="171">
                  <c:v>116.2925269387175</c:v>
                </c:pt>
                <c:pt idx="172">
                  <c:v>116.51568140375876</c:v>
                </c:pt>
                <c:pt idx="173">
                  <c:v>116.9853192172915</c:v>
                </c:pt>
                <c:pt idx="174">
                  <c:v>117.04800170961005</c:v>
                </c:pt>
                <c:pt idx="175">
                  <c:v>117.11523729031164</c:v>
                </c:pt>
                <c:pt idx="176">
                  <c:v>117.08423074919811</c:v>
                </c:pt>
                <c:pt idx="177">
                  <c:v>117.07405579940486</c:v>
                </c:pt>
                <c:pt idx="178">
                  <c:v>117.05224528928123</c:v>
                </c:pt>
                <c:pt idx="179">
                  <c:v>117.13711382011265</c:v>
                </c:pt>
                <c:pt idx="180">
                  <c:v>117.51011754589815</c:v>
                </c:pt>
                <c:pt idx="181">
                  <c:v>118.17411028482468</c:v>
                </c:pt>
                <c:pt idx="182">
                  <c:v>119.13140475524445</c:v>
                </c:pt>
                <c:pt idx="183">
                  <c:v>119.46145141594241</c:v>
                </c:pt>
                <c:pt idx="184">
                  <c:v>119.67102058731138</c:v>
                </c:pt>
                <c:pt idx="185">
                  <c:v>120.08187016574684</c:v>
                </c:pt>
                <c:pt idx="186">
                  <c:v>120.15514000679744</c:v>
                </c:pt>
                <c:pt idx="187">
                  <c:v>120.37011110958019</c:v>
                </c:pt>
                <c:pt idx="188">
                  <c:v>120.45022480190305</c:v>
                </c:pt>
                <c:pt idx="189">
                  <c:v>120.50244483099962</c:v>
                </c:pt>
                <c:pt idx="190">
                  <c:v>120.55740542587523</c:v>
                </c:pt>
                <c:pt idx="191">
                  <c:v>120.55786262252778</c:v>
                </c:pt>
                <c:pt idx="192">
                  <c:v>120.58212420859783</c:v>
                </c:pt>
                <c:pt idx="193">
                  <c:v>120.57952499879512</c:v>
                </c:pt>
                <c:pt idx="194">
                  <c:v>120.56263285210208</c:v>
                </c:pt>
                <c:pt idx="195">
                  <c:v>120.53996181571664</c:v>
                </c:pt>
                <c:pt idx="196">
                  <c:v>120.42705064661945</c:v>
                </c:pt>
                <c:pt idx="197">
                  <c:v>120.42155298046741</c:v>
                </c:pt>
                <c:pt idx="198">
                  <c:v>120.23913642029906</c:v>
                </c:pt>
                <c:pt idx="199">
                  <c:v>120.10716184439887</c:v>
                </c:pt>
                <c:pt idx="200">
                  <c:v>120.09708419682201</c:v>
                </c:pt>
                <c:pt idx="201">
                  <c:v>120.10090689845123</c:v>
                </c:pt>
                <c:pt idx="202">
                  <c:v>120.04551173613021</c:v>
                </c:pt>
                <c:pt idx="203">
                  <c:v>120.28205009726359</c:v>
                </c:pt>
                <c:pt idx="204">
                  <c:v>120.28682545503764</c:v>
                </c:pt>
                <c:pt idx="205">
                  <c:v>120.065357011061</c:v>
                </c:pt>
                <c:pt idx="206">
                  <c:v>120.09938385004627</c:v>
                </c:pt>
                <c:pt idx="207">
                  <c:v>119.87545749229984</c:v>
                </c:pt>
                <c:pt idx="208">
                  <c:v>119.83146852951874</c:v>
                </c:pt>
                <c:pt idx="209">
                  <c:v>119.81498608829267</c:v>
                </c:pt>
                <c:pt idx="210">
                  <c:v>119.92419384966158</c:v>
                </c:pt>
                <c:pt idx="211">
                  <c:v>120.26219895923582</c:v>
                </c:pt>
                <c:pt idx="212">
                  <c:v>120.39457867983846</c:v>
                </c:pt>
                <c:pt idx="213">
                  <c:v>120.46678686212059</c:v>
                </c:pt>
                <c:pt idx="214">
                  <c:v>120.88400968697228</c:v>
                </c:pt>
                <c:pt idx="215">
                  <c:v>121.36790831613291</c:v>
                </c:pt>
                <c:pt idx="216">
                  <c:v>121.54170646826127</c:v>
                </c:pt>
                <c:pt idx="217">
                  <c:v>122.31971686447437</c:v>
                </c:pt>
                <c:pt idx="218">
                  <c:v>123.75315361337135</c:v>
                </c:pt>
                <c:pt idx="219">
                  <c:v>123.94078779013914</c:v>
                </c:pt>
                <c:pt idx="220">
                  <c:v>123.85082889867375</c:v>
                </c:pt>
                <c:pt idx="221">
                  <c:v>124.33913279611295</c:v>
                </c:pt>
                <c:pt idx="222">
                  <c:v>125.10958152175942</c:v>
                </c:pt>
                <c:pt idx="223">
                  <c:v>125.66702343106432</c:v>
                </c:pt>
                <c:pt idx="224">
                  <c:v>126.73549756707679</c:v>
                </c:pt>
                <c:pt idx="225">
                  <c:v>128.60289616929524</c:v>
                </c:pt>
                <c:pt idx="226">
                  <c:v>129.55931084486718</c:v>
                </c:pt>
                <c:pt idx="227">
                  <c:v>130.72088531080351</c:v>
                </c:pt>
                <c:pt idx="228">
                  <c:v>131.71061291397965</c:v>
                </c:pt>
                <c:pt idx="229">
                  <c:v>133.23985452198431</c:v>
                </c:pt>
                <c:pt idx="230">
                  <c:v>134.5776411469061</c:v>
                </c:pt>
                <c:pt idx="231">
                  <c:v>136.05233384358425</c:v>
                </c:pt>
                <c:pt idx="232">
                  <c:v>137.21289699317512</c:v>
                </c:pt>
                <c:pt idx="233">
                  <c:v>138.54889454692503</c:v>
                </c:pt>
                <c:pt idx="234">
                  <c:v>139.88317548638153</c:v>
                </c:pt>
                <c:pt idx="235">
                  <c:v>141.64195974255321</c:v>
                </c:pt>
                <c:pt idx="236">
                  <c:v>143.19306288938722</c:v>
                </c:pt>
                <c:pt idx="237">
                  <c:v>144.0295537290329</c:v>
                </c:pt>
                <c:pt idx="238">
                  <c:v>145.89201865241847</c:v>
                </c:pt>
                <c:pt idx="239">
                  <c:v>147.98845987101737</c:v>
                </c:pt>
                <c:pt idx="240">
                  <c:v>148.82738932060056</c:v>
                </c:pt>
                <c:pt idx="241">
                  <c:v>150.50180204093448</c:v>
                </c:pt>
                <c:pt idx="242">
                  <c:v>152.42004268222328</c:v>
                </c:pt>
                <c:pt idx="243">
                  <c:v>153.84926701676562</c:v>
                </c:pt>
                <c:pt idx="244">
                  <c:v>156.05583749706065</c:v>
                </c:pt>
                <c:pt idx="245">
                  <c:v>156.9803961957868</c:v>
                </c:pt>
                <c:pt idx="246">
                  <c:v>157.30708497194658</c:v>
                </c:pt>
                <c:pt idx="247">
                  <c:v>157.18087873057061</c:v>
                </c:pt>
                <c:pt idx="248">
                  <c:v>157.43872425635675</c:v>
                </c:pt>
                <c:pt idx="249">
                  <c:v>157.84067734891582</c:v>
                </c:pt>
                <c:pt idx="250">
                  <c:v>157.55616440582031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6B-4880-8830-0977CCB2D5FA}"/>
            </c:ext>
          </c:extLst>
        </c:ser>
        <c:ser>
          <c:idx val="3"/>
          <c:order val="3"/>
          <c:tx>
            <c:strRef>
              <c:f>Data!$M$1</c:f>
              <c:strCache>
                <c:ptCount val="1"/>
                <c:pt idx="0">
                  <c:v>Lower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Data!$M$2:$M$254</c:f>
              <c:numCache>
                <c:formatCode>General</c:formatCode>
                <c:ptCount val="253"/>
                <c:pt idx="19">
                  <c:v>105.04236044663871</c:v>
                </c:pt>
                <c:pt idx="20">
                  <c:v>104.83385365257577</c:v>
                </c:pt>
                <c:pt idx="21">
                  <c:v>104.63548573527532</c:v>
                </c:pt>
                <c:pt idx="22">
                  <c:v>104.5243746062031</c:v>
                </c:pt>
                <c:pt idx="23">
                  <c:v>104.34382026326067</c:v>
                </c:pt>
                <c:pt idx="24">
                  <c:v>104.27915985891693</c:v>
                </c:pt>
                <c:pt idx="25">
                  <c:v>104.218772511449</c:v>
                </c:pt>
                <c:pt idx="26">
                  <c:v>104.59612139731856</c:v>
                </c:pt>
                <c:pt idx="27">
                  <c:v>105.16607237030055</c:v>
                </c:pt>
                <c:pt idx="28">
                  <c:v>106.46057689972251</c:v>
                </c:pt>
                <c:pt idx="29">
                  <c:v>107.28639043484255</c:v>
                </c:pt>
                <c:pt idx="30">
                  <c:v>106.06751859005209</c:v>
                </c:pt>
                <c:pt idx="31">
                  <c:v>104.22722333715409</c:v>
                </c:pt>
                <c:pt idx="32">
                  <c:v>102.33064903637239</c:v>
                </c:pt>
                <c:pt idx="33">
                  <c:v>101.80056446561288</c:v>
                </c:pt>
                <c:pt idx="34">
                  <c:v>100.03924194085344</c:v>
                </c:pt>
                <c:pt idx="35">
                  <c:v>98.892860376760751</c:v>
                </c:pt>
                <c:pt idx="36">
                  <c:v>97.818618213652371</c:v>
                </c:pt>
                <c:pt idx="37">
                  <c:v>96.797137349664709</c:v>
                </c:pt>
                <c:pt idx="38">
                  <c:v>96.042028340763551</c:v>
                </c:pt>
                <c:pt idx="39">
                  <c:v>95.711637592259308</c:v>
                </c:pt>
                <c:pt idx="40">
                  <c:v>95.264484411399877</c:v>
                </c:pt>
                <c:pt idx="41">
                  <c:v>95.16177988448095</c:v>
                </c:pt>
                <c:pt idx="42">
                  <c:v>95.091582794589485</c:v>
                </c:pt>
                <c:pt idx="43">
                  <c:v>95.327418105892036</c:v>
                </c:pt>
                <c:pt idx="44">
                  <c:v>95.635243578041781</c:v>
                </c:pt>
                <c:pt idx="45">
                  <c:v>96.054150938154834</c:v>
                </c:pt>
                <c:pt idx="46">
                  <c:v>96.840424707521521</c:v>
                </c:pt>
                <c:pt idx="47">
                  <c:v>97.894938850670201</c:v>
                </c:pt>
                <c:pt idx="48">
                  <c:v>99.575147081963436</c:v>
                </c:pt>
                <c:pt idx="49">
                  <c:v>100.14191164229226</c:v>
                </c:pt>
                <c:pt idx="50">
                  <c:v>100.02262310228384</c:v>
                </c:pt>
                <c:pt idx="51">
                  <c:v>100.22022301619815</c:v>
                </c:pt>
                <c:pt idx="52">
                  <c:v>100.87061455640477</c:v>
                </c:pt>
                <c:pt idx="53">
                  <c:v>100.88010027713428</c:v>
                </c:pt>
                <c:pt idx="54">
                  <c:v>102.02702811469034</c:v>
                </c:pt>
                <c:pt idx="55">
                  <c:v>102.32081546125475</c:v>
                </c:pt>
                <c:pt idx="56">
                  <c:v>102.62584967752655</c:v>
                </c:pt>
                <c:pt idx="57">
                  <c:v>103.16953059107067</c:v>
                </c:pt>
                <c:pt idx="58">
                  <c:v>103.53641377932456</c:v>
                </c:pt>
                <c:pt idx="59">
                  <c:v>103.56578349603956</c:v>
                </c:pt>
                <c:pt idx="60">
                  <c:v>103.70547646391417</c:v>
                </c:pt>
                <c:pt idx="61">
                  <c:v>103.44198177011403</c:v>
                </c:pt>
                <c:pt idx="62">
                  <c:v>102.96019532999058</c:v>
                </c:pt>
                <c:pt idx="63">
                  <c:v>102.41119819900503</c:v>
                </c:pt>
                <c:pt idx="64">
                  <c:v>101.96451291379731</c:v>
                </c:pt>
                <c:pt idx="65">
                  <c:v>101.69065225657948</c:v>
                </c:pt>
                <c:pt idx="66">
                  <c:v>101.19085145002927</c:v>
                </c:pt>
                <c:pt idx="67">
                  <c:v>100.84609512259075</c:v>
                </c:pt>
                <c:pt idx="68">
                  <c:v>100.45424923018355</c:v>
                </c:pt>
                <c:pt idx="69">
                  <c:v>100.2055846679947</c:v>
                </c:pt>
                <c:pt idx="70">
                  <c:v>100.27015730608949</c:v>
                </c:pt>
                <c:pt idx="71">
                  <c:v>99.980473939521701</c:v>
                </c:pt>
                <c:pt idx="72">
                  <c:v>99.635988339425239</c:v>
                </c:pt>
                <c:pt idx="73">
                  <c:v>99.561456944686213</c:v>
                </c:pt>
                <c:pt idx="74">
                  <c:v>99.564892334044771</c:v>
                </c:pt>
                <c:pt idx="75">
                  <c:v>99.744850371933595</c:v>
                </c:pt>
                <c:pt idx="76">
                  <c:v>99.767416083181956</c:v>
                </c:pt>
                <c:pt idx="77">
                  <c:v>99.600413445452844</c:v>
                </c:pt>
                <c:pt idx="78">
                  <c:v>99.032873560275291</c:v>
                </c:pt>
                <c:pt idx="79">
                  <c:v>98.483881194464686</c:v>
                </c:pt>
                <c:pt idx="80">
                  <c:v>97.779172910088064</c:v>
                </c:pt>
                <c:pt idx="81">
                  <c:v>97.473608028033212</c:v>
                </c:pt>
                <c:pt idx="82">
                  <c:v>97.243466504129472</c:v>
                </c:pt>
                <c:pt idx="83">
                  <c:v>97.551698477492508</c:v>
                </c:pt>
                <c:pt idx="84">
                  <c:v>97.981648298475903</c:v>
                </c:pt>
                <c:pt idx="85">
                  <c:v>98.376286076053944</c:v>
                </c:pt>
                <c:pt idx="86">
                  <c:v>99.063386859966329</c:v>
                </c:pt>
                <c:pt idx="87">
                  <c:v>99.717729665078565</c:v>
                </c:pt>
                <c:pt idx="88">
                  <c:v>100.45006993197345</c:v>
                </c:pt>
                <c:pt idx="89">
                  <c:v>101.16840897808811</c:v>
                </c:pt>
                <c:pt idx="90">
                  <c:v>101.83862171018738</c:v>
                </c:pt>
                <c:pt idx="91">
                  <c:v>102.96325906790972</c:v>
                </c:pt>
                <c:pt idx="92">
                  <c:v>104.50379338357219</c:v>
                </c:pt>
                <c:pt idx="93">
                  <c:v>105.42110671315952</c:v>
                </c:pt>
                <c:pt idx="94">
                  <c:v>106.39408587578373</c:v>
                </c:pt>
                <c:pt idx="95">
                  <c:v>106.82057722939273</c:v>
                </c:pt>
                <c:pt idx="96">
                  <c:v>106.89699938912227</c:v>
                </c:pt>
                <c:pt idx="97">
                  <c:v>107.10084289763795</c:v>
                </c:pt>
                <c:pt idx="98">
                  <c:v>107.1197197437635</c:v>
                </c:pt>
                <c:pt idx="99">
                  <c:v>107.11183930909087</c:v>
                </c:pt>
                <c:pt idx="100">
                  <c:v>107.09436031404084</c:v>
                </c:pt>
                <c:pt idx="101">
                  <c:v>106.54285035259204</c:v>
                </c:pt>
                <c:pt idx="102">
                  <c:v>106.21126131928001</c:v>
                </c:pt>
                <c:pt idx="103">
                  <c:v>105.92004864631932</c:v>
                </c:pt>
                <c:pt idx="104">
                  <c:v>106.1285402006705</c:v>
                </c:pt>
                <c:pt idx="105">
                  <c:v>106.41602168469508</c:v>
                </c:pt>
                <c:pt idx="106">
                  <c:v>106.45552449983813</c:v>
                </c:pt>
                <c:pt idx="107">
                  <c:v>106.64108433121177</c:v>
                </c:pt>
                <c:pt idx="108">
                  <c:v>107.16432719495386</c:v>
                </c:pt>
                <c:pt idx="109">
                  <c:v>107.44027223663265</c:v>
                </c:pt>
                <c:pt idx="110">
                  <c:v>107.48205615376096</c:v>
                </c:pt>
                <c:pt idx="111">
                  <c:v>107.25477343184269</c:v>
                </c:pt>
                <c:pt idx="112">
                  <c:v>106.67007508911044</c:v>
                </c:pt>
                <c:pt idx="113">
                  <c:v>106.14828871117808</c:v>
                </c:pt>
                <c:pt idx="114">
                  <c:v>105.54688900227255</c:v>
                </c:pt>
                <c:pt idx="115">
                  <c:v>105.06372412788691</c:v>
                </c:pt>
                <c:pt idx="116">
                  <c:v>104.99850744176581</c:v>
                </c:pt>
                <c:pt idx="117">
                  <c:v>104.66387296370843</c:v>
                </c:pt>
                <c:pt idx="118">
                  <c:v>104.38925176439065</c:v>
                </c:pt>
                <c:pt idx="119">
                  <c:v>104.34544281923122</c:v>
                </c:pt>
                <c:pt idx="120">
                  <c:v>104.27678404434832</c:v>
                </c:pt>
                <c:pt idx="121">
                  <c:v>104.12046901114694</c:v>
                </c:pt>
                <c:pt idx="122">
                  <c:v>103.97954979167517</c:v>
                </c:pt>
                <c:pt idx="123">
                  <c:v>103.89526691197001</c:v>
                </c:pt>
                <c:pt idx="124">
                  <c:v>103.87426933640978</c:v>
                </c:pt>
                <c:pt idx="125">
                  <c:v>103.91421533723459</c:v>
                </c:pt>
                <c:pt idx="126">
                  <c:v>103.85662454911066</c:v>
                </c:pt>
                <c:pt idx="127">
                  <c:v>103.82757426173369</c:v>
                </c:pt>
                <c:pt idx="128">
                  <c:v>104.00768829213511</c:v>
                </c:pt>
                <c:pt idx="129">
                  <c:v>103.88978635972053</c:v>
                </c:pt>
                <c:pt idx="130">
                  <c:v>103.6608567748309</c:v>
                </c:pt>
                <c:pt idx="131">
                  <c:v>103.24952086141107</c:v>
                </c:pt>
                <c:pt idx="132">
                  <c:v>103.04073283301119</c:v>
                </c:pt>
                <c:pt idx="133">
                  <c:v>103.21142377409105</c:v>
                </c:pt>
                <c:pt idx="134">
                  <c:v>103.5052624035214</c:v>
                </c:pt>
                <c:pt idx="135">
                  <c:v>103.91100402921316</c:v>
                </c:pt>
                <c:pt idx="136">
                  <c:v>104.23208192171018</c:v>
                </c:pt>
                <c:pt idx="137">
                  <c:v>104.803341463604</c:v>
                </c:pt>
                <c:pt idx="138">
                  <c:v>105.3787082625026</c:v>
                </c:pt>
                <c:pt idx="139">
                  <c:v>105.74229033107787</c:v>
                </c:pt>
                <c:pt idx="140">
                  <c:v>106.1994350795611</c:v>
                </c:pt>
                <c:pt idx="141">
                  <c:v>106.94819773523889</c:v>
                </c:pt>
                <c:pt idx="142">
                  <c:v>107.64309116621972</c:v>
                </c:pt>
                <c:pt idx="143">
                  <c:v>108.23847797874456</c:v>
                </c:pt>
                <c:pt idx="144">
                  <c:v>108.79894846576244</c:v>
                </c:pt>
                <c:pt idx="145">
                  <c:v>109.2859958657253</c:v>
                </c:pt>
                <c:pt idx="146">
                  <c:v>109.36447231524237</c:v>
                </c:pt>
                <c:pt idx="147">
                  <c:v>109.43418003322655</c:v>
                </c:pt>
                <c:pt idx="148">
                  <c:v>109.52231609596623</c:v>
                </c:pt>
                <c:pt idx="149">
                  <c:v>109.429663946657</c:v>
                </c:pt>
                <c:pt idx="150">
                  <c:v>109.1280591440776</c:v>
                </c:pt>
                <c:pt idx="151">
                  <c:v>109.12879828159093</c:v>
                </c:pt>
                <c:pt idx="152">
                  <c:v>109.10017884514477</c:v>
                </c:pt>
                <c:pt idx="153">
                  <c:v>109.10875937895861</c:v>
                </c:pt>
                <c:pt idx="154">
                  <c:v>108.98551366781147</c:v>
                </c:pt>
                <c:pt idx="155">
                  <c:v>109.59555826904408</c:v>
                </c:pt>
                <c:pt idx="156">
                  <c:v>110.14855931291218</c:v>
                </c:pt>
                <c:pt idx="157">
                  <c:v>110.577118573433</c:v>
                </c:pt>
                <c:pt idx="158">
                  <c:v>110.68950567101118</c:v>
                </c:pt>
                <c:pt idx="159">
                  <c:v>110.79082379458545</c:v>
                </c:pt>
                <c:pt idx="160">
                  <c:v>110.49876162355312</c:v>
                </c:pt>
                <c:pt idx="161">
                  <c:v>110.48354388250111</c:v>
                </c:pt>
                <c:pt idx="162">
                  <c:v>110.35569055818252</c:v>
                </c:pt>
                <c:pt idx="163">
                  <c:v>110.18786605085944</c:v>
                </c:pt>
                <c:pt idx="164">
                  <c:v>109.82331253019947</c:v>
                </c:pt>
                <c:pt idx="165">
                  <c:v>109.77280747469881</c:v>
                </c:pt>
                <c:pt idx="166">
                  <c:v>109.83952288059588</c:v>
                </c:pt>
                <c:pt idx="167">
                  <c:v>109.79560221224935</c:v>
                </c:pt>
                <c:pt idx="168">
                  <c:v>109.78810090672697</c:v>
                </c:pt>
                <c:pt idx="169">
                  <c:v>109.74100547674549</c:v>
                </c:pt>
                <c:pt idx="170">
                  <c:v>110.04611748575564</c:v>
                </c:pt>
                <c:pt idx="171">
                  <c:v>109.89347306128251</c:v>
                </c:pt>
                <c:pt idx="172">
                  <c:v>109.89831859624128</c:v>
                </c:pt>
                <c:pt idx="173">
                  <c:v>109.87468078270854</c:v>
                </c:pt>
                <c:pt idx="174">
                  <c:v>110.15199829039</c:v>
                </c:pt>
                <c:pt idx="175">
                  <c:v>110.19476270968839</c:v>
                </c:pt>
                <c:pt idx="176">
                  <c:v>110.18176925080191</c:v>
                </c:pt>
                <c:pt idx="177">
                  <c:v>110.17994420059519</c:v>
                </c:pt>
                <c:pt idx="178">
                  <c:v>110.16775471071874</c:v>
                </c:pt>
                <c:pt idx="179">
                  <c:v>110.2418861798874</c:v>
                </c:pt>
                <c:pt idx="180">
                  <c:v>110.51788245410187</c:v>
                </c:pt>
                <c:pt idx="181">
                  <c:v>110.4518897151753</c:v>
                </c:pt>
                <c:pt idx="182">
                  <c:v>110.24359524475555</c:v>
                </c:pt>
                <c:pt idx="183">
                  <c:v>110.5645485840576</c:v>
                </c:pt>
                <c:pt idx="184">
                  <c:v>111.1699794126886</c:v>
                </c:pt>
                <c:pt idx="185">
                  <c:v>111.46412983425316</c:v>
                </c:pt>
                <c:pt idx="186">
                  <c:v>111.88885999320257</c:v>
                </c:pt>
                <c:pt idx="187">
                  <c:v>112.30588889041982</c:v>
                </c:pt>
                <c:pt idx="188">
                  <c:v>112.48977519809695</c:v>
                </c:pt>
                <c:pt idx="189">
                  <c:v>112.54155516900039</c:v>
                </c:pt>
                <c:pt idx="190">
                  <c:v>112.65559457412473</c:v>
                </c:pt>
                <c:pt idx="191">
                  <c:v>112.6581373774722</c:v>
                </c:pt>
                <c:pt idx="192">
                  <c:v>112.58187579140215</c:v>
                </c:pt>
                <c:pt idx="193">
                  <c:v>112.41647500120489</c:v>
                </c:pt>
                <c:pt idx="194">
                  <c:v>112.55636714789792</c:v>
                </c:pt>
                <c:pt idx="195">
                  <c:v>112.80603818428337</c:v>
                </c:pt>
                <c:pt idx="196">
                  <c:v>113.08094935338053</c:v>
                </c:pt>
                <c:pt idx="197">
                  <c:v>113.45244701953261</c:v>
                </c:pt>
                <c:pt idx="198">
                  <c:v>113.98086357970091</c:v>
                </c:pt>
                <c:pt idx="199">
                  <c:v>114.3168381556011</c:v>
                </c:pt>
                <c:pt idx="200">
                  <c:v>114.20291580317803</c:v>
                </c:pt>
                <c:pt idx="201">
                  <c:v>114.2020931015488</c:v>
                </c:pt>
                <c:pt idx="202">
                  <c:v>114.23348826386984</c:v>
                </c:pt>
                <c:pt idx="203">
                  <c:v>114.1389499027364</c:v>
                </c:pt>
                <c:pt idx="204">
                  <c:v>114.13717454496239</c:v>
                </c:pt>
                <c:pt idx="205">
                  <c:v>114.20564298893905</c:v>
                </c:pt>
                <c:pt idx="206">
                  <c:v>113.87161614995374</c:v>
                </c:pt>
                <c:pt idx="207">
                  <c:v>113.93354250770012</c:v>
                </c:pt>
                <c:pt idx="208">
                  <c:v>113.89653147048124</c:v>
                </c:pt>
                <c:pt idx="209">
                  <c:v>113.88001391170732</c:v>
                </c:pt>
                <c:pt idx="210">
                  <c:v>113.87780615033842</c:v>
                </c:pt>
                <c:pt idx="211">
                  <c:v>113.88480104076417</c:v>
                </c:pt>
                <c:pt idx="212">
                  <c:v>114.22342132016153</c:v>
                </c:pt>
                <c:pt idx="213">
                  <c:v>114.58521313787941</c:v>
                </c:pt>
                <c:pt idx="214">
                  <c:v>114.62899031302778</c:v>
                </c:pt>
                <c:pt idx="215">
                  <c:v>114.5810916838671</c:v>
                </c:pt>
                <c:pt idx="216">
                  <c:v>114.90329353173875</c:v>
                </c:pt>
                <c:pt idx="217">
                  <c:v>114.61028313552563</c:v>
                </c:pt>
                <c:pt idx="218">
                  <c:v>113.99884638662868</c:v>
                </c:pt>
                <c:pt idx="219">
                  <c:v>114.26221220986092</c:v>
                </c:pt>
                <c:pt idx="220">
                  <c:v>114.60317110132625</c:v>
                </c:pt>
                <c:pt idx="221">
                  <c:v>114.58086720388698</c:v>
                </c:pt>
                <c:pt idx="222">
                  <c:v>114.31741847824054</c:v>
                </c:pt>
                <c:pt idx="223">
                  <c:v>114.20897656893565</c:v>
                </c:pt>
                <c:pt idx="224">
                  <c:v>113.9125024329232</c:v>
                </c:pt>
                <c:pt idx="225">
                  <c:v>113.28910383070473</c:v>
                </c:pt>
                <c:pt idx="226">
                  <c:v>113.7776891551328</c:v>
                </c:pt>
                <c:pt idx="227">
                  <c:v>113.86411468919648</c:v>
                </c:pt>
                <c:pt idx="228">
                  <c:v>114.26638708602036</c:v>
                </c:pt>
                <c:pt idx="229">
                  <c:v>114.4291454780157</c:v>
                </c:pt>
                <c:pt idx="230">
                  <c:v>114.64035885309389</c:v>
                </c:pt>
                <c:pt idx="231">
                  <c:v>114.72066615641572</c:v>
                </c:pt>
                <c:pt idx="232">
                  <c:v>115.12210300682486</c:v>
                </c:pt>
                <c:pt idx="233">
                  <c:v>115.55810545307496</c:v>
                </c:pt>
                <c:pt idx="234">
                  <c:v>115.92882451361845</c:v>
                </c:pt>
                <c:pt idx="235">
                  <c:v>116.12204025744676</c:v>
                </c:pt>
                <c:pt idx="236">
                  <c:v>116.67693711061273</c:v>
                </c:pt>
                <c:pt idx="237">
                  <c:v>117.4154462709671</c:v>
                </c:pt>
                <c:pt idx="238">
                  <c:v>117.38998134758155</c:v>
                </c:pt>
                <c:pt idx="239">
                  <c:v>117.94754012898268</c:v>
                </c:pt>
                <c:pt idx="240">
                  <c:v>119.86761067939943</c:v>
                </c:pt>
                <c:pt idx="241">
                  <c:v>120.80719795906553</c:v>
                </c:pt>
                <c:pt idx="242">
                  <c:v>121.54895731777671</c:v>
                </c:pt>
                <c:pt idx="243">
                  <c:v>122.8757329832344</c:v>
                </c:pt>
                <c:pt idx="244">
                  <c:v>123.57116250293942</c:v>
                </c:pt>
                <c:pt idx="245">
                  <c:v>124.61960380421321</c:v>
                </c:pt>
                <c:pt idx="246">
                  <c:v>126.22491502805346</c:v>
                </c:pt>
                <c:pt idx="247">
                  <c:v>127.98112126942937</c:v>
                </c:pt>
                <c:pt idx="248">
                  <c:v>129.74527574364322</c:v>
                </c:pt>
                <c:pt idx="249">
                  <c:v>131.07932265108414</c:v>
                </c:pt>
                <c:pt idx="250">
                  <c:v>132.72783559417962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6B-4880-8830-0977CCB2D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891728"/>
        <c:axId val="1366889808"/>
      </c:lineChart>
      <c:dateAx>
        <c:axId val="1366891728"/>
        <c:scaling>
          <c:orientation val="minMax"/>
          <c:min val="4595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889808"/>
        <c:crosses val="autoZero"/>
        <c:auto val="1"/>
        <c:lblOffset val="100"/>
        <c:baseTimeUnit val="days"/>
      </c:dateAx>
      <c:valAx>
        <c:axId val="136688980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89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Data!$AA$1</c:f>
              <c:strCache>
                <c:ptCount val="1"/>
                <c:pt idx="0">
                  <c:v>Histogram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Data!$AA$2:$AA$254</c:f>
              <c:numCache>
                <c:formatCode>General</c:formatCode>
                <c:ptCount val="253"/>
                <c:pt idx="35">
                  <c:v>-2.2557136274017671</c:v>
                </c:pt>
                <c:pt idx="36">
                  <c:v>-1.9316612869073357</c:v>
                </c:pt>
                <c:pt idx="37">
                  <c:v>-1.5555663801941766</c:v>
                </c:pt>
                <c:pt idx="38">
                  <c:v>-1.0583612985842799</c:v>
                </c:pt>
                <c:pt idx="39">
                  <c:v>-0.7833147525455324</c:v>
                </c:pt>
                <c:pt idx="40">
                  <c:v>-0.37169009388777274</c:v>
                </c:pt>
                <c:pt idx="41">
                  <c:v>-0.14280434368589101</c:v>
                </c:pt>
                <c:pt idx="42">
                  <c:v>9.9631793441748551E-2</c:v>
                </c:pt>
                <c:pt idx="43">
                  <c:v>0.25338575041487577</c:v>
                </c:pt>
                <c:pt idx="44">
                  <c:v>0.35057600071383854</c:v>
                </c:pt>
                <c:pt idx="45">
                  <c:v>0.38535947929089687</c:v>
                </c:pt>
                <c:pt idx="46">
                  <c:v>0.22133442975382356</c:v>
                </c:pt>
                <c:pt idx="47">
                  <c:v>0.12458891634938651</c:v>
                </c:pt>
                <c:pt idx="48">
                  <c:v>9.2669454975570775E-2</c:v>
                </c:pt>
                <c:pt idx="49">
                  <c:v>-0.1122217614636668</c:v>
                </c:pt>
                <c:pt idx="50">
                  <c:v>-0.13501044320986011</c:v>
                </c:pt>
                <c:pt idx="51">
                  <c:v>-0.14043764993847019</c:v>
                </c:pt>
                <c:pt idx="52">
                  <c:v>-3.4822875961612487E-2</c:v>
                </c:pt>
                <c:pt idx="53">
                  <c:v>0.12089384164714567</c:v>
                </c:pt>
                <c:pt idx="54">
                  <c:v>0.33850379265106789</c:v>
                </c:pt>
                <c:pt idx="55">
                  <c:v>0.48381085252776779</c:v>
                </c:pt>
                <c:pt idx="56">
                  <c:v>0.49339331231402661</c:v>
                </c:pt>
                <c:pt idx="57">
                  <c:v>0.48520242757090293</c:v>
                </c:pt>
                <c:pt idx="58">
                  <c:v>0.43392440476724708</c:v>
                </c:pt>
                <c:pt idx="59">
                  <c:v>0.27246178288224354</c:v>
                </c:pt>
                <c:pt idx="60">
                  <c:v>6.2544263614015883E-2</c:v>
                </c:pt>
                <c:pt idx="61">
                  <c:v>-0.15220411172447185</c:v>
                </c:pt>
                <c:pt idx="62">
                  <c:v>-0.3200854071195175</c:v>
                </c:pt>
                <c:pt idx="63">
                  <c:v>-0.40119792260424852</c:v>
                </c:pt>
                <c:pt idx="64">
                  <c:v>-0.39531738907681535</c:v>
                </c:pt>
                <c:pt idx="65">
                  <c:v>-0.4555721180079727</c:v>
                </c:pt>
                <c:pt idx="66">
                  <c:v>-0.42608500373158431</c:v>
                </c:pt>
                <c:pt idx="67">
                  <c:v>-0.40282720396812532</c:v>
                </c:pt>
                <c:pt idx="68">
                  <c:v>-0.31102276872124635</c:v>
                </c:pt>
                <c:pt idx="69">
                  <c:v>-0.18035828671428522</c:v>
                </c:pt>
                <c:pt idx="70">
                  <c:v>-0.17536539887353575</c:v>
                </c:pt>
                <c:pt idx="71">
                  <c:v>-0.18327088007475645</c:v>
                </c:pt>
                <c:pt idx="72">
                  <c:v>-1.2719277603831403E-2</c:v>
                </c:pt>
                <c:pt idx="73">
                  <c:v>0.1497314255636446</c:v>
                </c:pt>
                <c:pt idx="74">
                  <c:v>0.39716481840208706</c:v>
                </c:pt>
                <c:pt idx="75">
                  <c:v>0.67377680225097092</c:v>
                </c:pt>
                <c:pt idx="76">
                  <c:v>0.84606573219010761</c:v>
                </c:pt>
                <c:pt idx="77">
                  <c:v>1.0677277653862878</c:v>
                </c:pt>
                <c:pt idx="78">
                  <c:v>1.1767325880224295</c:v>
                </c:pt>
                <c:pt idx="79">
                  <c:v>1.2807583191197389</c:v>
                </c:pt>
                <c:pt idx="80">
                  <c:v>1.2245957874078597</c:v>
                </c:pt>
                <c:pt idx="81">
                  <c:v>1.2162403671932871</c:v>
                </c:pt>
                <c:pt idx="82">
                  <c:v>0.95025050813994261</c:v>
                </c:pt>
                <c:pt idx="83">
                  <c:v>0.50647841676621796</c:v>
                </c:pt>
                <c:pt idx="84">
                  <c:v>0.19227935284940578</c:v>
                </c:pt>
                <c:pt idx="85">
                  <c:v>7.6796828346580526E-2</c:v>
                </c:pt>
                <c:pt idx="86">
                  <c:v>-5.0568660089999273E-2</c:v>
                </c:pt>
                <c:pt idx="87">
                  <c:v>-0.24049332844144167</c:v>
                </c:pt>
                <c:pt idx="88">
                  <c:v>-0.2663952361685431</c:v>
                </c:pt>
                <c:pt idx="89">
                  <c:v>-0.16391333013929854</c:v>
                </c:pt>
                <c:pt idx="90">
                  <c:v>-2.8081274196771311E-2</c:v>
                </c:pt>
                <c:pt idx="91">
                  <c:v>-2.1354095260112782E-2</c:v>
                </c:pt>
                <c:pt idx="92">
                  <c:v>0.17026832653261481</c:v>
                </c:pt>
                <c:pt idx="93">
                  <c:v>0.24589897113481274</c:v>
                </c:pt>
                <c:pt idx="94">
                  <c:v>0.34130592907176172</c:v>
                </c:pt>
                <c:pt idx="95">
                  <c:v>0.40312387323189958</c:v>
                </c:pt>
                <c:pt idx="96">
                  <c:v>0.31145597037772843</c:v>
                </c:pt>
                <c:pt idx="97">
                  <c:v>0.15959045582289333</c:v>
                </c:pt>
                <c:pt idx="98">
                  <c:v>-1.3486241763647211E-3</c:v>
                </c:pt>
                <c:pt idx="99">
                  <c:v>-0.15251512989201976</c:v>
                </c:pt>
                <c:pt idx="100">
                  <c:v>-0.50115900839548133</c:v>
                </c:pt>
                <c:pt idx="101">
                  <c:v>-0.68803948929819847</c:v>
                </c:pt>
                <c:pt idx="102">
                  <c:v>-0.7487633322743763</c:v>
                </c:pt>
                <c:pt idx="103">
                  <c:v>-0.66808891393883207</c:v>
                </c:pt>
                <c:pt idx="104">
                  <c:v>-0.53531854311793337</c:v>
                </c:pt>
                <c:pt idx="105">
                  <c:v>-0.45540746130510179</c:v>
                </c:pt>
                <c:pt idx="106">
                  <c:v>-0.32051940376033061</c:v>
                </c:pt>
                <c:pt idx="107">
                  <c:v>-0.13198630369358971</c:v>
                </c:pt>
                <c:pt idx="108">
                  <c:v>-7.3850669847464467E-2</c:v>
                </c:pt>
                <c:pt idx="109">
                  <c:v>-5.4376169036758681E-2</c:v>
                </c:pt>
                <c:pt idx="110">
                  <c:v>-0.17107340368894586</c:v>
                </c:pt>
                <c:pt idx="111">
                  <c:v>-0.38384384051003817</c:v>
                </c:pt>
                <c:pt idx="112">
                  <c:v>-0.50823266299279268</c:v>
                </c:pt>
                <c:pt idx="113">
                  <c:v>-0.60783716747408501</c:v>
                </c:pt>
                <c:pt idx="114">
                  <c:v>-0.67445152216406312</c:v>
                </c:pt>
                <c:pt idx="115">
                  <c:v>-0.62537613811294979</c:v>
                </c:pt>
                <c:pt idx="116">
                  <c:v>-0.62108406925561477</c:v>
                </c:pt>
                <c:pt idx="117">
                  <c:v>-0.56262230283190207</c:v>
                </c:pt>
                <c:pt idx="118">
                  <c:v>-0.39732368511282989</c:v>
                </c:pt>
                <c:pt idx="119">
                  <c:v>-0.28067329626257398</c:v>
                </c:pt>
                <c:pt idx="120">
                  <c:v>-0.24274780447492228</c:v>
                </c:pt>
                <c:pt idx="121">
                  <c:v>-0.18412461513483325</c:v>
                </c:pt>
                <c:pt idx="122">
                  <c:v>-8.5187675168559962E-2</c:v>
                </c:pt>
                <c:pt idx="123">
                  <c:v>6.0190106913144747E-2</c:v>
                </c:pt>
                <c:pt idx="124">
                  <c:v>0.20075273796797233</c:v>
                </c:pt>
                <c:pt idx="125">
                  <c:v>0.41662509031140027</c:v>
                </c:pt>
                <c:pt idx="126">
                  <c:v>0.56596407321928932</c:v>
                </c:pt>
                <c:pt idx="127">
                  <c:v>0.61917214495934858</c:v>
                </c:pt>
                <c:pt idx="128">
                  <c:v>0.70429142270255507</c:v>
                </c:pt>
                <c:pt idx="129">
                  <c:v>0.76122505221798198</c:v>
                </c:pt>
                <c:pt idx="130">
                  <c:v>0.8174709283574213</c:v>
                </c:pt>
                <c:pt idx="131">
                  <c:v>0.83401251217104422</c:v>
                </c:pt>
                <c:pt idx="132">
                  <c:v>0.61996002343883105</c:v>
                </c:pt>
                <c:pt idx="133">
                  <c:v>0.47986736893404525</c:v>
                </c:pt>
                <c:pt idx="134">
                  <c:v>0.15880882975059807</c:v>
                </c:pt>
                <c:pt idx="135">
                  <c:v>-1.7338212487379323E-2</c:v>
                </c:pt>
                <c:pt idx="136">
                  <c:v>-8.1896920038234233E-2</c:v>
                </c:pt>
                <c:pt idx="137">
                  <c:v>-5.934740449130449E-3</c:v>
                </c:pt>
                <c:pt idx="138">
                  <c:v>1.3097635318630396E-2</c:v>
                </c:pt>
                <c:pt idx="139">
                  <c:v>1.9670664467958399E-2</c:v>
                </c:pt>
                <c:pt idx="140">
                  <c:v>2.8894016910799403E-2</c:v>
                </c:pt>
                <c:pt idx="141">
                  <c:v>0.17579898253337811</c:v>
                </c:pt>
                <c:pt idx="142">
                  <c:v>0.29113205170599377</c:v>
                </c:pt>
                <c:pt idx="143">
                  <c:v>0.25424617121157689</c:v>
                </c:pt>
                <c:pt idx="144">
                  <c:v>0.13926095834502816</c:v>
                </c:pt>
                <c:pt idx="145">
                  <c:v>8.1838373543630105E-4</c:v>
                </c:pt>
                <c:pt idx="146">
                  <c:v>2.9150934716643317E-2</c:v>
                </c:pt>
                <c:pt idx="147">
                  <c:v>7.6223907191118268E-2</c:v>
                </c:pt>
                <c:pt idx="148">
                  <c:v>0.15920505889421066</c:v>
                </c:pt>
                <c:pt idx="149">
                  <c:v>0.29827049034611974</c:v>
                </c:pt>
                <c:pt idx="150">
                  <c:v>0.1690428198428946</c:v>
                </c:pt>
                <c:pt idx="151">
                  <c:v>-2.4315698377534112E-2</c:v>
                </c:pt>
                <c:pt idx="152">
                  <c:v>-0.20236805478551734</c:v>
                </c:pt>
                <c:pt idx="153">
                  <c:v>-0.35720270919783348</c:v>
                </c:pt>
                <c:pt idx="154">
                  <c:v>-0.31816096974238073</c:v>
                </c:pt>
                <c:pt idx="155">
                  <c:v>-0.22465493564099115</c:v>
                </c:pt>
                <c:pt idx="156">
                  <c:v>-0.15756098774144767</c:v>
                </c:pt>
                <c:pt idx="157">
                  <c:v>-0.12932498518538282</c:v>
                </c:pt>
                <c:pt idx="158">
                  <c:v>-0.18215117759927346</c:v>
                </c:pt>
                <c:pt idx="159">
                  <c:v>-0.35088608799290477</c:v>
                </c:pt>
                <c:pt idx="160">
                  <c:v>-0.34713805460850172</c:v>
                </c:pt>
                <c:pt idx="161">
                  <c:v>-0.32786012304580503</c:v>
                </c:pt>
                <c:pt idx="162">
                  <c:v>-0.34569856824402562</c:v>
                </c:pt>
                <c:pt idx="163">
                  <c:v>-0.40358492410085273</c:v>
                </c:pt>
                <c:pt idx="164">
                  <c:v>-0.31860678838458911</c:v>
                </c:pt>
                <c:pt idx="165">
                  <c:v>-0.2205646188232922</c:v>
                </c:pt>
                <c:pt idx="166">
                  <c:v>-0.14768893581173442</c:v>
                </c:pt>
                <c:pt idx="167">
                  <c:v>3.2926381217755769E-2</c:v>
                </c:pt>
                <c:pt idx="168">
                  <c:v>0.22494071974476237</c:v>
                </c:pt>
                <c:pt idx="169">
                  <c:v>0.29482049509444774</c:v>
                </c:pt>
                <c:pt idx="170">
                  <c:v>0.35656566029735404</c:v>
                </c:pt>
                <c:pt idx="171">
                  <c:v>0.31598895142543992</c:v>
                </c:pt>
                <c:pt idx="172">
                  <c:v>0.36138092627328522</c:v>
                </c:pt>
                <c:pt idx="173">
                  <c:v>0.25451305308731731</c:v>
                </c:pt>
                <c:pt idx="174">
                  <c:v>0.14849301994898545</c:v>
                </c:pt>
                <c:pt idx="175">
                  <c:v>3.0992926993723247E-2</c:v>
                </c:pt>
                <c:pt idx="176">
                  <c:v>-2.5072424625189771E-2</c:v>
                </c:pt>
                <c:pt idx="177">
                  <c:v>-9.3242324667218601E-2</c:v>
                </c:pt>
                <c:pt idx="178">
                  <c:v>-8.3526414545658456E-2</c:v>
                </c:pt>
                <c:pt idx="179">
                  <c:v>9.5941423272188797E-2</c:v>
                </c:pt>
                <c:pt idx="180">
                  <c:v>0.26241342843679416</c:v>
                </c:pt>
                <c:pt idx="181">
                  <c:v>0.44715295832648405</c:v>
                </c:pt>
                <c:pt idx="182">
                  <c:v>0.42714583785405025</c:v>
                </c:pt>
                <c:pt idx="183">
                  <c:v>0.42757789477971753</c:v>
                </c:pt>
                <c:pt idx="184">
                  <c:v>0.42897464362655535</c:v>
                </c:pt>
                <c:pt idx="185">
                  <c:v>0.29526983215708524</c:v>
                </c:pt>
                <c:pt idx="186">
                  <c:v>0.27212231241332696</c:v>
                </c:pt>
                <c:pt idx="187">
                  <c:v>0.12549564934480206</c:v>
                </c:pt>
                <c:pt idx="188">
                  <c:v>-4.971120420177666E-3</c:v>
                </c:pt>
                <c:pt idx="189">
                  <c:v>-9.3569679396589889E-2</c:v>
                </c:pt>
                <c:pt idx="190">
                  <c:v>-0.22573497454917146</c:v>
                </c:pt>
                <c:pt idx="191">
                  <c:v>-0.40010041941203722</c:v>
                </c:pt>
                <c:pt idx="192">
                  <c:v>-0.48109728426137199</c:v>
                </c:pt>
                <c:pt idx="193">
                  <c:v>-0.44143230368730868</c:v>
                </c:pt>
                <c:pt idx="194">
                  <c:v>-0.35529177840235338</c:v>
                </c:pt>
                <c:pt idx="195">
                  <c:v>-0.368809750000895</c:v>
                </c:pt>
                <c:pt idx="196">
                  <c:v>-0.20903168409792217</c:v>
                </c:pt>
                <c:pt idx="197">
                  <c:v>-0.14509282849407967</c:v>
                </c:pt>
                <c:pt idx="198">
                  <c:v>-0.14041615792194273</c:v>
                </c:pt>
                <c:pt idx="199">
                  <c:v>-0.17025629224771888</c:v>
                </c:pt>
                <c:pt idx="200">
                  <c:v>-3.9174584898698073E-2</c:v>
                </c:pt>
                <c:pt idx="201">
                  <c:v>0.12344627179834716</c:v>
                </c:pt>
                <c:pt idx="202">
                  <c:v>0.21470425691675543</c:v>
                </c:pt>
                <c:pt idx="203">
                  <c:v>0.21001140990121714</c:v>
                </c:pt>
                <c:pt idx="204">
                  <c:v>0.12324778279366089</c:v>
                </c:pt>
                <c:pt idx="205">
                  <c:v>-0.1396005141364024</c:v>
                </c:pt>
                <c:pt idx="206">
                  <c:v>-0.12793752413237902</c:v>
                </c:pt>
                <c:pt idx="207">
                  <c:v>-0.17427956510062015</c:v>
                </c:pt>
                <c:pt idx="208">
                  <c:v>-0.18905747389793626</c:v>
                </c:pt>
                <c:pt idx="209">
                  <c:v>-9.9244873924320298E-2</c:v>
                </c:pt>
                <c:pt idx="210">
                  <c:v>3.9515748810640461E-2</c:v>
                </c:pt>
                <c:pt idx="211">
                  <c:v>0.10777995260006934</c:v>
                </c:pt>
                <c:pt idx="212">
                  <c:v>0.13377778180311028</c:v>
                </c:pt>
                <c:pt idx="213">
                  <c:v>0.22925713610078924</c:v>
                </c:pt>
                <c:pt idx="214">
                  <c:v>0.30149349807043491</c:v>
                </c:pt>
                <c:pt idx="215">
                  <c:v>0.28385008177551141</c:v>
                </c:pt>
                <c:pt idx="216">
                  <c:v>0.39904999190852064</c:v>
                </c:pt>
                <c:pt idx="217">
                  <c:v>0.6160921056716413</c:v>
                </c:pt>
                <c:pt idx="218">
                  <c:v>0.43618503487875904</c:v>
                </c:pt>
                <c:pt idx="219">
                  <c:v>0.12759568907837138</c:v>
                </c:pt>
                <c:pt idx="220">
                  <c:v>0.19968402678174102</c:v>
                </c:pt>
                <c:pt idx="221">
                  <c:v>0.3325556058972341</c:v>
                </c:pt>
                <c:pt idx="222">
                  <c:v>0.35029736042646986</c:v>
                </c:pt>
                <c:pt idx="223">
                  <c:v>0.49134610190540351</c:v>
                </c:pt>
                <c:pt idx="224">
                  <c:v>0.77455770208574393</c:v>
                </c:pt>
                <c:pt idx="225">
                  <c:v>0.8284048843439451</c:v>
                </c:pt>
                <c:pt idx="226">
                  <c:v>0.85056635718932938</c:v>
                </c:pt>
                <c:pt idx="227">
                  <c:v>0.83764213129701925</c:v>
                </c:pt>
                <c:pt idx="228">
                  <c:v>0.96614479523119812</c:v>
                </c:pt>
                <c:pt idx="229">
                  <c:v>0.97524162129996883</c:v>
                </c:pt>
                <c:pt idx="230">
                  <c:v>0.98976050085284184</c:v>
                </c:pt>
                <c:pt idx="231">
                  <c:v>0.91148706126621404</c:v>
                </c:pt>
                <c:pt idx="232">
                  <c:v>0.91237240067871372</c:v>
                </c:pt>
                <c:pt idx="233">
                  <c:v>0.88161313386349915</c:v>
                </c:pt>
                <c:pt idx="234">
                  <c:v>0.96974522497481752</c:v>
                </c:pt>
                <c:pt idx="235">
                  <c:v>0.99537780636365092</c:v>
                </c:pt>
                <c:pt idx="236">
                  <c:v>0.72997382398730348</c:v>
                </c:pt>
                <c:pt idx="237">
                  <c:v>0.82600405867128401</c:v>
                </c:pt>
                <c:pt idx="238">
                  <c:v>1.0478455987346447</c:v>
                </c:pt>
                <c:pt idx="239">
                  <c:v>0.99182482075615752</c:v>
                </c:pt>
                <c:pt idx="240">
                  <c:v>1.0482245911793537</c:v>
                </c:pt>
                <c:pt idx="241">
                  <c:v>1.1180493906613531</c:v>
                </c:pt>
                <c:pt idx="242">
                  <c:v>1.0764847045875943</c:v>
                </c:pt>
                <c:pt idx="243">
                  <c:v>1.1939340231800388</c:v>
                </c:pt>
                <c:pt idx="244">
                  <c:v>0.78952256213118854</c:v>
                </c:pt>
                <c:pt idx="245">
                  <c:v>0.34226261479320108</c:v>
                </c:pt>
                <c:pt idx="246">
                  <c:v>-0.15896569164570895</c:v>
                </c:pt>
                <c:pt idx="247">
                  <c:v>-0.23661355822824071</c:v>
                </c:pt>
                <c:pt idx="248">
                  <c:v>-0.31219387962528256</c:v>
                </c:pt>
                <c:pt idx="249">
                  <c:v>-0.63579900740919548</c:v>
                </c:pt>
                <c:pt idx="250">
                  <c:v>-4.8843643309948037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0C-457A-A3FC-553C36AB9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250176272"/>
        <c:axId val="1250177712"/>
      </c:barChart>
      <c:lineChart>
        <c:grouping val="standard"/>
        <c:varyColors val="0"/>
        <c:ser>
          <c:idx val="0"/>
          <c:order val="0"/>
          <c:tx>
            <c:strRef>
              <c:f>Data!$Y$1</c:f>
              <c:strCache>
                <c:ptCount val="1"/>
                <c:pt idx="0">
                  <c:v>MACD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Data!$Y$2:$Y$254</c:f>
              <c:numCache>
                <c:formatCode>General</c:formatCode>
                <c:ptCount val="253"/>
                <c:pt idx="25">
                  <c:v>3.4234206534831202</c:v>
                </c:pt>
                <c:pt idx="26">
                  <c:v>3.4197726711930443</c:v>
                </c:pt>
                <c:pt idx="27">
                  <c:v>3.3484271275618624</c:v>
                </c:pt>
                <c:pt idx="28">
                  <c:v>2.7565931303857383</c:v>
                </c:pt>
                <c:pt idx="29">
                  <c:v>1.6161352336764025</c:v>
                </c:pt>
                <c:pt idx="30">
                  <c:v>0.59251568230951079</c:v>
                </c:pt>
                <c:pt idx="31">
                  <c:v>-0.38932317625210544</c:v>
                </c:pt>
                <c:pt idx="32">
                  <c:v>-0.75287985260378321</c:v>
                </c:pt>
                <c:pt idx="33">
                  <c:v>-1.4973999853282578</c:v>
                </c:pt>
                <c:pt idx="34">
                  <c:v>-1.8075807162625068</c:v>
                </c:pt>
                <c:pt idx="35">
                  <c:v>-2.0100575770655524</c:v>
                </c:pt>
                <c:pt idx="36">
                  <c:v>-2.1689205582979554</c:v>
                </c:pt>
                <c:pt idx="37">
                  <c:v>-2.1817172466333403</c:v>
                </c:pt>
                <c:pt idx="38">
                  <c:v>-1.9491024896695137</c:v>
                </c:pt>
                <c:pt idx="39">
                  <c:v>-1.8698846317671496</c:v>
                </c:pt>
                <c:pt idx="40">
                  <c:v>-1.5511824965813332</c:v>
                </c:pt>
                <c:pt idx="41">
                  <c:v>-1.3579978323009243</c:v>
                </c:pt>
                <c:pt idx="42">
                  <c:v>-1.0906537468128477</c:v>
                </c:pt>
                <c:pt idx="43">
                  <c:v>-0.8735533522360015</c:v>
                </c:pt>
                <c:pt idx="44">
                  <c:v>-0.6887191017585792</c:v>
                </c:pt>
                <c:pt idx="45">
                  <c:v>-0.55759575335879674</c:v>
                </c:pt>
                <c:pt idx="46">
                  <c:v>-0.66628719545741433</c:v>
                </c:pt>
                <c:pt idx="47">
                  <c:v>-0.73188547977450469</c:v>
                </c:pt>
                <c:pt idx="48">
                  <c:v>-0.74063757740442782</c:v>
                </c:pt>
                <c:pt idx="49">
                  <c:v>-0.97358423420958218</c:v>
                </c:pt>
                <c:pt idx="50">
                  <c:v>-1.0301255267582405</c:v>
                </c:pt>
                <c:pt idx="51">
                  <c:v>-1.0706621459714682</c:v>
                </c:pt>
                <c:pt idx="52">
                  <c:v>-0.97375309098501361</c:v>
                </c:pt>
                <c:pt idx="53">
                  <c:v>-0.78781291296446909</c:v>
                </c:pt>
                <c:pt idx="54">
                  <c:v>-0.48557701379777995</c:v>
                </c:pt>
                <c:pt idx="55">
                  <c:v>-0.21931724078913817</c:v>
                </c:pt>
                <c:pt idx="56">
                  <c:v>-8.6386452924372747E-2</c:v>
                </c:pt>
                <c:pt idx="57">
                  <c:v>2.6723269225229274E-2</c:v>
                </c:pt>
                <c:pt idx="58">
                  <c:v>8.3926347613385133E-2</c:v>
                </c:pt>
                <c:pt idx="59">
                  <c:v>-9.4208285510575251E-3</c:v>
                </c:pt>
                <c:pt idx="60">
                  <c:v>-0.20370228191578121</c:v>
                </c:pt>
                <c:pt idx="61">
                  <c:v>-0.45650168518538692</c:v>
                </c:pt>
                <c:pt idx="62">
                  <c:v>-0.70440433236031197</c:v>
                </c:pt>
                <c:pt idx="63">
                  <c:v>-0.88581632849610514</c:v>
                </c:pt>
                <c:pt idx="64">
                  <c:v>-0.97876514223787581</c:v>
                </c:pt>
                <c:pt idx="65">
                  <c:v>-1.1529129006710264</c:v>
                </c:pt>
                <c:pt idx="66">
                  <c:v>-1.2299470373275341</c:v>
                </c:pt>
                <c:pt idx="67">
                  <c:v>-1.3073960385561065</c:v>
                </c:pt>
                <c:pt idx="68">
                  <c:v>-1.2933472954895393</c:v>
                </c:pt>
                <c:pt idx="69">
                  <c:v>-1.2077723851611495</c:v>
                </c:pt>
                <c:pt idx="70">
                  <c:v>-1.2466208470387841</c:v>
                </c:pt>
                <c:pt idx="71">
                  <c:v>-1.3003440482586939</c:v>
                </c:pt>
                <c:pt idx="72">
                  <c:v>-1.1329722651887266</c:v>
                </c:pt>
                <c:pt idx="73">
                  <c:v>-0.93308870563033963</c:v>
                </c:pt>
                <c:pt idx="74">
                  <c:v>-0.58636410819137552</c:v>
                </c:pt>
                <c:pt idx="75">
                  <c:v>-0.14130792377974899</c:v>
                </c:pt>
                <c:pt idx="76">
                  <c:v>0.24249743920691458</c:v>
                </c:pt>
                <c:pt idx="77">
                  <c:v>0.73109141374966669</c:v>
                </c:pt>
                <c:pt idx="78">
                  <c:v>1.1342793833914158</c:v>
                </c:pt>
                <c:pt idx="79">
                  <c:v>1.5584946942686599</c:v>
                </c:pt>
                <c:pt idx="80">
                  <c:v>1.8084811094087456</c:v>
                </c:pt>
                <c:pt idx="81">
                  <c:v>2.1041857809924949</c:v>
                </c:pt>
                <c:pt idx="82">
                  <c:v>2.0757585489741359</c:v>
                </c:pt>
                <c:pt idx="83">
                  <c:v>1.7586060617919657</c:v>
                </c:pt>
                <c:pt idx="84">
                  <c:v>1.4924768360875049</c:v>
                </c:pt>
                <c:pt idx="85">
                  <c:v>1.3961935186713248</c:v>
                </c:pt>
                <c:pt idx="86">
                  <c:v>1.2561858652122453</c:v>
                </c:pt>
                <c:pt idx="87">
                  <c:v>1.0061378647504426</c:v>
                </c:pt>
                <c:pt idx="88">
                  <c:v>0.91363714798120554</c:v>
                </c:pt>
                <c:pt idx="89">
                  <c:v>0.97514072147562558</c:v>
                </c:pt>
                <c:pt idx="90">
                  <c:v>1.1039524588689602</c:v>
                </c:pt>
                <c:pt idx="91">
                  <c:v>1.1053411139905904</c:v>
                </c:pt>
                <c:pt idx="92">
                  <c:v>1.3395306174164716</c:v>
                </c:pt>
                <c:pt idx="93">
                  <c:v>1.4766360048023728</c:v>
                </c:pt>
                <c:pt idx="94">
                  <c:v>1.6573694450072622</c:v>
                </c:pt>
                <c:pt idx="95">
                  <c:v>1.8199683574753749</c:v>
                </c:pt>
                <c:pt idx="96">
                  <c:v>1.806164447215636</c:v>
                </c:pt>
                <c:pt idx="97">
                  <c:v>1.6941965466165243</c:v>
                </c:pt>
                <c:pt idx="98">
                  <c:v>1.532920310573175</c:v>
                </c:pt>
                <c:pt idx="99">
                  <c:v>1.343625022384515</c:v>
                </c:pt>
                <c:pt idx="100">
                  <c:v>0.86969139178218313</c:v>
                </c:pt>
                <c:pt idx="101">
                  <c:v>0.51080103855491643</c:v>
                </c:pt>
                <c:pt idx="102">
                  <c:v>0.26288636251014452</c:v>
                </c:pt>
                <c:pt idx="103">
                  <c:v>0.17653855236098082</c:v>
                </c:pt>
                <c:pt idx="104">
                  <c:v>0.17547928740239627</c:v>
                </c:pt>
                <c:pt idx="105">
                  <c:v>0.1415385038889525</c:v>
                </c:pt>
                <c:pt idx="106">
                  <c:v>0.19629671049364106</c:v>
                </c:pt>
                <c:pt idx="107">
                  <c:v>0.35183323463698457</c:v>
                </c:pt>
                <c:pt idx="108">
                  <c:v>0.39150620102124378</c:v>
                </c:pt>
                <c:pt idx="109">
                  <c:v>0.39738665957275998</c:v>
                </c:pt>
                <c:pt idx="110">
                  <c:v>0.2379210739983364</c:v>
                </c:pt>
                <c:pt idx="111">
                  <c:v>-7.0810322950265459E-2</c:v>
                </c:pt>
                <c:pt idx="112">
                  <c:v>-0.32225731118121814</c:v>
                </c:pt>
                <c:pt idx="113">
                  <c:v>-0.57382110753103177</c:v>
                </c:pt>
                <c:pt idx="114">
                  <c:v>-0.80904834276202564</c:v>
                </c:pt>
                <c:pt idx="115">
                  <c:v>-0.91631699323914972</c:v>
                </c:pt>
                <c:pt idx="116">
                  <c:v>-1.0672959416957184</c:v>
                </c:pt>
                <c:pt idx="117">
                  <c:v>-1.1494897509799813</c:v>
                </c:pt>
                <c:pt idx="118">
                  <c:v>-1.0835220545391167</c:v>
                </c:pt>
                <c:pt idx="119">
                  <c:v>-1.0370399897545042</c:v>
                </c:pt>
                <c:pt idx="120">
                  <c:v>-1.0598014490855832</c:v>
                </c:pt>
                <c:pt idx="121">
                  <c:v>-1.0472094135292025</c:v>
                </c:pt>
                <c:pt idx="122">
                  <c:v>-0.96956939235506923</c:v>
                </c:pt>
                <c:pt idx="123">
                  <c:v>-0.80914408354507827</c:v>
                </c:pt>
                <c:pt idx="124">
                  <c:v>-0.61839326799825756</c:v>
                </c:pt>
                <c:pt idx="125">
                  <c:v>-0.29836464307697952</c:v>
                </c:pt>
                <c:pt idx="126">
                  <c:v>-7.5346418642681101E-3</c:v>
                </c:pt>
                <c:pt idx="127">
                  <c:v>0.20046646611562835</c:v>
                </c:pt>
                <c:pt idx="128">
                  <c:v>0.46165859953447352</c:v>
                </c:pt>
                <c:pt idx="129">
                  <c:v>0.70889849210439593</c:v>
                </c:pt>
                <c:pt idx="130">
                  <c:v>0.96951210033319057</c:v>
                </c:pt>
                <c:pt idx="131">
                  <c:v>1.1945568121895747</c:v>
                </c:pt>
                <c:pt idx="132">
                  <c:v>1.1354943293170692</c:v>
                </c:pt>
                <c:pt idx="133">
                  <c:v>1.1153685170457948</c:v>
                </c:pt>
                <c:pt idx="134">
                  <c:v>0.8340121852999971</c:v>
                </c:pt>
                <c:pt idx="135">
                  <c:v>0.65353058994017488</c:v>
                </c:pt>
                <c:pt idx="136">
                  <c:v>0.56849765237976158</c:v>
                </c:pt>
                <c:pt idx="137">
                  <c:v>0.64297614685658289</c:v>
                </c:pt>
                <c:pt idx="138">
                  <c:v>0.66528293145400141</c:v>
                </c:pt>
                <c:pt idx="139">
                  <c:v>0.67677362672031904</c:v>
                </c:pt>
                <c:pt idx="140">
                  <c:v>0.69322048339085995</c:v>
                </c:pt>
                <c:pt idx="141">
                  <c:v>0.8840751946467833</c:v>
                </c:pt>
                <c:pt idx="142">
                  <c:v>1.0721912767458974</c:v>
                </c:pt>
                <c:pt idx="143">
                  <c:v>1.0988669390543748</c:v>
                </c:pt>
                <c:pt idx="144">
                  <c:v>1.0186969657740832</c:v>
                </c:pt>
                <c:pt idx="145">
                  <c:v>0.88045898709835058</c:v>
                </c:pt>
                <c:pt idx="146">
                  <c:v>0.91607927175871851</c:v>
                </c:pt>
                <c:pt idx="147">
                  <c:v>0.98220822103097305</c:v>
                </c:pt>
                <c:pt idx="148">
                  <c:v>1.1049906374576182</c:v>
                </c:pt>
                <c:pt idx="149">
                  <c:v>1.3186236914960574</c:v>
                </c:pt>
                <c:pt idx="150">
                  <c:v>1.231656725953556</c:v>
                </c:pt>
                <c:pt idx="151">
                  <c:v>1.032219283138744</c:v>
                </c:pt>
                <c:pt idx="152">
                  <c:v>0.80357491303438167</c:v>
                </c:pt>
                <c:pt idx="153">
                  <c:v>0.55943958132260718</c:v>
                </c:pt>
                <c:pt idx="154">
                  <c:v>0.51894107834246483</c:v>
                </c:pt>
                <c:pt idx="155">
                  <c:v>0.55628337853360676</c:v>
                </c:pt>
                <c:pt idx="156">
                  <c:v>0.58398707949778839</c:v>
                </c:pt>
                <c:pt idx="157">
                  <c:v>0.57989183575750758</c:v>
                </c:pt>
                <c:pt idx="158">
                  <c:v>0.48152784894379863</c:v>
                </c:pt>
                <c:pt idx="159">
                  <c:v>0.22507141655194118</c:v>
                </c:pt>
                <c:pt idx="160">
                  <c:v>0.14203493628421882</c:v>
                </c:pt>
                <c:pt idx="161">
                  <c:v>7.9347837085464334E-2</c:v>
                </c:pt>
                <c:pt idx="162">
                  <c:v>-2.4915250173762615E-2</c:v>
                </c:pt>
                <c:pt idx="163">
                  <c:v>-0.18369783705580289</c:v>
                </c:pt>
                <c:pt idx="164">
                  <c:v>-0.1783713984356865</c:v>
                </c:pt>
                <c:pt idx="165">
                  <c:v>-0.13547038358021268</c:v>
                </c:pt>
                <c:pt idx="166">
                  <c:v>-9.9516934521588496E-2</c:v>
                </c:pt>
                <c:pt idx="167">
                  <c:v>8.9329977812340644E-2</c:v>
                </c:pt>
                <c:pt idx="168">
                  <c:v>0.33757949627553785</c:v>
                </c:pt>
                <c:pt idx="169">
                  <c:v>0.48116439539883515</c:v>
                </c:pt>
                <c:pt idx="170">
                  <c:v>0.63205097567607993</c:v>
                </c:pt>
                <c:pt idx="171">
                  <c:v>0.67047150466052585</c:v>
                </c:pt>
                <c:pt idx="172">
                  <c:v>0.80620871107669245</c:v>
                </c:pt>
                <c:pt idx="173">
                  <c:v>0.7629691011625539</c:v>
                </c:pt>
                <c:pt idx="174">
                  <c:v>0.69407232301146848</c:v>
                </c:pt>
                <c:pt idx="175">
                  <c:v>0.58432046180463715</c:v>
                </c:pt>
                <c:pt idx="176">
                  <c:v>0.52198700402942677</c:v>
                </c:pt>
                <c:pt idx="177">
                  <c:v>0.43050652282059332</c:v>
                </c:pt>
                <c:pt idx="178">
                  <c:v>0.41934082930573879</c:v>
                </c:pt>
                <c:pt idx="179">
                  <c:v>0.62279402294163333</c:v>
                </c:pt>
                <c:pt idx="180">
                  <c:v>0.85486938521543721</c:v>
                </c:pt>
                <c:pt idx="181">
                  <c:v>1.1513971546867481</c:v>
                </c:pt>
                <c:pt idx="182">
                  <c:v>1.2381764936778268</c:v>
                </c:pt>
                <c:pt idx="183">
                  <c:v>1.3455030242984236</c:v>
                </c:pt>
                <c:pt idx="184">
                  <c:v>1.4541434340519004</c:v>
                </c:pt>
                <c:pt idx="185">
                  <c:v>1.3942560806217017</c:v>
                </c:pt>
                <c:pt idx="186">
                  <c:v>1.4391391389812753</c:v>
                </c:pt>
                <c:pt idx="187">
                  <c:v>1.3238863882489511</c:v>
                </c:pt>
                <c:pt idx="188">
                  <c:v>1.1921768383789271</c:v>
                </c:pt>
                <c:pt idx="189">
                  <c:v>1.0801858595533673</c:v>
                </c:pt>
                <c:pt idx="190">
                  <c:v>0.89158682076349294</c:v>
                </c:pt>
                <c:pt idx="191">
                  <c:v>0.61719627104761798</c:v>
                </c:pt>
                <c:pt idx="192">
                  <c:v>0.41592508513294035</c:v>
                </c:pt>
                <c:pt idx="193">
                  <c:v>0.34523198978517655</c:v>
                </c:pt>
                <c:pt idx="194">
                  <c:v>0.3425495704695436</c:v>
                </c:pt>
                <c:pt idx="195">
                  <c:v>0.23682916137077825</c:v>
                </c:pt>
                <c:pt idx="196">
                  <c:v>0.34434930624927063</c:v>
                </c:pt>
                <c:pt idx="197">
                  <c:v>0.37201495472959323</c:v>
                </c:pt>
                <c:pt idx="198">
                  <c:v>0.34158758582124449</c:v>
                </c:pt>
                <c:pt idx="199">
                  <c:v>0.26918337843353868</c:v>
                </c:pt>
                <c:pt idx="200">
                  <c:v>0.39047143955788499</c:v>
                </c:pt>
                <c:pt idx="201">
                  <c:v>0.583953864204517</c:v>
                </c:pt>
                <c:pt idx="202">
                  <c:v>0.72888791355211424</c:v>
                </c:pt>
                <c:pt idx="203">
                  <c:v>0.77669791901188034</c:v>
                </c:pt>
                <c:pt idx="204">
                  <c:v>0.72074623760273937</c:v>
                </c:pt>
                <c:pt idx="205">
                  <c:v>0.42299781213857557</c:v>
                </c:pt>
                <c:pt idx="206">
                  <c:v>0.40267642110950419</c:v>
                </c:pt>
                <c:pt idx="207">
                  <c:v>0.31276448886610808</c:v>
                </c:pt>
                <c:pt idx="208">
                  <c:v>0.25072221159430796</c:v>
                </c:pt>
                <c:pt idx="209">
                  <c:v>0.31572359308684383</c:v>
                </c:pt>
                <c:pt idx="210">
                  <c:v>0.46436315302446474</c:v>
                </c:pt>
                <c:pt idx="211">
                  <c:v>0.55957234496391095</c:v>
                </c:pt>
                <c:pt idx="212">
                  <c:v>0.61901461961772952</c:v>
                </c:pt>
                <c:pt idx="213">
                  <c:v>0.77180825794060581</c:v>
                </c:pt>
                <c:pt idx="214">
                  <c:v>0.91941799442786021</c:v>
                </c:pt>
                <c:pt idx="215">
                  <c:v>0.97273709857681467</c:v>
                </c:pt>
                <c:pt idx="216">
                  <c:v>1.187699506686954</c:v>
                </c:pt>
                <c:pt idx="217">
                  <c:v>1.558764646867985</c:v>
                </c:pt>
                <c:pt idx="218">
                  <c:v>1.4879038347947926</c:v>
                </c:pt>
                <c:pt idx="219">
                  <c:v>1.2112134112639978</c:v>
                </c:pt>
                <c:pt idx="220">
                  <c:v>1.3332227556628027</c:v>
                </c:pt>
                <c:pt idx="221">
                  <c:v>1.5492332362526042</c:v>
                </c:pt>
                <c:pt idx="222">
                  <c:v>1.6545493308884573</c:v>
                </c:pt>
                <c:pt idx="223">
                  <c:v>1.918434597843742</c:v>
                </c:pt>
                <c:pt idx="224">
                  <c:v>2.3952856235455187</c:v>
                </c:pt>
                <c:pt idx="225">
                  <c:v>2.656234026889706</c:v>
                </c:pt>
                <c:pt idx="226">
                  <c:v>2.8910370890324231</c:v>
                </c:pt>
                <c:pt idx="227">
                  <c:v>3.087523395964368</c:v>
                </c:pt>
                <c:pt idx="228">
                  <c:v>3.4575622587063464</c:v>
                </c:pt>
                <c:pt idx="229">
                  <c:v>3.7104694901001096</c:v>
                </c:pt>
                <c:pt idx="230">
                  <c:v>3.9724284948661932</c:v>
                </c:pt>
                <c:pt idx="231">
                  <c:v>4.122026820596119</c:v>
                </c:pt>
                <c:pt idx="232">
                  <c:v>4.3510052601782974</c:v>
                </c:pt>
                <c:pt idx="233">
                  <c:v>4.5406492768289581</c:v>
                </c:pt>
                <c:pt idx="234">
                  <c:v>4.8712176741839812</c:v>
                </c:pt>
                <c:pt idx="235">
                  <c:v>5.1456947071637273</c:v>
                </c:pt>
                <c:pt idx="236">
                  <c:v>5.062784180784206</c:v>
                </c:pt>
                <c:pt idx="237">
                  <c:v>5.3653154301360075</c:v>
                </c:pt>
                <c:pt idx="238">
                  <c:v>5.8491183698830298</c:v>
                </c:pt>
                <c:pt idx="239">
                  <c:v>6.041053797093582</c:v>
                </c:pt>
                <c:pt idx="240">
                  <c:v>6.3595097153116171</c:v>
                </c:pt>
                <c:pt idx="241">
                  <c:v>6.7088468624589552</c:v>
                </c:pt>
                <c:pt idx="242">
                  <c:v>6.9364033525320963</c:v>
                </c:pt>
                <c:pt idx="243">
                  <c:v>7.3523361769195503</c:v>
                </c:pt>
                <c:pt idx="244">
                  <c:v>7.1453053564034974</c:v>
                </c:pt>
                <c:pt idx="245">
                  <c:v>6.7836110627638107</c:v>
                </c:pt>
                <c:pt idx="246">
                  <c:v>6.2426413334134736</c:v>
                </c:pt>
                <c:pt idx="247">
                  <c:v>6.1058400772738821</c:v>
                </c:pt>
                <c:pt idx="248">
                  <c:v>5.9522112859705203</c:v>
                </c:pt>
                <c:pt idx="249">
                  <c:v>5.4696564063343089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0C-457A-A3FC-553C36AB9D70}"/>
            </c:ext>
          </c:extLst>
        </c:ser>
        <c:ser>
          <c:idx val="1"/>
          <c:order val="1"/>
          <c:tx>
            <c:strRef>
              <c:f>Data!$Z$1</c:f>
              <c:strCache>
                <c:ptCount val="1"/>
                <c:pt idx="0">
                  <c:v>Signal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Data!$B$2:$B$254</c:f>
              <c:numCache>
                <c:formatCode>m/d/yyyy</c:formatCode>
                <c:ptCount val="253"/>
                <c:pt idx="0">
                  <c:v>45709</c:v>
                </c:pt>
                <c:pt idx="1">
                  <c:v>45712</c:v>
                </c:pt>
                <c:pt idx="2">
                  <c:v>45713</c:v>
                </c:pt>
                <c:pt idx="3">
                  <c:v>45714</c:v>
                </c:pt>
                <c:pt idx="4">
                  <c:v>45715</c:v>
                </c:pt>
                <c:pt idx="5">
                  <c:v>45716</c:v>
                </c:pt>
                <c:pt idx="6">
                  <c:v>45719</c:v>
                </c:pt>
                <c:pt idx="7">
                  <c:v>45720</c:v>
                </c:pt>
                <c:pt idx="8">
                  <c:v>45721</c:v>
                </c:pt>
                <c:pt idx="9">
                  <c:v>45722</c:v>
                </c:pt>
                <c:pt idx="10">
                  <c:v>45723</c:v>
                </c:pt>
                <c:pt idx="11">
                  <c:v>45726</c:v>
                </c:pt>
                <c:pt idx="12">
                  <c:v>45727</c:v>
                </c:pt>
                <c:pt idx="13">
                  <c:v>45728</c:v>
                </c:pt>
                <c:pt idx="14">
                  <c:v>45729</c:v>
                </c:pt>
                <c:pt idx="15">
                  <c:v>45730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45740</c:v>
                </c:pt>
                <c:pt idx="22">
                  <c:v>45741</c:v>
                </c:pt>
                <c:pt idx="23">
                  <c:v>45742</c:v>
                </c:pt>
                <c:pt idx="24">
                  <c:v>45743</c:v>
                </c:pt>
                <c:pt idx="25">
                  <c:v>45744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45754</c:v>
                </c:pt>
                <c:pt idx="32">
                  <c:v>45755</c:v>
                </c:pt>
                <c:pt idx="33">
                  <c:v>45756</c:v>
                </c:pt>
                <c:pt idx="34">
                  <c:v>45757</c:v>
                </c:pt>
                <c:pt idx="35">
                  <c:v>45758</c:v>
                </c:pt>
                <c:pt idx="36">
                  <c:v>45761</c:v>
                </c:pt>
                <c:pt idx="37">
                  <c:v>45762</c:v>
                </c:pt>
                <c:pt idx="38">
                  <c:v>45763</c:v>
                </c:pt>
                <c:pt idx="39">
                  <c:v>45764</c:v>
                </c:pt>
                <c:pt idx="40">
                  <c:v>45768</c:v>
                </c:pt>
                <c:pt idx="41">
                  <c:v>45769</c:v>
                </c:pt>
                <c:pt idx="42">
                  <c:v>45770</c:v>
                </c:pt>
                <c:pt idx="43">
                  <c:v>45771</c:v>
                </c:pt>
                <c:pt idx="44">
                  <c:v>45772</c:v>
                </c:pt>
                <c:pt idx="45">
                  <c:v>45775</c:v>
                </c:pt>
                <c:pt idx="46">
                  <c:v>45776</c:v>
                </c:pt>
                <c:pt idx="47">
                  <c:v>45777</c:v>
                </c:pt>
                <c:pt idx="48">
                  <c:v>45778</c:v>
                </c:pt>
                <c:pt idx="49">
                  <c:v>45779</c:v>
                </c:pt>
                <c:pt idx="50">
                  <c:v>45782</c:v>
                </c:pt>
                <c:pt idx="51">
                  <c:v>45783</c:v>
                </c:pt>
                <c:pt idx="52">
                  <c:v>45784</c:v>
                </c:pt>
                <c:pt idx="53">
                  <c:v>45785</c:v>
                </c:pt>
                <c:pt idx="54">
                  <c:v>45786</c:v>
                </c:pt>
                <c:pt idx="55">
                  <c:v>45789</c:v>
                </c:pt>
                <c:pt idx="56">
                  <c:v>45790</c:v>
                </c:pt>
                <c:pt idx="57">
                  <c:v>45791</c:v>
                </c:pt>
                <c:pt idx="58">
                  <c:v>45792</c:v>
                </c:pt>
                <c:pt idx="59">
                  <c:v>45793</c:v>
                </c:pt>
                <c:pt idx="60">
                  <c:v>45796</c:v>
                </c:pt>
                <c:pt idx="61">
                  <c:v>45797</c:v>
                </c:pt>
                <c:pt idx="62">
                  <c:v>45798</c:v>
                </c:pt>
                <c:pt idx="63">
                  <c:v>45799</c:v>
                </c:pt>
                <c:pt idx="64">
                  <c:v>45800</c:v>
                </c:pt>
                <c:pt idx="65">
                  <c:v>45804</c:v>
                </c:pt>
                <c:pt idx="66">
                  <c:v>45805</c:v>
                </c:pt>
                <c:pt idx="67">
                  <c:v>45806</c:v>
                </c:pt>
                <c:pt idx="68">
                  <c:v>45807</c:v>
                </c:pt>
                <c:pt idx="69">
                  <c:v>45810</c:v>
                </c:pt>
                <c:pt idx="70">
                  <c:v>45811</c:v>
                </c:pt>
                <c:pt idx="71">
                  <c:v>45812</c:v>
                </c:pt>
                <c:pt idx="72">
                  <c:v>45813</c:v>
                </c:pt>
                <c:pt idx="73">
                  <c:v>45814</c:v>
                </c:pt>
                <c:pt idx="74">
                  <c:v>45817</c:v>
                </c:pt>
                <c:pt idx="75">
                  <c:v>45818</c:v>
                </c:pt>
                <c:pt idx="76">
                  <c:v>45819</c:v>
                </c:pt>
                <c:pt idx="77">
                  <c:v>45820</c:v>
                </c:pt>
                <c:pt idx="78">
                  <c:v>45821</c:v>
                </c:pt>
                <c:pt idx="79">
                  <c:v>45824</c:v>
                </c:pt>
                <c:pt idx="80">
                  <c:v>45825</c:v>
                </c:pt>
                <c:pt idx="81">
                  <c:v>45826</c:v>
                </c:pt>
                <c:pt idx="82">
                  <c:v>45828</c:v>
                </c:pt>
                <c:pt idx="83">
                  <c:v>45831</c:v>
                </c:pt>
                <c:pt idx="84">
                  <c:v>45832</c:v>
                </c:pt>
                <c:pt idx="85">
                  <c:v>45833</c:v>
                </c:pt>
                <c:pt idx="86">
                  <c:v>45834</c:v>
                </c:pt>
                <c:pt idx="87">
                  <c:v>45835</c:v>
                </c:pt>
                <c:pt idx="88">
                  <c:v>45838</c:v>
                </c:pt>
                <c:pt idx="89">
                  <c:v>45839</c:v>
                </c:pt>
                <c:pt idx="90">
                  <c:v>45840</c:v>
                </c:pt>
                <c:pt idx="91">
                  <c:v>45841</c:v>
                </c:pt>
                <c:pt idx="92">
                  <c:v>45845</c:v>
                </c:pt>
                <c:pt idx="93">
                  <c:v>45846</c:v>
                </c:pt>
                <c:pt idx="94">
                  <c:v>45847</c:v>
                </c:pt>
                <c:pt idx="95">
                  <c:v>45848</c:v>
                </c:pt>
                <c:pt idx="96">
                  <c:v>45849</c:v>
                </c:pt>
                <c:pt idx="97">
                  <c:v>45852</c:v>
                </c:pt>
                <c:pt idx="98">
                  <c:v>45853</c:v>
                </c:pt>
                <c:pt idx="99">
                  <c:v>45854</c:v>
                </c:pt>
                <c:pt idx="100">
                  <c:v>45855</c:v>
                </c:pt>
                <c:pt idx="101">
                  <c:v>45856</c:v>
                </c:pt>
                <c:pt idx="102">
                  <c:v>45859</c:v>
                </c:pt>
                <c:pt idx="103">
                  <c:v>45860</c:v>
                </c:pt>
                <c:pt idx="104">
                  <c:v>45861</c:v>
                </c:pt>
                <c:pt idx="105">
                  <c:v>45862</c:v>
                </c:pt>
                <c:pt idx="106">
                  <c:v>45863</c:v>
                </c:pt>
                <c:pt idx="107">
                  <c:v>45866</c:v>
                </c:pt>
                <c:pt idx="108">
                  <c:v>45867</c:v>
                </c:pt>
                <c:pt idx="109">
                  <c:v>45868</c:v>
                </c:pt>
                <c:pt idx="110">
                  <c:v>45869</c:v>
                </c:pt>
                <c:pt idx="111">
                  <c:v>45870</c:v>
                </c:pt>
                <c:pt idx="112">
                  <c:v>45873</c:v>
                </c:pt>
                <c:pt idx="113">
                  <c:v>45874</c:v>
                </c:pt>
                <c:pt idx="114">
                  <c:v>45875</c:v>
                </c:pt>
                <c:pt idx="115">
                  <c:v>45876</c:v>
                </c:pt>
                <c:pt idx="116">
                  <c:v>45877</c:v>
                </c:pt>
                <c:pt idx="117">
                  <c:v>45880</c:v>
                </c:pt>
                <c:pt idx="118">
                  <c:v>45881</c:v>
                </c:pt>
                <c:pt idx="119">
                  <c:v>45882</c:v>
                </c:pt>
                <c:pt idx="120">
                  <c:v>45883</c:v>
                </c:pt>
                <c:pt idx="121">
                  <c:v>45884</c:v>
                </c:pt>
                <c:pt idx="122">
                  <c:v>45887</c:v>
                </c:pt>
                <c:pt idx="123">
                  <c:v>45888</c:v>
                </c:pt>
                <c:pt idx="124">
                  <c:v>45889</c:v>
                </c:pt>
                <c:pt idx="125">
                  <c:v>45890</c:v>
                </c:pt>
                <c:pt idx="126">
                  <c:v>45891</c:v>
                </c:pt>
                <c:pt idx="127">
                  <c:v>45894</c:v>
                </c:pt>
                <c:pt idx="128">
                  <c:v>45895</c:v>
                </c:pt>
                <c:pt idx="129">
                  <c:v>45896</c:v>
                </c:pt>
                <c:pt idx="130">
                  <c:v>45897</c:v>
                </c:pt>
                <c:pt idx="131">
                  <c:v>45898</c:v>
                </c:pt>
                <c:pt idx="132">
                  <c:v>45902</c:v>
                </c:pt>
                <c:pt idx="133">
                  <c:v>45903</c:v>
                </c:pt>
                <c:pt idx="134">
                  <c:v>45904</c:v>
                </c:pt>
                <c:pt idx="135">
                  <c:v>45905</c:v>
                </c:pt>
                <c:pt idx="136">
                  <c:v>45908</c:v>
                </c:pt>
                <c:pt idx="137">
                  <c:v>45909</c:v>
                </c:pt>
                <c:pt idx="138">
                  <c:v>45910</c:v>
                </c:pt>
                <c:pt idx="139">
                  <c:v>45911</c:v>
                </c:pt>
                <c:pt idx="140">
                  <c:v>45912</c:v>
                </c:pt>
                <c:pt idx="141">
                  <c:v>45915</c:v>
                </c:pt>
                <c:pt idx="142">
                  <c:v>45916</c:v>
                </c:pt>
                <c:pt idx="143">
                  <c:v>45917</c:v>
                </c:pt>
                <c:pt idx="144">
                  <c:v>45918</c:v>
                </c:pt>
                <c:pt idx="145">
                  <c:v>45919</c:v>
                </c:pt>
                <c:pt idx="146">
                  <c:v>45922</c:v>
                </c:pt>
                <c:pt idx="147">
                  <c:v>45923</c:v>
                </c:pt>
                <c:pt idx="148">
                  <c:v>45924</c:v>
                </c:pt>
                <c:pt idx="149">
                  <c:v>45925</c:v>
                </c:pt>
                <c:pt idx="150">
                  <c:v>45926</c:v>
                </c:pt>
                <c:pt idx="151">
                  <c:v>45929</c:v>
                </c:pt>
                <c:pt idx="152">
                  <c:v>45930</c:v>
                </c:pt>
                <c:pt idx="153">
                  <c:v>45931</c:v>
                </c:pt>
                <c:pt idx="154">
                  <c:v>45932</c:v>
                </c:pt>
                <c:pt idx="155">
                  <c:v>45933</c:v>
                </c:pt>
                <c:pt idx="156">
                  <c:v>45936</c:v>
                </c:pt>
                <c:pt idx="157">
                  <c:v>45937</c:v>
                </c:pt>
                <c:pt idx="158">
                  <c:v>45938</c:v>
                </c:pt>
                <c:pt idx="159">
                  <c:v>45939</c:v>
                </c:pt>
                <c:pt idx="160">
                  <c:v>45940</c:v>
                </c:pt>
                <c:pt idx="161">
                  <c:v>45943</c:v>
                </c:pt>
                <c:pt idx="162">
                  <c:v>45944</c:v>
                </c:pt>
                <c:pt idx="163">
                  <c:v>45945</c:v>
                </c:pt>
                <c:pt idx="164">
                  <c:v>45946</c:v>
                </c:pt>
                <c:pt idx="165">
                  <c:v>45947</c:v>
                </c:pt>
                <c:pt idx="166">
                  <c:v>45950</c:v>
                </c:pt>
                <c:pt idx="167">
                  <c:v>45951</c:v>
                </c:pt>
                <c:pt idx="168">
                  <c:v>45952</c:v>
                </c:pt>
                <c:pt idx="169">
                  <c:v>45953</c:v>
                </c:pt>
                <c:pt idx="170">
                  <c:v>45954</c:v>
                </c:pt>
                <c:pt idx="171">
                  <c:v>45957</c:v>
                </c:pt>
                <c:pt idx="172">
                  <c:v>45958</c:v>
                </c:pt>
                <c:pt idx="173">
                  <c:v>45959</c:v>
                </c:pt>
                <c:pt idx="174">
                  <c:v>45960</c:v>
                </c:pt>
                <c:pt idx="175">
                  <c:v>45961</c:v>
                </c:pt>
                <c:pt idx="176">
                  <c:v>45964</c:v>
                </c:pt>
                <c:pt idx="177">
                  <c:v>45965</c:v>
                </c:pt>
                <c:pt idx="178">
                  <c:v>45966</c:v>
                </c:pt>
                <c:pt idx="179">
                  <c:v>45967</c:v>
                </c:pt>
                <c:pt idx="180">
                  <c:v>45968</c:v>
                </c:pt>
                <c:pt idx="181">
                  <c:v>45971</c:v>
                </c:pt>
                <c:pt idx="182">
                  <c:v>45972</c:v>
                </c:pt>
                <c:pt idx="183">
                  <c:v>45973</c:v>
                </c:pt>
                <c:pt idx="184">
                  <c:v>45974</c:v>
                </c:pt>
                <c:pt idx="185">
                  <c:v>45975</c:v>
                </c:pt>
                <c:pt idx="186">
                  <c:v>45978</c:v>
                </c:pt>
                <c:pt idx="187">
                  <c:v>45979</c:v>
                </c:pt>
                <c:pt idx="188">
                  <c:v>45980</c:v>
                </c:pt>
                <c:pt idx="189">
                  <c:v>45981</c:v>
                </c:pt>
                <c:pt idx="190">
                  <c:v>45982</c:v>
                </c:pt>
                <c:pt idx="191">
                  <c:v>45985</c:v>
                </c:pt>
                <c:pt idx="192">
                  <c:v>45986</c:v>
                </c:pt>
                <c:pt idx="193">
                  <c:v>45987</c:v>
                </c:pt>
                <c:pt idx="194">
                  <c:v>45989</c:v>
                </c:pt>
                <c:pt idx="195">
                  <c:v>45992</c:v>
                </c:pt>
                <c:pt idx="196">
                  <c:v>45993</c:v>
                </c:pt>
                <c:pt idx="197">
                  <c:v>45994</c:v>
                </c:pt>
                <c:pt idx="198">
                  <c:v>45995</c:v>
                </c:pt>
                <c:pt idx="199">
                  <c:v>45996</c:v>
                </c:pt>
                <c:pt idx="200">
                  <c:v>45999</c:v>
                </c:pt>
                <c:pt idx="201">
                  <c:v>46000</c:v>
                </c:pt>
                <c:pt idx="202">
                  <c:v>46001</c:v>
                </c:pt>
                <c:pt idx="203">
                  <c:v>46002</c:v>
                </c:pt>
                <c:pt idx="204">
                  <c:v>46003</c:v>
                </c:pt>
                <c:pt idx="205">
                  <c:v>46006</c:v>
                </c:pt>
                <c:pt idx="206">
                  <c:v>46007</c:v>
                </c:pt>
                <c:pt idx="207">
                  <c:v>46008</c:v>
                </c:pt>
                <c:pt idx="208">
                  <c:v>46009</c:v>
                </c:pt>
                <c:pt idx="209">
                  <c:v>46010</c:v>
                </c:pt>
                <c:pt idx="210">
                  <c:v>46013</c:v>
                </c:pt>
                <c:pt idx="211">
                  <c:v>46014</c:v>
                </c:pt>
                <c:pt idx="212">
                  <c:v>46015</c:v>
                </c:pt>
                <c:pt idx="213">
                  <c:v>46017</c:v>
                </c:pt>
                <c:pt idx="214">
                  <c:v>46020</c:v>
                </c:pt>
                <c:pt idx="215">
                  <c:v>46021</c:v>
                </c:pt>
                <c:pt idx="216">
                  <c:v>46022</c:v>
                </c:pt>
                <c:pt idx="217">
                  <c:v>46024</c:v>
                </c:pt>
                <c:pt idx="218">
                  <c:v>46027</c:v>
                </c:pt>
                <c:pt idx="219">
                  <c:v>46028</c:v>
                </c:pt>
                <c:pt idx="220">
                  <c:v>46029</c:v>
                </c:pt>
                <c:pt idx="221">
                  <c:v>46030</c:v>
                </c:pt>
                <c:pt idx="222">
                  <c:v>46031</c:v>
                </c:pt>
                <c:pt idx="223">
                  <c:v>46034</c:v>
                </c:pt>
                <c:pt idx="224">
                  <c:v>46035</c:v>
                </c:pt>
                <c:pt idx="225">
                  <c:v>46036</c:v>
                </c:pt>
                <c:pt idx="226">
                  <c:v>46037</c:v>
                </c:pt>
                <c:pt idx="227">
                  <c:v>46038</c:v>
                </c:pt>
                <c:pt idx="228">
                  <c:v>46042</c:v>
                </c:pt>
                <c:pt idx="229">
                  <c:v>46043</c:v>
                </c:pt>
                <c:pt idx="230">
                  <c:v>46044</c:v>
                </c:pt>
                <c:pt idx="231">
                  <c:v>46045</c:v>
                </c:pt>
                <c:pt idx="232">
                  <c:v>46048</c:v>
                </c:pt>
                <c:pt idx="233">
                  <c:v>46049</c:v>
                </c:pt>
                <c:pt idx="234">
                  <c:v>46050</c:v>
                </c:pt>
                <c:pt idx="235">
                  <c:v>46051</c:v>
                </c:pt>
                <c:pt idx="236">
                  <c:v>46052</c:v>
                </c:pt>
                <c:pt idx="237">
                  <c:v>46055</c:v>
                </c:pt>
                <c:pt idx="238">
                  <c:v>46056</c:v>
                </c:pt>
                <c:pt idx="239">
                  <c:v>46057</c:v>
                </c:pt>
                <c:pt idx="240">
                  <c:v>46058</c:v>
                </c:pt>
                <c:pt idx="241">
                  <c:v>46059</c:v>
                </c:pt>
                <c:pt idx="242">
                  <c:v>46062</c:v>
                </c:pt>
                <c:pt idx="243">
                  <c:v>46063</c:v>
                </c:pt>
                <c:pt idx="244">
                  <c:v>46064</c:v>
                </c:pt>
                <c:pt idx="245">
                  <c:v>46065</c:v>
                </c:pt>
                <c:pt idx="246">
                  <c:v>46066</c:v>
                </c:pt>
                <c:pt idx="247">
                  <c:v>46070</c:v>
                </c:pt>
                <c:pt idx="248">
                  <c:v>46071</c:v>
                </c:pt>
                <c:pt idx="249">
                  <c:v>46072</c:v>
                </c:pt>
                <c:pt idx="250">
                  <c:v>46073</c:v>
                </c:pt>
              </c:numCache>
            </c:numRef>
          </c:cat>
          <c:val>
            <c:numRef>
              <c:f>Data!$Z$2:$Z$254</c:f>
              <c:numCache>
                <c:formatCode>General</c:formatCode>
                <c:ptCount val="253"/>
                <c:pt idx="34">
                  <c:v>0.80958445718665617</c:v>
                </c:pt>
                <c:pt idx="35">
                  <c:v>0.2456560503362144</c:v>
                </c:pt>
                <c:pt idx="36">
                  <c:v>-0.23725927139061953</c:v>
                </c:pt>
                <c:pt idx="37">
                  <c:v>-0.62615086643916373</c:v>
                </c:pt>
                <c:pt idx="38">
                  <c:v>-0.89074119108523386</c:v>
                </c:pt>
                <c:pt idx="39">
                  <c:v>-1.0865698792216172</c:v>
                </c:pt>
                <c:pt idx="40">
                  <c:v>-1.1794924026935605</c:v>
                </c:pt>
                <c:pt idx="41">
                  <c:v>-1.2151934886150333</c:v>
                </c:pt>
                <c:pt idx="42">
                  <c:v>-1.1902855402545962</c:v>
                </c:pt>
                <c:pt idx="43">
                  <c:v>-1.1269391026508773</c:v>
                </c:pt>
                <c:pt idx="44">
                  <c:v>-1.0392951024724177</c:v>
                </c:pt>
                <c:pt idx="45">
                  <c:v>-0.94295523264969361</c:v>
                </c:pt>
                <c:pt idx="46">
                  <c:v>-0.88762162521123789</c:v>
                </c:pt>
                <c:pt idx="47">
                  <c:v>-0.8564743961238912</c:v>
                </c:pt>
                <c:pt idx="48">
                  <c:v>-0.83330703237999859</c:v>
                </c:pt>
                <c:pt idx="49">
                  <c:v>-0.86136247274591538</c:v>
                </c:pt>
                <c:pt idx="50">
                  <c:v>-0.89511508354838043</c:v>
                </c:pt>
                <c:pt idx="51">
                  <c:v>-0.93022449603299806</c:v>
                </c:pt>
                <c:pt idx="52">
                  <c:v>-0.93893021502340113</c:v>
                </c:pt>
                <c:pt idx="53">
                  <c:v>-0.90870675461161476</c:v>
                </c:pt>
                <c:pt idx="54">
                  <c:v>-0.82408080644884785</c:v>
                </c:pt>
                <c:pt idx="55">
                  <c:v>-0.70312809331690596</c:v>
                </c:pt>
                <c:pt idx="56">
                  <c:v>-0.57977976523839936</c:v>
                </c:pt>
                <c:pt idx="57">
                  <c:v>-0.45847915834567365</c:v>
                </c:pt>
                <c:pt idx="58">
                  <c:v>-0.34999805715386195</c:v>
                </c:pt>
                <c:pt idx="59">
                  <c:v>-0.28188261143330107</c:v>
                </c:pt>
                <c:pt idx="60">
                  <c:v>-0.2662465455297971</c:v>
                </c:pt>
                <c:pt idx="61">
                  <c:v>-0.30429757346091507</c:v>
                </c:pt>
                <c:pt idx="62">
                  <c:v>-0.38431892524079447</c:v>
                </c:pt>
                <c:pt idx="63">
                  <c:v>-0.48461840589185662</c:v>
                </c:pt>
                <c:pt idx="64">
                  <c:v>-0.58344775316106046</c:v>
                </c:pt>
                <c:pt idx="65">
                  <c:v>-0.69734078266305366</c:v>
                </c:pt>
                <c:pt idx="66">
                  <c:v>-0.80386203359594977</c:v>
                </c:pt>
                <c:pt idx="67">
                  <c:v>-0.90456883458798121</c:v>
                </c:pt>
                <c:pt idx="68">
                  <c:v>-0.98232452676829296</c:v>
                </c:pt>
                <c:pt idx="69">
                  <c:v>-1.0274140984468643</c:v>
                </c:pt>
                <c:pt idx="70">
                  <c:v>-1.0712554481652483</c:v>
                </c:pt>
                <c:pt idx="71">
                  <c:v>-1.1170731681839374</c:v>
                </c:pt>
                <c:pt idx="72">
                  <c:v>-1.1202529875848952</c:v>
                </c:pt>
                <c:pt idx="73">
                  <c:v>-1.0828201311939842</c:v>
                </c:pt>
                <c:pt idx="74">
                  <c:v>-0.98352892659346258</c:v>
                </c:pt>
                <c:pt idx="75">
                  <c:v>-0.81508472603071991</c:v>
                </c:pt>
                <c:pt idx="76">
                  <c:v>-0.60356829298319303</c:v>
                </c:pt>
                <c:pt idx="77">
                  <c:v>-0.33663635163662109</c:v>
                </c:pt>
                <c:pt idx="78">
                  <c:v>-4.2453204631013708E-2</c:v>
                </c:pt>
                <c:pt idx="79">
                  <c:v>0.27773637514892102</c:v>
                </c:pt>
                <c:pt idx="80">
                  <c:v>0.58388532200088594</c:v>
                </c:pt>
                <c:pt idx="81">
                  <c:v>0.88794541379920777</c:v>
                </c:pt>
                <c:pt idx="82">
                  <c:v>1.1255080408341933</c:v>
                </c:pt>
                <c:pt idx="83">
                  <c:v>1.2521276450257477</c:v>
                </c:pt>
                <c:pt idx="84">
                  <c:v>1.3001974832380991</c:v>
                </c:pt>
                <c:pt idx="85">
                  <c:v>1.3193966903247443</c:v>
                </c:pt>
                <c:pt idx="86">
                  <c:v>1.3067545253022446</c:v>
                </c:pt>
                <c:pt idx="87">
                  <c:v>1.2466311931918843</c:v>
                </c:pt>
                <c:pt idx="88">
                  <c:v>1.1800323841497486</c:v>
                </c:pt>
                <c:pt idx="89">
                  <c:v>1.1390540516149241</c:v>
                </c:pt>
                <c:pt idx="90">
                  <c:v>1.1320337330657315</c:v>
                </c:pt>
                <c:pt idx="91">
                  <c:v>1.1266952092507032</c:v>
                </c:pt>
                <c:pt idx="92">
                  <c:v>1.1692622908838568</c:v>
                </c:pt>
                <c:pt idx="93">
                  <c:v>1.23073703366756</c:v>
                </c:pt>
                <c:pt idx="94">
                  <c:v>1.3160635159355005</c:v>
                </c:pt>
                <c:pt idx="95">
                  <c:v>1.4168444842434753</c:v>
                </c:pt>
                <c:pt idx="96">
                  <c:v>1.4947084768379075</c:v>
                </c:pt>
                <c:pt idx="97">
                  <c:v>1.534606090793631</c:v>
                </c:pt>
                <c:pt idx="98">
                  <c:v>1.5342689347495397</c:v>
                </c:pt>
                <c:pt idx="99">
                  <c:v>1.4961401522765347</c:v>
                </c:pt>
                <c:pt idx="100">
                  <c:v>1.3708504001776645</c:v>
                </c:pt>
                <c:pt idx="101">
                  <c:v>1.1988405278531149</c:v>
                </c:pt>
                <c:pt idx="102">
                  <c:v>1.0116496947845208</c:v>
                </c:pt>
                <c:pt idx="103">
                  <c:v>0.84462746629981289</c:v>
                </c:pt>
                <c:pt idx="104">
                  <c:v>0.71079783052032963</c:v>
                </c:pt>
                <c:pt idx="105">
                  <c:v>0.5969459651940543</c:v>
                </c:pt>
                <c:pt idx="106">
                  <c:v>0.51681611425397167</c:v>
                </c:pt>
                <c:pt idx="107">
                  <c:v>0.48381953833057428</c:v>
                </c:pt>
                <c:pt idx="108">
                  <c:v>0.46535687086870825</c:v>
                </c:pt>
                <c:pt idx="109">
                  <c:v>0.45176282860951866</c:v>
                </c:pt>
                <c:pt idx="110">
                  <c:v>0.40899447768728225</c:v>
                </c:pt>
                <c:pt idx="111">
                  <c:v>0.31303351755977271</c:v>
                </c:pt>
                <c:pt idx="112">
                  <c:v>0.18597535181157454</c:v>
                </c:pt>
                <c:pt idx="113">
                  <c:v>3.401605994305329E-2</c:v>
                </c:pt>
                <c:pt idx="114">
                  <c:v>-0.13459682059796252</c:v>
                </c:pt>
                <c:pt idx="115">
                  <c:v>-0.29094085512619994</c:v>
                </c:pt>
                <c:pt idx="116">
                  <c:v>-0.44621187244010363</c:v>
                </c:pt>
                <c:pt idx="117">
                  <c:v>-0.58686744814807923</c:v>
                </c:pt>
                <c:pt idx="118">
                  <c:v>-0.68619836942628676</c:v>
                </c:pt>
                <c:pt idx="119">
                  <c:v>-0.7563666934919302</c:v>
                </c:pt>
                <c:pt idx="120">
                  <c:v>-0.81705364461066088</c:v>
                </c:pt>
                <c:pt idx="121">
                  <c:v>-0.86308479839436925</c:v>
                </c:pt>
                <c:pt idx="122">
                  <c:v>-0.88438171718650926</c:v>
                </c:pt>
                <c:pt idx="123">
                  <c:v>-0.86933419045822302</c:v>
                </c:pt>
                <c:pt idx="124">
                  <c:v>-0.81914600596622988</c:v>
                </c:pt>
                <c:pt idx="125">
                  <c:v>-0.71498973338837979</c:v>
                </c:pt>
                <c:pt idx="126">
                  <c:v>-0.57349871508355743</c:v>
                </c:pt>
                <c:pt idx="127">
                  <c:v>-0.41870567884372029</c:v>
                </c:pt>
                <c:pt idx="128">
                  <c:v>-0.24263282316808155</c:v>
                </c:pt>
                <c:pt idx="129">
                  <c:v>-5.2326560113586051E-2</c:v>
                </c:pt>
                <c:pt idx="130">
                  <c:v>0.15204117197576927</c:v>
                </c:pt>
                <c:pt idx="131">
                  <c:v>0.36054430001853038</c:v>
                </c:pt>
                <c:pt idx="132">
                  <c:v>0.51553430587823812</c:v>
                </c:pt>
                <c:pt idx="133">
                  <c:v>0.63550114811174951</c:v>
                </c:pt>
                <c:pt idx="134">
                  <c:v>0.67520335554939903</c:v>
                </c:pt>
                <c:pt idx="135">
                  <c:v>0.6708688024275542</c:v>
                </c:pt>
                <c:pt idx="136">
                  <c:v>0.65039457241799581</c:v>
                </c:pt>
                <c:pt idx="137">
                  <c:v>0.64891088730571334</c:v>
                </c:pt>
                <c:pt idx="138">
                  <c:v>0.65218529613537102</c:v>
                </c:pt>
                <c:pt idx="139">
                  <c:v>0.65710296225236065</c:v>
                </c:pt>
                <c:pt idx="140">
                  <c:v>0.66432646648006055</c:v>
                </c:pt>
                <c:pt idx="141">
                  <c:v>0.70827621211340519</c:v>
                </c:pt>
                <c:pt idx="142">
                  <c:v>0.78105922503990366</c:v>
                </c:pt>
                <c:pt idx="143">
                  <c:v>0.84462076784279794</c:v>
                </c:pt>
                <c:pt idx="144">
                  <c:v>0.87943600742905503</c:v>
                </c:pt>
                <c:pt idx="145">
                  <c:v>0.87964060336291428</c:v>
                </c:pt>
                <c:pt idx="146">
                  <c:v>0.88692833704207519</c:v>
                </c:pt>
                <c:pt idx="147">
                  <c:v>0.90598431383985478</c:v>
                </c:pt>
                <c:pt idx="148">
                  <c:v>0.9457855785634075</c:v>
                </c:pt>
                <c:pt idx="149">
                  <c:v>1.0203532011499377</c:v>
                </c:pt>
                <c:pt idx="150">
                  <c:v>1.0626139061106614</c:v>
                </c:pt>
                <c:pt idx="151">
                  <c:v>1.0565349815162781</c:v>
                </c:pt>
                <c:pt idx="152">
                  <c:v>1.005942967819899</c:v>
                </c:pt>
                <c:pt idx="153">
                  <c:v>0.91664229052044066</c:v>
                </c:pt>
                <c:pt idx="154">
                  <c:v>0.83710204808484556</c:v>
                </c:pt>
                <c:pt idx="155">
                  <c:v>0.78093831417459791</c:v>
                </c:pt>
                <c:pt idx="156">
                  <c:v>0.74154806723923605</c:v>
                </c:pt>
                <c:pt idx="157">
                  <c:v>0.7092168209428904</c:v>
                </c:pt>
                <c:pt idx="158">
                  <c:v>0.66367902654307209</c:v>
                </c:pt>
                <c:pt idx="159">
                  <c:v>0.57595750454484596</c:v>
                </c:pt>
                <c:pt idx="160">
                  <c:v>0.48917299089272054</c:v>
                </c:pt>
                <c:pt idx="161">
                  <c:v>0.40720796013126936</c:v>
                </c:pt>
                <c:pt idx="162">
                  <c:v>0.320783318070263</c:v>
                </c:pt>
                <c:pt idx="163">
                  <c:v>0.21988708704504983</c:v>
                </c:pt>
                <c:pt idx="164">
                  <c:v>0.14023538994890258</c:v>
                </c:pt>
                <c:pt idx="165">
                  <c:v>8.5094235243079533E-2</c:v>
                </c:pt>
                <c:pt idx="166">
                  <c:v>4.8172001290145927E-2</c:v>
                </c:pt>
                <c:pt idx="167">
                  <c:v>5.6403596594584875E-2</c:v>
                </c:pt>
                <c:pt idx="168">
                  <c:v>0.11263877653077548</c:v>
                </c:pt>
                <c:pt idx="169">
                  <c:v>0.18634390030438741</c:v>
                </c:pt>
                <c:pt idx="170">
                  <c:v>0.27548531537872589</c:v>
                </c:pt>
                <c:pt idx="171">
                  <c:v>0.35448255323508593</c:v>
                </c:pt>
                <c:pt idx="172">
                  <c:v>0.44482778480340723</c:v>
                </c:pt>
                <c:pt idx="173">
                  <c:v>0.50845604807523659</c:v>
                </c:pt>
                <c:pt idx="174">
                  <c:v>0.54557930306248303</c:v>
                </c:pt>
                <c:pt idx="175">
                  <c:v>0.5533275348109139</c:v>
                </c:pt>
                <c:pt idx="176">
                  <c:v>0.54705942865461654</c:v>
                </c:pt>
                <c:pt idx="177">
                  <c:v>0.52374884748781192</c:v>
                </c:pt>
                <c:pt idx="178">
                  <c:v>0.50286724385139725</c:v>
                </c:pt>
                <c:pt idx="179">
                  <c:v>0.52685259966944453</c:v>
                </c:pt>
                <c:pt idx="180">
                  <c:v>0.59245595677864304</c:v>
                </c:pt>
                <c:pt idx="181">
                  <c:v>0.70424419636026403</c:v>
                </c:pt>
                <c:pt idx="182">
                  <c:v>0.81103065582377654</c:v>
                </c:pt>
                <c:pt idx="183">
                  <c:v>0.91792512951870608</c:v>
                </c:pt>
                <c:pt idx="184">
                  <c:v>1.025168790425345</c:v>
                </c:pt>
                <c:pt idx="185">
                  <c:v>1.0989862484646165</c:v>
                </c:pt>
                <c:pt idx="186">
                  <c:v>1.1670168265679484</c:v>
                </c:pt>
                <c:pt idx="187">
                  <c:v>1.198390738904149</c:v>
                </c:pt>
                <c:pt idx="188">
                  <c:v>1.1971479587991047</c:v>
                </c:pt>
                <c:pt idx="189">
                  <c:v>1.1737555389499572</c:v>
                </c:pt>
                <c:pt idx="190">
                  <c:v>1.1173217953126644</c:v>
                </c:pt>
                <c:pt idx="191">
                  <c:v>1.0172966904596552</c:v>
                </c:pt>
                <c:pt idx="192">
                  <c:v>0.89702236939431235</c:v>
                </c:pt>
                <c:pt idx="193">
                  <c:v>0.78666429347248523</c:v>
                </c:pt>
                <c:pt idx="194">
                  <c:v>0.69784134887189697</c:v>
                </c:pt>
                <c:pt idx="195">
                  <c:v>0.60563891137167325</c:v>
                </c:pt>
                <c:pt idx="196">
                  <c:v>0.55338099034719279</c:v>
                </c:pt>
                <c:pt idx="197">
                  <c:v>0.5171077832236729</c:v>
                </c:pt>
                <c:pt idx="198">
                  <c:v>0.48200374374318722</c:v>
                </c:pt>
                <c:pt idx="199">
                  <c:v>0.43943967068125755</c:v>
                </c:pt>
                <c:pt idx="200">
                  <c:v>0.42964602445658306</c:v>
                </c:pt>
                <c:pt idx="201">
                  <c:v>0.46050759240616984</c:v>
                </c:pt>
                <c:pt idx="202">
                  <c:v>0.51418365663535881</c:v>
                </c:pt>
                <c:pt idx="203">
                  <c:v>0.56668650911066321</c:v>
                </c:pt>
                <c:pt idx="204">
                  <c:v>0.59749845480907848</c:v>
                </c:pt>
                <c:pt idx="205">
                  <c:v>0.56259832627497797</c:v>
                </c:pt>
                <c:pt idx="206">
                  <c:v>0.53061394524188321</c:v>
                </c:pt>
                <c:pt idx="207">
                  <c:v>0.48704405396672823</c:v>
                </c:pt>
                <c:pt idx="208">
                  <c:v>0.43977968549224422</c:v>
                </c:pt>
                <c:pt idx="209">
                  <c:v>0.41496846701116413</c:v>
                </c:pt>
                <c:pt idx="210">
                  <c:v>0.42484740421382428</c:v>
                </c:pt>
                <c:pt idx="211">
                  <c:v>0.45179239236384161</c:v>
                </c:pt>
                <c:pt idx="212">
                  <c:v>0.48523683781461924</c:v>
                </c:pt>
                <c:pt idx="213">
                  <c:v>0.54255112183981657</c:v>
                </c:pt>
                <c:pt idx="214">
                  <c:v>0.6179244963574253</c:v>
                </c:pt>
                <c:pt idx="215">
                  <c:v>0.68888701680130326</c:v>
                </c:pt>
                <c:pt idx="216">
                  <c:v>0.78864951477843337</c:v>
                </c:pt>
                <c:pt idx="217">
                  <c:v>0.94267254119634369</c:v>
                </c:pt>
                <c:pt idx="218">
                  <c:v>1.0517187999160336</c:v>
                </c:pt>
                <c:pt idx="219">
                  <c:v>1.0836177221856265</c:v>
                </c:pt>
                <c:pt idx="220">
                  <c:v>1.1335387288810617</c:v>
                </c:pt>
                <c:pt idx="221">
                  <c:v>1.2166776303553701</c:v>
                </c:pt>
                <c:pt idx="222">
                  <c:v>1.3042519704619875</c:v>
                </c:pt>
                <c:pt idx="223">
                  <c:v>1.4270884959383385</c:v>
                </c:pt>
                <c:pt idx="224">
                  <c:v>1.6207279214597747</c:v>
                </c:pt>
                <c:pt idx="225">
                  <c:v>1.8278291425457609</c:v>
                </c:pt>
                <c:pt idx="226">
                  <c:v>2.0404707318430937</c:v>
                </c:pt>
                <c:pt idx="227">
                  <c:v>2.2498812646673487</c:v>
                </c:pt>
                <c:pt idx="228">
                  <c:v>2.4914174634751483</c:v>
                </c:pt>
                <c:pt idx="229">
                  <c:v>2.7352278688001408</c:v>
                </c:pt>
                <c:pt idx="230">
                  <c:v>2.9826679940133514</c:v>
                </c:pt>
                <c:pt idx="231">
                  <c:v>3.210539759329905</c:v>
                </c:pt>
                <c:pt idx="232">
                  <c:v>3.4386328594995836</c:v>
                </c:pt>
                <c:pt idx="233">
                  <c:v>3.659036142965459</c:v>
                </c:pt>
                <c:pt idx="234">
                  <c:v>3.9014724492091637</c:v>
                </c:pt>
                <c:pt idx="235">
                  <c:v>4.1503169008000764</c:v>
                </c:pt>
                <c:pt idx="236">
                  <c:v>4.3328103567969025</c:v>
                </c:pt>
                <c:pt idx="237">
                  <c:v>4.5393113714647235</c:v>
                </c:pt>
                <c:pt idx="238">
                  <c:v>4.8012727711483851</c:v>
                </c:pt>
                <c:pt idx="239">
                  <c:v>5.0492289763374245</c:v>
                </c:pt>
                <c:pt idx="240">
                  <c:v>5.3112851241322634</c:v>
                </c:pt>
                <c:pt idx="241">
                  <c:v>5.5907974717976021</c:v>
                </c:pt>
                <c:pt idx="242">
                  <c:v>5.859918647944502</c:v>
                </c:pt>
                <c:pt idx="243">
                  <c:v>6.1584021537395115</c:v>
                </c:pt>
                <c:pt idx="244">
                  <c:v>6.3557827942723089</c:v>
                </c:pt>
                <c:pt idx="245">
                  <c:v>6.4413484479706096</c:v>
                </c:pt>
                <c:pt idx="246">
                  <c:v>6.4016070250591826</c:v>
                </c:pt>
                <c:pt idx="247">
                  <c:v>6.3424536355021228</c:v>
                </c:pt>
                <c:pt idx="248">
                  <c:v>6.2644051655958028</c:v>
                </c:pt>
                <c:pt idx="249">
                  <c:v>6.1054554137435044</c:v>
                </c:pt>
                <c:pt idx="250">
                  <c:v>4.8843643309948037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0C-457A-A3FC-553C36AB9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0167152"/>
        <c:axId val="1250173872"/>
      </c:lineChart>
      <c:dateAx>
        <c:axId val="1250167152"/>
        <c:scaling>
          <c:orientation val="minMax"/>
          <c:max val="46071"/>
          <c:min val="45951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173872"/>
        <c:crosses val="autoZero"/>
        <c:auto val="1"/>
        <c:lblOffset val="100"/>
        <c:baseTimeUnit val="days"/>
      </c:dateAx>
      <c:valAx>
        <c:axId val="125017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167152"/>
        <c:crosses val="autoZero"/>
        <c:crossBetween val="between"/>
      </c:valAx>
      <c:valAx>
        <c:axId val="1250177712"/>
        <c:scaling>
          <c:orientation val="minMax"/>
          <c:min val="-1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176272"/>
        <c:crosses val="max"/>
        <c:crossBetween val="between"/>
      </c:valAx>
      <c:dateAx>
        <c:axId val="12501762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2501777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1st Quarter 2026 Forecast (weekly avg close)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Forecast!$B$1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Forecast!$A$2:$A$61</c:f>
              <c:numCache>
                <c:formatCode>m/d/yyyy</c:formatCode>
                <c:ptCount val="60"/>
                <c:pt idx="0">
                  <c:v>45705</c:v>
                </c:pt>
                <c:pt idx="1">
                  <c:v>45712</c:v>
                </c:pt>
                <c:pt idx="2">
                  <c:v>45719</c:v>
                </c:pt>
                <c:pt idx="3">
                  <c:v>45726</c:v>
                </c:pt>
                <c:pt idx="4">
                  <c:v>45733</c:v>
                </c:pt>
                <c:pt idx="5">
                  <c:v>45740</c:v>
                </c:pt>
                <c:pt idx="6">
                  <c:v>45747</c:v>
                </c:pt>
                <c:pt idx="7">
                  <c:v>45754</c:v>
                </c:pt>
                <c:pt idx="8">
                  <c:v>45761</c:v>
                </c:pt>
                <c:pt idx="9">
                  <c:v>45768</c:v>
                </c:pt>
                <c:pt idx="10">
                  <c:v>45775</c:v>
                </c:pt>
                <c:pt idx="11">
                  <c:v>45782</c:v>
                </c:pt>
                <c:pt idx="12">
                  <c:v>45789</c:v>
                </c:pt>
                <c:pt idx="13">
                  <c:v>45796</c:v>
                </c:pt>
                <c:pt idx="14">
                  <c:v>45803</c:v>
                </c:pt>
                <c:pt idx="15">
                  <c:v>45810</c:v>
                </c:pt>
                <c:pt idx="16">
                  <c:v>45817</c:v>
                </c:pt>
                <c:pt idx="17">
                  <c:v>45824</c:v>
                </c:pt>
                <c:pt idx="18">
                  <c:v>45831</c:v>
                </c:pt>
                <c:pt idx="19">
                  <c:v>45838</c:v>
                </c:pt>
                <c:pt idx="20">
                  <c:v>45845</c:v>
                </c:pt>
                <c:pt idx="21">
                  <c:v>45852</c:v>
                </c:pt>
                <c:pt idx="22">
                  <c:v>45859</c:v>
                </c:pt>
                <c:pt idx="23">
                  <c:v>45866</c:v>
                </c:pt>
                <c:pt idx="24">
                  <c:v>45873</c:v>
                </c:pt>
                <c:pt idx="25">
                  <c:v>45880</c:v>
                </c:pt>
                <c:pt idx="26">
                  <c:v>45887</c:v>
                </c:pt>
                <c:pt idx="27">
                  <c:v>45894</c:v>
                </c:pt>
                <c:pt idx="28">
                  <c:v>45901</c:v>
                </c:pt>
                <c:pt idx="29">
                  <c:v>45908</c:v>
                </c:pt>
                <c:pt idx="30">
                  <c:v>45915</c:v>
                </c:pt>
                <c:pt idx="31">
                  <c:v>45922</c:v>
                </c:pt>
                <c:pt idx="32">
                  <c:v>45929</c:v>
                </c:pt>
                <c:pt idx="33">
                  <c:v>45936</c:v>
                </c:pt>
                <c:pt idx="34">
                  <c:v>45943</c:v>
                </c:pt>
                <c:pt idx="35">
                  <c:v>45950</c:v>
                </c:pt>
                <c:pt idx="36">
                  <c:v>45957</c:v>
                </c:pt>
                <c:pt idx="37">
                  <c:v>45964</c:v>
                </c:pt>
                <c:pt idx="38">
                  <c:v>45971</c:v>
                </c:pt>
                <c:pt idx="39">
                  <c:v>45978</c:v>
                </c:pt>
                <c:pt idx="40">
                  <c:v>45985</c:v>
                </c:pt>
                <c:pt idx="41">
                  <c:v>45992</c:v>
                </c:pt>
                <c:pt idx="42">
                  <c:v>45999</c:v>
                </c:pt>
                <c:pt idx="43">
                  <c:v>46006</c:v>
                </c:pt>
                <c:pt idx="44">
                  <c:v>46013</c:v>
                </c:pt>
                <c:pt idx="45">
                  <c:v>46020</c:v>
                </c:pt>
                <c:pt idx="46">
                  <c:v>46027</c:v>
                </c:pt>
                <c:pt idx="47">
                  <c:v>46034</c:v>
                </c:pt>
                <c:pt idx="48">
                  <c:v>46041</c:v>
                </c:pt>
                <c:pt idx="49">
                  <c:v>46048</c:v>
                </c:pt>
                <c:pt idx="50">
                  <c:v>46055</c:v>
                </c:pt>
                <c:pt idx="51">
                  <c:v>46062</c:v>
                </c:pt>
                <c:pt idx="52">
                  <c:v>46069</c:v>
                </c:pt>
                <c:pt idx="53">
                  <c:v>46076</c:v>
                </c:pt>
                <c:pt idx="54">
                  <c:v>46083</c:v>
                </c:pt>
                <c:pt idx="55">
                  <c:v>46090</c:v>
                </c:pt>
                <c:pt idx="56">
                  <c:v>46097</c:v>
                </c:pt>
                <c:pt idx="57">
                  <c:v>46104</c:v>
                </c:pt>
                <c:pt idx="58">
                  <c:v>46111</c:v>
                </c:pt>
                <c:pt idx="59">
                  <c:v>46118</c:v>
                </c:pt>
              </c:numCache>
            </c:numRef>
          </c:cat>
          <c:val>
            <c:numRef>
              <c:f>Forecast!$B$2:$B$61</c:f>
              <c:numCache>
                <c:formatCode>General</c:formatCode>
                <c:ptCount val="60"/>
                <c:pt idx="0">
                  <c:v>110.69</c:v>
                </c:pt>
                <c:pt idx="1">
                  <c:v>110.38800000000001</c:v>
                </c:pt>
                <c:pt idx="2">
                  <c:v>107.476</c:v>
                </c:pt>
                <c:pt idx="3">
                  <c:v>110.13200000000001</c:v>
                </c:pt>
                <c:pt idx="4">
                  <c:v>114.842</c:v>
                </c:pt>
                <c:pt idx="5">
                  <c:v>117.256</c:v>
                </c:pt>
                <c:pt idx="6">
                  <c:v>114.682</c:v>
                </c:pt>
                <c:pt idx="7">
                  <c:v>102.51600000000001</c:v>
                </c:pt>
                <c:pt idx="8">
                  <c:v>104.4</c:v>
                </c:pt>
                <c:pt idx="9">
                  <c:v>107.64399999999999</c:v>
                </c:pt>
                <c:pt idx="10">
                  <c:v>106.922</c:v>
                </c:pt>
                <c:pt idx="11">
                  <c:v>105.194</c:v>
                </c:pt>
                <c:pt idx="12">
                  <c:v>108.774</c:v>
                </c:pt>
                <c:pt idx="13">
                  <c:v>104.21599999999999</c:v>
                </c:pt>
                <c:pt idx="14">
                  <c:v>102.655</c:v>
                </c:pt>
                <c:pt idx="15">
                  <c:v>103.05</c:v>
                </c:pt>
                <c:pt idx="16">
                  <c:v>108.67</c:v>
                </c:pt>
                <c:pt idx="17">
                  <c:v>113.5925</c:v>
                </c:pt>
                <c:pt idx="18">
                  <c:v>109.56399999999999</c:v>
                </c:pt>
                <c:pt idx="19">
                  <c:v>110.07249999999999</c:v>
                </c:pt>
                <c:pt idx="20">
                  <c:v>113.892</c:v>
                </c:pt>
                <c:pt idx="21">
                  <c:v>111.69799999999999</c:v>
                </c:pt>
                <c:pt idx="22">
                  <c:v>109.542</c:v>
                </c:pt>
                <c:pt idx="23">
                  <c:v>111.5</c:v>
                </c:pt>
                <c:pt idx="24">
                  <c:v>106.774</c:v>
                </c:pt>
                <c:pt idx="25">
                  <c:v>106.68599999999999</c:v>
                </c:pt>
                <c:pt idx="26">
                  <c:v>108.636</c:v>
                </c:pt>
                <c:pt idx="27">
                  <c:v>112.724</c:v>
                </c:pt>
                <c:pt idx="28">
                  <c:v>112.0575</c:v>
                </c:pt>
                <c:pt idx="29">
                  <c:v>111.46</c:v>
                </c:pt>
                <c:pt idx="30">
                  <c:v>113.81400000000001</c:v>
                </c:pt>
                <c:pt idx="31">
                  <c:v>114.66800000000001</c:v>
                </c:pt>
                <c:pt idx="32">
                  <c:v>112.702</c:v>
                </c:pt>
                <c:pt idx="33">
                  <c:v>113.224</c:v>
                </c:pt>
                <c:pt idx="34">
                  <c:v>111.804</c:v>
                </c:pt>
                <c:pt idx="35">
                  <c:v>114.298</c:v>
                </c:pt>
                <c:pt idx="36">
                  <c:v>115.294</c:v>
                </c:pt>
                <c:pt idx="37">
                  <c:v>114.66</c:v>
                </c:pt>
                <c:pt idx="38">
                  <c:v>118.84</c:v>
                </c:pt>
                <c:pt idx="39">
                  <c:v>117.63200000000001</c:v>
                </c:pt>
                <c:pt idx="40">
                  <c:v>115.2925</c:v>
                </c:pt>
                <c:pt idx="41">
                  <c:v>116.69799999999999</c:v>
                </c:pt>
                <c:pt idx="42">
                  <c:v>118.426</c:v>
                </c:pt>
                <c:pt idx="43">
                  <c:v>116.616</c:v>
                </c:pt>
                <c:pt idx="44">
                  <c:v>118.97499999999999</c:v>
                </c:pt>
                <c:pt idx="45">
                  <c:v>121.1275</c:v>
                </c:pt>
                <c:pt idx="46">
                  <c:v>122.48399999999999</c:v>
                </c:pt>
                <c:pt idx="47">
                  <c:v>127.958</c:v>
                </c:pt>
                <c:pt idx="48">
                  <c:v>133.17000000000002</c:v>
                </c:pt>
                <c:pt idx="49">
                  <c:v>138.232</c:v>
                </c:pt>
                <c:pt idx="50">
                  <c:v>144.97</c:v>
                </c:pt>
                <c:pt idx="51">
                  <c:v>151.34800000000001</c:v>
                </c:pt>
                <c:pt idx="52">
                  <c:v>148.78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9-4334-9478-FFD5D35BEEE6}"/>
            </c:ext>
          </c:extLst>
        </c:ser>
        <c:ser>
          <c:idx val="1"/>
          <c:order val="1"/>
          <c:tx>
            <c:strRef>
              <c:f>Forecast!$C$1</c:f>
              <c:strCache>
                <c:ptCount val="1"/>
                <c:pt idx="0">
                  <c:v>XL Forecast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Forecast!$A$2:$A$61</c:f>
              <c:numCache>
                <c:formatCode>m/d/yyyy</c:formatCode>
                <c:ptCount val="60"/>
                <c:pt idx="0">
                  <c:v>45705</c:v>
                </c:pt>
                <c:pt idx="1">
                  <c:v>45712</c:v>
                </c:pt>
                <c:pt idx="2">
                  <c:v>45719</c:v>
                </c:pt>
                <c:pt idx="3">
                  <c:v>45726</c:v>
                </c:pt>
                <c:pt idx="4">
                  <c:v>45733</c:v>
                </c:pt>
                <c:pt idx="5">
                  <c:v>45740</c:v>
                </c:pt>
                <c:pt idx="6">
                  <c:v>45747</c:v>
                </c:pt>
                <c:pt idx="7">
                  <c:v>45754</c:v>
                </c:pt>
                <c:pt idx="8">
                  <c:v>45761</c:v>
                </c:pt>
                <c:pt idx="9">
                  <c:v>45768</c:v>
                </c:pt>
                <c:pt idx="10">
                  <c:v>45775</c:v>
                </c:pt>
                <c:pt idx="11">
                  <c:v>45782</c:v>
                </c:pt>
                <c:pt idx="12">
                  <c:v>45789</c:v>
                </c:pt>
                <c:pt idx="13">
                  <c:v>45796</c:v>
                </c:pt>
                <c:pt idx="14">
                  <c:v>45803</c:v>
                </c:pt>
                <c:pt idx="15">
                  <c:v>45810</c:v>
                </c:pt>
                <c:pt idx="16">
                  <c:v>45817</c:v>
                </c:pt>
                <c:pt idx="17">
                  <c:v>45824</c:v>
                </c:pt>
                <c:pt idx="18">
                  <c:v>45831</c:v>
                </c:pt>
                <c:pt idx="19">
                  <c:v>45838</c:v>
                </c:pt>
                <c:pt idx="20">
                  <c:v>45845</c:v>
                </c:pt>
                <c:pt idx="21">
                  <c:v>45852</c:v>
                </c:pt>
                <c:pt idx="22">
                  <c:v>45859</c:v>
                </c:pt>
                <c:pt idx="23">
                  <c:v>45866</c:v>
                </c:pt>
                <c:pt idx="24">
                  <c:v>45873</c:v>
                </c:pt>
                <c:pt idx="25">
                  <c:v>45880</c:v>
                </c:pt>
                <c:pt idx="26">
                  <c:v>45887</c:v>
                </c:pt>
                <c:pt idx="27">
                  <c:v>45894</c:v>
                </c:pt>
                <c:pt idx="28">
                  <c:v>45901</c:v>
                </c:pt>
                <c:pt idx="29">
                  <c:v>45908</c:v>
                </c:pt>
                <c:pt idx="30">
                  <c:v>45915</c:v>
                </c:pt>
                <c:pt idx="31">
                  <c:v>45922</c:v>
                </c:pt>
                <c:pt idx="32">
                  <c:v>45929</c:v>
                </c:pt>
                <c:pt idx="33">
                  <c:v>45936</c:v>
                </c:pt>
                <c:pt idx="34">
                  <c:v>45943</c:v>
                </c:pt>
                <c:pt idx="35">
                  <c:v>45950</c:v>
                </c:pt>
                <c:pt idx="36">
                  <c:v>45957</c:v>
                </c:pt>
                <c:pt idx="37">
                  <c:v>45964</c:v>
                </c:pt>
                <c:pt idx="38">
                  <c:v>45971</c:v>
                </c:pt>
                <c:pt idx="39">
                  <c:v>45978</c:v>
                </c:pt>
                <c:pt idx="40">
                  <c:v>45985</c:v>
                </c:pt>
                <c:pt idx="41">
                  <c:v>45992</c:v>
                </c:pt>
                <c:pt idx="42">
                  <c:v>45999</c:v>
                </c:pt>
                <c:pt idx="43">
                  <c:v>46006</c:v>
                </c:pt>
                <c:pt idx="44">
                  <c:v>46013</c:v>
                </c:pt>
                <c:pt idx="45">
                  <c:v>46020</c:v>
                </c:pt>
                <c:pt idx="46">
                  <c:v>46027</c:v>
                </c:pt>
                <c:pt idx="47">
                  <c:v>46034</c:v>
                </c:pt>
                <c:pt idx="48">
                  <c:v>46041</c:v>
                </c:pt>
                <c:pt idx="49">
                  <c:v>46048</c:v>
                </c:pt>
                <c:pt idx="50">
                  <c:v>46055</c:v>
                </c:pt>
                <c:pt idx="51">
                  <c:v>46062</c:v>
                </c:pt>
                <c:pt idx="52">
                  <c:v>46069</c:v>
                </c:pt>
                <c:pt idx="53">
                  <c:v>46076</c:v>
                </c:pt>
                <c:pt idx="54">
                  <c:v>46083</c:v>
                </c:pt>
                <c:pt idx="55">
                  <c:v>46090</c:v>
                </c:pt>
                <c:pt idx="56">
                  <c:v>46097</c:v>
                </c:pt>
                <c:pt idx="57">
                  <c:v>46104</c:v>
                </c:pt>
                <c:pt idx="58">
                  <c:v>46111</c:v>
                </c:pt>
                <c:pt idx="59">
                  <c:v>46118</c:v>
                </c:pt>
              </c:numCache>
            </c:numRef>
          </c:cat>
          <c:val>
            <c:numRef>
              <c:f>Forecast!$C$2:$C$61</c:f>
              <c:numCache>
                <c:formatCode>General</c:formatCode>
                <c:ptCount val="60"/>
                <c:pt idx="53">
                  <c:v>149.28081119980649</c:v>
                </c:pt>
                <c:pt idx="54">
                  <c:v>149.82072163408179</c:v>
                </c:pt>
                <c:pt idx="55">
                  <c:v>150.40110226244343</c:v>
                </c:pt>
                <c:pt idx="56">
                  <c:v>150.99767212484994</c:v>
                </c:pt>
                <c:pt idx="57">
                  <c:v>151.65810994897956</c:v>
                </c:pt>
                <c:pt idx="58">
                  <c:v>152.44350949848024</c:v>
                </c:pt>
                <c:pt idx="59">
                  <c:v>153.36647074468084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D9-4334-9478-FFD5D35BEEE6}"/>
            </c:ext>
          </c:extLst>
        </c:ser>
        <c:ser>
          <c:idx val="2"/>
          <c:order val="2"/>
          <c:tx>
            <c:strRef>
              <c:f>Forecast!$D$1</c:f>
              <c:strCache>
                <c:ptCount val="1"/>
                <c:pt idx="0">
                  <c:v>Calc Forecast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Forecast!$A$2:$A$61</c:f>
              <c:numCache>
                <c:formatCode>m/d/yyyy</c:formatCode>
                <c:ptCount val="60"/>
                <c:pt idx="0">
                  <c:v>45705</c:v>
                </c:pt>
                <c:pt idx="1">
                  <c:v>45712</c:v>
                </c:pt>
                <c:pt idx="2">
                  <c:v>45719</c:v>
                </c:pt>
                <c:pt idx="3">
                  <c:v>45726</c:v>
                </c:pt>
                <c:pt idx="4">
                  <c:v>45733</c:v>
                </c:pt>
                <c:pt idx="5">
                  <c:v>45740</c:v>
                </c:pt>
                <c:pt idx="6">
                  <c:v>45747</c:v>
                </c:pt>
                <c:pt idx="7">
                  <c:v>45754</c:v>
                </c:pt>
                <c:pt idx="8">
                  <c:v>45761</c:v>
                </c:pt>
                <c:pt idx="9">
                  <c:v>45768</c:v>
                </c:pt>
                <c:pt idx="10">
                  <c:v>45775</c:v>
                </c:pt>
                <c:pt idx="11">
                  <c:v>45782</c:v>
                </c:pt>
                <c:pt idx="12">
                  <c:v>45789</c:v>
                </c:pt>
                <c:pt idx="13">
                  <c:v>45796</c:v>
                </c:pt>
                <c:pt idx="14">
                  <c:v>45803</c:v>
                </c:pt>
                <c:pt idx="15">
                  <c:v>45810</c:v>
                </c:pt>
                <c:pt idx="16">
                  <c:v>45817</c:v>
                </c:pt>
                <c:pt idx="17">
                  <c:v>45824</c:v>
                </c:pt>
                <c:pt idx="18">
                  <c:v>45831</c:v>
                </c:pt>
                <c:pt idx="19">
                  <c:v>45838</c:v>
                </c:pt>
                <c:pt idx="20">
                  <c:v>45845</c:v>
                </c:pt>
                <c:pt idx="21">
                  <c:v>45852</c:v>
                </c:pt>
                <c:pt idx="22">
                  <c:v>45859</c:v>
                </c:pt>
                <c:pt idx="23">
                  <c:v>45866</c:v>
                </c:pt>
                <c:pt idx="24">
                  <c:v>45873</c:v>
                </c:pt>
                <c:pt idx="25">
                  <c:v>45880</c:v>
                </c:pt>
                <c:pt idx="26">
                  <c:v>45887</c:v>
                </c:pt>
                <c:pt idx="27">
                  <c:v>45894</c:v>
                </c:pt>
                <c:pt idx="28">
                  <c:v>45901</c:v>
                </c:pt>
                <c:pt idx="29">
                  <c:v>45908</c:v>
                </c:pt>
                <c:pt idx="30">
                  <c:v>45915</c:v>
                </c:pt>
                <c:pt idx="31">
                  <c:v>45922</c:v>
                </c:pt>
                <c:pt idx="32">
                  <c:v>45929</c:v>
                </c:pt>
                <c:pt idx="33">
                  <c:v>45936</c:v>
                </c:pt>
                <c:pt idx="34">
                  <c:v>45943</c:v>
                </c:pt>
                <c:pt idx="35">
                  <c:v>45950</c:v>
                </c:pt>
                <c:pt idx="36">
                  <c:v>45957</c:v>
                </c:pt>
                <c:pt idx="37">
                  <c:v>45964</c:v>
                </c:pt>
                <c:pt idx="38">
                  <c:v>45971</c:v>
                </c:pt>
                <c:pt idx="39">
                  <c:v>45978</c:v>
                </c:pt>
                <c:pt idx="40">
                  <c:v>45985</c:v>
                </c:pt>
                <c:pt idx="41">
                  <c:v>45992</c:v>
                </c:pt>
                <c:pt idx="42">
                  <c:v>45999</c:v>
                </c:pt>
                <c:pt idx="43">
                  <c:v>46006</c:v>
                </c:pt>
                <c:pt idx="44">
                  <c:v>46013</c:v>
                </c:pt>
                <c:pt idx="45">
                  <c:v>46020</c:v>
                </c:pt>
                <c:pt idx="46">
                  <c:v>46027</c:v>
                </c:pt>
                <c:pt idx="47">
                  <c:v>46034</c:v>
                </c:pt>
                <c:pt idx="48">
                  <c:v>46041</c:v>
                </c:pt>
                <c:pt idx="49">
                  <c:v>46048</c:v>
                </c:pt>
                <c:pt idx="50">
                  <c:v>46055</c:v>
                </c:pt>
                <c:pt idx="51">
                  <c:v>46062</c:v>
                </c:pt>
                <c:pt idx="52">
                  <c:v>46069</c:v>
                </c:pt>
                <c:pt idx="53">
                  <c:v>46076</c:v>
                </c:pt>
                <c:pt idx="54">
                  <c:v>46083</c:v>
                </c:pt>
                <c:pt idx="55">
                  <c:v>46090</c:v>
                </c:pt>
                <c:pt idx="56">
                  <c:v>46097</c:v>
                </c:pt>
                <c:pt idx="57">
                  <c:v>46104</c:v>
                </c:pt>
                <c:pt idx="58">
                  <c:v>46111</c:v>
                </c:pt>
                <c:pt idx="59">
                  <c:v>46118</c:v>
                </c:pt>
              </c:numCache>
            </c:numRef>
          </c:cat>
          <c:val>
            <c:numRef>
              <c:f>Forecast!$D$2:$D$61</c:f>
              <c:numCache>
                <c:formatCode>General</c:formatCode>
                <c:ptCount val="60"/>
                <c:pt idx="53">
                  <c:v>149.80829893085701</c:v>
                </c:pt>
                <c:pt idx="54">
                  <c:v>149.100816293581</c:v>
                </c:pt>
                <c:pt idx="55">
                  <c:v>151.15078478392999</c:v>
                </c:pt>
                <c:pt idx="56">
                  <c:v>153.81218962590799</c:v>
                </c:pt>
                <c:pt idx="57">
                  <c:v>155.65980851579701</c:v>
                </c:pt>
                <c:pt idx="58">
                  <c:v>159.32452098769301</c:v>
                </c:pt>
                <c:pt idx="59">
                  <c:v>163.19842652328899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D9-4334-9478-FFD5D35BEEE6}"/>
            </c:ext>
          </c:extLst>
        </c:ser>
        <c:ser>
          <c:idx val="3"/>
          <c:order val="3"/>
          <c:tx>
            <c:strRef>
              <c:f>Forecast!$E$1</c:f>
              <c:strCache>
                <c:ptCount val="1"/>
                <c:pt idx="0">
                  <c:v>GS Simple ML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Forecast!$A$2:$A$61</c:f>
              <c:numCache>
                <c:formatCode>m/d/yyyy</c:formatCode>
                <c:ptCount val="60"/>
                <c:pt idx="0">
                  <c:v>45705</c:v>
                </c:pt>
                <c:pt idx="1">
                  <c:v>45712</c:v>
                </c:pt>
                <c:pt idx="2">
                  <c:v>45719</c:v>
                </c:pt>
                <c:pt idx="3">
                  <c:v>45726</c:v>
                </c:pt>
                <c:pt idx="4">
                  <c:v>45733</c:v>
                </c:pt>
                <c:pt idx="5">
                  <c:v>45740</c:v>
                </c:pt>
                <c:pt idx="6">
                  <c:v>45747</c:v>
                </c:pt>
                <c:pt idx="7">
                  <c:v>45754</c:v>
                </c:pt>
                <c:pt idx="8">
                  <c:v>45761</c:v>
                </c:pt>
                <c:pt idx="9">
                  <c:v>45768</c:v>
                </c:pt>
                <c:pt idx="10">
                  <c:v>45775</c:v>
                </c:pt>
                <c:pt idx="11">
                  <c:v>45782</c:v>
                </c:pt>
                <c:pt idx="12">
                  <c:v>45789</c:v>
                </c:pt>
                <c:pt idx="13">
                  <c:v>45796</c:v>
                </c:pt>
                <c:pt idx="14">
                  <c:v>45803</c:v>
                </c:pt>
                <c:pt idx="15">
                  <c:v>45810</c:v>
                </c:pt>
                <c:pt idx="16">
                  <c:v>45817</c:v>
                </c:pt>
                <c:pt idx="17">
                  <c:v>45824</c:v>
                </c:pt>
                <c:pt idx="18">
                  <c:v>45831</c:v>
                </c:pt>
                <c:pt idx="19">
                  <c:v>45838</c:v>
                </c:pt>
                <c:pt idx="20">
                  <c:v>45845</c:v>
                </c:pt>
                <c:pt idx="21">
                  <c:v>45852</c:v>
                </c:pt>
                <c:pt idx="22">
                  <c:v>45859</c:v>
                </c:pt>
                <c:pt idx="23">
                  <c:v>45866</c:v>
                </c:pt>
                <c:pt idx="24">
                  <c:v>45873</c:v>
                </c:pt>
                <c:pt idx="25">
                  <c:v>45880</c:v>
                </c:pt>
                <c:pt idx="26">
                  <c:v>45887</c:v>
                </c:pt>
                <c:pt idx="27">
                  <c:v>45894</c:v>
                </c:pt>
                <c:pt idx="28">
                  <c:v>45901</c:v>
                </c:pt>
                <c:pt idx="29">
                  <c:v>45908</c:v>
                </c:pt>
                <c:pt idx="30">
                  <c:v>45915</c:v>
                </c:pt>
                <c:pt idx="31">
                  <c:v>45922</c:v>
                </c:pt>
                <c:pt idx="32">
                  <c:v>45929</c:v>
                </c:pt>
                <c:pt idx="33">
                  <c:v>45936</c:v>
                </c:pt>
                <c:pt idx="34">
                  <c:v>45943</c:v>
                </c:pt>
                <c:pt idx="35">
                  <c:v>45950</c:v>
                </c:pt>
                <c:pt idx="36">
                  <c:v>45957</c:v>
                </c:pt>
                <c:pt idx="37">
                  <c:v>45964</c:v>
                </c:pt>
                <c:pt idx="38">
                  <c:v>45971</c:v>
                </c:pt>
                <c:pt idx="39">
                  <c:v>45978</c:v>
                </c:pt>
                <c:pt idx="40">
                  <c:v>45985</c:v>
                </c:pt>
                <c:pt idx="41">
                  <c:v>45992</c:v>
                </c:pt>
                <c:pt idx="42">
                  <c:v>45999</c:v>
                </c:pt>
                <c:pt idx="43">
                  <c:v>46006</c:v>
                </c:pt>
                <c:pt idx="44">
                  <c:v>46013</c:v>
                </c:pt>
                <c:pt idx="45">
                  <c:v>46020</c:v>
                </c:pt>
                <c:pt idx="46">
                  <c:v>46027</c:v>
                </c:pt>
                <c:pt idx="47">
                  <c:v>46034</c:v>
                </c:pt>
                <c:pt idx="48">
                  <c:v>46041</c:v>
                </c:pt>
                <c:pt idx="49">
                  <c:v>46048</c:v>
                </c:pt>
                <c:pt idx="50">
                  <c:v>46055</c:v>
                </c:pt>
                <c:pt idx="51">
                  <c:v>46062</c:v>
                </c:pt>
                <c:pt idx="52">
                  <c:v>46069</c:v>
                </c:pt>
                <c:pt idx="53">
                  <c:v>46076</c:v>
                </c:pt>
                <c:pt idx="54">
                  <c:v>46083</c:v>
                </c:pt>
                <c:pt idx="55">
                  <c:v>46090</c:v>
                </c:pt>
                <c:pt idx="56">
                  <c:v>46097</c:v>
                </c:pt>
                <c:pt idx="57">
                  <c:v>46104</c:v>
                </c:pt>
                <c:pt idx="58">
                  <c:v>46111</c:v>
                </c:pt>
                <c:pt idx="59">
                  <c:v>46118</c:v>
                </c:pt>
              </c:numCache>
            </c:numRef>
          </c:cat>
          <c:val>
            <c:numRef>
              <c:f>Forecast!$E$2:$E$61</c:f>
              <c:numCache>
                <c:formatCode>General</c:formatCode>
                <c:ptCount val="60"/>
                <c:pt idx="53">
                  <c:v>156.62688600000001</c:v>
                </c:pt>
                <c:pt idx="54">
                  <c:v>164.80873199999999</c:v>
                </c:pt>
                <c:pt idx="55">
                  <c:v>162.58916199999999</c:v>
                </c:pt>
                <c:pt idx="56">
                  <c:v>171.607551</c:v>
                </c:pt>
                <c:pt idx="57">
                  <c:v>176.352135</c:v>
                </c:pt>
                <c:pt idx="58">
                  <c:v>179.57708500000001</c:v>
                </c:pt>
                <c:pt idx="59">
                  <c:v>179.93316200000001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D9-4334-9478-FFD5D35BE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449536"/>
        <c:axId val="1251445216"/>
      </c:lineChart>
      <c:dateAx>
        <c:axId val="1251449536"/>
        <c:scaling>
          <c:orientation val="minMax"/>
          <c:min val="4588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445216"/>
        <c:crosses val="autoZero"/>
        <c:auto val="1"/>
        <c:lblOffset val="100"/>
        <c:baseTimeUnit val="days"/>
      </c:dateAx>
      <c:valAx>
        <c:axId val="1251445216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44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84</xdr:row>
      <xdr:rowOff>123825</xdr:rowOff>
    </xdr:from>
    <xdr:to>
      <xdr:col>12</xdr:col>
      <xdr:colOff>457200</xdr:colOff>
      <xdr:row>98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0A3F92-2C02-4F17-9350-EA4E51109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3</xdr:row>
      <xdr:rowOff>152400</xdr:rowOff>
    </xdr:from>
    <xdr:to>
      <xdr:col>12</xdr:col>
      <xdr:colOff>409575</xdr:colOff>
      <xdr:row>18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8B446C-5B93-43BC-A2F9-65423CE75B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552450</xdr:colOff>
      <xdr:row>21</xdr:row>
      <xdr:rowOff>85725</xdr:rowOff>
    </xdr:from>
    <xdr:to>
      <xdr:col>12</xdr:col>
      <xdr:colOff>447675</xdr:colOff>
      <xdr:row>35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8B5284-C8F3-4962-BC99-DF6C46CC6D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542925</xdr:colOff>
      <xdr:row>37</xdr:row>
      <xdr:rowOff>133350</xdr:rowOff>
    </xdr:from>
    <xdr:to>
      <xdr:col>12</xdr:col>
      <xdr:colOff>476250</xdr:colOff>
      <xdr:row>52</xdr:row>
      <xdr:rowOff>19050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4B1D54F-1DA1-49EE-9AB1-59D5102A8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542924</xdr:colOff>
      <xdr:row>53</xdr:row>
      <xdr:rowOff>133350</xdr:rowOff>
    </xdr:from>
    <xdr:to>
      <xdr:col>12</xdr:col>
      <xdr:colOff>457199</xdr:colOff>
      <xdr:row>66</xdr:row>
      <xdr:rowOff>47625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1BD3151-1E44-4A04-985F-E95A54F5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552450</xdr:colOff>
      <xdr:row>69</xdr:row>
      <xdr:rowOff>123825</xdr:rowOff>
    </xdr:from>
    <xdr:to>
      <xdr:col>12</xdr:col>
      <xdr:colOff>476250</xdr:colOff>
      <xdr:row>83</xdr:row>
      <xdr:rowOff>38100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13D59AC-463B-4BB9-B5DA-D4D476AE65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0CBCEC7-73FE-4E9F-A934-45626E2FAC80}" autoFormatId="16" applyNumberFormats="0" applyBorderFormats="0" applyFontFormats="0" applyPatternFormats="0" applyAlignmentFormats="0" applyWidthHeightFormats="0">
  <queryTableRefresh nextId="6" unboundColumnsRight="3">
    <queryTableFields count="5">
      <queryTableField id="1" name="Week" tableColumnId="1"/>
      <queryTableField id="2" name="Average" tableColumnId="2"/>
      <queryTableField id="3" dataBound="0" tableColumnId="3"/>
      <queryTableField id="4" dataBound="0" tableColumnId="4"/>
      <queryTableField id="5" dataBound="0" tableColumnId="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">
  <a r="1" c="251">
    <v t="i">0</v>
    <v t="i">3</v>
    <v t="i">4</v>
    <v t="i">5</v>
    <v t="i">6</v>
    <v t="i">7</v>
    <v t="i">10</v>
    <v t="i">11</v>
    <v t="i">12</v>
    <v t="i">13</v>
    <v t="i">14</v>
    <v t="i">17</v>
    <v t="i">18</v>
    <v t="i">19</v>
    <v t="i">20</v>
    <v t="i">21</v>
    <v t="i">24</v>
    <v t="i">25</v>
    <v t="i">26</v>
    <v t="i">27</v>
    <v t="i">28</v>
    <v t="i">31</v>
    <v t="i">32</v>
    <v t="i">33</v>
    <v t="i">34</v>
    <v t="i">35</v>
    <v t="i">38</v>
    <v t="i">39</v>
    <v t="i">40</v>
    <v t="i">41</v>
    <v t="i">42</v>
    <v t="i">45</v>
    <v t="i">46</v>
    <v t="i">47</v>
    <v t="i">48</v>
    <v t="i">49</v>
    <v t="i">52</v>
    <v t="i">53</v>
    <v t="i">54</v>
    <v t="i">55</v>
    <v t="i">59</v>
    <v t="i">60</v>
    <v t="i">61</v>
    <v t="i">62</v>
    <v t="i">63</v>
    <v t="i">66</v>
    <v t="i">67</v>
    <v t="i">68</v>
    <v t="i">69</v>
    <v t="i">70</v>
    <v t="i">73</v>
    <v t="i">74</v>
    <v t="i">75</v>
    <v t="i">76</v>
    <v t="i">77</v>
    <v t="i">80</v>
    <v t="i">81</v>
    <v t="i">82</v>
    <v t="i">83</v>
    <v t="i">84</v>
    <v t="i">87</v>
    <v t="i">88</v>
    <v t="i">89</v>
    <v t="i">90</v>
    <v t="i">91</v>
    <v t="i">95</v>
    <v t="i">96</v>
    <v t="i">97</v>
    <v t="i">98</v>
    <v t="i">101</v>
    <v t="i">102</v>
    <v t="i">103</v>
    <v t="i">104</v>
    <v t="i">105</v>
    <v t="i">108</v>
    <v t="i">109</v>
    <v t="i">110</v>
    <v t="i">111</v>
    <v t="i">112</v>
    <v t="i">115</v>
    <v t="i">116</v>
    <v t="i">117</v>
    <v t="i">119</v>
    <v t="i">122</v>
    <v t="i">123</v>
    <v t="i">124</v>
    <v t="i">125</v>
    <v t="i">126</v>
    <v t="i">129</v>
    <v t="i">130</v>
    <v t="i">131</v>
    <v t="i">132</v>
    <v t="i">136</v>
    <v t="i">137</v>
    <v t="i">138</v>
    <v t="i">139</v>
    <v t="i">140</v>
    <v t="i">143</v>
    <v t="i">144</v>
    <v t="i">145</v>
    <v t="i">146</v>
    <v t="i">147</v>
    <v t="i">150</v>
    <v t="i">151</v>
    <v t="i">152</v>
    <v t="i">153</v>
    <v t="i">154</v>
    <v t="i">157</v>
    <v t="i">158</v>
    <v t="i">159</v>
    <v t="i">160</v>
    <v t="i">161</v>
    <v t="i">164</v>
    <v t="i">165</v>
    <v t="i">166</v>
    <v t="i">167</v>
    <v t="i">168</v>
    <v t="i">171</v>
    <v t="i">172</v>
    <v t="i">173</v>
    <v t="i">174</v>
    <v t="i">175</v>
    <v t="i">178</v>
    <v t="i">179</v>
    <v t="i">180</v>
    <v t="i">181</v>
    <v t="i">182</v>
    <v t="i">185</v>
    <v t="i">186</v>
    <v t="i">187</v>
    <v t="i">188</v>
    <v t="i">189</v>
    <v t="i">193</v>
    <v t="i">194</v>
    <v t="i">195</v>
    <v t="i">196</v>
    <v t="i">199</v>
    <v t="i">200</v>
    <v t="i">201</v>
    <v t="i">202</v>
    <v t="i">203</v>
    <v t="i">206</v>
    <v t="i">207</v>
    <v t="i">208</v>
    <v t="i">209</v>
    <v t="i">210</v>
    <v t="i">213</v>
    <v t="i">214</v>
    <v t="i">215</v>
    <v t="i">216</v>
    <v t="i">217</v>
    <v t="i">220</v>
    <v t="i">221</v>
    <v t="i">222</v>
    <v t="i">223</v>
    <v t="i">224</v>
    <v t="i">227</v>
    <v t="i">228</v>
    <v t="i">229</v>
    <v t="i">230</v>
    <v t="i">231</v>
    <v t="i">234</v>
    <v t="i">235</v>
    <v t="i">236</v>
    <v t="i">237</v>
    <v t="i">238</v>
    <v t="i">241</v>
    <v t="i">242</v>
    <v t="i">243</v>
    <v t="i">244</v>
    <v t="i">245</v>
    <v t="i">248</v>
    <v t="i">249</v>
    <v t="i">250</v>
    <v t="i">251</v>
    <v t="i">252</v>
    <v t="i">255</v>
    <v t="i">256</v>
    <v t="i">257</v>
    <v t="i">258</v>
    <v t="i">259</v>
    <v t="i">262</v>
    <v t="i">263</v>
    <v t="i">264</v>
    <v t="i">265</v>
    <v t="i">266</v>
    <v t="i">269</v>
    <v t="i">270</v>
    <v t="i">271</v>
    <v t="i">272</v>
    <v t="i">273</v>
    <v t="i">276</v>
    <v t="i">277</v>
    <v t="i">278</v>
    <v t="i">280</v>
    <v t="i">283</v>
    <v t="i">284</v>
    <v t="i">285</v>
    <v t="i">286</v>
    <v t="i">287</v>
    <v t="i">290</v>
    <v t="i">291</v>
    <v t="i">292</v>
    <v t="i">293</v>
    <v t="i">294</v>
    <v t="i">297</v>
    <v t="i">298</v>
    <v t="i">299</v>
    <v t="i">300</v>
    <v t="i">301</v>
    <v t="i">304</v>
    <v t="i">305</v>
    <v t="i">306</v>
    <v t="i">308</v>
    <v t="i">311</v>
    <v t="i">312</v>
    <v t="i">313</v>
    <v t="i">315</v>
    <v t="i">318</v>
    <v t="i">319</v>
    <v t="i">320</v>
    <v t="i">321</v>
    <v t="i">322</v>
    <v t="i">325</v>
    <v t="i">326</v>
    <v t="i">327</v>
    <v t="i">328</v>
    <v t="i">329</v>
    <v t="i">333</v>
    <v t="i">334</v>
    <v t="i">335</v>
    <v t="i">336</v>
    <v t="i">339</v>
    <v t="i">340</v>
    <v t="i">341</v>
    <v t="i">342</v>
    <v t="i">343</v>
    <v t="i">346</v>
    <v t="i">347</v>
    <v t="i">348</v>
    <v t="i">349</v>
    <v t="i">350</v>
    <v t="i">353</v>
    <v t="i">354</v>
    <v t="i">355</v>
    <v t="i">356</v>
    <v t="i">357</v>
    <v t="i">361</v>
    <v t="i">362</v>
    <v t="i">363</v>
    <v t="i">364</v>
  </a>
  <a r="1" c="251">
    <v>110.69</v>
    <v>111.27</v>
    <v>109.73</v>
    <v>109.46</v>
    <v>110.15</v>
    <v>111.33</v>
    <v>107.76</v>
    <v>107.54</v>
    <v>105.44</v>
    <v>107.62</v>
    <v>109.02</v>
    <v>111.8</v>
    <v>109.16</v>
    <v>109.13</v>
    <v>108.67</v>
    <v>111.9</v>
    <v>113.76</v>
    <v>113.64</v>
    <v>115.41</v>
    <v>115.9</v>
    <v>115.5</v>
    <v>115.8</v>
    <v>116.59</v>
    <v>118.27</v>
    <v>117.89</v>
    <v>117.73</v>
    <v>118.93</v>
    <v>119.04</v>
    <v>118.67</v>
    <v>112.43</v>
    <v>104.34</v>
    <v>102.94</v>
    <v>100.77</v>
    <v>105.8</v>
    <v>99.93</v>
    <v>103.14</v>
    <v>103.39</v>
    <v>103.1</v>
    <v>104.19</v>
    <v>106.92</v>
    <v>105.35</v>
    <v>108.3</v>
    <v>107.37</v>
    <v>108.63</v>
    <v>108.57</v>
    <v>108.63</v>
    <v>108.36</v>
    <v>105.63</v>
    <v>105.78</v>
    <v>106.21</v>
    <v>103.27</v>
    <v>104.71</v>
    <v>104.61</v>
    <v>106.07</v>
    <v>107.31</v>
    <v>109.16</v>
    <v>109.46</v>
    <v>108.48</v>
    <v>108.58</v>
    <v>108.19</v>
    <v>106.47</v>
    <v>104.95</v>
    <v>103.66</v>
    <v>102.97</v>
    <v>103.03</v>
    <v>103.52</v>
    <v>102.11</v>
    <v>102.69</v>
    <v>102.3</v>
    <v>103.05</v>
    <v>103.8</v>
    <v>102.3</v>
    <v>101.83</v>
    <v>104.27</v>
    <v>104.97</v>
    <v>107.22</v>
    <v>109.31</v>
    <v>109.73</v>
    <v>112.12</v>
    <v>112.48</v>
    <v>114</v>
    <v>113.19</v>
    <v>114.7</v>
    <v>111.74</v>
    <v>108.34</v>
    <v>108.37</v>
    <v>109.99</v>
    <v>109.38</v>
    <v>107.8</v>
    <v>109.24</v>
    <v>111.05</v>
    <v>112.2</v>
    <v>111.11</v>
    <v>114.19</v>
    <v>113.8</v>
    <v>114.93</v>
    <v>115.43</v>
    <v>113.92</v>
    <v>112.91</v>
    <v>112.23</v>
    <v>111.66</v>
    <v>107.77</v>
    <v>108.05</v>
    <v>108.54</v>
    <v>109.93</v>
    <v>110.79</v>
    <v>110.4</v>
    <v>111.44</v>
    <v>112.88</v>
    <v>111.9</v>
    <v>111.64</v>
    <v>109.64</v>
    <v>107.37</v>
    <v>107.24</v>
    <v>106.51</v>
    <v>105.95</v>
    <v>106.8</v>
    <v>105.83</v>
    <v>106.13</v>
    <v>107.6</v>
    <v>107.38</v>
    <v>106.49</v>
    <v>106.72</v>
    <v>107.42</v>
    <v>108.53</v>
    <v>109.23</v>
    <v>111.28</v>
    <v>111.74</v>
    <v>111.49</v>
    <v>112.75</v>
    <v>113.35</v>
    <v>114.29</v>
    <v>114.69</v>
    <v>111.91</v>
    <v>112.4</v>
    <v>109.23</v>
    <v>109.85</v>
    <v>110.65</v>
    <v>112.5</v>
    <v>112.14</v>
    <v>112.16</v>
    <v>112.35</v>
    <v>114.68</v>
    <v>115.29</v>
    <v>113.93</v>
    <v>112.82</v>
    <v>112.02</v>
    <v>113.95</v>
    <v>114.56</v>
    <v>115.59</v>
    <v>117.22</v>
    <v>114.22</v>
    <v>112.75</v>
    <v>111.99</v>
    <v>111.29</v>
    <v>113.26</v>
    <v>114.2</v>
    <v>114.26</v>
    <v>114.02</v>
    <v>112.91</v>
    <v>110.73</v>
    <v>112.24</v>
    <v>112.29</v>
    <v>111.61</v>
    <v>110.64</v>
    <v>112.24</v>
    <v>112.7</v>
    <v>112.71</v>
    <v>114.71</v>
    <v>115.98</v>
    <v>115.39</v>
    <v>115.94</v>
    <v>115.03</v>
    <v>116.45</v>
    <v>114.69</v>
    <v>114.36</v>
    <v>113.76</v>
    <v>114.14</v>
    <v>113.68</v>
    <v>114.5</v>
    <v>117.22</v>
    <v>118.22</v>
    <v>119.78</v>
    <v>118.12</v>
    <v>118.79</v>
    <v>119.29</v>
    <v>117.68</v>
    <v>119.03</v>
    <v>117.35</v>
    <v>117.02</v>
    <v>117.08</v>
    <v>115.97</v>
    <v>114.51</v>
    <v>114.77</v>
    <v>115.92</v>
    <v>116.63</v>
    <v>115.38</v>
    <v>117.8</v>
    <v>117.14</v>
    <v>116.54</v>
    <v>115.98</v>
    <v>118.25</v>
    <v>119.54</v>
    <v>119.54</v>
    <v>118.82</v>
    <v>117.76</v>
    <v>114.68</v>
    <v>117.41</v>
    <v>116.54</v>
    <v>116.69</v>
    <v>118.15</v>
    <v>119.42</v>
    <v>119.22</v>
    <v>119.11</v>
    <v>120.53</v>
    <v>120.99</v>
    <v>120.34</v>
    <v>122.65</v>
    <v>125.36</v>
    <v>121.05</v>
    <v>118.49</v>
    <v>122.91</v>
    <v>124.61</v>
    <v>124.03</v>
    <v>126.54</v>
    <v>130.19999999999999</v>
    <v>129.13</v>
    <v>129.88999999999999</v>
    <v>130.46</v>
    <v>133.61000000000001</v>
    <v>133.63999999999999</v>
    <v>134.97</v>
    <v>134.84</v>
    <v>136.83000000000001</v>
    <v>137.58000000000001</v>
    <v>140.51</v>
    <v>141.4</v>
    <v>138.4</v>
    <v>143.72999999999999</v>
    <v>147.59</v>
    <v>146.08000000000001</v>
    <v>149.05000000000001</v>
    <v>151.21</v>
    <v>151.59</v>
    <v>155.56</v>
    <v>149.93</v>
    <v>148.44999999999999</v>
    <v>146.19</v>
    <v>150.68</v>
    <v>150.97</v>
    <v>147.28</v>
  </a>
  <a r="1" c="251">
    <v>14709985</v>
    <v>13153471</v>
    <v>14496964</v>
    <v>10446405</v>
    <v>15293173</v>
    <v>18821665</v>
    <v>18706879</v>
    <v>19394905</v>
    <v>24822245</v>
    <v>17150233</v>
    <v>19624965</v>
    <v>22749073</v>
    <v>19904735</v>
    <v>14051500</v>
    <v>17767836</v>
    <v>15890063</v>
    <v>19908789</v>
    <v>15998713</v>
    <v>17315001</v>
    <v>16230772</v>
    <v>41102795</v>
    <v>14207469</v>
    <v>12081795</v>
    <v>14112756</v>
    <v>12740786</v>
    <v>10233433</v>
    <v>21652345</v>
    <v>12425434</v>
    <v>12614605</v>
    <v>21204636</v>
    <v>30841318</v>
    <v>35068450</v>
    <v>27147750</v>
    <v>30063287</v>
    <v>33999317</v>
    <v>22884628</v>
    <v>18019969</v>
    <v>13164863</v>
    <v>13607024</v>
    <v>17916471</v>
    <v>16926493</v>
    <v>13147049</v>
    <v>14235710</v>
    <v>9849553</v>
    <v>11245793</v>
    <v>13890869</v>
    <v>9483135</v>
    <v>20379282</v>
    <v>18610256</v>
    <v>16581870</v>
    <v>19623970</v>
    <v>16303449</v>
    <v>12335924</v>
    <v>19196548</v>
    <v>10992080</v>
    <v>14244559</v>
    <v>13350836</v>
    <v>15494932</v>
    <v>15004291</v>
    <v>14042535</v>
    <v>16802719</v>
    <v>12429321</v>
    <v>16716079</v>
    <v>13417378</v>
    <v>12061606</v>
    <v>13043604</v>
    <v>14292377</v>
    <v>13832487</v>
    <v>28645787</v>
    <v>17290462</v>
    <v>19194335</v>
    <v>15648515</v>
    <v>13942218</v>
    <v>15487844</v>
    <v>17087328</v>
    <v>17634793</v>
    <v>22648191</v>
    <v>17469408</v>
    <v>28540165</v>
    <v>22986113</v>
    <v>19451701</v>
    <v>17968893</v>
    <v>36273288</v>
    <v>26631056</v>
    <v>24828277</v>
    <v>17483231</v>
    <v>18304841</v>
    <v>22002079</v>
    <v>19199048</v>
    <v>15536896</v>
    <v>11892160</v>
    <v>11223580</v>
    <v>15415889</v>
    <v>17913404</v>
    <v>10652062</v>
    <v>14903884</v>
    <v>11683884</v>
    <v>13220303</v>
    <v>10959347</v>
    <v>11158852</v>
    <v>13151446</v>
    <v>32366594</v>
    <v>17010405</v>
    <v>13970885</v>
    <v>12002687</v>
    <v>15647208</v>
    <v>10548938</v>
    <v>12352966</v>
    <v>15927998</v>
    <v>12996905</v>
    <v>17233744</v>
    <v>19652030</v>
    <v>19129474</v>
    <v>21314254</v>
    <v>15321811</v>
    <v>13468287</v>
    <v>14417734</v>
    <v>13570661</v>
    <v>14113216</v>
    <v>17958695</v>
    <v>13683472</v>
    <v>19271861</v>
    <v>13040018</v>
    <v>16113611</v>
    <v>18959716</v>
    <v>12194897</v>
    <v>13586668</v>
    <v>9744897</v>
    <v>18143880</v>
    <v>15262630</v>
    <v>14189829</v>
    <v>14597872</v>
    <v>15206667</v>
    <v>14920087</v>
    <v>12864438</v>
    <v>16826692</v>
    <v>15440513</v>
    <v>14899502</v>
    <v>15837583</v>
    <v>11534502</v>
    <v>11105690</v>
    <v>12880487</v>
    <v>17208044</v>
    <v>13302030</v>
    <v>14628726</v>
    <v>38746517</v>
    <v>15611495</v>
    <v>25369106</v>
    <v>14756050</v>
    <v>15012553</v>
    <v>18568916</v>
    <v>19189260</v>
    <v>18076211</v>
    <v>16613992</v>
    <v>13062563</v>
    <v>12950118</v>
    <v>12036830</v>
    <v>11945032</v>
    <v>12300968</v>
    <v>10976215</v>
    <v>13811577</v>
    <v>10296499</v>
    <v>11167154</v>
    <v>12182935</v>
    <v>11782202</v>
    <v>13460069</v>
    <v>9523617</v>
    <v>9202349</v>
    <v>12938790</v>
    <v>15001088</v>
    <v>9919409</v>
    <v>10975412</v>
    <v>9535211</v>
    <v>12570572</v>
    <v>16172943</v>
    <v>20213352</v>
    <v>12290304</v>
    <v>16860741</v>
    <v>12400921</v>
    <v>14219654</v>
    <v>17181149</v>
    <v>13047958</v>
    <v>16077101</v>
    <v>13790889</v>
    <v>17291874</v>
    <v>17064267</v>
    <v>16034860</v>
    <v>15808518</v>
    <v>15919239</v>
    <v>14401011</v>
    <v>15667596</v>
    <v>18034923</v>
    <v>14434558</v>
    <v>11650597</v>
    <v>7240825</v>
    <v>12658100</v>
    <v>14607704</v>
    <v>16819130</v>
    <v>13686897</v>
    <v>12516864</v>
    <v>14904164</v>
    <v>23790815</v>
    <v>19845192</v>
    <v>14781787</v>
    <v>14459538</v>
    <v>16358669</v>
    <v>17638716</v>
    <v>18502152</v>
    <v>13705560</v>
    <v>45412814</v>
    <v>11768611</v>
    <v>12567630</v>
    <v>6137406</v>
    <v>8066129</v>
    <v>14782512</v>
    <v>11150486</v>
    <v>10559866</v>
    <v>14175055</v>
    <v>30112238</v>
    <v>23328636</v>
    <v>20352950</v>
    <v>20232721</v>
    <v>16137674</v>
    <v>15314895</v>
    <v>21619727</v>
    <v>27593938</v>
    <v>17400039</v>
    <v>16592354</v>
    <v>16477282</v>
    <v>18879887</v>
    <v>16600126</v>
    <v>17758214</v>
    <v>16056066</v>
    <v>14517025</v>
    <v>15637279</v>
    <v>35760620</v>
    <v>29657667</v>
    <v>27735570</v>
    <v>37577844</v>
    <v>29426241</v>
    <v>18431739</v>
    <v>17216025</v>
    <v>21297302</v>
    <v>15800255</v>
    <v>23091488</v>
    <v>30652471</v>
    <v>20166031</v>
    <v>19766567</v>
    <v>19849670</v>
    <v>20305026</v>
    <v>25908581</v>
  </a>
</arrayData>
</file>

<file path=xl/richData/rdrichvalue.xml><?xml version="1.0" encoding="utf-8"?>
<rvData xmlns="http://schemas.microsoft.com/office/spreadsheetml/2017/richdata" count="735">
  <rv s="0">
    <fb>45709</fb>
    <v>0</v>
  </rv>
  <rv s="0">
    <fb>110.69</fb>
    <v>1</v>
  </rv>
  <rv s="0">
    <fb>14709985</fb>
    <v>2</v>
  </rv>
  <rv s="0">
    <fb>45712</fb>
    <v>0</v>
  </rv>
  <rv s="0">
    <fb>111.27</fb>
    <v>1</v>
  </rv>
  <rv s="0">
    <fb>13153471</fb>
    <v>2</v>
  </rv>
  <rv s="0">
    <fb>45713</fb>
    <v>0</v>
  </rv>
  <rv s="0">
    <fb>109.73</fb>
    <v>1</v>
  </rv>
  <rv s="0">
    <fb>14496964</fb>
    <v>2</v>
  </rv>
  <rv s="0">
    <fb>45714</fb>
    <v>0</v>
  </rv>
  <rv s="0">
    <fb>109.46</fb>
    <v>1</v>
  </rv>
  <rv s="0">
    <fb>10446405</fb>
    <v>2</v>
  </rv>
  <rv s="0">
    <fb>45715</fb>
    <v>0</v>
  </rv>
  <rv s="0">
    <fb>110.15</fb>
    <v>1</v>
  </rv>
  <rv s="0">
    <fb>15293173</fb>
    <v>2</v>
  </rv>
  <rv s="0">
    <fb>45716</fb>
    <v>0</v>
  </rv>
  <rv s="0">
    <fb>111.33</fb>
    <v>1</v>
  </rv>
  <rv s="0">
    <fb>18821665</fb>
    <v>2</v>
  </rv>
  <rv s="0">
    <fb>45719</fb>
    <v>0</v>
  </rv>
  <rv s="0">
    <fb>107.76</fb>
    <v>1</v>
  </rv>
  <rv s="0">
    <fb>18706879</fb>
    <v>2</v>
  </rv>
  <rv s="0">
    <fb>45720</fb>
    <v>0</v>
  </rv>
  <rv s="0">
    <fb>107.54</fb>
    <v>1</v>
  </rv>
  <rv s="0">
    <fb>19394905</fb>
    <v>2</v>
  </rv>
  <rv s="0">
    <fb>45721</fb>
    <v>0</v>
  </rv>
  <rv s="0">
    <fb>105.44</fb>
    <v>1</v>
  </rv>
  <rv s="0">
    <fb>24822245</fb>
    <v>2</v>
  </rv>
  <rv s="0">
    <fb>45722</fb>
    <v>0</v>
  </rv>
  <rv s="0">
    <fb>107.62</fb>
    <v>1</v>
  </rv>
  <rv s="0">
    <fb>17150233</fb>
    <v>2</v>
  </rv>
  <rv s="0">
    <fb>45723</fb>
    <v>0</v>
  </rv>
  <rv s="0">
    <fb>109.02</fb>
    <v>1</v>
  </rv>
  <rv s="0">
    <fb>19624965</fb>
    <v>2</v>
  </rv>
  <rv s="0">
    <fb>45726</fb>
    <v>0</v>
  </rv>
  <rv s="0">
    <fb>111.8</fb>
    <v>1</v>
  </rv>
  <rv s="0">
    <fb>22749073</fb>
    <v>2</v>
  </rv>
  <rv s="0">
    <fb>45727</fb>
    <v>0</v>
  </rv>
  <rv s="0">
    <fb>109.16</fb>
    <v>1</v>
  </rv>
  <rv s="0">
    <fb>19904735</fb>
    <v>2</v>
  </rv>
  <rv s="0">
    <fb>45728</fb>
    <v>0</v>
  </rv>
  <rv s="0">
    <fb>109.13</fb>
    <v>1</v>
  </rv>
  <rv s="0">
    <fb>14051500</fb>
    <v>2</v>
  </rv>
  <rv s="0">
    <fb>45729</fb>
    <v>0</v>
  </rv>
  <rv s="0">
    <fb>108.67</fb>
    <v>1</v>
  </rv>
  <rv s="0">
    <fb>17767836</fb>
    <v>2</v>
  </rv>
  <rv s="0">
    <fb>45730</fb>
    <v>0</v>
  </rv>
  <rv s="0">
    <fb>111.9</fb>
    <v>1</v>
  </rv>
  <rv s="0">
    <fb>15890063</fb>
    <v>2</v>
  </rv>
  <rv s="0">
    <fb>45733</fb>
    <v>0</v>
  </rv>
  <rv s="0">
    <fb>113.76</fb>
    <v>1</v>
  </rv>
  <rv s="0">
    <fb>19908789</fb>
    <v>2</v>
  </rv>
  <rv s="0">
    <fb>45734</fb>
    <v>0</v>
  </rv>
  <rv s="0">
    <fb>113.64</fb>
    <v>1</v>
  </rv>
  <rv s="0">
    <fb>15998713</fb>
    <v>2</v>
  </rv>
  <rv s="0">
    <fb>45735</fb>
    <v>0</v>
  </rv>
  <rv s="0">
    <fb>115.41</fb>
    <v>1</v>
  </rv>
  <rv s="0">
    <fb>17315001</fb>
    <v>2</v>
  </rv>
  <rv s="0">
    <fb>45736</fb>
    <v>0</v>
  </rv>
  <rv s="0">
    <fb>115.9</fb>
    <v>1</v>
  </rv>
  <rv s="0">
    <fb>16230772</fb>
    <v>2</v>
  </rv>
  <rv s="0">
    <fb>45737</fb>
    <v>0</v>
  </rv>
  <rv s="0">
    <fb>115.5</fb>
    <v>1</v>
  </rv>
  <rv s="0">
    <fb>41102795</fb>
    <v>2</v>
  </rv>
  <rv s="0">
    <fb>45740</fb>
    <v>0</v>
  </rv>
  <rv s="0">
    <fb>115.8</fb>
    <v>1</v>
  </rv>
  <rv s="0">
    <fb>14207469</fb>
    <v>2</v>
  </rv>
  <rv s="0">
    <fb>45741</fb>
    <v>0</v>
  </rv>
  <rv s="0">
    <fb>116.59</fb>
    <v>1</v>
  </rv>
  <rv s="0">
    <fb>12081795</fb>
    <v>2</v>
  </rv>
  <rv s="0">
    <fb>45742</fb>
    <v>0</v>
  </rv>
  <rv s="0">
    <fb>118.27</fb>
    <v>1</v>
  </rv>
  <rv s="0">
    <fb>14112756</fb>
    <v>2</v>
  </rv>
  <rv s="0">
    <fb>45743</fb>
    <v>0</v>
  </rv>
  <rv s="0">
    <fb>117.89</fb>
    <v>1</v>
  </rv>
  <rv s="0">
    <fb>12740786</fb>
    <v>2</v>
  </rv>
  <rv s="0">
    <fb>45744</fb>
    <v>0</v>
  </rv>
  <rv s="0">
    <fb>117.73</fb>
    <v>1</v>
  </rv>
  <rv s="0">
    <fb>10233433</fb>
    <v>2</v>
  </rv>
  <rv s="0">
    <fb>45747</fb>
    <v>0</v>
  </rv>
  <rv s="0">
    <fb>118.93</fb>
    <v>1</v>
  </rv>
  <rv s="0">
    <fb>21652345</fb>
    <v>2</v>
  </rv>
  <rv s="0">
    <fb>45748</fb>
    <v>0</v>
  </rv>
  <rv s="0">
    <fb>119.04</fb>
    <v>1</v>
  </rv>
  <rv s="0">
    <fb>12425434</fb>
    <v>2</v>
  </rv>
  <rv s="0">
    <fb>45749</fb>
    <v>0</v>
  </rv>
  <rv s="0">
    <fb>118.67</fb>
    <v>1</v>
  </rv>
  <rv s="0">
    <fb>12614605</fb>
    <v>2</v>
  </rv>
  <rv s="0">
    <fb>45750</fb>
    <v>0</v>
  </rv>
  <rv s="0">
    <fb>112.43</fb>
    <v>1</v>
  </rv>
  <rv s="0">
    <fb>21204636</fb>
    <v>2</v>
  </rv>
  <rv s="0">
    <fb>45751</fb>
    <v>0</v>
  </rv>
  <rv s="0">
    <fb>104.34</fb>
    <v>1</v>
  </rv>
  <rv s="0">
    <fb>30841318</fb>
    <v>2</v>
  </rv>
  <rv s="0">
    <fb>45754</fb>
    <v>0</v>
  </rv>
  <rv s="0">
    <fb>102.94</fb>
    <v>1</v>
  </rv>
  <rv s="0">
    <fb>35068450</fb>
    <v>2</v>
  </rv>
  <rv s="0">
    <fb>45755</fb>
    <v>0</v>
  </rv>
  <rv s="0">
    <fb>100.77</fb>
    <v>1</v>
  </rv>
  <rv s="0">
    <fb>27147750</fb>
    <v>2</v>
  </rv>
  <rv s="0">
    <fb>45756</fb>
    <v>0</v>
  </rv>
  <rv s="0">
    <fb>105.8</fb>
    <v>1</v>
  </rv>
  <rv s="0">
    <fb>30063287</fb>
    <v>2</v>
  </rv>
  <rv s="0">
    <fb>45757</fb>
    <v>0</v>
  </rv>
  <rv s="0">
    <fb>99.93</fb>
    <v>1</v>
  </rv>
  <rv s="0">
    <fb>33999317</fb>
    <v>2</v>
  </rv>
  <rv s="0">
    <fb>45758</fb>
    <v>0</v>
  </rv>
  <rv s="0">
    <fb>103.14</fb>
    <v>1</v>
  </rv>
  <rv s="0">
    <fb>22884628</fb>
    <v>2</v>
  </rv>
  <rv s="0">
    <fb>45761</fb>
    <v>0</v>
  </rv>
  <rv s="0">
    <fb>103.39</fb>
    <v>1</v>
  </rv>
  <rv s="0">
    <fb>18019969</fb>
    <v>2</v>
  </rv>
  <rv s="0">
    <fb>45762</fb>
    <v>0</v>
  </rv>
  <rv s="0">
    <fb>103.1</fb>
    <v>1</v>
  </rv>
  <rv s="0">
    <fb>13164863</fb>
    <v>2</v>
  </rv>
  <rv s="0">
    <fb>45763</fb>
    <v>0</v>
  </rv>
  <rv s="0">
    <fb>104.19</fb>
    <v>1</v>
  </rv>
  <rv s="0">
    <fb>13607024</fb>
    <v>2</v>
  </rv>
  <rv s="0">
    <fb>45764</fb>
    <v>0</v>
  </rv>
  <rv s="0">
    <fb>106.92</fb>
    <v>1</v>
  </rv>
  <rv s="0">
    <fb>17916471</fb>
    <v>2</v>
  </rv>
  <rv s="0">
    <fb>45768</fb>
    <v>0</v>
  </rv>
  <rv s="0">
    <fb>105.35</fb>
    <v>1</v>
  </rv>
  <rv s="0">
    <fb>16926493</fb>
    <v>2</v>
  </rv>
  <rv s="0">
    <fb>45769</fb>
    <v>0</v>
  </rv>
  <rv s="0">
    <fb>108.3</fb>
    <v>1</v>
  </rv>
  <rv s="0">
    <fb>13147049</fb>
    <v>2</v>
  </rv>
  <rv s="0">
    <fb>45770</fb>
    <v>0</v>
  </rv>
  <rv s="0">
    <fb>107.37</fb>
    <v>1</v>
  </rv>
  <rv s="0">
    <fb>14235710</fb>
    <v>2</v>
  </rv>
  <rv s="0">
    <fb>45771</fb>
    <v>0</v>
  </rv>
  <rv s="0">
    <fb>108.63</fb>
    <v>1</v>
  </rv>
  <rv s="0">
    <fb>9849553</fb>
    <v>2</v>
  </rv>
  <rv s="0">
    <fb>45772</fb>
    <v>0</v>
  </rv>
  <rv s="0">
    <fb>108.57</fb>
    <v>1</v>
  </rv>
  <rv s="0">
    <fb>11245793</fb>
    <v>2</v>
  </rv>
  <rv s="0">
    <fb>45775</fb>
    <v>0</v>
  </rv>
  <rv s="0">
    <fb>13890869</fb>
    <v>2</v>
  </rv>
  <rv s="0">
    <fb>45776</fb>
    <v>0</v>
  </rv>
  <rv s="0">
    <fb>108.36</fb>
    <v>1</v>
  </rv>
  <rv s="0">
    <fb>9483135</fb>
    <v>2</v>
  </rv>
  <rv s="0">
    <fb>45777</fb>
    <v>0</v>
  </rv>
  <rv s="0">
    <fb>105.63</fb>
    <v>1</v>
  </rv>
  <rv s="0">
    <fb>20379282</fb>
    <v>2</v>
  </rv>
  <rv s="0">
    <fb>45778</fb>
    <v>0</v>
  </rv>
  <rv s="0">
    <fb>105.78</fb>
    <v>1</v>
  </rv>
  <rv s="0">
    <fb>18610256</fb>
    <v>2</v>
  </rv>
  <rv s="0">
    <fb>45779</fb>
    <v>0</v>
  </rv>
  <rv s="0">
    <fb>106.21</fb>
    <v>1</v>
  </rv>
  <rv s="0">
    <fb>16581870</fb>
    <v>2</v>
  </rv>
  <rv s="0">
    <fb>45782</fb>
    <v>0</v>
  </rv>
  <rv s="0">
    <fb>103.27</fb>
    <v>1</v>
  </rv>
  <rv s="0">
    <fb>19623970</fb>
    <v>2</v>
  </rv>
  <rv s="0">
    <fb>45783</fb>
    <v>0</v>
  </rv>
  <rv s="0">
    <fb>104.71</fb>
    <v>1</v>
  </rv>
  <rv s="0">
    <fb>16303449</fb>
    <v>2</v>
  </rv>
  <rv s="0">
    <fb>45784</fb>
    <v>0</v>
  </rv>
  <rv s="0">
    <fb>104.61</fb>
    <v>1</v>
  </rv>
  <rv s="0">
    <fb>12335924</fb>
    <v>2</v>
  </rv>
  <rv s="0">
    <fb>45785</fb>
    <v>0</v>
  </rv>
  <rv s="0">
    <fb>106.07</fb>
    <v>1</v>
  </rv>
  <rv s="0">
    <fb>19196548</fb>
    <v>2</v>
  </rv>
  <rv s="0">
    <fb>45786</fb>
    <v>0</v>
  </rv>
  <rv s="0">
    <fb>107.31</fb>
    <v>1</v>
  </rv>
  <rv s="0">
    <fb>10992080</fb>
    <v>2</v>
  </rv>
  <rv s="0">
    <fb>45789</fb>
    <v>0</v>
  </rv>
  <rv s="0">
    <fb>14244559</fb>
    <v>2</v>
  </rv>
  <rv s="0">
    <fb>45790</fb>
    <v>0</v>
  </rv>
  <rv s="0">
    <fb>13350836</fb>
    <v>2</v>
  </rv>
  <rv s="0">
    <fb>45791</fb>
    <v>0</v>
  </rv>
  <rv s="0">
    <fb>108.48</fb>
    <v>1</v>
  </rv>
  <rv s="0">
    <fb>15494932</fb>
    <v>2</v>
  </rv>
  <rv s="0">
    <fb>45792</fb>
    <v>0</v>
  </rv>
  <rv s="0">
    <fb>108.58</fb>
    <v>1</v>
  </rv>
  <rv s="0">
    <fb>15004291</fb>
    <v>2</v>
  </rv>
  <rv s="0">
    <fb>45793</fb>
    <v>0</v>
  </rv>
  <rv s="0">
    <fb>108.19</fb>
    <v>1</v>
  </rv>
  <rv s="0">
    <fb>14042535</fb>
    <v>2</v>
  </rv>
  <rv s="0">
    <fb>45796</fb>
    <v>0</v>
  </rv>
  <rv s="0">
    <fb>106.47</fb>
    <v>1</v>
  </rv>
  <rv s="0">
    <fb>16802719</fb>
    <v>2</v>
  </rv>
  <rv s="0">
    <fb>45797</fb>
    <v>0</v>
  </rv>
  <rv s="0">
    <fb>104.95</fb>
    <v>1</v>
  </rv>
  <rv s="0">
    <fb>12429321</fb>
    <v>2</v>
  </rv>
  <rv s="0">
    <fb>45798</fb>
    <v>0</v>
  </rv>
  <rv s="0">
    <fb>103.66</fb>
    <v>1</v>
  </rv>
  <rv s="0">
    <fb>16716079</fb>
    <v>2</v>
  </rv>
  <rv s="0">
    <fb>45799</fb>
    <v>0</v>
  </rv>
  <rv s="0">
    <fb>102.97</fb>
    <v>1</v>
  </rv>
  <rv s="0">
    <fb>13417378</fb>
    <v>2</v>
  </rv>
  <rv s="0">
    <fb>45800</fb>
    <v>0</v>
  </rv>
  <rv s="0">
    <fb>103.03</fb>
    <v>1</v>
  </rv>
  <rv s="0">
    <fb>12061606</fb>
    <v>2</v>
  </rv>
  <rv s="0">
    <fb>45804</fb>
    <v>0</v>
  </rv>
  <rv s="0">
    <fb>103.52</fb>
    <v>1</v>
  </rv>
  <rv s="0">
    <fb>13043604</fb>
    <v>2</v>
  </rv>
  <rv s="0">
    <fb>45805</fb>
    <v>0</v>
  </rv>
  <rv s="0">
    <fb>102.11</fb>
    <v>1</v>
  </rv>
  <rv s="0">
    <fb>14292377</fb>
    <v>2</v>
  </rv>
  <rv s="0">
    <fb>45806</fb>
    <v>0</v>
  </rv>
  <rv s="0">
    <fb>102.69</fb>
    <v>1</v>
  </rv>
  <rv s="0">
    <fb>13832487</fb>
    <v>2</v>
  </rv>
  <rv s="0">
    <fb>45807</fb>
    <v>0</v>
  </rv>
  <rv s="0">
    <fb>102.3</fb>
    <v>1</v>
  </rv>
  <rv s="0">
    <fb>28645787</fb>
    <v>2</v>
  </rv>
  <rv s="0">
    <fb>45810</fb>
    <v>0</v>
  </rv>
  <rv s="0">
    <fb>103.05</fb>
    <v>1</v>
  </rv>
  <rv s="0">
    <fb>17290462</fb>
    <v>2</v>
  </rv>
  <rv s="0">
    <fb>45811</fb>
    <v>0</v>
  </rv>
  <rv s="0">
    <fb>103.8</fb>
    <v>1</v>
  </rv>
  <rv s="0">
    <fb>19194335</fb>
    <v>2</v>
  </rv>
  <rv s="0">
    <fb>45812</fb>
    <v>0</v>
  </rv>
  <rv s="0">
    <fb>15648515</fb>
    <v>2</v>
  </rv>
  <rv s="0">
    <fb>45813</fb>
    <v>0</v>
  </rv>
  <rv s="0">
    <fb>101.83</fb>
    <v>1</v>
  </rv>
  <rv s="0">
    <fb>13942218</fb>
    <v>2</v>
  </rv>
  <rv s="0">
    <fb>45814</fb>
    <v>0</v>
  </rv>
  <rv s="0">
    <fb>104.27</fb>
    <v>1</v>
  </rv>
  <rv s="0">
    <fb>15487844</fb>
    <v>2</v>
  </rv>
  <rv s="0">
    <fb>45817</fb>
    <v>0</v>
  </rv>
  <rv s="0">
    <fb>104.97</fb>
    <v>1</v>
  </rv>
  <rv s="0">
    <fb>17087328</fb>
    <v>2</v>
  </rv>
  <rv s="0">
    <fb>45818</fb>
    <v>0</v>
  </rv>
  <rv s="0">
    <fb>107.22</fb>
    <v>1</v>
  </rv>
  <rv s="0">
    <fb>17634793</fb>
    <v>2</v>
  </rv>
  <rv s="0">
    <fb>45819</fb>
    <v>0</v>
  </rv>
  <rv s="0">
    <fb>109.31</fb>
    <v>1</v>
  </rv>
  <rv s="0">
    <fb>22648191</fb>
    <v>2</v>
  </rv>
  <rv s="0">
    <fb>45820</fb>
    <v>0</v>
  </rv>
  <rv s="0">
    <fb>17469408</fb>
    <v>2</v>
  </rv>
  <rv s="0">
    <fb>45821</fb>
    <v>0</v>
  </rv>
  <rv s="0">
    <fb>112.12</fb>
    <v>1</v>
  </rv>
  <rv s="0">
    <fb>28540165</fb>
    <v>2</v>
  </rv>
  <rv s="0">
    <fb>45824</fb>
    <v>0</v>
  </rv>
  <rv s="0">
    <fb>112.48</fb>
    <v>1</v>
  </rv>
  <rv s="0">
    <fb>22986113</fb>
    <v>2</v>
  </rv>
  <rv s="0">
    <fb>45825</fb>
    <v>0</v>
  </rv>
  <rv s="0">
    <fb>114</fb>
    <v>1</v>
  </rv>
  <rv s="0">
    <fb>19451701</fb>
    <v>2</v>
  </rv>
  <rv s="0">
    <fb>45826</fb>
    <v>0</v>
  </rv>
  <rv s="0">
    <fb>113.19</fb>
    <v>1</v>
  </rv>
  <rv s="0">
    <fb>17968893</fb>
    <v>2</v>
  </rv>
  <rv s="0">
    <fb>45828</fb>
    <v>0</v>
  </rv>
  <rv s="0">
    <fb>114.7</fb>
    <v>1</v>
  </rv>
  <rv s="0">
    <fb>36273288</fb>
    <v>2</v>
  </rv>
  <rv s="0">
    <fb>45831</fb>
    <v>0</v>
  </rv>
  <rv s="0">
    <fb>111.74</fb>
    <v>1</v>
  </rv>
  <rv s="0">
    <fb>26631056</fb>
    <v>2</v>
  </rv>
  <rv s="0">
    <fb>45832</fb>
    <v>0</v>
  </rv>
  <rv s="0">
    <fb>108.34</fb>
    <v>1</v>
  </rv>
  <rv s="0">
    <fb>24828277</fb>
    <v>2</v>
  </rv>
  <rv s="0">
    <fb>45833</fb>
    <v>0</v>
  </rv>
  <rv s="0">
    <fb>108.37</fb>
    <v>1</v>
  </rv>
  <rv s="0">
    <fb>17483231</fb>
    <v>2</v>
  </rv>
  <rv s="0">
    <fb>45834</fb>
    <v>0</v>
  </rv>
  <rv s="0">
    <fb>109.99</fb>
    <v>1</v>
  </rv>
  <rv s="0">
    <fb>18304841</fb>
    <v>2</v>
  </rv>
  <rv s="0">
    <fb>45835</fb>
    <v>0</v>
  </rv>
  <rv s="0">
    <fb>109.38</fb>
    <v>1</v>
  </rv>
  <rv s="0">
    <fb>22002079</fb>
    <v>2</v>
  </rv>
  <rv s="0">
    <fb>45838</fb>
    <v>0</v>
  </rv>
  <rv s="0">
    <fb>107.8</fb>
    <v>1</v>
  </rv>
  <rv s="0">
    <fb>19199048</fb>
    <v>2</v>
  </rv>
  <rv s="0">
    <fb>45839</fb>
    <v>0</v>
  </rv>
  <rv s="0">
    <fb>109.24</fb>
    <v>1</v>
  </rv>
  <rv s="0">
    <fb>15536896</fb>
    <v>2</v>
  </rv>
  <rv s="0">
    <fb>45840</fb>
    <v>0</v>
  </rv>
  <rv s="0">
    <fb>111.05</fb>
    <v>1</v>
  </rv>
  <rv s="0">
    <fb>11892160</fb>
    <v>2</v>
  </rv>
  <rv s="0">
    <fb>45841</fb>
    <v>0</v>
  </rv>
  <rv s="0">
    <fb>112.2</fb>
    <v>1</v>
  </rv>
  <rv s="0">
    <fb>11223580</fb>
    <v>2</v>
  </rv>
  <rv s="0">
    <fb>45845</fb>
    <v>0</v>
  </rv>
  <rv s="0">
    <fb>111.11</fb>
    <v>1</v>
  </rv>
  <rv s="0">
    <fb>15415889</fb>
    <v>2</v>
  </rv>
  <rv s="0">
    <fb>45846</fb>
    <v>0</v>
  </rv>
  <rv s="0">
    <fb>114.19</fb>
    <v>1</v>
  </rv>
  <rv s="0">
    <fb>17913404</fb>
    <v>2</v>
  </rv>
  <rv s="0">
    <fb>45847</fb>
    <v>0</v>
  </rv>
  <rv s="0">
    <fb>113.8</fb>
    <v>1</v>
  </rv>
  <rv s="0">
    <fb>10652062</fb>
    <v>2</v>
  </rv>
  <rv s="0">
    <fb>45848</fb>
    <v>0</v>
  </rv>
  <rv s="0">
    <fb>114.93</fb>
    <v>1</v>
  </rv>
  <rv s="0">
    <fb>14903884</fb>
    <v>2</v>
  </rv>
  <rv s="0">
    <fb>45849</fb>
    <v>0</v>
  </rv>
  <rv s="0">
    <fb>115.43</fb>
    <v>1</v>
  </rv>
  <rv s="0">
    <fb>11683884</fb>
    <v>2</v>
  </rv>
  <rv s="0">
    <fb>45852</fb>
    <v>0</v>
  </rv>
  <rv s="0">
    <fb>113.92</fb>
    <v>1</v>
  </rv>
  <rv s="0">
    <fb>13220303</fb>
    <v>2</v>
  </rv>
  <rv s="0">
    <fb>45853</fb>
    <v>0</v>
  </rv>
  <rv s="0">
    <fb>112.91</fb>
    <v>1</v>
  </rv>
  <rv s="0">
    <fb>10959347</fb>
    <v>2</v>
  </rv>
  <rv s="0">
    <fb>45854</fb>
    <v>0</v>
  </rv>
  <rv s="0">
    <fb>112.23</fb>
    <v>1</v>
  </rv>
  <rv s="0">
    <fb>11158852</fb>
    <v>2</v>
  </rv>
  <rv s="0">
    <fb>45855</fb>
    <v>0</v>
  </rv>
  <rv s="0">
    <fb>111.66</fb>
    <v>1</v>
  </rv>
  <rv s="0">
    <fb>13151446</fb>
    <v>2</v>
  </rv>
  <rv s="0">
    <fb>45856</fb>
    <v>0</v>
  </rv>
  <rv s="0">
    <fb>107.77</fb>
    <v>1</v>
  </rv>
  <rv s="0">
    <fb>32366594</fb>
    <v>2</v>
  </rv>
  <rv s="0">
    <fb>45859</fb>
    <v>0</v>
  </rv>
  <rv s="0">
    <fb>108.05</fb>
    <v>1</v>
  </rv>
  <rv s="0">
    <fb>17010405</fb>
    <v>2</v>
  </rv>
  <rv s="0">
    <fb>45860</fb>
    <v>0</v>
  </rv>
  <rv s="0">
    <fb>108.54</fb>
    <v>1</v>
  </rv>
  <rv s="0">
    <fb>13970885</fb>
    <v>2</v>
  </rv>
  <rv s="0">
    <fb>45861</fb>
    <v>0</v>
  </rv>
  <rv s="0">
    <fb>109.93</fb>
    <v>1</v>
  </rv>
  <rv s="0">
    <fb>12002687</fb>
    <v>2</v>
  </rv>
  <rv s="0">
    <fb>45862</fb>
    <v>0</v>
  </rv>
  <rv s="0">
    <fb>110.79</fb>
    <v>1</v>
  </rv>
  <rv s="0">
    <fb>15647208</fb>
    <v>2</v>
  </rv>
  <rv s="0">
    <fb>45863</fb>
    <v>0</v>
  </rv>
  <rv s="0">
    <fb>110.4</fb>
    <v>1</v>
  </rv>
  <rv s="0">
    <fb>10548938</fb>
    <v>2</v>
  </rv>
  <rv s="0">
    <fb>45866</fb>
    <v>0</v>
  </rv>
  <rv s="0">
    <fb>111.44</fb>
    <v>1</v>
  </rv>
  <rv s="0">
    <fb>12352966</fb>
    <v>2</v>
  </rv>
  <rv s="0">
    <fb>45867</fb>
    <v>0</v>
  </rv>
  <rv s="0">
    <fb>112.88</fb>
    <v>1</v>
  </rv>
  <rv s="0">
    <fb>15927998</fb>
    <v>2</v>
  </rv>
  <rv s="0">
    <fb>45868</fb>
    <v>0</v>
  </rv>
  <rv s="0">
    <fb>12996905</fb>
    <v>2</v>
  </rv>
  <rv s="0">
    <fb>45869</fb>
    <v>0</v>
  </rv>
  <rv s="0">
    <fb>111.64</fb>
    <v>1</v>
  </rv>
  <rv s="0">
    <fb>17233744</fb>
    <v>2</v>
  </rv>
  <rv s="0">
    <fb>45870</fb>
    <v>0</v>
  </rv>
  <rv s="0">
    <fb>109.64</fb>
    <v>1</v>
  </rv>
  <rv s="0">
    <fb>19652030</fb>
    <v>2</v>
  </rv>
  <rv s="0">
    <fb>45873</fb>
    <v>0</v>
  </rv>
  <rv s="0">
    <fb>19129474</fb>
    <v>2</v>
  </rv>
  <rv s="0">
    <fb>45874</fb>
    <v>0</v>
  </rv>
  <rv s="0">
    <fb>107.24</fb>
    <v>1</v>
  </rv>
  <rv s="0">
    <fb>21314254</fb>
    <v>2</v>
  </rv>
  <rv s="0">
    <fb>45875</fb>
    <v>0</v>
  </rv>
  <rv s="0">
    <fb>106.51</fb>
    <v>1</v>
  </rv>
  <rv s="0">
    <fb>15321811</fb>
    <v>2</v>
  </rv>
  <rv s="0">
    <fb>45876</fb>
    <v>0</v>
  </rv>
  <rv s="0">
    <fb>105.95</fb>
    <v>1</v>
  </rv>
  <rv s="0">
    <fb>13468287</fb>
    <v>2</v>
  </rv>
  <rv s="0">
    <fb>45877</fb>
    <v>0</v>
  </rv>
  <rv s="0">
    <fb>106.8</fb>
    <v>1</v>
  </rv>
  <rv s="0">
    <fb>14417734</fb>
    <v>2</v>
  </rv>
  <rv s="0">
    <fb>45880</fb>
    <v>0</v>
  </rv>
  <rv s="0">
    <fb>105.83</fb>
    <v>1</v>
  </rv>
  <rv s="0">
    <fb>13570661</fb>
    <v>2</v>
  </rv>
  <rv s="0">
    <fb>45881</fb>
    <v>0</v>
  </rv>
  <rv s="0">
    <fb>106.13</fb>
    <v>1</v>
  </rv>
  <rv s="0">
    <fb>14113216</fb>
    <v>2</v>
  </rv>
  <rv s="0">
    <fb>45882</fb>
    <v>0</v>
  </rv>
  <rv s="0">
    <fb>107.6</fb>
    <v>1</v>
  </rv>
  <rv s="0">
    <fb>17958695</fb>
    <v>2</v>
  </rv>
  <rv s="0">
    <fb>45883</fb>
    <v>0</v>
  </rv>
  <rv s="0">
    <fb>107.38</fb>
    <v>1</v>
  </rv>
  <rv s="0">
    <fb>13683472</fb>
    <v>2</v>
  </rv>
  <rv s="0">
    <fb>45884</fb>
    <v>0</v>
  </rv>
  <rv s="0">
    <fb>106.49</fb>
    <v>1</v>
  </rv>
  <rv s="0">
    <fb>19271861</fb>
    <v>2</v>
  </rv>
  <rv s="0">
    <fb>45887</fb>
    <v>0</v>
  </rv>
  <rv s="0">
    <fb>106.72</fb>
    <v>1</v>
  </rv>
  <rv s="0">
    <fb>13040018</fb>
    <v>2</v>
  </rv>
  <rv s="0">
    <fb>45888</fb>
    <v>0</v>
  </rv>
  <rv s="0">
    <fb>107.42</fb>
    <v>1</v>
  </rv>
  <rv s="0">
    <fb>16113611</fb>
    <v>2</v>
  </rv>
  <rv s="0">
    <fb>45889</fb>
    <v>0</v>
  </rv>
  <rv s="0">
    <fb>108.53</fb>
    <v>1</v>
  </rv>
  <rv s="0">
    <fb>18959716</fb>
    <v>2</v>
  </rv>
  <rv s="0">
    <fb>45890</fb>
    <v>0</v>
  </rv>
  <rv s="0">
    <fb>109.23</fb>
    <v>1</v>
  </rv>
  <rv s="0">
    <fb>12194897</fb>
    <v>2</v>
  </rv>
  <rv s="0">
    <fb>45891</fb>
    <v>0</v>
  </rv>
  <rv s="0">
    <fb>111.28</fb>
    <v>1</v>
  </rv>
  <rv s="0">
    <fb>13586668</fb>
    <v>2</v>
  </rv>
  <rv s="0">
    <fb>45894</fb>
    <v>0</v>
  </rv>
  <rv s="0">
    <fb>9744897</fb>
    <v>2</v>
  </rv>
  <rv s="0">
    <fb>45895</fb>
    <v>0</v>
  </rv>
  <rv s="0">
    <fb>111.49</fb>
    <v>1</v>
  </rv>
  <rv s="0">
    <fb>18143880</fb>
    <v>2</v>
  </rv>
  <rv s="0">
    <fb>45896</fb>
    <v>0</v>
  </rv>
  <rv s="0">
    <fb>112.75</fb>
    <v>1</v>
  </rv>
  <rv s="0">
    <fb>15262630</fb>
    <v>2</v>
  </rv>
  <rv s="0">
    <fb>45897</fb>
    <v>0</v>
  </rv>
  <rv s="0">
    <fb>113.35</fb>
    <v>1</v>
  </rv>
  <rv s="0">
    <fb>14189829</fb>
    <v>2</v>
  </rv>
  <rv s="0">
    <fb>45898</fb>
    <v>0</v>
  </rv>
  <rv s="0">
    <fb>114.29</fb>
    <v>1</v>
  </rv>
  <rv s="0">
    <fb>14597872</fb>
    <v>2</v>
  </rv>
  <rv s="0">
    <fb>45902</fb>
    <v>0</v>
  </rv>
  <rv s="0">
    <fb>114.69</fb>
    <v>1</v>
  </rv>
  <rv s="0">
    <fb>15206667</fb>
    <v>2</v>
  </rv>
  <rv s="0">
    <fb>45903</fb>
    <v>0</v>
  </rv>
  <rv s="0">
    <fb>111.91</fb>
    <v>1</v>
  </rv>
  <rv s="0">
    <fb>14920087</fb>
    <v>2</v>
  </rv>
  <rv s="0">
    <fb>45904</fb>
    <v>0</v>
  </rv>
  <rv s="0">
    <fb>112.4</fb>
    <v>1</v>
  </rv>
  <rv s="0">
    <fb>12864438</fb>
    <v>2</v>
  </rv>
  <rv s="0">
    <fb>45905</fb>
    <v>0</v>
  </rv>
  <rv s="0">
    <fb>16826692</fb>
    <v>2</v>
  </rv>
  <rv s="0">
    <fb>45908</fb>
    <v>0</v>
  </rv>
  <rv s="0">
    <fb>109.85</fb>
    <v>1</v>
  </rv>
  <rv s="0">
    <fb>15440513</fb>
    <v>2</v>
  </rv>
  <rv s="0">
    <fb>45909</fb>
    <v>0</v>
  </rv>
  <rv s="0">
    <fb>110.65</fb>
    <v>1</v>
  </rv>
  <rv s="0">
    <fb>14899502</fb>
    <v>2</v>
  </rv>
  <rv s="0">
    <fb>45910</fb>
    <v>0</v>
  </rv>
  <rv s="0">
    <fb>112.5</fb>
    <v>1</v>
  </rv>
  <rv s="0">
    <fb>15837583</fb>
    <v>2</v>
  </rv>
  <rv s="0">
    <fb>45911</fb>
    <v>0</v>
  </rv>
  <rv s="0">
    <fb>112.14</fb>
    <v>1</v>
  </rv>
  <rv s="0">
    <fb>11534502</fb>
    <v>2</v>
  </rv>
  <rv s="0">
    <fb>45912</fb>
    <v>0</v>
  </rv>
  <rv s="0">
    <fb>112.16</fb>
    <v>1</v>
  </rv>
  <rv s="0">
    <fb>11105690</fb>
    <v>2</v>
  </rv>
  <rv s="0">
    <fb>45915</fb>
    <v>0</v>
  </rv>
  <rv s="0">
    <fb>112.35</fb>
    <v>1</v>
  </rv>
  <rv s="0">
    <fb>12880487</fb>
    <v>2</v>
  </rv>
  <rv s="0">
    <fb>45916</fb>
    <v>0</v>
  </rv>
  <rv s="0">
    <fb>114.68</fb>
    <v>1</v>
  </rv>
  <rv s="0">
    <fb>17208044</fb>
    <v>2</v>
  </rv>
  <rv s="0">
    <fb>45917</fb>
    <v>0</v>
  </rv>
  <rv s="0">
    <fb>115.29</fb>
    <v>1</v>
  </rv>
  <rv s="0">
    <fb>13302030</fb>
    <v>2</v>
  </rv>
  <rv s="0">
    <fb>45918</fb>
    <v>0</v>
  </rv>
  <rv s="0">
    <fb>113.93</fb>
    <v>1</v>
  </rv>
  <rv s="0">
    <fb>14628726</fb>
    <v>2</v>
  </rv>
  <rv s="0">
    <fb>45919</fb>
    <v>0</v>
  </rv>
  <rv s="0">
    <fb>112.82</fb>
    <v>1</v>
  </rv>
  <rv s="0">
    <fb>38746517</fb>
    <v>2</v>
  </rv>
  <rv s="0">
    <fb>45922</fb>
    <v>0</v>
  </rv>
  <rv s="0">
    <fb>112.02</fb>
    <v>1</v>
  </rv>
  <rv s="0">
    <fb>15611495</fb>
    <v>2</v>
  </rv>
  <rv s="0">
    <fb>45923</fb>
    <v>0</v>
  </rv>
  <rv s="0">
    <fb>113.95</fb>
    <v>1</v>
  </rv>
  <rv s="0">
    <fb>25369106</fb>
    <v>2</v>
  </rv>
  <rv s="0">
    <fb>45924</fb>
    <v>0</v>
  </rv>
  <rv s="0">
    <fb>114.56</fb>
    <v>1</v>
  </rv>
  <rv s="0">
    <fb>14756050</fb>
    <v>2</v>
  </rv>
  <rv s="0">
    <fb>45925</fb>
    <v>0</v>
  </rv>
  <rv s="0">
    <fb>115.59</fb>
    <v>1</v>
  </rv>
  <rv s="0">
    <fb>15012553</fb>
    <v>2</v>
  </rv>
  <rv s="0">
    <fb>45926</fb>
    <v>0</v>
  </rv>
  <rv s="0">
    <fb>117.22</fb>
    <v>1</v>
  </rv>
  <rv s="0">
    <fb>18568916</fb>
    <v>2</v>
  </rv>
  <rv s="0">
    <fb>45929</fb>
    <v>0</v>
  </rv>
  <rv s="0">
    <fb>114.22</fb>
    <v>1</v>
  </rv>
  <rv s="0">
    <fb>19189260</fb>
    <v>2</v>
  </rv>
  <rv s="0">
    <fb>45930</fb>
    <v>0</v>
  </rv>
  <rv s="0">
    <fb>18076211</fb>
    <v>2</v>
  </rv>
  <rv s="0">
    <fb>45931</fb>
    <v>0</v>
  </rv>
  <rv s="0">
    <fb>111.99</fb>
    <v>1</v>
  </rv>
  <rv s="0">
    <fb>16613992</fb>
    <v>2</v>
  </rv>
  <rv s="0">
    <fb>45932</fb>
    <v>0</v>
  </rv>
  <rv s="0">
    <fb>111.29</fb>
    <v>1</v>
  </rv>
  <rv s="0">
    <fb>13062563</fb>
    <v>2</v>
  </rv>
  <rv s="0">
    <fb>45933</fb>
    <v>0</v>
  </rv>
  <rv s="0">
    <fb>113.26</fb>
    <v>1</v>
  </rv>
  <rv s="0">
    <fb>12950118</fb>
    <v>2</v>
  </rv>
  <rv s="0">
    <fb>45936</fb>
    <v>0</v>
  </rv>
  <rv s="0">
    <fb>114.2</fb>
    <v>1</v>
  </rv>
  <rv s="0">
    <fb>12036830</fb>
    <v>2</v>
  </rv>
  <rv s="0">
    <fb>45937</fb>
    <v>0</v>
  </rv>
  <rv s="0">
    <fb>114.26</fb>
    <v>1</v>
  </rv>
  <rv s="0">
    <fb>11945032</fb>
    <v>2</v>
  </rv>
  <rv s="0">
    <fb>45938</fb>
    <v>0</v>
  </rv>
  <rv s="0">
    <fb>114.02</fb>
    <v>1</v>
  </rv>
  <rv s="0">
    <fb>12300968</fb>
    <v>2</v>
  </rv>
  <rv s="0">
    <fb>45939</fb>
    <v>0</v>
  </rv>
  <rv s="0">
    <fb>10976215</fb>
    <v>2</v>
  </rv>
  <rv s="0">
    <fb>45940</fb>
    <v>0</v>
  </rv>
  <rv s="0">
    <fb>110.73</fb>
    <v>1</v>
  </rv>
  <rv s="0">
    <fb>13811577</fb>
    <v>2</v>
  </rv>
  <rv s="0">
    <fb>45943</fb>
    <v>0</v>
  </rv>
  <rv s="0">
    <fb>112.24</fb>
    <v>1</v>
  </rv>
  <rv s="0">
    <fb>10296499</fb>
    <v>2</v>
  </rv>
  <rv s="0">
    <fb>45944</fb>
    <v>0</v>
  </rv>
  <rv s="0">
    <fb>112.29</fb>
    <v>1</v>
  </rv>
  <rv s="0">
    <fb>11167154</fb>
    <v>2</v>
  </rv>
  <rv s="0">
    <fb>45945</fb>
    <v>0</v>
  </rv>
  <rv s="0">
    <fb>111.61</fb>
    <v>1</v>
  </rv>
  <rv s="0">
    <fb>12182935</fb>
    <v>2</v>
  </rv>
  <rv s="0">
    <fb>45946</fb>
    <v>0</v>
  </rv>
  <rv s="0">
    <fb>110.64</fb>
    <v>1</v>
  </rv>
  <rv s="0">
    <fb>11782202</fb>
    <v>2</v>
  </rv>
  <rv s="0">
    <fb>45947</fb>
    <v>0</v>
  </rv>
  <rv s="0">
    <fb>13460069</fb>
    <v>2</v>
  </rv>
  <rv s="0">
    <fb>45950</fb>
    <v>0</v>
  </rv>
  <rv s="0">
    <fb>112.7</fb>
    <v>1</v>
  </rv>
  <rv s="0">
    <fb>9523617</fb>
    <v>2</v>
  </rv>
  <rv s="0">
    <fb>45951</fb>
    <v>0</v>
  </rv>
  <rv s="0">
    <fb>112.71</fb>
    <v>1</v>
  </rv>
  <rv s="0">
    <fb>9202349</fb>
    <v>2</v>
  </rv>
  <rv s="0">
    <fb>45952</fb>
    <v>0</v>
  </rv>
  <rv s="0">
    <fb>114.71</fb>
    <v>1</v>
  </rv>
  <rv s="0">
    <fb>12938790</fb>
    <v>2</v>
  </rv>
  <rv s="0">
    <fb>45953</fb>
    <v>0</v>
  </rv>
  <rv s="0">
    <fb>115.98</fb>
    <v>1</v>
  </rv>
  <rv s="0">
    <fb>15001088</fb>
    <v>2</v>
  </rv>
  <rv s="0">
    <fb>45954</fb>
    <v>0</v>
  </rv>
  <rv s="0">
    <fb>115.39</fb>
    <v>1</v>
  </rv>
  <rv s="0">
    <fb>9919409</fb>
    <v>2</v>
  </rv>
  <rv s="0">
    <fb>45957</fb>
    <v>0</v>
  </rv>
  <rv s="0">
    <fb>115.94</fb>
    <v>1</v>
  </rv>
  <rv s="0">
    <fb>10975412</fb>
    <v>2</v>
  </rv>
  <rv s="0">
    <fb>45958</fb>
    <v>0</v>
  </rv>
  <rv s="0">
    <fb>115.03</fb>
    <v>1</v>
  </rv>
  <rv s="0">
    <fb>9535211</fb>
    <v>2</v>
  </rv>
  <rv s="0">
    <fb>45959</fb>
    <v>0</v>
  </rv>
  <rv s="0">
    <fb>116.45</fb>
    <v>1</v>
  </rv>
  <rv s="0">
    <fb>12570572</fb>
    <v>2</v>
  </rv>
  <rv s="0">
    <fb>45960</fb>
    <v>0</v>
  </rv>
  <rv s="0">
    <fb>16172943</fb>
    <v>2</v>
  </rv>
  <rv s="0">
    <fb>45961</fb>
    <v>0</v>
  </rv>
  <rv s="0">
    <fb>114.36</fb>
    <v>1</v>
  </rv>
  <rv s="0">
    <fb>20213352</fb>
    <v>2</v>
  </rv>
  <rv s="0">
    <fb>45964</fb>
    <v>0</v>
  </rv>
  <rv s="0">
    <fb>12290304</fb>
    <v>2</v>
  </rv>
  <rv s="0">
    <fb>45965</fb>
    <v>0</v>
  </rv>
  <rv s="0">
    <fb>114.14</fb>
    <v>1</v>
  </rv>
  <rv s="0">
    <fb>16860741</fb>
    <v>2</v>
  </rv>
  <rv s="0">
    <fb>45966</fb>
    <v>0</v>
  </rv>
  <rv s="0">
    <fb>113.68</fb>
    <v>1</v>
  </rv>
  <rv s="0">
    <fb>12400921</fb>
    <v>2</v>
  </rv>
  <rv s="0">
    <fb>45967</fb>
    <v>0</v>
  </rv>
  <rv s="0">
    <fb>114.5</fb>
    <v>1</v>
  </rv>
  <rv s="0">
    <fb>14219654</fb>
    <v>2</v>
  </rv>
  <rv s="0">
    <fb>45968</fb>
    <v>0</v>
  </rv>
  <rv s="0">
    <fb>17181149</fb>
    <v>2</v>
  </rv>
  <rv s="0">
    <fb>45971</fb>
    <v>0</v>
  </rv>
  <rv s="0">
    <fb>118.22</fb>
    <v>1</v>
  </rv>
  <rv s="0">
    <fb>13047958</fb>
    <v>2</v>
  </rv>
  <rv s="0">
    <fb>45972</fb>
    <v>0</v>
  </rv>
  <rv s="0">
    <fb>119.78</fb>
    <v>1</v>
  </rv>
  <rv s="0">
    <fb>16077101</fb>
    <v>2</v>
  </rv>
  <rv s="0">
    <fb>45973</fb>
    <v>0</v>
  </rv>
  <rv s="0">
    <fb>118.12</fb>
    <v>1</v>
  </rv>
  <rv s="0">
    <fb>13790889</fb>
    <v>2</v>
  </rv>
  <rv s="0">
    <fb>45974</fb>
    <v>0</v>
  </rv>
  <rv s="0">
    <fb>118.79</fb>
    <v>1</v>
  </rv>
  <rv s="0">
    <fb>17291874</fb>
    <v>2</v>
  </rv>
  <rv s="0">
    <fb>45975</fb>
    <v>0</v>
  </rv>
  <rv s="0">
    <fb>119.29</fb>
    <v>1</v>
  </rv>
  <rv s="0">
    <fb>17064267</fb>
    <v>2</v>
  </rv>
  <rv s="0">
    <fb>45978</fb>
    <v>0</v>
  </rv>
  <rv s="0">
    <fb>117.68</fb>
    <v>1</v>
  </rv>
  <rv s="0">
    <fb>16034860</fb>
    <v>2</v>
  </rv>
  <rv s="0">
    <fb>45979</fb>
    <v>0</v>
  </rv>
  <rv s="0">
    <fb>119.03</fb>
    <v>1</v>
  </rv>
  <rv s="0">
    <fb>15808518</fb>
    <v>2</v>
  </rv>
  <rv s="0">
    <fb>45980</fb>
    <v>0</v>
  </rv>
  <rv s="0">
    <fb>117.35</fb>
    <v>1</v>
  </rv>
  <rv s="0">
    <fb>15919239</fb>
    <v>2</v>
  </rv>
  <rv s="0">
    <fb>45981</fb>
    <v>0</v>
  </rv>
  <rv s="0">
    <fb>117.02</fb>
    <v>1</v>
  </rv>
  <rv s="0">
    <fb>14401011</fb>
    <v>2</v>
  </rv>
  <rv s="0">
    <fb>45982</fb>
    <v>0</v>
  </rv>
  <rv s="0">
    <fb>117.08</fb>
    <v>1</v>
  </rv>
  <rv s="0">
    <fb>15667596</fb>
    <v>2</v>
  </rv>
  <rv s="0">
    <fb>45985</fb>
    <v>0</v>
  </rv>
  <rv s="0">
    <fb>115.97</fb>
    <v>1</v>
  </rv>
  <rv s="0">
    <fb>18034923</fb>
    <v>2</v>
  </rv>
  <rv s="0">
    <fb>45986</fb>
    <v>0</v>
  </rv>
  <rv s="0">
    <fb>114.51</fb>
    <v>1</v>
  </rv>
  <rv s="0">
    <fb>14434558</fb>
    <v>2</v>
  </rv>
  <rv s="0">
    <fb>45987</fb>
    <v>0</v>
  </rv>
  <rv s="0">
    <fb>114.77</fb>
    <v>1</v>
  </rv>
  <rv s="0">
    <fb>11650597</fb>
    <v>2</v>
  </rv>
  <rv s="0">
    <fb>45989</fb>
    <v>0</v>
  </rv>
  <rv s="0">
    <fb>115.92</fb>
    <v>1</v>
  </rv>
  <rv s="0">
    <fb>7240825</fb>
    <v>2</v>
  </rv>
  <rv s="0">
    <fb>45992</fb>
    <v>0</v>
  </rv>
  <rv s="0">
    <fb>116.63</fb>
    <v>1</v>
  </rv>
  <rv s="0">
    <fb>12658100</fb>
    <v>2</v>
  </rv>
  <rv s="0">
    <fb>45993</fb>
    <v>0</v>
  </rv>
  <rv s="0">
    <fb>115.38</fb>
    <v>1</v>
  </rv>
  <rv s="0">
    <fb>14607704</fb>
    <v>2</v>
  </rv>
  <rv s="0">
    <fb>45994</fb>
    <v>0</v>
  </rv>
  <rv s="0">
    <fb>117.8</fb>
    <v>1</v>
  </rv>
  <rv s="0">
    <fb>16819130</fb>
    <v>2</v>
  </rv>
  <rv s="0">
    <fb>45995</fb>
    <v>0</v>
  </rv>
  <rv s="0">
    <fb>117.14</fb>
    <v>1</v>
  </rv>
  <rv s="0">
    <fb>13686897</fb>
    <v>2</v>
  </rv>
  <rv s="0">
    <fb>45996</fb>
    <v>0</v>
  </rv>
  <rv s="0">
    <fb>116.54</fb>
    <v>1</v>
  </rv>
  <rv s="0">
    <fb>12516864</fb>
    <v>2</v>
  </rv>
  <rv s="0">
    <fb>45999</fb>
    <v>0</v>
  </rv>
  <rv s="0">
    <fb>14904164</fb>
    <v>2</v>
  </rv>
  <rv s="0">
    <fb>46000</fb>
    <v>0</v>
  </rv>
  <rv s="0">
    <fb>118.25</fb>
    <v>1</v>
  </rv>
  <rv s="0">
    <fb>23790815</fb>
    <v>2</v>
  </rv>
  <rv s="0">
    <fb>46001</fb>
    <v>0</v>
  </rv>
  <rv s="0">
    <fb>119.54</fb>
    <v>1</v>
  </rv>
  <rv s="0">
    <fb>19845192</fb>
    <v>2</v>
  </rv>
  <rv s="0">
    <fb>46002</fb>
    <v>0</v>
  </rv>
  <rv s="0">
    <fb>14781787</fb>
    <v>2</v>
  </rv>
  <rv s="0">
    <fb>46003</fb>
    <v>0</v>
  </rv>
  <rv s="0">
    <fb>118.82</fb>
    <v>1</v>
  </rv>
  <rv s="0">
    <fb>14459538</fb>
    <v>2</v>
  </rv>
  <rv s="0">
    <fb>46006</fb>
    <v>0</v>
  </rv>
  <rv s="0">
    <fb>117.76</fb>
    <v>1</v>
  </rv>
  <rv s="0">
    <fb>16358669</fb>
    <v>2</v>
  </rv>
  <rv s="0">
    <fb>46007</fb>
    <v>0</v>
  </rv>
  <rv s="0">
    <fb>17638716</fb>
    <v>2</v>
  </rv>
  <rv s="0">
    <fb>46008</fb>
    <v>0</v>
  </rv>
  <rv s="0">
    <fb>117.41</fb>
    <v>1</v>
  </rv>
  <rv s="0">
    <fb>18502152</fb>
    <v>2</v>
  </rv>
  <rv s="0">
    <fb>46009</fb>
    <v>0</v>
  </rv>
  <rv s="0">
    <fb>13705560</fb>
    <v>2</v>
  </rv>
  <rv s="0">
    <fb>46010</fb>
    <v>0</v>
  </rv>
  <rv s="0">
    <fb>116.69</fb>
    <v>1</v>
  </rv>
  <rv s="0">
    <fb>45412814</fb>
    <v>2</v>
  </rv>
  <rv s="0">
    <fb>46013</fb>
    <v>0</v>
  </rv>
  <rv s="0">
    <fb>118.15</fb>
    <v>1</v>
  </rv>
  <rv s="0">
    <fb>11768611</fb>
    <v>2</v>
  </rv>
  <rv s="0">
    <fb>46014</fb>
    <v>0</v>
  </rv>
  <rv s="0">
    <fb>119.42</fb>
    <v>1</v>
  </rv>
  <rv s="0">
    <fb>12567630</fb>
    <v>2</v>
  </rv>
  <rv s="0">
    <fb>46015</fb>
    <v>0</v>
  </rv>
  <rv s="0">
    <fb>119.22</fb>
    <v>1</v>
  </rv>
  <rv s="0">
    <fb>6137406</fb>
    <v>2</v>
  </rv>
  <rv s="0">
    <fb>46017</fb>
    <v>0</v>
  </rv>
  <rv s="0">
    <fb>119.11</fb>
    <v>1</v>
  </rv>
  <rv s="0">
    <fb>8066129</fb>
    <v>2</v>
  </rv>
  <rv s="0">
    <fb>46020</fb>
    <v>0</v>
  </rv>
  <rv s="0">
    <fb>120.53</fb>
    <v>1</v>
  </rv>
  <rv s="0">
    <fb>14782512</fb>
    <v>2</v>
  </rv>
  <rv s="0">
    <fb>46021</fb>
    <v>0</v>
  </rv>
  <rv s="0">
    <fb>120.99</fb>
    <v>1</v>
  </rv>
  <rv s="0">
    <fb>11150486</fb>
    <v>2</v>
  </rv>
  <rv s="0">
    <fb>46022</fb>
    <v>0</v>
  </rv>
  <rv s="0">
    <fb>120.34</fb>
    <v>1</v>
  </rv>
  <rv s="0">
    <fb>10559866</fb>
    <v>2</v>
  </rv>
  <rv s="0">
    <fb>46024</fb>
    <v>0</v>
  </rv>
  <rv s="0">
    <fb>122.65</fb>
    <v>1</v>
  </rv>
  <rv s="0">
    <fb>14175055</fb>
    <v>2</v>
  </rv>
  <rv s="0">
    <fb>46027</fb>
    <v>0</v>
  </rv>
  <rv s="0">
    <fb>125.36</fb>
    <v>1</v>
  </rv>
  <rv s="0">
    <fb>30112238</fb>
    <v>2</v>
  </rv>
  <rv s="0">
    <fb>46028</fb>
    <v>0</v>
  </rv>
  <rv s="0">
    <fb>121.05</fb>
    <v>1</v>
  </rv>
  <rv s="0">
    <fb>23328636</fb>
    <v>2</v>
  </rv>
  <rv s="0">
    <fb>46029</fb>
    <v>0</v>
  </rv>
  <rv s="0">
    <fb>118.49</fb>
    <v>1</v>
  </rv>
  <rv s="0">
    <fb>20352950</fb>
    <v>2</v>
  </rv>
  <rv s="0">
    <fb>46030</fb>
    <v>0</v>
  </rv>
  <rv s="0">
    <fb>122.91</fb>
    <v>1</v>
  </rv>
  <rv s="0">
    <fb>20232721</fb>
    <v>2</v>
  </rv>
  <rv s="0">
    <fb>46031</fb>
    <v>0</v>
  </rv>
  <rv s="0">
    <fb>124.61</fb>
    <v>1</v>
  </rv>
  <rv s="0">
    <fb>16137674</fb>
    <v>2</v>
  </rv>
  <rv s="0">
    <fb>46034</fb>
    <v>0</v>
  </rv>
  <rv s="0">
    <fb>124.03</fb>
    <v>1</v>
  </rv>
  <rv s="0">
    <fb>15314895</fb>
    <v>2</v>
  </rv>
  <rv s="0">
    <fb>46035</fb>
    <v>0</v>
  </rv>
  <rv s="0">
    <fb>126.54</fb>
    <v>1</v>
  </rv>
  <rv s="0">
    <fb>21619727</fb>
    <v>2</v>
  </rv>
  <rv s="0">
    <fb>46036</fb>
    <v>0</v>
  </rv>
  <rv s="0">
    <fb>130.19999999999999</fb>
    <v>1</v>
  </rv>
  <rv s="0">
    <fb>27593938</fb>
    <v>2</v>
  </rv>
  <rv s="0">
    <fb>46037</fb>
    <v>0</v>
  </rv>
  <rv s="0">
    <fb>129.13</fb>
    <v>1</v>
  </rv>
  <rv s="0">
    <fb>17400039</fb>
    <v>2</v>
  </rv>
  <rv s="0">
    <fb>46038</fb>
    <v>0</v>
  </rv>
  <rv s="0">
    <fb>129.88999999999999</fb>
    <v>1</v>
  </rv>
  <rv s="0">
    <fb>16592354</fb>
    <v>2</v>
  </rv>
  <rv s="0">
    <fb>46042</fb>
    <v>0</v>
  </rv>
  <rv s="0">
    <fb>130.46</fb>
    <v>1</v>
  </rv>
  <rv s="0">
    <fb>16477282</fb>
    <v>2</v>
  </rv>
  <rv s="0">
    <fb>46043</fb>
    <v>0</v>
  </rv>
  <rv s="0">
    <fb>133.61000000000001</fb>
    <v>1</v>
  </rv>
  <rv s="0">
    <fb>18879887</fb>
    <v>2</v>
  </rv>
  <rv s="0">
    <fb>46044</fb>
    <v>0</v>
  </rv>
  <rv s="0">
    <fb>133.63999999999999</fb>
    <v>1</v>
  </rv>
  <rv s="0">
    <fb>16600126</fb>
    <v>2</v>
  </rv>
  <rv s="0">
    <fb>46045</fb>
    <v>0</v>
  </rv>
  <rv s="0">
    <fb>134.97</fb>
    <v>1</v>
  </rv>
  <rv s="0">
    <fb>17758214</fb>
    <v>2</v>
  </rv>
  <rv s="0">
    <fb>46048</fb>
    <v>0</v>
  </rv>
  <rv s="0">
    <fb>134.84</fb>
    <v>1</v>
  </rv>
  <rv s="0">
    <fb>16056066</fb>
    <v>2</v>
  </rv>
  <rv s="0">
    <fb>46049</fb>
    <v>0</v>
  </rv>
  <rv s="0">
    <fb>136.83000000000001</fb>
    <v>1</v>
  </rv>
  <rv s="0">
    <fb>14517025</fb>
    <v>2</v>
  </rv>
  <rv s="0">
    <fb>46050</fb>
    <v>0</v>
  </rv>
  <rv s="0">
    <fb>137.58000000000001</fb>
    <v>1</v>
  </rv>
  <rv s="0">
    <fb>15637279</fb>
    <v>2</v>
  </rv>
  <rv s="0">
    <fb>46051</fb>
    <v>0</v>
  </rv>
  <rv s="0">
    <fb>140.51</fb>
    <v>1</v>
  </rv>
  <rv s="0">
    <fb>35760620</fb>
    <v>2</v>
  </rv>
  <rv s="0">
    <fb>46052</fb>
    <v>0</v>
  </rv>
  <rv s="0">
    <fb>141.4</fb>
    <v>1</v>
  </rv>
  <rv s="0">
    <fb>29657667</fb>
    <v>2</v>
  </rv>
  <rv s="0">
    <fb>46055</fb>
    <v>0</v>
  </rv>
  <rv s="0">
    <fb>138.4</fb>
    <v>1</v>
  </rv>
  <rv s="0">
    <fb>27735570</fb>
    <v>2</v>
  </rv>
  <rv s="0">
    <fb>46056</fb>
    <v>0</v>
  </rv>
  <rv s="0">
    <fb>143.72999999999999</fb>
    <v>1</v>
  </rv>
  <rv s="0">
    <fb>37577844</fb>
    <v>2</v>
  </rv>
  <rv s="0">
    <fb>46057</fb>
    <v>0</v>
  </rv>
  <rv s="0">
    <fb>147.59</fb>
    <v>1</v>
  </rv>
  <rv s="0">
    <fb>29426241</fb>
    <v>2</v>
  </rv>
  <rv s="0">
    <fb>46058</fb>
    <v>0</v>
  </rv>
  <rv s="0">
    <fb>146.08000000000001</fb>
    <v>1</v>
  </rv>
  <rv s="0">
    <fb>18431739</fb>
    <v>2</v>
  </rv>
  <rv s="0">
    <fb>46059</fb>
    <v>0</v>
  </rv>
  <rv s="0">
    <fb>149.05000000000001</fb>
    <v>1</v>
  </rv>
  <rv s="0">
    <fb>17216025</fb>
    <v>2</v>
  </rv>
  <rv s="0">
    <fb>46062</fb>
    <v>0</v>
  </rv>
  <rv s="0">
    <fb>151.21</fb>
    <v>1</v>
  </rv>
  <rv s="0">
    <fb>21297302</fb>
    <v>2</v>
  </rv>
  <rv s="0">
    <fb>46063</fb>
    <v>0</v>
  </rv>
  <rv s="0">
    <fb>151.59</fb>
    <v>1</v>
  </rv>
  <rv s="0">
    <fb>15800255</fb>
    <v>2</v>
  </rv>
  <rv s="0">
    <fb>46064</fb>
    <v>0</v>
  </rv>
  <rv s="0">
    <fb>155.56</fb>
    <v>1</v>
  </rv>
  <rv s="0">
    <fb>23091488</fb>
    <v>2</v>
  </rv>
  <rv s="0">
    <fb>46065</fb>
    <v>0</v>
  </rv>
  <rv s="0">
    <fb>149.93</fb>
    <v>1</v>
  </rv>
  <rv s="0">
    <fb>30652471</fb>
    <v>2</v>
  </rv>
  <rv s="0">
    <fb>46066</fb>
    <v>0</v>
  </rv>
  <rv s="0">
    <fb>148.44999999999999</fb>
    <v>1</v>
  </rv>
  <rv s="0">
    <fb>20166031</fb>
    <v>2</v>
  </rv>
  <rv s="0">
    <fb>46070</fb>
    <v>0</v>
  </rv>
  <rv s="0">
    <fb>146.19</fb>
    <v>1</v>
  </rv>
  <rv s="0">
    <fb>19766567</fb>
    <v>2</v>
  </rv>
  <rv s="0">
    <fb>46071</fb>
    <v>0</v>
  </rv>
  <rv s="0">
    <fb>150.68</fb>
    <v>1</v>
  </rv>
  <rv s="0">
    <fb>19849670</fb>
    <v>2</v>
  </rv>
  <rv s="0">
    <fb>46072</fb>
    <v>0</v>
  </rv>
  <rv s="0">
    <fb>150.97</fb>
    <v>1</v>
  </rv>
  <rv s="0">
    <fb>20305026</fb>
    <v>2</v>
  </rv>
  <rv s="0">
    <fb>46073</fb>
    <v>0</v>
  </rv>
  <rv s="0">
    <fb>147.28</fb>
    <v>1</v>
  </rv>
  <rv s="0">
    <fb>25908581</fb>
    <v>2</v>
  </rv>
  <rv s="1">
    <v>3</v>
    <v>XOM</v>
    <v>Daily</v>
    <v>45709</v>
    <v>46074</v>
    <v>0</v>
    <v>1</v>
    <v>639071424000000000,639073171941997935,0</v>
    <v>0</v>
    <v>a269ec</v>
    <v>XNYS:XOM</v>
    <v>1</v>
    <v>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0">
      <v>2</v>
    </spb>
    <spb s="0">
      <v>3</v>
    </spb>
    <spb s="1">
      <v>1</v>
      <v>2</v>
      <v>3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19" formatCode="m/d/yyyy"/>
    </x:dxf>
    <x:dxf>
      <x:numFmt numFmtId="0" formatCode="General"/>
    </x:dxf>
    <x:dxf>
      <x:numFmt numFmtId="3" formatCode="#,##0"/>
    </x:dxf>
  </dxfs>
  <richProperties>
    <rPr n="NumberFormat" t="s"/>
  </richProperties>
  <richStyles>
    <rSty dxfid="0"/>
    <rSty dxfid="1">
      <rpv i="0">_([$$-en-US]* #,##0.00_);_([$$-en-US]* (#,##0.00);_([$$-en-US]* "-"??_);_(@_)</rpv>
    </rSty>
    <rSty dxfid="2">
      <rpv i="0">#,##0</rpv>
    </rSty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78B3AF-E8F2-444A-AD79-6E40BA2B0C92}" name="Forecast" displayName="Forecast" ref="A1:E61" tableType="queryTable" totalsRowShown="0">
  <autoFilter ref="A1:E61" xr:uid="{9078B3AF-E8F2-444A-AD79-6E40BA2B0C92}"/>
  <tableColumns count="5">
    <tableColumn id="1" xr3:uid="{69F12746-6125-4CCF-ACF5-4F0A66B11EA8}" uniqueName="1" name="Week" queryTableFieldId="1" dataDxfId="1"/>
    <tableColumn id="2" xr3:uid="{44E24D03-188D-454E-81EF-9D97F929B7DF}" uniqueName="2" name="Average" queryTableFieldId="2"/>
    <tableColumn id="3" xr3:uid="{E0403CA9-C396-4B54-A9F6-0BECC481F182}" uniqueName="3" name="XL Forecast" queryTableFieldId="3"/>
    <tableColumn id="4" xr3:uid="{12C030C7-26D2-4782-8BDC-1E010F40439B}" uniqueName="4" name="Calc Forecast" queryTableFieldId="4"/>
    <tableColumn id="5" xr3:uid="{24FDC086-E088-4879-ADE1-C92A559876D0}" uniqueName="5" name="GS Simple ML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1CFBAD-5532-4D99-8433-B68746A0EDF8}" name="Table1" displayName="Table1" ref="A1:B252" totalsRowShown="0">
  <autoFilter ref="A1:B252" xr:uid="{AD1CFBAD-5532-4D99-8433-B68746A0EDF8}"/>
  <tableColumns count="2">
    <tableColumn id="1" xr3:uid="{B870D016-12A9-4809-AC89-8F364881679A}" name="Week" dataDxfId="2"/>
    <tableColumn id="2" xr3:uid="{A54D65A1-7D79-4324-AD9C-FF4AFF829945}" name="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D0568-B321-401D-B457-33B556BF8509}">
  <dimension ref="A1"/>
  <sheetViews>
    <sheetView tabSelected="1" topLeftCell="A67" workbookViewId="0">
      <selection sqref="A1:XFD49"/>
    </sheetView>
  </sheetViews>
  <sheetFormatPr defaultRowHeight="15" x14ac:dyDescent="0.25"/>
  <cols>
    <col min="1" max="16384" width="9.140625" style="21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B0CA-D215-4909-9549-33E0F6F82D2C}">
  <dimension ref="A1:B9"/>
  <sheetViews>
    <sheetView workbookViewId="0">
      <selection activeCell="A3" sqref="A3:B3"/>
    </sheetView>
  </sheetViews>
  <sheetFormatPr defaultRowHeight="15" x14ac:dyDescent="0.25"/>
  <cols>
    <col min="1" max="1" width="15" bestFit="1" customWidth="1"/>
    <col min="2" max="2" width="14.5703125" bestFit="1" customWidth="1"/>
  </cols>
  <sheetData>
    <row r="1" spans="1:2" x14ac:dyDescent="0.25">
      <c r="A1" t="s">
        <v>24</v>
      </c>
      <c r="B1" t="s">
        <v>25</v>
      </c>
    </row>
    <row r="2" spans="1:2" x14ac:dyDescent="0.25">
      <c r="A2" s="12" t="s">
        <v>26</v>
      </c>
      <c r="B2" s="12" t="s">
        <v>27</v>
      </c>
    </row>
    <row r="3" spans="1:2" x14ac:dyDescent="0.25">
      <c r="A3" s="13" t="s">
        <v>1</v>
      </c>
      <c r="B3" s="13" t="s">
        <v>28</v>
      </c>
    </row>
    <row r="4" spans="1:2" x14ac:dyDescent="0.25">
      <c r="A4" s="14" t="s">
        <v>29</v>
      </c>
      <c r="B4" s="14" t="s">
        <v>30</v>
      </c>
    </row>
    <row r="5" spans="1:2" x14ac:dyDescent="0.25">
      <c r="A5" s="15" t="s">
        <v>15</v>
      </c>
      <c r="B5" s="15" t="s">
        <v>31</v>
      </c>
    </row>
    <row r="6" spans="1:2" x14ac:dyDescent="0.25">
      <c r="A6" s="9" t="s">
        <v>20</v>
      </c>
      <c r="B6" s="9" t="s">
        <v>32</v>
      </c>
    </row>
    <row r="7" spans="1:2" x14ac:dyDescent="0.25">
      <c r="A7" s="16" t="s">
        <v>23</v>
      </c>
      <c r="B7" s="16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F43F9-2C8F-4F53-A4E1-034AE0838EB4}">
  <dimension ref="A1:AE254"/>
  <sheetViews>
    <sheetView zoomScale="70" zoomScaleNormal="70" workbookViewId="0">
      <selection activeCell="C1" activeCellId="1" sqref="A1:A1048576 C1:C1048576"/>
    </sheetView>
  </sheetViews>
  <sheetFormatPr defaultRowHeight="15" x14ac:dyDescent="0.25"/>
  <cols>
    <col min="1" max="1" width="13.140625" style="20" customWidth="1"/>
    <col min="2" max="2" width="12" bestFit="1" customWidth="1"/>
    <col min="3" max="3" width="10.5703125" bestFit="1" customWidth="1"/>
    <col min="4" max="4" width="12.42578125" bestFit="1" customWidth="1"/>
    <col min="5" max="5" width="14.85546875" bestFit="1" customWidth="1"/>
    <col min="8" max="8" width="14.85546875" bestFit="1" customWidth="1"/>
    <col min="9" max="9" width="13.5703125" bestFit="1" customWidth="1"/>
    <col min="10" max="10" width="11.7109375" bestFit="1" customWidth="1"/>
    <col min="14" max="14" width="10.5703125" bestFit="1" customWidth="1"/>
    <col min="15" max="15" width="10" bestFit="1" customWidth="1"/>
    <col min="17" max="18" width="11.42578125" bestFit="1" customWidth="1"/>
    <col min="23" max="23" width="9.7109375" bestFit="1" customWidth="1"/>
    <col min="24" max="24" width="10.140625" bestFit="1" customWidth="1"/>
    <col min="25" max="25" width="8.5703125" bestFit="1" customWidth="1"/>
    <col min="26" max="26" width="8.85546875" bestFit="1" customWidth="1"/>
    <col min="27" max="27" width="13" bestFit="1" customWidth="1"/>
    <col min="28" max="28" width="12.85546875" bestFit="1" customWidth="1"/>
    <col min="31" max="31" width="16.85546875" style="18" bestFit="1" customWidth="1"/>
  </cols>
  <sheetData>
    <row r="1" spans="1:31" s="8" customFormat="1" x14ac:dyDescent="0.25">
      <c r="A1" s="19" t="s">
        <v>45</v>
      </c>
      <c r="B1" s="4" t="str" cm="1">
        <f t="array" aca="1" ref="B1:D252" ca="1">_xlfn.STOCKHISTORY("XOM",TODAY()-365,TODAY(),0,1,0,1,5)</f>
        <v>Date</v>
      </c>
      <c r="C1" s="4" t="str">
        <f ca="1"/>
        <v>Close</v>
      </c>
      <c r="D1" s="4" t="str">
        <f ca="1"/>
        <v>Volume</v>
      </c>
      <c r="E1" s="5" t="s">
        <v>0</v>
      </c>
      <c r="F1" s="5" t="s">
        <v>1</v>
      </c>
      <c r="G1" s="6" t="s">
        <v>2</v>
      </c>
      <c r="H1" s="6" t="s">
        <v>3</v>
      </c>
      <c r="I1" s="6" t="s">
        <v>4</v>
      </c>
      <c r="J1" s="7" t="s">
        <v>7</v>
      </c>
      <c r="K1" s="7" t="s">
        <v>8</v>
      </c>
      <c r="L1" s="7" t="s">
        <v>6</v>
      </c>
      <c r="M1" s="7" t="s">
        <v>5</v>
      </c>
      <c r="N1" s="3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3" t="s">
        <v>14</v>
      </c>
      <c r="T1" s="3" t="s">
        <v>15</v>
      </c>
      <c r="U1" s="1" t="s">
        <v>16</v>
      </c>
      <c r="V1" s="3" t="s">
        <v>17</v>
      </c>
      <c r="W1" s="10" t="s">
        <v>18</v>
      </c>
      <c r="X1" s="10" t="s">
        <v>19</v>
      </c>
      <c r="Y1" s="10" t="s">
        <v>20</v>
      </c>
      <c r="Z1" s="10" t="s">
        <v>21</v>
      </c>
      <c r="AA1" s="10" t="s">
        <v>22</v>
      </c>
      <c r="AB1" s="11" t="s">
        <v>23</v>
      </c>
      <c r="AC1" s="7" t="s">
        <v>38</v>
      </c>
      <c r="AD1" s="7" t="s">
        <v>43</v>
      </c>
      <c r="AE1" s="17" t="s">
        <v>44</v>
      </c>
    </row>
    <row r="2" spans="1:31" x14ac:dyDescent="0.25">
      <c r="A2" s="20">
        <f ca="1">B2 - WEEKDAY(B2, 2) + 1</f>
        <v>45705</v>
      </c>
      <c r="B2" vm="1">
        <f ca="1"/>
        <v>45709</v>
      </c>
      <c r="C2" vm="2">
        <f ca="1"/>
        <v>110.69</v>
      </c>
      <c r="D2" vm="3">
        <f ca="1"/>
        <v>14709985</v>
      </c>
      <c r="E2">
        <f ca="1">C2*D2</f>
        <v>1628248239.6499999</v>
      </c>
      <c r="F2">
        <f ca="1">SUM($E$2:E2)/SUM($D$2:D2)</f>
        <v>110.68999999999998</v>
      </c>
      <c r="G2">
        <f ca="1">_xlfn.STDEV.P($C$2:C2)</f>
        <v>0</v>
      </c>
      <c r="H2">
        <f ca="1">F2 + G2</f>
        <v>110.68999999999998</v>
      </c>
      <c r="I2">
        <f ca="1">F2 - G2</f>
        <v>110.68999999999998</v>
      </c>
      <c r="AC2" t="s">
        <v>39</v>
      </c>
      <c r="AD2">
        <f ca="1">MIN(C:C)</f>
        <v>99.93</v>
      </c>
      <c r="AE2" s="18">
        <f ca="1">MIN(D:D)</f>
        <v>6137406</v>
      </c>
    </row>
    <row r="3" spans="1:31" x14ac:dyDescent="0.25">
      <c r="A3" s="20">
        <f t="shared" ref="A3:A66" ca="1" si="0">B3 - WEEKDAY(B3, 2) + 1</f>
        <v>45712</v>
      </c>
      <c r="B3" vm="4">
        <f ca="1"/>
        <v>45712</v>
      </c>
      <c r="C3" vm="5">
        <f ca="1"/>
        <v>111.27</v>
      </c>
      <c r="D3" vm="6">
        <f ca="1"/>
        <v>13153471</v>
      </c>
      <c r="E3">
        <f t="shared" ref="E3:E66" ca="1" si="1">C3*D3</f>
        <v>1463586718.1699998</v>
      </c>
      <c r="F3">
        <f ca="1">SUM($E$2:E3)/SUM($D$2:D3)</f>
        <v>110.96379996149794</v>
      </c>
      <c r="G3">
        <f ca="1">_xlfn.STDEV.P($C$2:C3)</f>
        <v>0.28999999999999915</v>
      </c>
      <c r="H3">
        <f t="shared" ref="H3:H66" ca="1" si="2">F3 + G3</f>
        <v>111.25379996149795</v>
      </c>
      <c r="I3">
        <f t="shared" ref="I3:I66" ca="1" si="3">F3 - G3</f>
        <v>110.67379996149793</v>
      </c>
      <c r="N3">
        <f ca="1">C3-C2</f>
        <v>0.57999999999999829</v>
      </c>
      <c r="O3">
        <f ca="1">MAX(N3,0)</f>
        <v>0.57999999999999829</v>
      </c>
      <c r="P3">
        <f ca="1">MAX(-N3,0)</f>
        <v>0</v>
      </c>
      <c r="AC3" t="s">
        <v>40</v>
      </c>
      <c r="AD3">
        <f ca="1">MAX(C:C)</f>
        <v>155.56</v>
      </c>
      <c r="AE3" s="18">
        <f ca="1">MAX(D:D)</f>
        <v>45412814</v>
      </c>
    </row>
    <row r="4" spans="1:31" x14ac:dyDescent="0.25">
      <c r="A4" s="20">
        <f t="shared" ca="1" si="0"/>
        <v>45712</v>
      </c>
      <c r="B4" vm="7">
        <f ca="1"/>
        <v>45713</v>
      </c>
      <c r="C4" vm="8">
        <f ca="1"/>
        <v>109.73</v>
      </c>
      <c r="D4" vm="9">
        <f ca="1"/>
        <v>14496964</v>
      </c>
      <c r="E4">
        <f t="shared" ca="1" si="1"/>
        <v>1590751859.72</v>
      </c>
      <c r="F4">
        <f ca="1">SUM($E$2:E4)/SUM($D$2:D4)</f>
        <v>110.54155783960593</v>
      </c>
      <c r="G4">
        <f ca="1">_xlfn.STDEV.P($C$2:C4)</f>
        <v>0.63505030421918907</v>
      </c>
      <c r="H4">
        <f t="shared" ca="1" si="2"/>
        <v>111.17660814382512</v>
      </c>
      <c r="I4">
        <f t="shared" ca="1" si="3"/>
        <v>109.90650753538674</v>
      </c>
      <c r="N4">
        <f t="shared" ref="N4:N67" ca="1" si="4">C4-C3</f>
        <v>-1.539999999999992</v>
      </c>
      <c r="O4">
        <f t="shared" ref="O4:O67" ca="1" si="5">MAX(N4,0)</f>
        <v>0</v>
      </c>
      <c r="P4">
        <f t="shared" ref="P4:P67" ca="1" si="6">MAX(-N4,0)</f>
        <v>1.539999999999992</v>
      </c>
      <c r="AC4" t="s">
        <v>41</v>
      </c>
      <c r="AD4">
        <f ca="1">MEDIAN(C:C)</f>
        <v>112.71</v>
      </c>
      <c r="AE4" s="18">
        <f ca="1">MEDIAN(D:D)</f>
        <v>15637279</v>
      </c>
    </row>
    <row r="5" spans="1:31" x14ac:dyDescent="0.25">
      <c r="A5" s="20">
        <f t="shared" ca="1" si="0"/>
        <v>45712</v>
      </c>
      <c r="B5" vm="10">
        <f ca="1"/>
        <v>45714</v>
      </c>
      <c r="C5" vm="11">
        <f ca="1"/>
        <v>109.46</v>
      </c>
      <c r="D5" vm="12">
        <f ca="1"/>
        <v>10446405</v>
      </c>
      <c r="E5">
        <f t="shared" ca="1" si="1"/>
        <v>1143463491.3</v>
      </c>
      <c r="F5">
        <f ca="1">SUM($E$2:E5)/SUM($D$2:D5)</f>
        <v>110.32760081372058</v>
      </c>
      <c r="G5">
        <f ca="1">_xlfn.STDEV.P($C$2:C5)</f>
        <v>0.72850446120802792</v>
      </c>
      <c r="H5">
        <f t="shared" ca="1" si="2"/>
        <v>111.05610527492861</v>
      </c>
      <c r="I5">
        <f t="shared" ca="1" si="3"/>
        <v>109.59909635251255</v>
      </c>
      <c r="N5">
        <f t="shared" ca="1" si="4"/>
        <v>-0.27000000000001023</v>
      </c>
      <c r="O5">
        <f t="shared" ca="1" si="5"/>
        <v>0</v>
      </c>
      <c r="P5">
        <f t="shared" ca="1" si="6"/>
        <v>0.27000000000001023</v>
      </c>
      <c r="AC5" t="s">
        <v>42</v>
      </c>
      <c r="AD5">
        <f ca="1">AVERAGE(C:C)</f>
        <v>115.02274900398412</v>
      </c>
      <c r="AE5" s="18">
        <f ca="1">AVERAGE(D:D)</f>
        <v>16930180.187250998</v>
      </c>
    </row>
    <row r="6" spans="1:31" x14ac:dyDescent="0.25">
      <c r="A6" s="20">
        <f t="shared" ca="1" si="0"/>
        <v>45712</v>
      </c>
      <c r="B6" vm="13">
        <f ca="1"/>
        <v>45715</v>
      </c>
      <c r="C6" vm="14">
        <f ca="1"/>
        <v>110.15</v>
      </c>
      <c r="D6" vm="15">
        <f ca="1"/>
        <v>15293173</v>
      </c>
      <c r="E6">
        <f t="shared" ca="1" si="1"/>
        <v>1684543005.95</v>
      </c>
      <c r="F6">
        <f ca="1">SUM($E$2:E6)/SUM($D$2:D6)</f>
        <v>110.28771711256144</v>
      </c>
      <c r="G6">
        <f ca="1">_xlfn.STDEV.P($C$2:C6)</f>
        <v>0.6539113089708718</v>
      </c>
      <c r="H6">
        <f t="shared" ca="1" si="2"/>
        <v>110.94162842153231</v>
      </c>
      <c r="I6">
        <f t="shared" ca="1" si="3"/>
        <v>109.63380580359056</v>
      </c>
      <c r="N6">
        <f t="shared" ca="1" si="4"/>
        <v>0.69000000000001194</v>
      </c>
      <c r="O6">
        <f t="shared" ca="1" si="5"/>
        <v>0.69000000000001194</v>
      </c>
      <c r="P6">
        <f t="shared" ca="1" si="6"/>
        <v>0</v>
      </c>
    </row>
    <row r="7" spans="1:31" x14ac:dyDescent="0.25">
      <c r="A7" s="20">
        <f t="shared" ca="1" si="0"/>
        <v>45712</v>
      </c>
      <c r="B7" vm="16">
        <f ca="1"/>
        <v>45716</v>
      </c>
      <c r="C7" vm="17">
        <f ca="1"/>
        <v>111.33</v>
      </c>
      <c r="D7" vm="18">
        <f ca="1"/>
        <v>18821665</v>
      </c>
      <c r="E7">
        <f t="shared" ca="1" si="1"/>
        <v>2095415964.45</v>
      </c>
      <c r="F7">
        <f ca="1">SUM($E$2:E7)/SUM($D$2:D7)</f>
        <v>110.51340882928115</v>
      </c>
      <c r="G7">
        <f ca="1">_xlfn.STDEV.P($C$2:C7)</f>
        <v>0.71787688514272485</v>
      </c>
      <c r="H7">
        <f t="shared" ca="1" si="2"/>
        <v>111.23128571442388</v>
      </c>
      <c r="I7">
        <f t="shared" ca="1" si="3"/>
        <v>109.79553194413842</v>
      </c>
      <c r="N7">
        <f t="shared" ca="1" si="4"/>
        <v>1.1799999999999926</v>
      </c>
      <c r="O7">
        <f t="shared" ca="1" si="5"/>
        <v>1.1799999999999926</v>
      </c>
      <c r="P7">
        <f t="shared" ca="1" si="6"/>
        <v>0</v>
      </c>
    </row>
    <row r="8" spans="1:31" x14ac:dyDescent="0.25">
      <c r="A8" s="20">
        <f t="shared" ca="1" si="0"/>
        <v>45719</v>
      </c>
      <c r="B8" vm="19">
        <f ca="1"/>
        <v>45719</v>
      </c>
      <c r="C8" vm="20">
        <f ca="1"/>
        <v>107.76</v>
      </c>
      <c r="D8" vm="21">
        <f ca="1"/>
        <v>18706879</v>
      </c>
      <c r="E8">
        <f t="shared" ca="1" si="1"/>
        <v>2015853281.0400002</v>
      </c>
      <c r="F8">
        <f ca="1">SUM($E$2:E8)/SUM($D$2:D8)</f>
        <v>110.02577845181277</v>
      </c>
      <c r="G8">
        <f ca="1">_xlfn.STDEV.P($C$2:C8)</f>
        <v>1.1489604884771398</v>
      </c>
      <c r="H8">
        <f t="shared" ca="1" si="2"/>
        <v>111.17473894028991</v>
      </c>
      <c r="I8">
        <f t="shared" ca="1" si="3"/>
        <v>108.87681796333563</v>
      </c>
      <c r="N8">
        <f t="shared" ca="1" si="4"/>
        <v>-3.5699999999999932</v>
      </c>
      <c r="O8">
        <f t="shared" ca="1" si="5"/>
        <v>0</v>
      </c>
      <c r="P8">
        <f t="shared" ca="1" si="6"/>
        <v>3.5699999999999932</v>
      </c>
    </row>
    <row r="9" spans="1:31" x14ac:dyDescent="0.25">
      <c r="A9" s="20">
        <f t="shared" ca="1" si="0"/>
        <v>45719</v>
      </c>
      <c r="B9" vm="22">
        <f ca="1"/>
        <v>45720</v>
      </c>
      <c r="C9" vm="23">
        <f ca="1"/>
        <v>107.54</v>
      </c>
      <c r="D9" vm="24">
        <f ca="1"/>
        <v>19394905</v>
      </c>
      <c r="E9">
        <f t="shared" ca="1" si="1"/>
        <v>2085728083.7</v>
      </c>
      <c r="F9">
        <f ca="1">SUM($E$2:E9)/SUM($D$2:D9)</f>
        <v>109.64015928932116</v>
      </c>
      <c r="G9">
        <f ca="1">_xlfn.STDEV.P($C$2:C9)</f>
        <v>1.3591581723625814</v>
      </c>
      <c r="H9">
        <f t="shared" ca="1" si="2"/>
        <v>110.99931746168375</v>
      </c>
      <c r="I9">
        <f t="shared" ca="1" si="3"/>
        <v>108.28100111695858</v>
      </c>
      <c r="N9">
        <f t="shared" ca="1" si="4"/>
        <v>-0.21999999999999886</v>
      </c>
      <c r="O9">
        <f t="shared" ca="1" si="5"/>
        <v>0</v>
      </c>
      <c r="P9">
        <f t="shared" ca="1" si="6"/>
        <v>0.21999999999999886</v>
      </c>
    </row>
    <row r="10" spans="1:31" x14ac:dyDescent="0.25">
      <c r="A10" s="20">
        <f t="shared" ca="1" si="0"/>
        <v>45719</v>
      </c>
      <c r="B10" vm="25">
        <f ca="1"/>
        <v>45721</v>
      </c>
      <c r="C10" vm="26">
        <f ca="1"/>
        <v>105.44</v>
      </c>
      <c r="D10" vm="27">
        <f ca="1"/>
        <v>24822245</v>
      </c>
      <c r="E10">
        <f t="shared" ca="1" si="1"/>
        <v>2617257512.7999997</v>
      </c>
      <c r="F10">
        <f ca="1">SUM($E$2:E10)/SUM($D$2:D10)</f>
        <v>108.94439432252747</v>
      </c>
      <c r="G10">
        <f ca="1">_xlfn.STDEV.P($C$2:C10)</f>
        <v>1.8626027190168291</v>
      </c>
      <c r="H10">
        <f t="shared" ca="1" si="2"/>
        <v>110.80699704154431</v>
      </c>
      <c r="I10">
        <f t="shared" ca="1" si="3"/>
        <v>107.08179160351064</v>
      </c>
      <c r="N10">
        <f t="shared" ca="1" si="4"/>
        <v>-2.1000000000000085</v>
      </c>
      <c r="O10">
        <f t="shared" ca="1" si="5"/>
        <v>0</v>
      </c>
      <c r="P10">
        <f t="shared" ca="1" si="6"/>
        <v>2.1000000000000085</v>
      </c>
    </row>
    <row r="11" spans="1:31" x14ac:dyDescent="0.25">
      <c r="A11" s="20">
        <f t="shared" ca="1" si="0"/>
        <v>45719</v>
      </c>
      <c r="B11" vm="28">
        <f ca="1"/>
        <v>45722</v>
      </c>
      <c r="C11" vm="29">
        <f ca="1"/>
        <v>107.62</v>
      </c>
      <c r="D11" vm="30">
        <f ca="1"/>
        <v>17150233</v>
      </c>
      <c r="E11">
        <f t="shared" ca="1" si="1"/>
        <v>1845708075.46</v>
      </c>
      <c r="F11">
        <f ca="1">SUM($E$2:E11)/SUM($D$2:D11)</f>
        <v>108.80838099636264</v>
      </c>
      <c r="G11">
        <f ca="1">_xlfn.STDEV.P($C$2:C11)</f>
        <v>1.8345051103771814</v>
      </c>
      <c r="H11">
        <f t="shared" ca="1" si="2"/>
        <v>110.64288610673982</v>
      </c>
      <c r="I11">
        <f t="shared" ca="1" si="3"/>
        <v>106.97387588598546</v>
      </c>
      <c r="N11">
        <f t="shared" ca="1" si="4"/>
        <v>2.1800000000000068</v>
      </c>
      <c r="O11">
        <f t="shared" ca="1" si="5"/>
        <v>2.1800000000000068</v>
      </c>
      <c r="P11">
        <f t="shared" ca="1" si="6"/>
        <v>0</v>
      </c>
    </row>
    <row r="12" spans="1:31" x14ac:dyDescent="0.25">
      <c r="A12" s="20">
        <f t="shared" ca="1" si="0"/>
        <v>45719</v>
      </c>
      <c r="B12" vm="31">
        <f ca="1"/>
        <v>45723</v>
      </c>
      <c r="C12" vm="32">
        <f ca="1"/>
        <v>109.02</v>
      </c>
      <c r="D12" vm="33">
        <f ca="1"/>
        <v>19624965</v>
      </c>
      <c r="E12">
        <f t="shared" ca="1" si="1"/>
        <v>2139513684.3</v>
      </c>
      <c r="F12">
        <f ca="1">SUM($E$2:E12)/SUM($D$2:D12)</f>
        <v>108.83063475123284</v>
      </c>
      <c r="G12">
        <f ca="1">_xlfn.STDEV.P($C$2:C12)</f>
        <v>1.7492794266201983</v>
      </c>
      <c r="H12">
        <f t="shared" ca="1" si="2"/>
        <v>110.57991417785303</v>
      </c>
      <c r="I12">
        <f t="shared" ca="1" si="3"/>
        <v>107.08135532461264</v>
      </c>
      <c r="N12">
        <f t="shared" ca="1" si="4"/>
        <v>1.3999999999999915</v>
      </c>
      <c r="O12">
        <f t="shared" ca="1" si="5"/>
        <v>1.3999999999999915</v>
      </c>
      <c r="P12">
        <f t="shared" ca="1" si="6"/>
        <v>0</v>
      </c>
    </row>
    <row r="13" spans="1:31" x14ac:dyDescent="0.25">
      <c r="A13" s="20">
        <f t="shared" ca="1" si="0"/>
        <v>45726</v>
      </c>
      <c r="B13" vm="34">
        <f ca="1"/>
        <v>45726</v>
      </c>
      <c r="C13" vm="35">
        <f ca="1"/>
        <v>111.8</v>
      </c>
      <c r="D13" vm="36">
        <f ca="1"/>
        <v>22749073</v>
      </c>
      <c r="E13">
        <f t="shared" ca="1" si="1"/>
        <v>2543346361.4000001</v>
      </c>
      <c r="F13">
        <f ca="1">SUM($E$2:E13)/SUM($D$2:D13)</f>
        <v>109.15327084401311</v>
      </c>
      <c r="G13">
        <f ca="1">_xlfn.STDEV.P($C$2:C13)</f>
        <v>1.8344577990966873</v>
      </c>
      <c r="H13">
        <f t="shared" ca="1" si="2"/>
        <v>110.98772864310979</v>
      </c>
      <c r="I13">
        <f t="shared" ca="1" si="3"/>
        <v>107.31881304491642</v>
      </c>
      <c r="N13">
        <f t="shared" ca="1" si="4"/>
        <v>2.7800000000000011</v>
      </c>
      <c r="O13">
        <f t="shared" ca="1" si="5"/>
        <v>2.7800000000000011</v>
      </c>
      <c r="P13">
        <f t="shared" ca="1" si="6"/>
        <v>0</v>
      </c>
      <c r="W13" s="9">
        <f ca="1">AVERAGE(C2:C13)</f>
        <v>109.31749999999998</v>
      </c>
    </row>
    <row r="14" spans="1:31" x14ac:dyDescent="0.25">
      <c r="A14" s="20">
        <f t="shared" ca="1" si="0"/>
        <v>45726</v>
      </c>
      <c r="B14" vm="37">
        <f ca="1"/>
        <v>45727</v>
      </c>
      <c r="C14" vm="38">
        <f ca="1"/>
        <v>109.16</v>
      </c>
      <c r="D14" vm="39">
        <f ca="1"/>
        <v>19904735</v>
      </c>
      <c r="E14">
        <f t="shared" ca="1" si="1"/>
        <v>2172800872.5999999</v>
      </c>
      <c r="F14">
        <f ca="1">SUM($E$2:E14)/SUM($D$2:D14)</f>
        <v>109.15385504308897</v>
      </c>
      <c r="G14">
        <f ca="1">_xlfn.STDEV.P($C$2:C14)</f>
        <v>1.7629896608825286</v>
      </c>
      <c r="H14">
        <f t="shared" ca="1" si="2"/>
        <v>110.91684470397149</v>
      </c>
      <c r="I14">
        <f t="shared" ca="1" si="3"/>
        <v>107.39086538220644</v>
      </c>
      <c r="N14">
        <f t="shared" ca="1" si="4"/>
        <v>-2.6400000000000006</v>
      </c>
      <c r="O14">
        <f t="shared" ca="1" si="5"/>
        <v>0</v>
      </c>
      <c r="P14">
        <f t="shared" ca="1" si="6"/>
        <v>2.6400000000000006</v>
      </c>
      <c r="W14">
        <f ca="1">C14*(2/(12+1)) + W13*(1-(2/(12+1)))</f>
        <v>109.29326923076923</v>
      </c>
    </row>
    <row r="15" spans="1:31" x14ac:dyDescent="0.25">
      <c r="A15" s="20">
        <f t="shared" ca="1" si="0"/>
        <v>45726</v>
      </c>
      <c r="B15" vm="40">
        <f ca="1"/>
        <v>45728</v>
      </c>
      <c r="C15" vm="41">
        <f ca="1"/>
        <v>109.13</v>
      </c>
      <c r="D15" vm="42">
        <f ca="1"/>
        <v>14051500</v>
      </c>
      <c r="E15">
        <f t="shared" ca="1" si="1"/>
        <v>1533440195</v>
      </c>
      <c r="F15">
        <f ca="1">SUM($E$2:E15)/SUM($D$2:D15)</f>
        <v>109.1524774719901</v>
      </c>
      <c r="G15">
        <f ca="1">_xlfn.STDEV.P($C$2:C15)</f>
        <v>1.6994596980529189</v>
      </c>
      <c r="H15">
        <f t="shared" ca="1" si="2"/>
        <v>110.85193717004302</v>
      </c>
      <c r="I15">
        <f t="shared" ca="1" si="3"/>
        <v>107.45301777393718</v>
      </c>
      <c r="N15">
        <f t="shared" ca="1" si="4"/>
        <v>-3.0000000000001137E-2</v>
      </c>
      <c r="O15">
        <f t="shared" ca="1" si="5"/>
        <v>0</v>
      </c>
      <c r="P15">
        <f t="shared" ca="1" si="6"/>
        <v>3.0000000000001137E-2</v>
      </c>
      <c r="Q15" s="2">
        <f ca="1">AVERAGE(O3:O16)</f>
        <v>0.62928571428571445</v>
      </c>
      <c r="R15" s="2">
        <f ca="1">AVERAGE(P3:P16)</f>
        <v>0.77357142857142847</v>
      </c>
      <c r="S15">
        <f ca="1">IF(R15=0,NA(),Q15/R15)</f>
        <v>0.81348107109879997</v>
      </c>
      <c r="T15">
        <f ca="1">100-(100/(1+S15))</f>
        <v>44.857433808553985</v>
      </c>
      <c r="U15">
        <f>70</f>
        <v>70</v>
      </c>
      <c r="V15">
        <f>30</f>
        <v>30</v>
      </c>
      <c r="W15">
        <f t="shared" ref="W15:W78" ca="1" si="7">C15*(2/(12+1)) + W14*(1-(2/(12+1)))</f>
        <v>109.26815088757397</v>
      </c>
    </row>
    <row r="16" spans="1:31" x14ac:dyDescent="0.25">
      <c r="A16" s="20">
        <f t="shared" ca="1" si="0"/>
        <v>45726</v>
      </c>
      <c r="B16" vm="43">
        <f ca="1"/>
        <v>45729</v>
      </c>
      <c r="C16" vm="44">
        <f ca="1"/>
        <v>108.67</v>
      </c>
      <c r="D16" vm="45">
        <f ca="1"/>
        <v>17767836</v>
      </c>
      <c r="E16">
        <f t="shared" ca="1" si="1"/>
        <v>1930830738.1200001</v>
      </c>
      <c r="F16">
        <f ca="1">SUM($E$2:E16)/SUM($D$2:D16)</f>
        <v>109.1196441649065</v>
      </c>
      <c r="G16">
        <f ca="1">_xlfn.STDEV.P($C$2:C16)</f>
        <v>1.6491689489625427</v>
      </c>
      <c r="H16">
        <f t="shared" ca="1" si="2"/>
        <v>110.76881311386904</v>
      </c>
      <c r="I16">
        <f t="shared" ca="1" si="3"/>
        <v>107.47047521594396</v>
      </c>
      <c r="N16">
        <f t="shared" ca="1" si="4"/>
        <v>-0.45999999999999375</v>
      </c>
      <c r="O16">
        <f t="shared" ca="1" si="5"/>
        <v>0</v>
      </c>
      <c r="P16">
        <f t="shared" ca="1" si="6"/>
        <v>0.45999999999999375</v>
      </c>
      <c r="Q16">
        <f ca="1">(Q15*13+O16)/14</f>
        <v>0.5843367346938777</v>
      </c>
      <c r="R16">
        <f ca="1">(R15*13+P16)/14</f>
        <v>0.75117346938775464</v>
      </c>
      <c r="S16">
        <f t="shared" ref="S16:S79" ca="1" si="8">IF(R16=0,NA(),Q16/R16)</f>
        <v>0.77789852611560206</v>
      </c>
      <c r="T16">
        <f t="shared" ref="T16:T79" ca="1" si="9">100-(100/(1+S16))</f>
        <v>43.753820293398554</v>
      </c>
      <c r="U16">
        <f>70</f>
        <v>70</v>
      </c>
      <c r="V16">
        <f>30</f>
        <v>30</v>
      </c>
      <c r="W16">
        <f t="shared" ca="1" si="7"/>
        <v>109.17612767410105</v>
      </c>
    </row>
    <row r="17" spans="1:25" x14ac:dyDescent="0.25">
      <c r="A17" s="20">
        <f t="shared" ca="1" si="0"/>
        <v>45726</v>
      </c>
      <c r="B17" vm="46">
        <f ca="1"/>
        <v>45730</v>
      </c>
      <c r="C17" vm="47">
        <f ca="1"/>
        <v>111.9</v>
      </c>
      <c r="D17" vm="48">
        <f ca="1"/>
        <v>15890063</v>
      </c>
      <c r="E17">
        <f t="shared" ca="1" si="1"/>
        <v>1778098049.7</v>
      </c>
      <c r="F17">
        <f ca="1">SUM($E$2:E17)/SUM($D$2:D17)</f>
        <v>109.27914801317998</v>
      </c>
      <c r="G17">
        <f ca="1">_xlfn.STDEV.P($C$2:C17)</f>
        <v>1.7207074081246347</v>
      </c>
      <c r="H17">
        <f t="shared" ca="1" si="2"/>
        <v>110.99985542130462</v>
      </c>
      <c r="I17">
        <f t="shared" ca="1" si="3"/>
        <v>107.55844060505534</v>
      </c>
      <c r="N17">
        <f t="shared" ca="1" si="4"/>
        <v>3.230000000000004</v>
      </c>
      <c r="O17">
        <f t="shared" ca="1" si="5"/>
        <v>3.230000000000004</v>
      </c>
      <c r="P17">
        <f t="shared" ca="1" si="6"/>
        <v>0</v>
      </c>
      <c r="Q17">
        <f t="shared" ref="Q17:Q80" ca="1" si="10">(Q16*13+O17)/14</f>
        <v>0.7733126822157439</v>
      </c>
      <c r="R17">
        <f t="shared" ref="R17:R80" ca="1" si="11">(R16*13+P17)/14</f>
        <v>0.69751822157434362</v>
      </c>
      <c r="S17">
        <f t="shared" ca="1" si="8"/>
        <v>1.1086630546659086</v>
      </c>
      <c r="T17">
        <f t="shared" ca="1" si="9"/>
        <v>52.576586487477606</v>
      </c>
      <c r="U17">
        <f>70</f>
        <v>70</v>
      </c>
      <c r="V17">
        <f>30</f>
        <v>30</v>
      </c>
      <c r="W17">
        <f t="shared" ca="1" si="7"/>
        <v>109.59518495500859</v>
      </c>
    </row>
    <row r="18" spans="1:25" x14ac:dyDescent="0.25">
      <c r="A18" s="20">
        <f t="shared" ca="1" si="0"/>
        <v>45733</v>
      </c>
      <c r="B18" vm="49">
        <f ca="1"/>
        <v>45733</v>
      </c>
      <c r="C18" vm="50">
        <f ca="1"/>
        <v>113.76</v>
      </c>
      <c r="D18" vm="51">
        <f ca="1"/>
        <v>19908789</v>
      </c>
      <c r="E18">
        <f t="shared" ca="1" si="1"/>
        <v>2264823836.6399999</v>
      </c>
      <c r="F18">
        <f ca="1">SUM($E$2:E18)/SUM($D$2:D18)</f>
        <v>109.57962114996585</v>
      </c>
      <c r="G18">
        <f ca="1">_xlfn.STDEV.P($C$2:C18)</f>
        <v>1.957286625473146</v>
      </c>
      <c r="H18">
        <f t="shared" ca="1" si="2"/>
        <v>111.53690777543899</v>
      </c>
      <c r="I18">
        <f t="shared" ca="1" si="3"/>
        <v>107.6223345244927</v>
      </c>
      <c r="N18">
        <f t="shared" ca="1" si="4"/>
        <v>1.8599999999999994</v>
      </c>
      <c r="O18">
        <f t="shared" ca="1" si="5"/>
        <v>1.8599999999999994</v>
      </c>
      <c r="P18">
        <f t="shared" ca="1" si="6"/>
        <v>0</v>
      </c>
      <c r="Q18">
        <f t="shared" ca="1" si="10"/>
        <v>0.85093320491461921</v>
      </c>
      <c r="R18">
        <f t="shared" ca="1" si="11"/>
        <v>0.64769549146189054</v>
      </c>
      <c r="S18">
        <f t="shared" ca="1" si="8"/>
        <v>1.3137859011400681</v>
      </c>
      <c r="T18">
        <f t="shared" ca="1" si="9"/>
        <v>56.780789462531018</v>
      </c>
      <c r="U18">
        <f>70</f>
        <v>70</v>
      </c>
      <c r="V18">
        <f>30</f>
        <v>30</v>
      </c>
      <c r="W18">
        <f t="shared" ca="1" si="7"/>
        <v>110.23592573116112</v>
      </c>
    </row>
    <row r="19" spans="1:25" x14ac:dyDescent="0.25">
      <c r="A19" s="20">
        <f t="shared" ca="1" si="0"/>
        <v>45733</v>
      </c>
      <c r="B19" vm="52">
        <f ca="1"/>
        <v>45734</v>
      </c>
      <c r="C19" vm="53">
        <f ca="1"/>
        <v>113.64</v>
      </c>
      <c r="D19" vm="54">
        <f ca="1"/>
        <v>15998713</v>
      </c>
      <c r="E19">
        <f t="shared" ca="1" si="1"/>
        <v>1818093745.3199999</v>
      </c>
      <c r="F19">
        <f ca="1">SUM($E$2:E19)/SUM($D$2:D19)</f>
        <v>109.78723565959341</v>
      </c>
      <c r="G19">
        <f ca="1">_xlfn.STDEV.P($C$2:C19)</f>
        <v>2.108108171258865</v>
      </c>
      <c r="H19">
        <f t="shared" ca="1" si="2"/>
        <v>111.89534383085227</v>
      </c>
      <c r="I19">
        <f t="shared" ca="1" si="3"/>
        <v>107.67912748833454</v>
      </c>
      <c r="N19">
        <f t="shared" ca="1" si="4"/>
        <v>-0.12000000000000455</v>
      </c>
      <c r="O19">
        <f t="shared" ca="1" si="5"/>
        <v>0</v>
      </c>
      <c r="P19">
        <f t="shared" ca="1" si="6"/>
        <v>0.12000000000000455</v>
      </c>
      <c r="Q19">
        <f t="shared" ca="1" si="10"/>
        <v>0.79015226170643216</v>
      </c>
      <c r="R19">
        <f t="shared" ca="1" si="11"/>
        <v>0.61000295635747015</v>
      </c>
      <c r="S19">
        <f t="shared" ca="1" si="8"/>
        <v>1.2953252987898505</v>
      </c>
      <c r="T19">
        <f t="shared" ca="1" si="9"/>
        <v>56.433190514336971</v>
      </c>
      <c r="U19">
        <f>70</f>
        <v>70</v>
      </c>
      <c r="V19">
        <f>30</f>
        <v>30</v>
      </c>
      <c r="W19">
        <f t="shared" ca="1" si="7"/>
        <v>110.75962946482863</v>
      </c>
    </row>
    <row r="20" spans="1:25" x14ac:dyDescent="0.25">
      <c r="A20" s="20">
        <f t="shared" ca="1" si="0"/>
        <v>45733</v>
      </c>
      <c r="B20" vm="55">
        <f ca="1"/>
        <v>45735</v>
      </c>
      <c r="C20" vm="56">
        <f ca="1"/>
        <v>115.41</v>
      </c>
      <c r="D20" vm="57">
        <f ca="1"/>
        <v>17315001</v>
      </c>
      <c r="E20">
        <f t="shared" ca="1" si="1"/>
        <v>1998324265.4099998</v>
      </c>
      <c r="F20">
        <f ca="1">SUM($E$2:E20)/SUM($D$2:D20)</f>
        <v>110.08207582988952</v>
      </c>
      <c r="G20">
        <f ca="1">_xlfn.STDEV.P($C$2:C20)</f>
        <v>2.3933219649058564</v>
      </c>
      <c r="H20">
        <f t="shared" ca="1" si="2"/>
        <v>112.47539779479537</v>
      </c>
      <c r="I20">
        <f t="shared" ca="1" si="3"/>
        <v>107.68875386498367</v>
      </c>
      <c r="N20">
        <f t="shared" ca="1" si="4"/>
        <v>1.769999999999996</v>
      </c>
      <c r="O20">
        <f t="shared" ca="1" si="5"/>
        <v>1.769999999999996</v>
      </c>
      <c r="P20">
        <f t="shared" ca="1" si="6"/>
        <v>0</v>
      </c>
      <c r="Q20">
        <f t="shared" ca="1" si="10"/>
        <v>0.86014138587025812</v>
      </c>
      <c r="R20">
        <f t="shared" ca="1" si="11"/>
        <v>0.56643131661765078</v>
      </c>
      <c r="S20">
        <f t="shared" ca="1" si="8"/>
        <v>1.5185272435260952</v>
      </c>
      <c r="T20">
        <f t="shared" ca="1" si="9"/>
        <v>60.29425520130814</v>
      </c>
      <c r="U20">
        <f>70</f>
        <v>70</v>
      </c>
      <c r="V20">
        <f>30</f>
        <v>30</v>
      </c>
      <c r="W20">
        <f t="shared" ca="1" si="7"/>
        <v>111.47507108562422</v>
      </c>
    </row>
    <row r="21" spans="1:25" x14ac:dyDescent="0.25">
      <c r="A21" s="20">
        <f t="shared" ca="1" si="0"/>
        <v>45733</v>
      </c>
      <c r="B21" vm="58">
        <f ca="1"/>
        <v>45736</v>
      </c>
      <c r="C21" vm="59">
        <f ca="1"/>
        <v>115.9</v>
      </c>
      <c r="D21" vm="60">
        <f ca="1"/>
        <v>16230772</v>
      </c>
      <c r="E21">
        <f t="shared" ca="1" si="1"/>
        <v>1881146474.8000002</v>
      </c>
      <c r="F21">
        <f ca="1">SUM($E$2:E21)/SUM($D$2:D21)</f>
        <v>110.35464861894287</v>
      </c>
      <c r="G21">
        <f ca="1">_xlfn.STDEV.P($C$2:C21)</f>
        <v>2.6446169855009254</v>
      </c>
      <c r="H21">
        <f t="shared" ca="1" si="2"/>
        <v>112.99926560444381</v>
      </c>
      <c r="I21">
        <f t="shared" ca="1" si="3"/>
        <v>107.71003163344194</v>
      </c>
      <c r="J21">
        <f ca="1">AVERAGE(C2:C21)</f>
        <v>110.46900000000001</v>
      </c>
      <c r="K21">
        <f ca="1">_xlfn.STDEV.S(C2:C21)</f>
        <v>2.7133197766806476</v>
      </c>
      <c r="L21">
        <f ca="1">J21 + 2*K21</f>
        <v>115.89563955336131</v>
      </c>
      <c r="M21">
        <f ca="1">J21-2*K21</f>
        <v>105.04236044663871</v>
      </c>
      <c r="N21">
        <f t="shared" ca="1" si="4"/>
        <v>0.49000000000000909</v>
      </c>
      <c r="O21">
        <f t="shared" ca="1" si="5"/>
        <v>0.49000000000000909</v>
      </c>
      <c r="P21">
        <f t="shared" ca="1" si="6"/>
        <v>0</v>
      </c>
      <c r="Q21">
        <f t="shared" ca="1" si="10"/>
        <v>0.83370271545095453</v>
      </c>
      <c r="R21">
        <f t="shared" ca="1" si="11"/>
        <v>0.52597193685924715</v>
      </c>
      <c r="S21">
        <f t="shared" ca="1" si="8"/>
        <v>1.5850707177064804</v>
      </c>
      <c r="T21">
        <f t="shared" ca="1" si="9"/>
        <v>61.316338731065073</v>
      </c>
      <c r="U21">
        <f>70</f>
        <v>70</v>
      </c>
      <c r="V21">
        <f>30</f>
        <v>30</v>
      </c>
      <c r="W21">
        <f t="shared" ca="1" si="7"/>
        <v>112.15582938014357</v>
      </c>
    </row>
    <row r="22" spans="1:25" x14ac:dyDescent="0.25">
      <c r="A22" s="20">
        <f t="shared" ca="1" si="0"/>
        <v>45733</v>
      </c>
      <c r="B22" vm="61">
        <f ca="1"/>
        <v>45737</v>
      </c>
      <c r="C22" vm="62">
        <f ca="1"/>
        <v>115.5</v>
      </c>
      <c r="D22" vm="63">
        <f ca="1"/>
        <v>41102795</v>
      </c>
      <c r="E22">
        <f t="shared" ca="1" si="1"/>
        <v>4747372822.5</v>
      </c>
      <c r="F22">
        <f ca="1">SUM($E$2:E22)/SUM($D$2:D22)</f>
        <v>110.90036836886124</v>
      </c>
      <c r="G22">
        <f ca="1">_xlfn.STDEV.P($C$2:C22)</f>
        <v>2.7944303205352128</v>
      </c>
      <c r="H22">
        <f t="shared" ca="1" si="2"/>
        <v>113.69479868939645</v>
      </c>
      <c r="I22">
        <f t="shared" ca="1" si="3"/>
        <v>108.10593804832602</v>
      </c>
      <c r="J22">
        <f t="shared" ref="J22:J85" ca="1" si="12">AVERAGE(C3:C22)</f>
        <v>110.70950000000002</v>
      </c>
      <c r="K22">
        <f t="shared" ref="K22:K85" ca="1" si="13">_xlfn.STDEV.S(C3:C22)</f>
        <v>2.9378231737121281</v>
      </c>
      <c r="L22">
        <f t="shared" ref="L22:L85" ca="1" si="14">J22 + 2*K22</f>
        <v>116.58514634742427</v>
      </c>
      <c r="M22">
        <f t="shared" ref="M22:M85" ca="1" si="15">J22-2*K22</f>
        <v>104.83385365257577</v>
      </c>
      <c r="N22">
        <f t="shared" ca="1" si="4"/>
        <v>-0.40000000000000568</v>
      </c>
      <c r="O22">
        <f t="shared" ca="1" si="5"/>
        <v>0</v>
      </c>
      <c r="P22">
        <f t="shared" ca="1" si="6"/>
        <v>0.40000000000000568</v>
      </c>
      <c r="Q22">
        <f t="shared" ca="1" si="10"/>
        <v>0.774152521490172</v>
      </c>
      <c r="R22">
        <f t="shared" ca="1" si="11"/>
        <v>0.5169739413693013</v>
      </c>
      <c r="S22">
        <f t="shared" ca="1" si="8"/>
        <v>1.4974691363353549</v>
      </c>
      <c r="T22">
        <f t="shared" ca="1" si="9"/>
        <v>59.959465146090118</v>
      </c>
      <c r="U22">
        <f>70</f>
        <v>70</v>
      </c>
      <c r="V22">
        <f>30</f>
        <v>30</v>
      </c>
      <c r="W22">
        <f t="shared" ca="1" si="7"/>
        <v>112.67031716781379</v>
      </c>
    </row>
    <row r="23" spans="1:25" x14ac:dyDescent="0.25">
      <c r="A23" s="20">
        <f t="shared" ca="1" si="0"/>
        <v>45740</v>
      </c>
      <c r="B23" vm="64">
        <f ca="1"/>
        <v>45740</v>
      </c>
      <c r="C23" vm="65">
        <f ca="1"/>
        <v>115.8</v>
      </c>
      <c r="D23" vm="66">
        <f ca="1"/>
        <v>14207469</v>
      </c>
      <c r="E23">
        <f t="shared" ca="1" si="1"/>
        <v>1645224910.2</v>
      </c>
      <c r="F23">
        <f ca="1">SUM($E$2:E23)/SUM($D$2:D23)</f>
        <v>111.07363974191499</v>
      </c>
      <c r="G23">
        <f ca="1">_xlfn.STDEV.P($C$2:C23)</f>
        <v>2.9289309250367039</v>
      </c>
      <c r="H23">
        <f t="shared" ca="1" si="2"/>
        <v>114.0025706669517</v>
      </c>
      <c r="I23">
        <f t="shared" ca="1" si="3"/>
        <v>108.14470881687828</v>
      </c>
      <c r="J23">
        <f t="shared" ca="1" si="12"/>
        <v>110.93600000000006</v>
      </c>
      <c r="K23">
        <f t="shared" ca="1" si="13"/>
        <v>3.1502571323623729</v>
      </c>
      <c r="L23">
        <f t="shared" ca="1" si="14"/>
        <v>117.2365142647248</v>
      </c>
      <c r="M23">
        <f t="shared" ca="1" si="15"/>
        <v>104.63548573527532</v>
      </c>
      <c r="N23">
        <f t="shared" ca="1" si="4"/>
        <v>0.29999999999999716</v>
      </c>
      <c r="O23">
        <f t="shared" ca="1" si="5"/>
        <v>0.29999999999999716</v>
      </c>
      <c r="P23">
        <f t="shared" ca="1" si="6"/>
        <v>0</v>
      </c>
      <c r="Q23">
        <f t="shared" ca="1" si="10"/>
        <v>0.74028448424087379</v>
      </c>
      <c r="R23">
        <f t="shared" ca="1" si="11"/>
        <v>0.48004723127149401</v>
      </c>
      <c r="S23">
        <f t="shared" ca="1" si="8"/>
        <v>1.5421076011210255</v>
      </c>
      <c r="T23">
        <f t="shared" ca="1" si="9"/>
        <v>60.662562058387408</v>
      </c>
      <c r="U23">
        <f>70</f>
        <v>70</v>
      </c>
      <c r="V23">
        <f>30</f>
        <v>30</v>
      </c>
      <c r="W23">
        <f t="shared" ca="1" si="7"/>
        <v>113.15180683430398</v>
      </c>
    </row>
    <row r="24" spans="1:25" x14ac:dyDescent="0.25">
      <c r="A24" s="20">
        <f t="shared" ca="1" si="0"/>
        <v>45740</v>
      </c>
      <c r="B24" vm="67">
        <f ca="1"/>
        <v>45741</v>
      </c>
      <c r="C24" vm="68">
        <f ca="1"/>
        <v>116.59</v>
      </c>
      <c r="D24" vm="69">
        <f ca="1"/>
        <v>12081795</v>
      </c>
      <c r="E24">
        <f t="shared" ca="1" si="1"/>
        <v>1408616479.05</v>
      </c>
      <c r="F24">
        <f ca="1">SUM($E$2:E24)/SUM($D$2:D24)</f>
        <v>111.23469047632815</v>
      </c>
      <c r="G24">
        <f ca="1">_xlfn.STDEV.P($C$2:C24)</f>
        <v>3.0875948513322689</v>
      </c>
      <c r="H24">
        <f t="shared" ca="1" si="2"/>
        <v>114.32228532766042</v>
      </c>
      <c r="I24">
        <f t="shared" ca="1" si="3"/>
        <v>108.14709562499588</v>
      </c>
      <c r="J24">
        <f t="shared" ca="1" si="12"/>
        <v>111.27900000000002</v>
      </c>
      <c r="K24">
        <f t="shared" ca="1" si="13"/>
        <v>3.3773126968984646</v>
      </c>
      <c r="L24">
        <f t="shared" ca="1" si="14"/>
        <v>118.03362539379695</v>
      </c>
      <c r="M24">
        <f t="shared" ca="1" si="15"/>
        <v>104.5243746062031</v>
      </c>
      <c r="N24">
        <f t="shared" ca="1" si="4"/>
        <v>0.79000000000000625</v>
      </c>
      <c r="O24">
        <f t="shared" ca="1" si="5"/>
        <v>0.79000000000000625</v>
      </c>
      <c r="P24">
        <f t="shared" ca="1" si="6"/>
        <v>0</v>
      </c>
      <c r="Q24">
        <f t="shared" ca="1" si="10"/>
        <v>0.74383559250938325</v>
      </c>
      <c r="R24">
        <f t="shared" ca="1" si="11"/>
        <v>0.44575814332353014</v>
      </c>
      <c r="S24">
        <f t="shared" ca="1" si="8"/>
        <v>1.6686977089491088</v>
      </c>
      <c r="T24">
        <f t="shared" ca="1" si="9"/>
        <v>62.528539795022937</v>
      </c>
      <c r="U24">
        <f>70</f>
        <v>70</v>
      </c>
      <c r="V24">
        <f>30</f>
        <v>30</v>
      </c>
      <c r="W24">
        <f t="shared" ca="1" si="7"/>
        <v>113.68075962902645</v>
      </c>
    </row>
    <row r="25" spans="1:25" x14ac:dyDescent="0.25">
      <c r="A25" s="20">
        <f t="shared" ca="1" si="0"/>
        <v>45740</v>
      </c>
      <c r="B25" vm="70">
        <f ca="1"/>
        <v>45742</v>
      </c>
      <c r="C25" vm="71">
        <f ca="1"/>
        <v>118.27</v>
      </c>
      <c r="D25" vm="72">
        <f ca="1"/>
        <v>14112756</v>
      </c>
      <c r="E25">
        <f t="shared" ca="1" si="1"/>
        <v>1669115652.1199999</v>
      </c>
      <c r="F25">
        <f ca="1">SUM($E$2:E25)/SUM($D$2:D25)</f>
        <v>111.46670220526775</v>
      </c>
      <c r="G25">
        <f ca="1">_xlfn.STDEV.P($C$2:C25)</f>
        <v>3.3376724882601776</v>
      </c>
      <c r="H25">
        <f t="shared" ca="1" si="2"/>
        <v>114.80437469352793</v>
      </c>
      <c r="I25">
        <f t="shared" ca="1" si="3"/>
        <v>108.12902971700757</v>
      </c>
      <c r="J25">
        <f t="shared" ca="1" si="12"/>
        <v>111.71950000000001</v>
      </c>
      <c r="K25">
        <f t="shared" ca="1" si="13"/>
        <v>3.687839868369672</v>
      </c>
      <c r="L25">
        <f t="shared" ca="1" si="14"/>
        <v>119.09517973673935</v>
      </c>
      <c r="M25">
        <f t="shared" ca="1" si="15"/>
        <v>104.34382026326067</v>
      </c>
      <c r="N25">
        <f t="shared" ca="1" si="4"/>
        <v>1.6799999999999926</v>
      </c>
      <c r="O25">
        <f t="shared" ca="1" si="5"/>
        <v>1.6799999999999926</v>
      </c>
      <c r="P25">
        <f t="shared" ca="1" si="6"/>
        <v>0</v>
      </c>
      <c r="Q25">
        <f t="shared" ca="1" si="10"/>
        <v>0.81070447875871243</v>
      </c>
      <c r="R25">
        <f t="shared" ca="1" si="11"/>
        <v>0.41391827594327796</v>
      </c>
      <c r="S25">
        <f t="shared" ca="1" si="8"/>
        <v>1.9586100104210156</v>
      </c>
      <c r="T25">
        <f t="shared" ca="1" si="9"/>
        <v>66.200344199548681</v>
      </c>
      <c r="U25">
        <f>70</f>
        <v>70</v>
      </c>
      <c r="V25">
        <f>30</f>
        <v>30</v>
      </c>
      <c r="W25">
        <f t="shared" ca="1" si="7"/>
        <v>114.38679660917623</v>
      </c>
    </row>
    <row r="26" spans="1:25" x14ac:dyDescent="0.25">
      <c r="A26" s="20">
        <f t="shared" ca="1" si="0"/>
        <v>45740</v>
      </c>
      <c r="B26" vm="73">
        <f ca="1"/>
        <v>45743</v>
      </c>
      <c r="C26" vm="74">
        <f ca="1"/>
        <v>117.89</v>
      </c>
      <c r="D26" vm="75">
        <f ca="1"/>
        <v>12740786</v>
      </c>
      <c r="E26">
        <f t="shared" ca="1" si="1"/>
        <v>1502011261.54</v>
      </c>
      <c r="F26">
        <f ca="1">SUM($E$2:E26)/SUM($D$2:D26)</f>
        <v>111.6524090912403</v>
      </c>
      <c r="G26">
        <f ca="1">_xlfn.STDEV.P($C$2:C26)</f>
        <v>3.5031169206864905</v>
      </c>
      <c r="H26">
        <f t="shared" ca="1" si="2"/>
        <v>115.1555260119268</v>
      </c>
      <c r="I26">
        <f t="shared" ca="1" si="3"/>
        <v>108.14929217055381</v>
      </c>
      <c r="J26">
        <f t="shared" ca="1" si="12"/>
        <v>112.10650000000001</v>
      </c>
      <c r="K26">
        <f t="shared" ca="1" si="13"/>
        <v>3.9136700705415408</v>
      </c>
      <c r="L26">
        <f t="shared" ca="1" si="14"/>
        <v>119.9338401410831</v>
      </c>
      <c r="M26">
        <f t="shared" ca="1" si="15"/>
        <v>104.27915985891693</v>
      </c>
      <c r="N26">
        <f t="shared" ca="1" si="4"/>
        <v>-0.37999999999999545</v>
      </c>
      <c r="O26">
        <f t="shared" ca="1" si="5"/>
        <v>0</v>
      </c>
      <c r="P26">
        <f t="shared" ca="1" si="6"/>
        <v>0.37999999999999545</v>
      </c>
      <c r="Q26">
        <f t="shared" ca="1" si="10"/>
        <v>0.75279701599023296</v>
      </c>
      <c r="R26">
        <f t="shared" ca="1" si="11"/>
        <v>0.41149554194732918</v>
      </c>
      <c r="S26">
        <f t="shared" ca="1" si="8"/>
        <v>1.8294171850021885</v>
      </c>
      <c r="T26">
        <f t="shared" ca="1" si="9"/>
        <v>64.657032363390186</v>
      </c>
      <c r="U26">
        <f>70</f>
        <v>70</v>
      </c>
      <c r="V26">
        <f>30</f>
        <v>30</v>
      </c>
      <c r="W26">
        <f t="shared" ca="1" si="7"/>
        <v>114.92575097699527</v>
      </c>
    </row>
    <row r="27" spans="1:25" x14ac:dyDescent="0.25">
      <c r="A27" s="20">
        <f t="shared" ca="1" si="0"/>
        <v>45740</v>
      </c>
      <c r="B27" vm="76">
        <f ca="1"/>
        <v>45744</v>
      </c>
      <c r="C27" vm="77">
        <f ca="1"/>
        <v>117.73</v>
      </c>
      <c r="D27" vm="78">
        <f ca="1"/>
        <v>10233433</v>
      </c>
      <c r="E27">
        <f t="shared" ca="1" si="1"/>
        <v>1204782067.0900002</v>
      </c>
      <c r="F27">
        <f ca="1">SUM($E$2:E27)/SUM($D$2:D27)</f>
        <v>111.7903384691441</v>
      </c>
      <c r="G27">
        <f ca="1">_xlfn.STDEV.P($C$2:C27)</f>
        <v>3.6232585288471899</v>
      </c>
      <c r="H27">
        <f t="shared" ca="1" si="2"/>
        <v>115.41359699799129</v>
      </c>
      <c r="I27">
        <f t="shared" ca="1" si="3"/>
        <v>108.16707994029692</v>
      </c>
      <c r="J27">
        <f t="shared" ca="1" si="12"/>
        <v>112.4265</v>
      </c>
      <c r="K27">
        <f t="shared" ca="1" si="13"/>
        <v>4.1038637442755022</v>
      </c>
      <c r="L27">
        <f t="shared" ca="1" si="14"/>
        <v>120.63422748855101</v>
      </c>
      <c r="M27">
        <f t="shared" ca="1" si="15"/>
        <v>104.218772511449</v>
      </c>
      <c r="N27">
        <f t="shared" ca="1" si="4"/>
        <v>-0.15999999999999659</v>
      </c>
      <c r="O27">
        <f t="shared" ca="1" si="5"/>
        <v>0</v>
      </c>
      <c r="P27">
        <f t="shared" ca="1" si="6"/>
        <v>0.15999999999999659</v>
      </c>
      <c r="Q27">
        <f t="shared" ca="1" si="10"/>
        <v>0.69902580056235919</v>
      </c>
      <c r="R27">
        <f t="shared" ca="1" si="11"/>
        <v>0.39353157466537686</v>
      </c>
      <c r="S27">
        <f t="shared" ca="1" si="8"/>
        <v>1.7762889830549089</v>
      </c>
      <c r="T27">
        <f t="shared" ca="1" si="9"/>
        <v>63.980694873498251</v>
      </c>
      <c r="U27">
        <f>70</f>
        <v>70</v>
      </c>
      <c r="V27">
        <f>30</f>
        <v>30</v>
      </c>
      <c r="W27">
        <f t="shared" ca="1" si="7"/>
        <v>115.35717390361138</v>
      </c>
      <c r="X27" s="9">
        <f ca="1">AVERAGE(C2:C27)</f>
        <v>111.96769230769232</v>
      </c>
      <c r="Y27">
        <f ca="1">W28-X28</f>
        <v>3.4234206534831202</v>
      </c>
    </row>
    <row r="28" spans="1:25" x14ac:dyDescent="0.25">
      <c r="A28" s="20">
        <f t="shared" ca="1" si="0"/>
        <v>45747</v>
      </c>
      <c r="B28" vm="79">
        <f ca="1"/>
        <v>45747</v>
      </c>
      <c r="C28" vm="80">
        <f ca="1"/>
        <v>118.93</v>
      </c>
      <c r="D28" vm="81">
        <f ca="1"/>
        <v>21652345</v>
      </c>
      <c r="E28">
        <f t="shared" ca="1" si="1"/>
        <v>2575113390.8500004</v>
      </c>
      <c r="F28">
        <f ca="1">SUM($E$2:E28)/SUM($D$2:D28)</f>
        <v>112.11746635121881</v>
      </c>
      <c r="G28">
        <f ca="1">_xlfn.STDEV.P($C$2:C28)</f>
        <v>3.7908587254793886</v>
      </c>
      <c r="H28">
        <f t="shared" ca="1" si="2"/>
        <v>115.90832507669819</v>
      </c>
      <c r="I28">
        <f t="shared" ca="1" si="3"/>
        <v>108.32660762573943</v>
      </c>
      <c r="J28">
        <f t="shared" ca="1" si="12"/>
        <v>112.98499999999999</v>
      </c>
      <c r="K28">
        <f t="shared" ca="1" si="13"/>
        <v>4.1944393013407151</v>
      </c>
      <c r="L28">
        <f t="shared" ca="1" si="14"/>
        <v>121.37387860268142</v>
      </c>
      <c r="M28">
        <f t="shared" ca="1" si="15"/>
        <v>104.59612139731856</v>
      </c>
      <c r="N28">
        <f t="shared" ca="1" si="4"/>
        <v>1.2000000000000028</v>
      </c>
      <c r="O28">
        <f t="shared" ca="1" si="5"/>
        <v>1.2000000000000028</v>
      </c>
      <c r="P28">
        <f t="shared" ca="1" si="6"/>
        <v>0</v>
      </c>
      <c r="Q28">
        <f t="shared" ca="1" si="10"/>
        <v>0.7348096719507623</v>
      </c>
      <c r="R28">
        <f t="shared" ca="1" si="11"/>
        <v>0.36542217647499281</v>
      </c>
      <c r="S28">
        <f t="shared" ca="1" si="8"/>
        <v>2.0108513364980412</v>
      </c>
      <c r="T28">
        <f t="shared" ca="1" si="9"/>
        <v>66.78680252731732</v>
      </c>
      <c r="U28">
        <f>70</f>
        <v>70</v>
      </c>
      <c r="V28">
        <f>30</f>
        <v>30</v>
      </c>
      <c r="W28">
        <f t="shared" ca="1" si="7"/>
        <v>115.90683945690193</v>
      </c>
      <c r="X28">
        <f ca="1">C28*(2/(26+1)) + X27*(1-(2/(26+1)))</f>
        <v>112.48341880341881</v>
      </c>
      <c r="Y28">
        <f t="shared" ref="Y28:Y91" ca="1" si="16">W29-X29</f>
        <v>3.4197726711930443</v>
      </c>
    </row>
    <row r="29" spans="1:25" x14ac:dyDescent="0.25">
      <c r="A29" s="20">
        <f t="shared" ca="1" si="0"/>
        <v>45747</v>
      </c>
      <c r="B29" vm="82">
        <f ca="1"/>
        <v>45748</v>
      </c>
      <c r="C29" vm="83">
        <f ca="1"/>
        <v>119.04</v>
      </c>
      <c r="D29" vm="84">
        <f ca="1"/>
        <v>12425434</v>
      </c>
      <c r="E29">
        <f t="shared" ca="1" si="1"/>
        <v>1479123663.3600001</v>
      </c>
      <c r="F29">
        <f ca="1">SUM($E$2:E29)/SUM($D$2:D29)</f>
        <v>112.29481999302733</v>
      </c>
      <c r="G29">
        <f ca="1">_xlfn.STDEV.P($C$2:C29)</f>
        <v>3.9314876676154342</v>
      </c>
      <c r="H29">
        <f t="shared" ca="1" si="2"/>
        <v>116.22630766064276</v>
      </c>
      <c r="I29">
        <f t="shared" ca="1" si="3"/>
        <v>108.3633323254119</v>
      </c>
      <c r="J29">
        <f t="shared" ca="1" si="12"/>
        <v>113.55999999999999</v>
      </c>
      <c r="K29">
        <f t="shared" ca="1" si="13"/>
        <v>4.1969638148497195</v>
      </c>
      <c r="L29">
        <f t="shared" ca="1" si="14"/>
        <v>121.95392762969942</v>
      </c>
      <c r="M29">
        <f t="shared" ca="1" si="15"/>
        <v>105.16607237030055</v>
      </c>
      <c r="N29">
        <f t="shared" ca="1" si="4"/>
        <v>0.10999999999999943</v>
      </c>
      <c r="O29">
        <f t="shared" ca="1" si="5"/>
        <v>0.10999999999999943</v>
      </c>
      <c r="P29">
        <f t="shared" ca="1" si="6"/>
        <v>0</v>
      </c>
      <c r="Q29">
        <f t="shared" ca="1" si="10"/>
        <v>0.69018040966856486</v>
      </c>
      <c r="R29">
        <f t="shared" ca="1" si="11"/>
        <v>0.33932059244106477</v>
      </c>
      <c r="S29">
        <f t="shared" ca="1" si="8"/>
        <v>2.0340068508764011</v>
      </c>
      <c r="T29">
        <f t="shared" ca="1" si="9"/>
        <v>67.040285366819774</v>
      </c>
      <c r="U29">
        <f>70</f>
        <v>70</v>
      </c>
      <c r="V29">
        <f>30</f>
        <v>30</v>
      </c>
      <c r="W29">
        <f t="shared" ca="1" si="7"/>
        <v>116.3888641558401</v>
      </c>
      <c r="X29">
        <f t="shared" ref="X29:X92" ca="1" si="17">C29*(2/(26+1)) + X28*(1-(2/(26+1)))</f>
        <v>112.96909148464705</v>
      </c>
      <c r="Y29">
        <f t="shared" ca="1" si="16"/>
        <v>3.3484271275618624</v>
      </c>
    </row>
    <row r="30" spans="1:25" x14ac:dyDescent="0.25">
      <c r="A30" s="20">
        <f t="shared" ca="1" si="0"/>
        <v>45747</v>
      </c>
      <c r="B30" vm="85">
        <f ca="1"/>
        <v>45749</v>
      </c>
      <c r="C30" vm="86">
        <f ca="1"/>
        <v>118.67</v>
      </c>
      <c r="D30" vm="87">
        <f ca="1"/>
        <v>12614605</v>
      </c>
      <c r="E30">
        <f t="shared" ca="1" si="1"/>
        <v>1496975175.3499999</v>
      </c>
      <c r="F30">
        <f ca="1">SUM($E$2:E30)/SUM($D$2:D30)</f>
        <v>112.45643365260891</v>
      </c>
      <c r="G30">
        <f ca="1">_xlfn.STDEV.P($C$2:C30)</f>
        <v>4.0254020116665536</v>
      </c>
      <c r="H30">
        <f t="shared" ca="1" si="2"/>
        <v>116.48183566427547</v>
      </c>
      <c r="I30">
        <f t="shared" ca="1" si="3"/>
        <v>108.43103164094235</v>
      </c>
      <c r="J30">
        <f t="shared" ca="1" si="12"/>
        <v>114.22150000000002</v>
      </c>
      <c r="K30">
        <f t="shared" ca="1" si="13"/>
        <v>3.8804615501387554</v>
      </c>
      <c r="L30">
        <f t="shared" ca="1" si="14"/>
        <v>121.98242310027753</v>
      </c>
      <c r="M30">
        <f t="shared" ca="1" si="15"/>
        <v>106.46057689972251</v>
      </c>
      <c r="N30">
        <f t="shared" ca="1" si="4"/>
        <v>-0.37000000000000455</v>
      </c>
      <c r="O30">
        <f t="shared" ca="1" si="5"/>
        <v>0</v>
      </c>
      <c r="P30">
        <f t="shared" ca="1" si="6"/>
        <v>0.37000000000000455</v>
      </c>
      <c r="Q30">
        <f t="shared" ca="1" si="10"/>
        <v>0.6408818089779531</v>
      </c>
      <c r="R30">
        <f t="shared" ca="1" si="11"/>
        <v>0.34151197869527478</v>
      </c>
      <c r="S30">
        <f t="shared" ca="1" si="8"/>
        <v>1.8766012583991991</v>
      </c>
      <c r="T30">
        <f t="shared" ca="1" si="9"/>
        <v>65.23675302302793</v>
      </c>
      <c r="U30">
        <f>70</f>
        <v>70</v>
      </c>
      <c r="V30">
        <f>30</f>
        <v>30</v>
      </c>
      <c r="W30">
        <f t="shared" ca="1" si="7"/>
        <v>116.73980813186469</v>
      </c>
      <c r="X30">
        <f t="shared" ca="1" si="17"/>
        <v>113.39138100430283</v>
      </c>
      <c r="Y30">
        <f t="shared" ca="1" si="16"/>
        <v>2.7565931303857383</v>
      </c>
    </row>
    <row r="31" spans="1:25" x14ac:dyDescent="0.25">
      <c r="A31" s="20">
        <f t="shared" ca="1" si="0"/>
        <v>45747</v>
      </c>
      <c r="B31" vm="88">
        <f ca="1"/>
        <v>45750</v>
      </c>
      <c r="C31" vm="89">
        <f ca="1"/>
        <v>112.43</v>
      </c>
      <c r="D31" vm="90">
        <f ca="1"/>
        <v>21204636</v>
      </c>
      <c r="E31">
        <f t="shared" ca="1" si="1"/>
        <v>2384037225.48</v>
      </c>
      <c r="F31">
        <f ca="1">SUM($E$2:E31)/SUM($D$2:D31)</f>
        <v>112.45535327196795</v>
      </c>
      <c r="G31">
        <f ca="1">_xlfn.STDEV.P($C$2:C31)</f>
        <v>3.9580034388845884</v>
      </c>
      <c r="H31">
        <f t="shared" ca="1" si="2"/>
        <v>116.41335671085254</v>
      </c>
      <c r="I31">
        <f t="shared" ca="1" si="3"/>
        <v>108.49734983308336</v>
      </c>
      <c r="J31">
        <f t="shared" ca="1" si="12"/>
        <v>114.46199999999999</v>
      </c>
      <c r="K31">
        <f t="shared" ca="1" si="13"/>
        <v>3.5878047825787216</v>
      </c>
      <c r="L31">
        <f t="shared" ca="1" si="14"/>
        <v>121.63760956515743</v>
      </c>
      <c r="M31">
        <f t="shared" ca="1" si="15"/>
        <v>107.28639043484255</v>
      </c>
      <c r="N31">
        <f t="shared" ca="1" si="4"/>
        <v>-6.2399999999999949</v>
      </c>
      <c r="O31">
        <f t="shared" ca="1" si="5"/>
        <v>0</v>
      </c>
      <c r="P31">
        <f t="shared" ca="1" si="6"/>
        <v>6.2399999999999949</v>
      </c>
      <c r="Q31">
        <f t="shared" ca="1" si="10"/>
        <v>0.59510453690809928</v>
      </c>
      <c r="R31">
        <f t="shared" ca="1" si="11"/>
        <v>0.76283255164561203</v>
      </c>
      <c r="S31">
        <f t="shared" ca="1" si="8"/>
        <v>0.78012472806032807</v>
      </c>
      <c r="T31">
        <f t="shared" ca="1" si="9"/>
        <v>43.824161069341081</v>
      </c>
      <c r="U31">
        <f>70</f>
        <v>70</v>
      </c>
      <c r="V31">
        <f>30</f>
        <v>30</v>
      </c>
      <c r="W31">
        <f t="shared" ca="1" si="7"/>
        <v>116.07676072696243</v>
      </c>
      <c r="X31">
        <f t="shared" ca="1" si="17"/>
        <v>113.3201675965767</v>
      </c>
      <c r="Y31">
        <f t="shared" ca="1" si="16"/>
        <v>1.6161352336764025</v>
      </c>
    </row>
    <row r="32" spans="1:25" x14ac:dyDescent="0.25">
      <c r="A32" s="20">
        <f t="shared" ca="1" si="0"/>
        <v>45747</v>
      </c>
      <c r="B32" vm="91">
        <f ca="1"/>
        <v>45751</v>
      </c>
      <c r="C32" vm="92">
        <f ca="1"/>
        <v>104.34</v>
      </c>
      <c r="D32" vm="93">
        <f ca="1"/>
        <v>30841318</v>
      </c>
      <c r="E32">
        <f t="shared" ca="1" si="1"/>
        <v>3217983120.1199999</v>
      </c>
      <c r="F32">
        <f ca="1">SUM($E$2:E32)/SUM($D$2:D32)</f>
        <v>111.99999798999279</v>
      </c>
      <c r="G32">
        <f ca="1">_xlfn.STDEV.P($C$2:C32)</f>
        <v>4.1627928270222148</v>
      </c>
      <c r="H32">
        <f t="shared" ca="1" si="2"/>
        <v>116.16279081701501</v>
      </c>
      <c r="I32">
        <f t="shared" ca="1" si="3"/>
        <v>107.83720516297058</v>
      </c>
      <c r="J32">
        <f t="shared" ca="1" si="12"/>
        <v>114.22799999999999</v>
      </c>
      <c r="K32">
        <f t="shared" ca="1" si="13"/>
        <v>4.0802407049739502</v>
      </c>
      <c r="L32">
        <f t="shared" ca="1" si="14"/>
        <v>122.3884814099479</v>
      </c>
      <c r="M32">
        <f t="shared" ca="1" si="15"/>
        <v>106.06751859005209</v>
      </c>
      <c r="N32">
        <f t="shared" ca="1" si="4"/>
        <v>-8.0900000000000034</v>
      </c>
      <c r="O32">
        <f t="shared" ca="1" si="5"/>
        <v>0</v>
      </c>
      <c r="P32">
        <f t="shared" ca="1" si="6"/>
        <v>8.0900000000000034</v>
      </c>
      <c r="Q32">
        <f t="shared" ca="1" si="10"/>
        <v>0.55259706998609215</v>
      </c>
      <c r="R32">
        <f t="shared" ca="1" si="11"/>
        <v>1.286201655099497</v>
      </c>
      <c r="S32">
        <f t="shared" ca="1" si="8"/>
        <v>0.42963486152826069</v>
      </c>
      <c r="T32">
        <f t="shared" ca="1" si="9"/>
        <v>30.052069454223215</v>
      </c>
      <c r="U32">
        <f>70</f>
        <v>70</v>
      </c>
      <c r="V32">
        <f>30</f>
        <v>30</v>
      </c>
      <c r="W32">
        <f t="shared" ca="1" si="7"/>
        <v>114.27110523050668</v>
      </c>
      <c r="X32">
        <f t="shared" ca="1" si="17"/>
        <v>112.65496999683027</v>
      </c>
      <c r="Y32">
        <f t="shared" ca="1" si="16"/>
        <v>0.59251568230951079</v>
      </c>
    </row>
    <row r="33" spans="1:27" x14ac:dyDescent="0.25">
      <c r="A33" s="20">
        <f t="shared" ca="1" si="0"/>
        <v>45754</v>
      </c>
      <c r="B33" vm="94">
        <f ca="1"/>
        <v>45754</v>
      </c>
      <c r="C33" vm="95">
        <f ca="1"/>
        <v>102.94</v>
      </c>
      <c r="D33" vm="96">
        <f ca="1"/>
        <v>35068450</v>
      </c>
      <c r="E33">
        <f t="shared" ca="1" si="1"/>
        <v>3609946243</v>
      </c>
      <c r="F33">
        <f ca="1">SUM($E$2:E33)/SUM($D$2:D33)</f>
        <v>111.45662962394819</v>
      </c>
      <c r="G33">
        <f ca="1">_xlfn.STDEV.P($C$2:C33)</f>
        <v>4.4158439767890076</v>
      </c>
      <c r="H33">
        <f t="shared" ca="1" si="2"/>
        <v>115.87247360073719</v>
      </c>
      <c r="I33">
        <f t="shared" ca="1" si="3"/>
        <v>107.04078564715918</v>
      </c>
      <c r="J33">
        <f t="shared" ca="1" si="12"/>
        <v>113.78500000000001</v>
      </c>
      <c r="K33">
        <f t="shared" ca="1" si="13"/>
        <v>4.7788883314229613</v>
      </c>
      <c r="L33">
        <f t="shared" ca="1" si="14"/>
        <v>123.34277666284594</v>
      </c>
      <c r="M33">
        <f t="shared" ca="1" si="15"/>
        <v>104.22722333715409</v>
      </c>
      <c r="N33">
        <f t="shared" ca="1" si="4"/>
        <v>-1.4000000000000057</v>
      </c>
      <c r="O33">
        <f t="shared" ca="1" si="5"/>
        <v>0</v>
      </c>
      <c r="P33">
        <f t="shared" ca="1" si="6"/>
        <v>1.4000000000000057</v>
      </c>
      <c r="Q33">
        <f t="shared" ca="1" si="10"/>
        <v>0.51312585070137129</v>
      </c>
      <c r="R33">
        <f t="shared" ca="1" si="11"/>
        <v>1.2943301083066763</v>
      </c>
      <c r="S33">
        <f t="shared" ca="1" si="8"/>
        <v>0.3964412535938569</v>
      </c>
      <c r="T33">
        <f t="shared" ca="1" si="9"/>
        <v>28.389397160359053</v>
      </c>
      <c r="U33">
        <f>70</f>
        <v>70</v>
      </c>
      <c r="V33">
        <f>30</f>
        <v>30</v>
      </c>
      <c r="W33">
        <f t="shared" ca="1" si="7"/>
        <v>112.52785827196718</v>
      </c>
      <c r="X33">
        <f t="shared" ca="1" si="17"/>
        <v>111.93534258965767</v>
      </c>
      <c r="Y33">
        <f t="shared" ca="1" si="16"/>
        <v>-0.38932317625210544</v>
      </c>
    </row>
    <row r="34" spans="1:27" x14ac:dyDescent="0.25">
      <c r="A34" s="20">
        <f t="shared" ca="1" si="0"/>
        <v>45754</v>
      </c>
      <c r="B34" vm="97">
        <f ca="1"/>
        <v>45755</v>
      </c>
      <c r="C34" vm="98">
        <f ca="1"/>
        <v>100.77</v>
      </c>
      <c r="D34" vm="99">
        <f ca="1"/>
        <v>27147750</v>
      </c>
      <c r="E34">
        <f t="shared" ca="1" si="1"/>
        <v>2735678767.5</v>
      </c>
      <c r="F34">
        <f ca="1">SUM($E$2:E34)/SUM($D$2:D34)</f>
        <v>110.98248070052172</v>
      </c>
      <c r="G34">
        <f ca="1">_xlfn.STDEV.P($C$2:C34)</f>
        <v>4.7631209143598028</v>
      </c>
      <c r="H34">
        <f t="shared" ca="1" si="2"/>
        <v>115.74560161488152</v>
      </c>
      <c r="I34">
        <f t="shared" ca="1" si="3"/>
        <v>106.21935978616192</v>
      </c>
      <c r="J34">
        <f t="shared" ca="1" si="12"/>
        <v>113.36550000000003</v>
      </c>
      <c r="K34">
        <f t="shared" ca="1" si="13"/>
        <v>5.5174254818138166</v>
      </c>
      <c r="L34">
        <f t="shared" ca="1" si="14"/>
        <v>124.40035096362766</v>
      </c>
      <c r="M34">
        <f t="shared" ca="1" si="15"/>
        <v>102.33064903637239</v>
      </c>
      <c r="N34">
        <f t="shared" ca="1" si="4"/>
        <v>-2.1700000000000017</v>
      </c>
      <c r="O34">
        <f t="shared" ca="1" si="5"/>
        <v>0</v>
      </c>
      <c r="P34">
        <f t="shared" ca="1" si="6"/>
        <v>2.1700000000000017</v>
      </c>
      <c r="Q34">
        <f t="shared" ca="1" si="10"/>
        <v>0.47647400422270192</v>
      </c>
      <c r="R34">
        <f t="shared" ca="1" si="11"/>
        <v>1.3568779577133423</v>
      </c>
      <c r="S34">
        <f t="shared" ca="1" si="8"/>
        <v>0.3511546499183113</v>
      </c>
      <c r="T34">
        <f t="shared" ca="1" si="9"/>
        <v>25.989227061427911</v>
      </c>
      <c r="U34">
        <f>70</f>
        <v>70</v>
      </c>
      <c r="V34">
        <f>30</f>
        <v>30</v>
      </c>
      <c r="W34">
        <f t="shared" ca="1" si="7"/>
        <v>110.71895699935683</v>
      </c>
      <c r="X34">
        <f t="shared" ca="1" si="17"/>
        <v>111.10828017560894</v>
      </c>
      <c r="Y34">
        <f t="shared" ca="1" si="16"/>
        <v>-0.75287985260378321</v>
      </c>
    </row>
    <row r="35" spans="1:27" x14ac:dyDescent="0.25">
      <c r="A35" s="20">
        <f t="shared" ca="1" si="0"/>
        <v>45754</v>
      </c>
      <c r="B35" vm="100">
        <f ca="1"/>
        <v>45756</v>
      </c>
      <c r="C35" vm="101">
        <f ca="1"/>
        <v>105.8</v>
      </c>
      <c r="D35" vm="102">
        <f ca="1"/>
        <v>30063287</v>
      </c>
      <c r="E35">
        <f t="shared" ca="1" si="1"/>
        <v>3180695764.5999999</v>
      </c>
      <c r="F35">
        <f ca="1">SUM($E$2:E35)/SUM($D$2:D35)</f>
        <v>110.73977296326795</v>
      </c>
      <c r="G35">
        <f ca="1">_xlfn.STDEV.P($C$2:C35)</f>
        <v>4.7995973735405029</v>
      </c>
      <c r="H35">
        <f t="shared" ca="1" si="2"/>
        <v>115.53937033680846</v>
      </c>
      <c r="I35">
        <f t="shared" ca="1" si="3"/>
        <v>105.94017558972745</v>
      </c>
      <c r="J35">
        <f t="shared" ca="1" si="12"/>
        <v>113.199</v>
      </c>
      <c r="K35">
        <f t="shared" ca="1" si="13"/>
        <v>5.6992177671935602</v>
      </c>
      <c r="L35">
        <f t="shared" ca="1" si="14"/>
        <v>124.59743553438712</v>
      </c>
      <c r="M35">
        <f t="shared" ca="1" si="15"/>
        <v>101.80056446561288</v>
      </c>
      <c r="N35">
        <f t="shared" ca="1" si="4"/>
        <v>5.0300000000000011</v>
      </c>
      <c r="O35">
        <f t="shared" ca="1" si="5"/>
        <v>5.0300000000000011</v>
      </c>
      <c r="P35">
        <f t="shared" ca="1" si="6"/>
        <v>0</v>
      </c>
      <c r="Q35">
        <f t="shared" ca="1" si="10"/>
        <v>0.80172586106393762</v>
      </c>
      <c r="R35">
        <f t="shared" ca="1" si="11"/>
        <v>1.2599581035909608</v>
      </c>
      <c r="S35">
        <f t="shared" ca="1" si="8"/>
        <v>0.63631152399351043</v>
      </c>
      <c r="T35">
        <f t="shared" ca="1" si="9"/>
        <v>38.886942655060956</v>
      </c>
      <c r="U35">
        <f>70</f>
        <v>70</v>
      </c>
      <c r="V35">
        <f>30</f>
        <v>30</v>
      </c>
      <c r="W35">
        <f t="shared" ca="1" si="7"/>
        <v>109.96219438407115</v>
      </c>
      <c r="X35">
        <f t="shared" ca="1" si="17"/>
        <v>110.71507423667494</v>
      </c>
      <c r="Y35">
        <f t="shared" ca="1" si="16"/>
        <v>-1.4973999853282578</v>
      </c>
    </row>
    <row r="36" spans="1:27" x14ac:dyDescent="0.25">
      <c r="A36" s="20">
        <f t="shared" ca="1" si="0"/>
        <v>45754</v>
      </c>
      <c r="B36" vm="103">
        <f ca="1"/>
        <v>45757</v>
      </c>
      <c r="C36" vm="104">
        <f ca="1"/>
        <v>99.93</v>
      </c>
      <c r="D36" vm="105">
        <f ca="1"/>
        <v>33999317</v>
      </c>
      <c r="E36">
        <f t="shared" ca="1" si="1"/>
        <v>3397551747.8100004</v>
      </c>
      <c r="F36">
        <f ca="1">SUM($E$2:E36)/SUM($D$2:D36)</f>
        <v>110.1960436295729</v>
      </c>
      <c r="G36">
        <f ca="1">_xlfn.STDEV.P($C$2:C36)</f>
        <v>5.1138832563115555</v>
      </c>
      <c r="H36">
        <f t="shared" ca="1" si="2"/>
        <v>115.30992688588445</v>
      </c>
      <c r="I36">
        <f t="shared" ca="1" si="3"/>
        <v>105.08216037326135</v>
      </c>
      <c r="J36">
        <f t="shared" ca="1" si="12"/>
        <v>112.76200000000001</v>
      </c>
      <c r="K36">
        <f t="shared" ca="1" si="13"/>
        <v>6.3613790295732846</v>
      </c>
      <c r="L36">
        <f t="shared" ca="1" si="14"/>
        <v>125.48475805914659</v>
      </c>
      <c r="M36">
        <f t="shared" ca="1" si="15"/>
        <v>100.03924194085344</v>
      </c>
      <c r="N36">
        <f t="shared" ca="1" si="4"/>
        <v>-5.8699999999999903</v>
      </c>
      <c r="O36">
        <f t="shared" ca="1" si="5"/>
        <v>0</v>
      </c>
      <c r="P36">
        <f t="shared" ca="1" si="6"/>
        <v>5.8699999999999903</v>
      </c>
      <c r="Q36">
        <f t="shared" ca="1" si="10"/>
        <v>0.74445972813079919</v>
      </c>
      <c r="R36">
        <f t="shared" ca="1" si="11"/>
        <v>1.5892468104773201</v>
      </c>
      <c r="S36">
        <f t="shared" ca="1" si="8"/>
        <v>0.46843556534004022</v>
      </c>
      <c r="T36">
        <f t="shared" ca="1" si="9"/>
        <v>31.900314620312699</v>
      </c>
      <c r="U36">
        <f>70</f>
        <v>70</v>
      </c>
      <c r="V36">
        <f>30</f>
        <v>30</v>
      </c>
      <c r="W36">
        <f t="shared" ca="1" si="7"/>
        <v>108.41877986344483</v>
      </c>
      <c r="X36">
        <f t="shared" ca="1" si="17"/>
        <v>109.91617984877308</v>
      </c>
      <c r="Y36">
        <f t="shared" ca="1" si="16"/>
        <v>-1.8075807162625068</v>
      </c>
      <c r="Z36" s="9">
        <f ca="1">AVERAGE(Y28:Y36)</f>
        <v>0.80958445718665617</v>
      </c>
    </row>
    <row r="37" spans="1:27" x14ac:dyDescent="0.25">
      <c r="A37" s="20">
        <f t="shared" ca="1" si="0"/>
        <v>45754</v>
      </c>
      <c r="B37" vm="106">
        <f ca="1"/>
        <v>45758</v>
      </c>
      <c r="C37" vm="107">
        <f ca="1"/>
        <v>103.14</v>
      </c>
      <c r="D37" vm="108">
        <f ca="1"/>
        <v>22884628</v>
      </c>
      <c r="E37">
        <f t="shared" ca="1" si="1"/>
        <v>2360320531.9200001</v>
      </c>
      <c r="F37">
        <f ca="1">SUM($E$2:E37)/SUM($D$2:D37)</f>
        <v>109.96497503525153</v>
      </c>
      <c r="G37">
        <f ca="1">_xlfn.STDEV.P($C$2:C37)</f>
        <v>5.2158289100713233</v>
      </c>
      <c r="H37">
        <f t="shared" ca="1" si="2"/>
        <v>115.18080394532285</v>
      </c>
      <c r="I37">
        <f t="shared" ca="1" si="3"/>
        <v>104.7491461251802</v>
      </c>
      <c r="J37">
        <f t="shared" ca="1" si="12"/>
        <v>112.324</v>
      </c>
      <c r="K37">
        <f t="shared" ca="1" si="13"/>
        <v>6.7155698116196252</v>
      </c>
      <c r="L37">
        <f t="shared" ca="1" si="14"/>
        <v>125.75513962323924</v>
      </c>
      <c r="M37">
        <f t="shared" ca="1" si="15"/>
        <v>98.892860376760751</v>
      </c>
      <c r="N37">
        <f t="shared" ca="1" si="4"/>
        <v>3.2099999999999937</v>
      </c>
      <c r="O37">
        <f t="shared" ca="1" si="5"/>
        <v>3.2099999999999937</v>
      </c>
      <c r="P37">
        <f t="shared" ca="1" si="6"/>
        <v>0</v>
      </c>
      <c r="Q37">
        <f t="shared" ca="1" si="10"/>
        <v>0.92056974755002741</v>
      </c>
      <c r="R37">
        <f t="shared" ca="1" si="11"/>
        <v>1.4757291811575115</v>
      </c>
      <c r="S37">
        <f t="shared" ca="1" si="8"/>
        <v>0.62380669793895649</v>
      </c>
      <c r="T37">
        <f t="shared" ca="1" si="9"/>
        <v>38.416315115015443</v>
      </c>
      <c r="U37">
        <f>70</f>
        <v>70</v>
      </c>
      <c r="V37">
        <f>30</f>
        <v>30</v>
      </c>
      <c r="W37">
        <f t="shared" ca="1" si="7"/>
        <v>107.60665988445331</v>
      </c>
      <c r="X37">
        <f t="shared" ca="1" si="17"/>
        <v>109.41424060071581</v>
      </c>
      <c r="Y37">
        <f t="shared" ca="1" si="16"/>
        <v>-2.0100575770655524</v>
      </c>
      <c r="Z37">
        <f ca="1">Y37*(2/(9+1)) + Z36*(1-(2/(9+1)))</f>
        <v>0.2456560503362144</v>
      </c>
      <c r="AA37">
        <f ca="1">Y37-Z37</f>
        <v>-2.2557136274017671</v>
      </c>
    </row>
    <row r="38" spans="1:27" x14ac:dyDescent="0.25">
      <c r="A38" s="20">
        <f t="shared" ca="1" si="0"/>
        <v>45761</v>
      </c>
      <c r="B38" vm="109">
        <f ca="1"/>
        <v>45761</v>
      </c>
      <c r="C38" vm="110">
        <f ca="1"/>
        <v>103.39</v>
      </c>
      <c r="D38" vm="111">
        <f ca="1"/>
        <v>18019969</v>
      </c>
      <c r="E38">
        <f t="shared" ca="1" si="1"/>
        <v>1863084594.9100001</v>
      </c>
      <c r="F38">
        <f ca="1">SUM($E$2:E38)/SUM($D$2:D38)</f>
        <v>109.79969247162482</v>
      </c>
      <c r="G38">
        <f ca="1">_xlfn.STDEV.P($C$2:C38)</f>
        <v>5.2920039603847187</v>
      </c>
      <c r="H38">
        <f t="shared" ca="1" si="2"/>
        <v>115.09169643200954</v>
      </c>
      <c r="I38">
        <f t="shared" ca="1" si="3"/>
        <v>104.5076885112401</v>
      </c>
      <c r="J38">
        <f t="shared" ca="1" si="12"/>
        <v>111.80550000000001</v>
      </c>
      <c r="K38">
        <f t="shared" ca="1" si="13"/>
        <v>6.9934408931738172</v>
      </c>
      <c r="L38">
        <f t="shared" ca="1" si="14"/>
        <v>125.79238178634765</v>
      </c>
      <c r="M38">
        <f t="shared" ca="1" si="15"/>
        <v>97.818618213652371</v>
      </c>
      <c r="N38">
        <f t="shared" ca="1" si="4"/>
        <v>0.25</v>
      </c>
      <c r="O38">
        <f t="shared" ca="1" si="5"/>
        <v>0.25</v>
      </c>
      <c r="P38">
        <f t="shared" ca="1" si="6"/>
        <v>0</v>
      </c>
      <c r="Q38">
        <f t="shared" ca="1" si="10"/>
        <v>0.87267190843931108</v>
      </c>
      <c r="R38">
        <f t="shared" ca="1" si="11"/>
        <v>1.370319953931975</v>
      </c>
      <c r="S38">
        <f t="shared" ca="1" si="8"/>
        <v>0.63683806539872656</v>
      </c>
      <c r="T38">
        <f t="shared" ca="1" si="9"/>
        <v>38.906601627913361</v>
      </c>
      <c r="U38">
        <f>70</f>
        <v>70</v>
      </c>
      <c r="V38">
        <f>30</f>
        <v>30</v>
      </c>
      <c r="W38">
        <f t="shared" ca="1" si="7"/>
        <v>106.95794297915279</v>
      </c>
      <c r="X38">
        <f t="shared" ca="1" si="17"/>
        <v>108.96800055621834</v>
      </c>
      <c r="Y38">
        <f t="shared" ca="1" si="16"/>
        <v>-2.1689205582979554</v>
      </c>
      <c r="Z38">
        <f t="shared" ref="Z38:Z101" ca="1" si="18">Y38*(2/(9+1)) + Z37*(1-(2/(9+1)))</f>
        <v>-0.23725927139061953</v>
      </c>
      <c r="AA38">
        <f t="shared" ref="AA38:AA101" ca="1" si="19">Y38-Z38</f>
        <v>-1.9316612869073357</v>
      </c>
    </row>
    <row r="39" spans="1:27" x14ac:dyDescent="0.25">
      <c r="A39" s="20">
        <f t="shared" ca="1" si="0"/>
        <v>45761</v>
      </c>
      <c r="B39" vm="112">
        <f ca="1"/>
        <v>45762</v>
      </c>
      <c r="C39" vm="113">
        <f ca="1"/>
        <v>103.1</v>
      </c>
      <c r="D39" vm="114">
        <f ca="1"/>
        <v>13164863</v>
      </c>
      <c r="E39">
        <f t="shared" ca="1" si="1"/>
        <v>1357297375.3</v>
      </c>
      <c r="F39">
        <f ca="1">SUM($E$2:E39)/SUM($D$2:D39)</f>
        <v>109.6788703208056</v>
      </c>
      <c r="G39">
        <f ca="1">_xlfn.STDEV.P($C$2:C39)</f>
        <v>5.3663366696544088</v>
      </c>
      <c r="H39">
        <f t="shared" ca="1" si="2"/>
        <v>115.04520699046</v>
      </c>
      <c r="I39">
        <f t="shared" ca="1" si="3"/>
        <v>104.3125336511512</v>
      </c>
      <c r="J39">
        <f t="shared" ca="1" si="12"/>
        <v>111.27850000000001</v>
      </c>
      <c r="K39">
        <f t="shared" ca="1" si="13"/>
        <v>7.2406813251676523</v>
      </c>
      <c r="L39">
        <f t="shared" ca="1" si="14"/>
        <v>125.75986265033531</v>
      </c>
      <c r="M39">
        <f t="shared" ca="1" si="15"/>
        <v>96.797137349664709</v>
      </c>
      <c r="N39">
        <f t="shared" ca="1" si="4"/>
        <v>-0.29000000000000625</v>
      </c>
      <c r="O39">
        <f t="shared" ca="1" si="5"/>
        <v>0</v>
      </c>
      <c r="P39">
        <f t="shared" ca="1" si="6"/>
        <v>0.29000000000000625</v>
      </c>
      <c r="Q39">
        <f t="shared" ca="1" si="10"/>
        <v>0.81033820069364604</v>
      </c>
      <c r="R39">
        <f t="shared" ca="1" si="11"/>
        <v>1.2931542429368343</v>
      </c>
      <c r="S39">
        <f t="shared" ca="1" si="8"/>
        <v>0.62663692681649263</v>
      </c>
      <c r="T39">
        <f t="shared" ca="1" si="9"/>
        <v>38.523466207231017</v>
      </c>
      <c r="U39">
        <f>70</f>
        <v>70</v>
      </c>
      <c r="V39">
        <f>30</f>
        <v>30</v>
      </c>
      <c r="W39">
        <f t="shared" ca="1" si="7"/>
        <v>106.36441329005235</v>
      </c>
      <c r="X39">
        <f t="shared" ca="1" si="17"/>
        <v>108.53333384835031</v>
      </c>
      <c r="Y39">
        <f t="shared" ca="1" si="16"/>
        <v>-2.1817172466333403</v>
      </c>
      <c r="Z39">
        <f t="shared" ca="1" si="18"/>
        <v>-0.62615086643916373</v>
      </c>
      <c r="AA39">
        <f t="shared" ca="1" si="19"/>
        <v>-1.5555663801941766</v>
      </c>
    </row>
    <row r="40" spans="1:27" x14ac:dyDescent="0.25">
      <c r="A40" s="20">
        <f t="shared" ca="1" si="0"/>
        <v>45761</v>
      </c>
      <c r="B40" vm="115">
        <f ca="1"/>
        <v>45763</v>
      </c>
      <c r="C40" vm="116">
        <f ca="1"/>
        <v>104.19</v>
      </c>
      <c r="D40" vm="117">
        <f ca="1"/>
        <v>13607024</v>
      </c>
      <c r="E40">
        <f t="shared" ca="1" si="1"/>
        <v>1417715830.5599999</v>
      </c>
      <c r="F40">
        <f ca="1">SUM($E$2:E40)/SUM($D$2:D40)</f>
        <v>109.57843166751415</v>
      </c>
      <c r="G40">
        <f ca="1">_xlfn.STDEV.P($C$2:C40)</f>
        <v>5.3937732136793501</v>
      </c>
      <c r="H40">
        <f t="shared" ca="1" si="2"/>
        <v>114.97220488119351</v>
      </c>
      <c r="I40">
        <f t="shared" ca="1" si="3"/>
        <v>104.1846584538348</v>
      </c>
      <c r="J40">
        <f t="shared" ca="1" si="12"/>
        <v>110.71750000000002</v>
      </c>
      <c r="K40">
        <f t="shared" ca="1" si="13"/>
        <v>7.3377358296182322</v>
      </c>
      <c r="L40">
        <f t="shared" ca="1" si="14"/>
        <v>125.39297165923648</v>
      </c>
      <c r="M40">
        <f t="shared" ca="1" si="15"/>
        <v>96.042028340763551</v>
      </c>
      <c r="N40">
        <f t="shared" ca="1" si="4"/>
        <v>1.0900000000000034</v>
      </c>
      <c r="O40">
        <f t="shared" ca="1" si="5"/>
        <v>1.0900000000000034</v>
      </c>
      <c r="P40">
        <f t="shared" ca="1" si="6"/>
        <v>0</v>
      </c>
      <c r="Q40">
        <f t="shared" ca="1" si="10"/>
        <v>0.83031404350124305</v>
      </c>
      <c r="R40">
        <f t="shared" ca="1" si="11"/>
        <v>1.2007860827270604</v>
      </c>
      <c r="S40">
        <f t="shared" ca="1" si="8"/>
        <v>0.6914754055239779</v>
      </c>
      <c r="T40">
        <f t="shared" ca="1" si="9"/>
        <v>40.880015356166275</v>
      </c>
      <c r="U40">
        <f>70</f>
        <v>70</v>
      </c>
      <c r="V40">
        <f>30</f>
        <v>30</v>
      </c>
      <c r="W40">
        <f t="shared" ca="1" si="7"/>
        <v>106.02988816850583</v>
      </c>
      <c r="X40">
        <f t="shared" ca="1" si="17"/>
        <v>108.21160541513918</v>
      </c>
      <c r="Y40">
        <f t="shared" ca="1" si="16"/>
        <v>-1.9491024896695137</v>
      </c>
      <c r="Z40">
        <f t="shared" ca="1" si="18"/>
        <v>-0.89074119108523386</v>
      </c>
      <c r="AA40">
        <f t="shared" ca="1" si="19"/>
        <v>-1.0583612985842799</v>
      </c>
    </row>
    <row r="41" spans="1:27" x14ac:dyDescent="0.25">
      <c r="A41" s="20">
        <f t="shared" ca="1" si="0"/>
        <v>45761</v>
      </c>
      <c r="B41" vm="118">
        <f ca="1"/>
        <v>45764</v>
      </c>
      <c r="C41" vm="119">
        <f ca="1"/>
        <v>106.92</v>
      </c>
      <c r="D41" vm="120">
        <f ca="1"/>
        <v>17916471</v>
      </c>
      <c r="E41">
        <f t="shared" ca="1" si="1"/>
        <v>1915629079.3199999</v>
      </c>
      <c r="F41">
        <f ca="1">SUM($E$2:E41)/SUM($D$2:D41)</f>
        <v>109.51588661663429</v>
      </c>
      <c r="G41">
        <f ca="1">_xlfn.STDEV.P($C$2:C41)</f>
        <v>5.3544785868934062</v>
      </c>
      <c r="H41">
        <f t="shared" ca="1" si="2"/>
        <v>114.8703652035277</v>
      </c>
      <c r="I41">
        <f t="shared" ca="1" si="3"/>
        <v>104.16140802974088</v>
      </c>
      <c r="J41">
        <f t="shared" ca="1" si="12"/>
        <v>110.26850000000002</v>
      </c>
      <c r="K41">
        <f t="shared" ca="1" si="13"/>
        <v>7.2784312038703574</v>
      </c>
      <c r="L41">
        <f t="shared" ca="1" si="14"/>
        <v>124.82536240774073</v>
      </c>
      <c r="M41">
        <f t="shared" ca="1" si="15"/>
        <v>95.711637592259308</v>
      </c>
      <c r="N41">
        <f t="shared" ca="1" si="4"/>
        <v>2.730000000000004</v>
      </c>
      <c r="O41">
        <f t="shared" ca="1" si="5"/>
        <v>2.730000000000004</v>
      </c>
      <c r="P41">
        <f t="shared" ca="1" si="6"/>
        <v>0</v>
      </c>
      <c r="Q41">
        <f t="shared" ca="1" si="10"/>
        <v>0.96600589753686883</v>
      </c>
      <c r="R41">
        <f t="shared" ca="1" si="11"/>
        <v>1.1150156482465561</v>
      </c>
      <c r="S41">
        <f t="shared" ca="1" si="8"/>
        <v>0.86636084350563514</v>
      </c>
      <c r="T41">
        <f t="shared" ca="1" si="9"/>
        <v>46.419793177739763</v>
      </c>
      <c r="U41">
        <f>70</f>
        <v>70</v>
      </c>
      <c r="V41">
        <f>30</f>
        <v>30</v>
      </c>
      <c r="W41">
        <f t="shared" ca="1" si="7"/>
        <v>106.16682845027417</v>
      </c>
      <c r="X41">
        <f t="shared" ca="1" si="17"/>
        <v>108.11593093994368</v>
      </c>
      <c r="Y41">
        <f t="shared" ca="1" si="16"/>
        <v>-1.8698846317671496</v>
      </c>
      <c r="Z41">
        <f t="shared" ca="1" si="18"/>
        <v>-1.0865698792216172</v>
      </c>
      <c r="AA41">
        <f t="shared" ca="1" si="19"/>
        <v>-0.7833147525455324</v>
      </c>
    </row>
    <row r="42" spans="1:27" x14ac:dyDescent="0.25">
      <c r="A42" s="20">
        <f t="shared" ca="1" si="0"/>
        <v>45768</v>
      </c>
      <c r="B42" vm="121">
        <f ca="1"/>
        <v>45768</v>
      </c>
      <c r="C42" vm="122">
        <f ca="1"/>
        <v>105.35</v>
      </c>
      <c r="D42" vm="123">
        <f ca="1"/>
        <v>16926493</v>
      </c>
      <c r="E42">
        <f t="shared" ca="1" si="1"/>
        <v>1783206037.55</v>
      </c>
      <c r="F42">
        <f ca="1">SUM($E$2:E42)/SUM($D$2:D42)</f>
        <v>109.42530458918039</v>
      </c>
      <c r="G42">
        <f ca="1">_xlfn.STDEV.P($C$2:C42)</f>
        <v>5.3451394634193363</v>
      </c>
      <c r="H42">
        <f t="shared" ca="1" si="2"/>
        <v>114.77044405259971</v>
      </c>
      <c r="I42">
        <f t="shared" ca="1" si="3"/>
        <v>104.08016512576106</v>
      </c>
      <c r="J42">
        <f t="shared" ca="1" si="12"/>
        <v>109.761</v>
      </c>
      <c r="K42">
        <f t="shared" ca="1" si="13"/>
        <v>7.2482577943000619</v>
      </c>
      <c r="L42">
        <f t="shared" ca="1" si="14"/>
        <v>124.25751558860011</v>
      </c>
      <c r="M42">
        <f t="shared" ca="1" si="15"/>
        <v>95.264484411399877</v>
      </c>
      <c r="N42">
        <f t="shared" ca="1" si="4"/>
        <v>-1.5700000000000074</v>
      </c>
      <c r="O42">
        <f t="shared" ca="1" si="5"/>
        <v>0</v>
      </c>
      <c r="P42">
        <f t="shared" ca="1" si="6"/>
        <v>1.5700000000000074</v>
      </c>
      <c r="Q42">
        <f t="shared" ca="1" si="10"/>
        <v>0.89700547628423533</v>
      </c>
      <c r="R42">
        <f t="shared" ca="1" si="11"/>
        <v>1.1475145305146597</v>
      </c>
      <c r="S42">
        <f t="shared" ca="1" si="8"/>
        <v>0.78169422036157465</v>
      </c>
      <c r="T42">
        <f t="shared" ca="1" si="9"/>
        <v>43.87364629846185</v>
      </c>
      <c r="U42">
        <f>70</f>
        <v>70</v>
      </c>
      <c r="V42">
        <f>30</f>
        <v>30</v>
      </c>
      <c r="W42">
        <f t="shared" ca="1" si="7"/>
        <v>106.04116253484737</v>
      </c>
      <c r="X42">
        <f t="shared" ca="1" si="17"/>
        <v>107.91104716661452</v>
      </c>
      <c r="Y42">
        <f t="shared" ca="1" si="16"/>
        <v>-1.5511824965813332</v>
      </c>
      <c r="Z42">
        <f t="shared" ca="1" si="18"/>
        <v>-1.1794924026935605</v>
      </c>
      <c r="AA42">
        <f t="shared" ca="1" si="19"/>
        <v>-0.37169009388777274</v>
      </c>
    </row>
    <row r="43" spans="1:27" x14ac:dyDescent="0.25">
      <c r="A43" s="20">
        <f t="shared" ca="1" si="0"/>
        <v>45768</v>
      </c>
      <c r="B43" vm="124">
        <f ca="1"/>
        <v>45769</v>
      </c>
      <c r="C43" vm="125">
        <f ca="1"/>
        <v>108.3</v>
      </c>
      <c r="D43" vm="126">
        <f ca="1"/>
        <v>13147049</v>
      </c>
      <c r="E43">
        <f t="shared" ca="1" si="1"/>
        <v>1423825406.7</v>
      </c>
      <c r="F43">
        <f ca="1">SUM($E$2:E43)/SUM($D$2:D43)</f>
        <v>109.40661530957848</v>
      </c>
      <c r="G43">
        <f ca="1">_xlfn.STDEV.P($C$2:C43)</f>
        <v>5.2894531178293187</v>
      </c>
      <c r="H43">
        <f t="shared" ca="1" si="2"/>
        <v>114.69606842740781</v>
      </c>
      <c r="I43">
        <f t="shared" ca="1" si="3"/>
        <v>104.11716219174916</v>
      </c>
      <c r="J43">
        <f t="shared" ca="1" si="12"/>
        <v>109.38600000000001</v>
      </c>
      <c r="K43">
        <f t="shared" ca="1" si="13"/>
        <v>7.1121100577595282</v>
      </c>
      <c r="L43">
        <f t="shared" ca="1" si="14"/>
        <v>123.61022011551907</v>
      </c>
      <c r="M43">
        <f t="shared" ca="1" si="15"/>
        <v>95.16177988448095</v>
      </c>
      <c r="N43">
        <f t="shared" ca="1" si="4"/>
        <v>2.9500000000000028</v>
      </c>
      <c r="O43">
        <f t="shared" ca="1" si="5"/>
        <v>2.9500000000000028</v>
      </c>
      <c r="P43">
        <f t="shared" ca="1" si="6"/>
        <v>0</v>
      </c>
      <c r="Q43">
        <f t="shared" ca="1" si="10"/>
        <v>1.0436479422639331</v>
      </c>
      <c r="R43">
        <f t="shared" ca="1" si="11"/>
        <v>1.0655492069064698</v>
      </c>
      <c r="S43">
        <f t="shared" ca="1" si="8"/>
        <v>0.97944603167964339</v>
      </c>
      <c r="T43">
        <f t="shared" ca="1" si="9"/>
        <v>49.480815137381754</v>
      </c>
      <c r="U43">
        <f>70</f>
        <v>70</v>
      </c>
      <c r="V43">
        <f>30</f>
        <v>30</v>
      </c>
      <c r="W43">
        <f t="shared" ca="1" si="7"/>
        <v>106.38867599102471</v>
      </c>
      <c r="X43">
        <f t="shared" ca="1" si="17"/>
        <v>107.93985848760605</v>
      </c>
      <c r="Y43">
        <f t="shared" ca="1" si="16"/>
        <v>-1.3579978323009243</v>
      </c>
      <c r="Z43">
        <f t="shared" ca="1" si="18"/>
        <v>-1.2151934886150333</v>
      </c>
      <c r="AA43">
        <f t="shared" ca="1" si="19"/>
        <v>-0.14280434368589101</v>
      </c>
    </row>
    <row r="44" spans="1:27" x14ac:dyDescent="0.25">
      <c r="A44" s="20">
        <f t="shared" ca="1" si="0"/>
        <v>45768</v>
      </c>
      <c r="B44" vm="127">
        <f ca="1"/>
        <v>45770</v>
      </c>
      <c r="C44" vm="128">
        <f ca="1"/>
        <v>107.37</v>
      </c>
      <c r="D44" vm="129">
        <f ca="1"/>
        <v>14235710</v>
      </c>
      <c r="E44">
        <f t="shared" ca="1" si="1"/>
        <v>1528488182.7</v>
      </c>
      <c r="F44">
        <f ca="1">SUM($E$2:E44)/SUM($D$2:D44)</f>
        <v>109.37063692968056</v>
      </c>
      <c r="G44">
        <f ca="1">_xlfn.STDEV.P($C$2:C44)</f>
        <v>5.2449573712139763</v>
      </c>
      <c r="H44">
        <f t="shared" ca="1" si="2"/>
        <v>114.61559430089453</v>
      </c>
      <c r="I44">
        <f t="shared" ca="1" si="3"/>
        <v>104.12567955846659</v>
      </c>
      <c r="J44">
        <f t="shared" ca="1" si="12"/>
        <v>108.925</v>
      </c>
      <c r="K44">
        <f t="shared" ca="1" si="13"/>
        <v>6.9167086027052536</v>
      </c>
      <c r="L44">
        <f t="shared" ca="1" si="14"/>
        <v>122.75841720541051</v>
      </c>
      <c r="M44">
        <f t="shared" ca="1" si="15"/>
        <v>95.091582794589485</v>
      </c>
      <c r="N44">
        <f t="shared" ca="1" si="4"/>
        <v>-0.92999999999999261</v>
      </c>
      <c r="O44">
        <f t="shared" ca="1" si="5"/>
        <v>0</v>
      </c>
      <c r="P44">
        <f t="shared" ca="1" si="6"/>
        <v>0.92999999999999261</v>
      </c>
      <c r="Q44">
        <f t="shared" ca="1" si="10"/>
        <v>0.96910166067365211</v>
      </c>
      <c r="R44">
        <f t="shared" ca="1" si="11"/>
        <v>1.0558671206988643</v>
      </c>
      <c r="S44">
        <f t="shared" ca="1" si="8"/>
        <v>0.9178253983628325</v>
      </c>
      <c r="T44">
        <f t="shared" ca="1" si="9"/>
        <v>47.857609933956539</v>
      </c>
      <c r="U44">
        <f>70</f>
        <v>70</v>
      </c>
      <c r="V44">
        <f>30</f>
        <v>30</v>
      </c>
      <c r="W44">
        <f t="shared" ca="1" si="7"/>
        <v>106.53964891548245</v>
      </c>
      <c r="X44">
        <f t="shared" ca="1" si="17"/>
        <v>107.89764674778337</v>
      </c>
      <c r="Y44">
        <f t="shared" ca="1" si="16"/>
        <v>-1.0906537468128477</v>
      </c>
      <c r="Z44">
        <f t="shared" ca="1" si="18"/>
        <v>-1.1902855402545962</v>
      </c>
      <c r="AA44">
        <f t="shared" ca="1" si="19"/>
        <v>9.9631793441748551E-2</v>
      </c>
    </row>
    <row r="45" spans="1:27" x14ac:dyDescent="0.25">
      <c r="A45" s="20">
        <f t="shared" ca="1" si="0"/>
        <v>45768</v>
      </c>
      <c r="B45" vm="130">
        <f ca="1"/>
        <v>45771</v>
      </c>
      <c r="C45" vm="131">
        <f ca="1"/>
        <v>108.63</v>
      </c>
      <c r="D45" vm="132">
        <f ca="1"/>
        <v>9849553</v>
      </c>
      <c r="E45">
        <f t="shared" ca="1" si="1"/>
        <v>1069956942.39</v>
      </c>
      <c r="F45">
        <f ca="1">SUM($E$2:E45)/SUM($D$2:D45)</f>
        <v>109.3616935999171</v>
      </c>
      <c r="G45">
        <f ca="1">_xlfn.STDEV.P($C$2:C45)</f>
        <v>5.1898568030691994</v>
      </c>
      <c r="H45">
        <f t="shared" ca="1" si="2"/>
        <v>114.55155040298631</v>
      </c>
      <c r="I45">
        <f t="shared" ca="1" si="3"/>
        <v>104.1718367968479</v>
      </c>
      <c r="J45">
        <f t="shared" ca="1" si="12"/>
        <v>108.44300000000001</v>
      </c>
      <c r="K45">
        <f t="shared" ca="1" si="13"/>
        <v>6.5577909470539844</v>
      </c>
      <c r="L45">
        <f t="shared" ca="1" si="14"/>
        <v>121.55858189410799</v>
      </c>
      <c r="M45">
        <f t="shared" ca="1" si="15"/>
        <v>95.327418105892036</v>
      </c>
      <c r="N45">
        <f t="shared" ca="1" si="4"/>
        <v>1.2599999999999909</v>
      </c>
      <c r="O45">
        <f t="shared" ca="1" si="5"/>
        <v>1.2599999999999909</v>
      </c>
      <c r="P45">
        <f t="shared" ca="1" si="6"/>
        <v>0</v>
      </c>
      <c r="Q45">
        <f t="shared" ca="1" si="10"/>
        <v>0.98988011348267624</v>
      </c>
      <c r="R45">
        <f t="shared" ca="1" si="11"/>
        <v>0.98044804064894542</v>
      </c>
      <c r="S45">
        <f t="shared" ca="1" si="8"/>
        <v>1.0096201659268838</v>
      </c>
      <c r="T45">
        <f t="shared" ca="1" si="9"/>
        <v>50.23935284114863</v>
      </c>
      <c r="U45">
        <f>70</f>
        <v>70</v>
      </c>
      <c r="V45">
        <f>30</f>
        <v>30</v>
      </c>
      <c r="W45">
        <f t="shared" ca="1" si="7"/>
        <v>106.86124139002361</v>
      </c>
      <c r="X45">
        <f t="shared" ca="1" si="17"/>
        <v>107.95189513683646</v>
      </c>
      <c r="Y45">
        <f t="shared" ca="1" si="16"/>
        <v>-0.8735533522360015</v>
      </c>
      <c r="Z45">
        <f t="shared" ca="1" si="18"/>
        <v>-1.1269391026508773</v>
      </c>
      <c r="AA45">
        <f t="shared" ca="1" si="19"/>
        <v>0.25338575041487577</v>
      </c>
    </row>
    <row r="46" spans="1:27" x14ac:dyDescent="0.25">
      <c r="A46" s="20">
        <f t="shared" ca="1" si="0"/>
        <v>45768</v>
      </c>
      <c r="B46" vm="133">
        <f ca="1"/>
        <v>45772</v>
      </c>
      <c r="C46" vm="134">
        <f ca="1"/>
        <v>108.57</v>
      </c>
      <c r="D46" vm="135">
        <f ca="1"/>
        <v>11245793</v>
      </c>
      <c r="E46">
        <f t="shared" ca="1" si="1"/>
        <v>1220955746.01</v>
      </c>
      <c r="F46">
        <f ca="1">SUM($E$2:E46)/SUM($D$2:D46)</f>
        <v>109.35092701690513</v>
      </c>
      <c r="G46">
        <f ca="1">_xlfn.STDEV.P($C$2:C46)</f>
        <v>5.1368210662496976</v>
      </c>
      <c r="H46">
        <f t="shared" ca="1" si="2"/>
        <v>114.48774808315483</v>
      </c>
      <c r="I46">
        <f t="shared" ca="1" si="3"/>
        <v>104.21410595065544</v>
      </c>
      <c r="J46">
        <f t="shared" ca="1" si="12"/>
        <v>107.97700000000002</v>
      </c>
      <c r="K46">
        <f t="shared" ca="1" si="13"/>
        <v>6.1708782109791196</v>
      </c>
      <c r="L46">
        <f t="shared" ca="1" si="14"/>
        <v>120.31875642195826</v>
      </c>
      <c r="M46">
        <f t="shared" ca="1" si="15"/>
        <v>95.635243578041781</v>
      </c>
      <c r="N46">
        <f t="shared" ca="1" si="4"/>
        <v>-6.0000000000002274E-2</v>
      </c>
      <c r="O46">
        <f t="shared" ca="1" si="5"/>
        <v>0</v>
      </c>
      <c r="P46">
        <f t="shared" ca="1" si="6"/>
        <v>6.0000000000002274E-2</v>
      </c>
      <c r="Q46">
        <f t="shared" ca="1" si="10"/>
        <v>0.91917439109105648</v>
      </c>
      <c r="R46">
        <f t="shared" ca="1" si="11"/>
        <v>0.91470175203116377</v>
      </c>
      <c r="S46">
        <f t="shared" ca="1" si="8"/>
        <v>1.0048897239454946</v>
      </c>
      <c r="T46">
        <f t="shared" ca="1" si="9"/>
        <v>50.121944960041787</v>
      </c>
      <c r="U46">
        <f>70</f>
        <v>70</v>
      </c>
      <c r="V46">
        <f>30</f>
        <v>30</v>
      </c>
      <c r="W46">
        <f t="shared" ca="1" si="7"/>
        <v>107.12412733001997</v>
      </c>
      <c r="X46">
        <f t="shared" ca="1" si="17"/>
        <v>107.99768068225598</v>
      </c>
      <c r="Y46">
        <f t="shared" ca="1" si="16"/>
        <v>-0.6887191017585792</v>
      </c>
      <c r="Z46">
        <f t="shared" ca="1" si="18"/>
        <v>-1.0392951024724177</v>
      </c>
      <c r="AA46">
        <f t="shared" ca="1" si="19"/>
        <v>0.35057600071383854</v>
      </c>
    </row>
    <row r="47" spans="1:27" x14ac:dyDescent="0.25">
      <c r="A47" s="20">
        <f t="shared" ca="1" si="0"/>
        <v>45775</v>
      </c>
      <c r="B47" vm="136">
        <f ca="1"/>
        <v>45775</v>
      </c>
      <c r="C47" vm="131">
        <f ca="1"/>
        <v>108.63</v>
      </c>
      <c r="D47" vm="137">
        <f ca="1"/>
        <v>13890869</v>
      </c>
      <c r="E47">
        <f t="shared" ca="1" si="1"/>
        <v>1508965099.47</v>
      </c>
      <c r="F47">
        <f ca="1">SUM($E$2:E47)/SUM($D$2:D47)</f>
        <v>109.33901688240854</v>
      </c>
      <c r="G47">
        <f ca="1">_xlfn.STDEV.P($C$2:C47)</f>
        <v>5.0849931551107952</v>
      </c>
      <c r="H47">
        <f t="shared" ca="1" si="2"/>
        <v>114.42401003751934</v>
      </c>
      <c r="I47">
        <f t="shared" ca="1" si="3"/>
        <v>104.25402372729775</v>
      </c>
      <c r="J47">
        <f t="shared" ca="1" si="12"/>
        <v>107.52200000000001</v>
      </c>
      <c r="K47">
        <f t="shared" ca="1" si="13"/>
        <v>5.7339245309225886</v>
      </c>
      <c r="L47">
        <f t="shared" ca="1" si="14"/>
        <v>118.98984906184518</v>
      </c>
      <c r="M47">
        <f t="shared" ca="1" si="15"/>
        <v>96.054150938154834</v>
      </c>
      <c r="N47">
        <f t="shared" ca="1" si="4"/>
        <v>6.0000000000002274E-2</v>
      </c>
      <c r="O47">
        <f t="shared" ca="1" si="5"/>
        <v>6.0000000000002274E-2</v>
      </c>
      <c r="P47">
        <f t="shared" ca="1" si="6"/>
        <v>0</v>
      </c>
      <c r="Q47">
        <f t="shared" ca="1" si="10"/>
        <v>0.85780479172740975</v>
      </c>
      <c r="R47">
        <f t="shared" ca="1" si="11"/>
        <v>0.84936591260036642</v>
      </c>
      <c r="S47">
        <f t="shared" ca="1" si="8"/>
        <v>1.0099355048299588</v>
      </c>
      <c r="T47">
        <f t="shared" ca="1" si="9"/>
        <v>50.247159792094905</v>
      </c>
      <c r="U47">
        <f>70</f>
        <v>70</v>
      </c>
      <c r="V47">
        <f>30</f>
        <v>30</v>
      </c>
      <c r="W47">
        <f t="shared" ca="1" si="7"/>
        <v>107.35580004847843</v>
      </c>
      <c r="X47">
        <f t="shared" ca="1" si="17"/>
        <v>108.04451915023701</v>
      </c>
      <c r="Y47">
        <f t="shared" ca="1" si="16"/>
        <v>-0.55759575335879674</v>
      </c>
      <c r="Z47">
        <f t="shared" ca="1" si="18"/>
        <v>-0.94295523264969361</v>
      </c>
      <c r="AA47">
        <f t="shared" ca="1" si="19"/>
        <v>0.38535947929089687</v>
      </c>
    </row>
    <row r="48" spans="1:27" x14ac:dyDescent="0.25">
      <c r="A48" s="20">
        <f t="shared" ca="1" si="0"/>
        <v>45775</v>
      </c>
      <c r="B48" vm="138">
        <f ca="1"/>
        <v>45776</v>
      </c>
      <c r="C48" vm="139">
        <f ca="1"/>
        <v>108.36</v>
      </c>
      <c r="D48" vm="140">
        <f ca="1"/>
        <v>9483135</v>
      </c>
      <c r="E48">
        <f t="shared" ca="1" si="1"/>
        <v>1027592508.6</v>
      </c>
      <c r="F48">
        <f ca="1">SUM($E$2:E48)/SUM($D$2:D48)</f>
        <v>109.32809827306636</v>
      </c>
      <c r="G48">
        <f ca="1">_xlfn.STDEV.P($C$2:C48)</f>
        <v>5.0364086452201047</v>
      </c>
      <c r="H48">
        <f t="shared" ca="1" si="2"/>
        <v>114.36450691828647</v>
      </c>
      <c r="I48">
        <f t="shared" ca="1" si="3"/>
        <v>104.29168962784625</v>
      </c>
      <c r="J48">
        <f t="shared" ca="1" si="12"/>
        <v>106.9935</v>
      </c>
      <c r="K48">
        <f t="shared" ca="1" si="13"/>
        <v>5.0765376462392382</v>
      </c>
      <c r="L48">
        <f t="shared" ca="1" si="14"/>
        <v>117.14657529247847</v>
      </c>
      <c r="M48">
        <f t="shared" ca="1" si="15"/>
        <v>96.840424707521521</v>
      </c>
      <c r="N48">
        <f t="shared" ca="1" si="4"/>
        <v>-0.26999999999999602</v>
      </c>
      <c r="O48">
        <f t="shared" ca="1" si="5"/>
        <v>0</v>
      </c>
      <c r="P48">
        <f t="shared" ca="1" si="6"/>
        <v>0.26999999999999602</v>
      </c>
      <c r="Q48">
        <f t="shared" ca="1" si="10"/>
        <v>0.79653302088973754</v>
      </c>
      <c r="R48">
        <f t="shared" ca="1" si="11"/>
        <v>0.80798263312891139</v>
      </c>
      <c r="S48">
        <f t="shared" ca="1" si="8"/>
        <v>0.98582938324449465</v>
      </c>
      <c r="T48">
        <f t="shared" ca="1" si="9"/>
        <v>49.643206589773762</v>
      </c>
      <c r="U48">
        <f>70</f>
        <v>70</v>
      </c>
      <c r="V48">
        <f>30</f>
        <v>30</v>
      </c>
      <c r="W48">
        <f t="shared" ca="1" si="7"/>
        <v>107.51029234871251</v>
      </c>
      <c r="X48">
        <f t="shared" ca="1" si="17"/>
        <v>108.06788810207131</v>
      </c>
      <c r="Y48">
        <f t="shared" ca="1" si="16"/>
        <v>-0.66628719545741433</v>
      </c>
      <c r="Z48">
        <f t="shared" ca="1" si="18"/>
        <v>-0.88762162521123789</v>
      </c>
      <c r="AA48">
        <f t="shared" ca="1" si="19"/>
        <v>0.22133442975382356</v>
      </c>
    </row>
    <row r="49" spans="1:27" x14ac:dyDescent="0.25">
      <c r="A49" s="20">
        <f t="shared" ca="1" si="0"/>
        <v>45775</v>
      </c>
      <c r="B49" vm="141">
        <f ca="1"/>
        <v>45777</v>
      </c>
      <c r="C49" vm="142">
        <f ca="1"/>
        <v>105.63</v>
      </c>
      <c r="D49" vm="143">
        <f ca="1"/>
        <v>20379282</v>
      </c>
      <c r="E49">
        <f t="shared" ca="1" si="1"/>
        <v>2152663557.6599998</v>
      </c>
      <c r="F49">
        <f ca="1">SUM($E$2:E49)/SUM($D$2:D49)</f>
        <v>109.24154040124073</v>
      </c>
      <c r="G49">
        <f ca="1">_xlfn.STDEV.P($C$2:C49)</f>
        <v>5.0225867572770717</v>
      </c>
      <c r="H49">
        <f t="shared" ca="1" si="2"/>
        <v>114.26412715851779</v>
      </c>
      <c r="I49">
        <f t="shared" ca="1" si="3"/>
        <v>104.21895364396366</v>
      </c>
      <c r="J49">
        <f t="shared" ca="1" si="12"/>
        <v>106.32299999999998</v>
      </c>
      <c r="K49">
        <f t="shared" ca="1" si="13"/>
        <v>4.2140305746648927</v>
      </c>
      <c r="L49">
        <f t="shared" ca="1" si="14"/>
        <v>114.75106114932976</v>
      </c>
      <c r="M49">
        <f t="shared" ca="1" si="15"/>
        <v>97.894938850670201</v>
      </c>
      <c r="N49">
        <f t="shared" ca="1" si="4"/>
        <v>-2.730000000000004</v>
      </c>
      <c r="O49">
        <f t="shared" ca="1" si="5"/>
        <v>0</v>
      </c>
      <c r="P49">
        <f t="shared" ca="1" si="6"/>
        <v>2.730000000000004</v>
      </c>
      <c r="Q49">
        <f t="shared" ca="1" si="10"/>
        <v>0.73963780511189914</v>
      </c>
      <c r="R49">
        <f t="shared" ca="1" si="11"/>
        <v>0.94526958790541804</v>
      </c>
      <c r="S49">
        <f t="shared" ca="1" si="8"/>
        <v>0.78246228861634126</v>
      </c>
      <c r="T49">
        <f t="shared" ca="1" si="9"/>
        <v>43.897831309729277</v>
      </c>
      <c r="U49">
        <f>70</f>
        <v>70</v>
      </c>
      <c r="V49">
        <f>30</f>
        <v>30</v>
      </c>
      <c r="W49">
        <f t="shared" ca="1" si="7"/>
        <v>107.22101660275675</v>
      </c>
      <c r="X49">
        <f t="shared" ca="1" si="17"/>
        <v>107.88730379821416</v>
      </c>
      <c r="Y49">
        <f t="shared" ca="1" si="16"/>
        <v>-0.73188547977450469</v>
      </c>
      <c r="Z49">
        <f t="shared" ca="1" si="18"/>
        <v>-0.8564743961238912</v>
      </c>
      <c r="AA49">
        <f t="shared" ca="1" si="19"/>
        <v>0.12458891634938651</v>
      </c>
    </row>
    <row r="50" spans="1:27" x14ac:dyDescent="0.25">
      <c r="A50" s="20">
        <f t="shared" ca="1" si="0"/>
        <v>45775</v>
      </c>
      <c r="B50" vm="144">
        <f ca="1"/>
        <v>45778</v>
      </c>
      <c r="C50" vm="145">
        <f ca="1"/>
        <v>105.78</v>
      </c>
      <c r="D50" vm="146">
        <f ca="1"/>
        <v>18610256</v>
      </c>
      <c r="E50">
        <f t="shared" ca="1" si="1"/>
        <v>1968592879.6800001</v>
      </c>
      <c r="F50">
        <f ca="1">SUM($E$2:E50)/SUM($D$2:D50)</f>
        <v>109.16910079584277</v>
      </c>
      <c r="G50">
        <f ca="1">_xlfn.STDEV.P($C$2:C50)</f>
        <v>5.0052212804868983</v>
      </c>
      <c r="H50">
        <f t="shared" ca="1" si="2"/>
        <v>114.17432207632966</v>
      </c>
      <c r="I50">
        <f t="shared" ca="1" si="3"/>
        <v>104.16387951535587</v>
      </c>
      <c r="J50">
        <f t="shared" ca="1" si="12"/>
        <v>105.67849999999999</v>
      </c>
      <c r="K50">
        <f t="shared" ca="1" si="13"/>
        <v>3.051676459018275</v>
      </c>
      <c r="L50">
        <f t="shared" ca="1" si="14"/>
        <v>111.78185291803653</v>
      </c>
      <c r="M50">
        <f t="shared" ca="1" si="15"/>
        <v>99.575147081963436</v>
      </c>
      <c r="N50">
        <f t="shared" ca="1" si="4"/>
        <v>0.15000000000000568</v>
      </c>
      <c r="O50">
        <f t="shared" ca="1" si="5"/>
        <v>0.15000000000000568</v>
      </c>
      <c r="P50">
        <f t="shared" ca="1" si="6"/>
        <v>0</v>
      </c>
      <c r="Q50">
        <f t="shared" ca="1" si="10"/>
        <v>0.6975208190324782</v>
      </c>
      <c r="R50">
        <f t="shared" ca="1" si="11"/>
        <v>0.87775033162645955</v>
      </c>
      <c r="S50">
        <f t="shared" ca="1" si="8"/>
        <v>0.79466881856937788</v>
      </c>
      <c r="T50">
        <f t="shared" ca="1" si="9"/>
        <v>44.279413023002704</v>
      </c>
      <c r="U50">
        <f>70</f>
        <v>70</v>
      </c>
      <c r="V50">
        <f>30</f>
        <v>30</v>
      </c>
      <c r="W50">
        <f t="shared" ca="1" si="7"/>
        <v>106.99932174079417</v>
      </c>
      <c r="X50">
        <f t="shared" ca="1" si="17"/>
        <v>107.73120722056868</v>
      </c>
      <c r="Y50">
        <f t="shared" ca="1" si="16"/>
        <v>-0.74063757740442782</v>
      </c>
      <c r="Z50">
        <f t="shared" ca="1" si="18"/>
        <v>-0.83330703237999859</v>
      </c>
      <c r="AA50">
        <f t="shared" ca="1" si="19"/>
        <v>9.2669454975570775E-2</v>
      </c>
    </row>
    <row r="51" spans="1:27" x14ac:dyDescent="0.25">
      <c r="A51" s="20">
        <f t="shared" ca="1" si="0"/>
        <v>45775</v>
      </c>
      <c r="B51" vm="147">
        <f ca="1"/>
        <v>45779</v>
      </c>
      <c r="C51" vm="148">
        <f ca="1"/>
        <v>106.21</v>
      </c>
      <c r="D51" vm="149">
        <f ca="1"/>
        <v>16581870</v>
      </c>
      <c r="E51">
        <f t="shared" ca="1" si="1"/>
        <v>1761160412.6999998</v>
      </c>
      <c r="F51">
        <f ca="1">SUM($E$2:E51)/SUM($D$2:D51)</f>
        <v>109.11493510768393</v>
      </c>
      <c r="G51">
        <f ca="1">_xlfn.STDEV.P($C$2:C51)</f>
        <v>4.9806800178288917</v>
      </c>
      <c r="H51">
        <f t="shared" ca="1" si="2"/>
        <v>114.09561512551282</v>
      </c>
      <c r="I51">
        <f t="shared" ca="1" si="3"/>
        <v>104.13425508985505</v>
      </c>
      <c r="J51">
        <f t="shared" ca="1" si="12"/>
        <v>105.36749999999998</v>
      </c>
      <c r="K51">
        <f t="shared" ca="1" si="13"/>
        <v>2.6127941788538611</v>
      </c>
      <c r="L51">
        <f t="shared" ca="1" si="14"/>
        <v>110.5930883577077</v>
      </c>
      <c r="M51">
        <f t="shared" ca="1" si="15"/>
        <v>100.14191164229226</v>
      </c>
      <c r="N51">
        <f t="shared" ca="1" si="4"/>
        <v>0.42999999999999261</v>
      </c>
      <c r="O51">
        <f t="shared" ca="1" si="5"/>
        <v>0.42999999999999261</v>
      </c>
      <c r="P51">
        <f t="shared" ca="1" si="6"/>
        <v>0</v>
      </c>
      <c r="Q51">
        <f t="shared" ca="1" si="10"/>
        <v>0.6784121891015864</v>
      </c>
      <c r="R51">
        <f t="shared" ca="1" si="11"/>
        <v>0.81505387936742668</v>
      </c>
      <c r="S51">
        <f t="shared" ca="1" si="8"/>
        <v>0.83235256745003217</v>
      </c>
      <c r="T51">
        <f t="shared" ca="1" si="9"/>
        <v>45.425350024660588</v>
      </c>
      <c r="U51">
        <f>70</f>
        <v>70</v>
      </c>
      <c r="V51">
        <f>30</f>
        <v>30</v>
      </c>
      <c r="W51">
        <f t="shared" ca="1" si="7"/>
        <v>106.87788762682584</v>
      </c>
      <c r="X51">
        <f t="shared" ca="1" si="17"/>
        <v>107.61852520423027</v>
      </c>
      <c r="Y51">
        <f t="shared" ca="1" si="16"/>
        <v>-0.97358423420958218</v>
      </c>
      <c r="Z51">
        <f t="shared" ca="1" si="18"/>
        <v>-0.86136247274591538</v>
      </c>
      <c r="AA51">
        <f t="shared" ca="1" si="19"/>
        <v>-0.1122217614636668</v>
      </c>
    </row>
    <row r="52" spans="1:27" x14ac:dyDescent="0.25">
      <c r="A52" s="20">
        <f t="shared" ca="1" si="0"/>
        <v>45782</v>
      </c>
      <c r="B52" vm="150">
        <f ca="1"/>
        <v>45782</v>
      </c>
      <c r="C52" vm="151">
        <f ca="1"/>
        <v>103.27</v>
      </c>
      <c r="D52" vm="152">
        <f ca="1"/>
        <v>19623970</v>
      </c>
      <c r="E52">
        <f t="shared" ca="1" si="1"/>
        <v>2026567381.8999999</v>
      </c>
      <c r="F52">
        <f ca="1">SUM($E$2:E52)/SUM($D$2:D52)</f>
        <v>108.99100126506363</v>
      </c>
      <c r="G52">
        <f ca="1">_xlfn.STDEV.P($C$2:C52)</f>
        <v>5.0128189845108651</v>
      </c>
      <c r="H52">
        <f t="shared" ca="1" si="2"/>
        <v>114.00382024957449</v>
      </c>
      <c r="I52">
        <f t="shared" ca="1" si="3"/>
        <v>103.97818228055277</v>
      </c>
      <c r="J52">
        <f t="shared" ca="1" si="12"/>
        <v>105.31399999999999</v>
      </c>
      <c r="K52">
        <f t="shared" ca="1" si="13"/>
        <v>2.645688448858075</v>
      </c>
      <c r="L52">
        <f t="shared" ca="1" si="14"/>
        <v>110.60537689771614</v>
      </c>
      <c r="M52">
        <f t="shared" ca="1" si="15"/>
        <v>100.02262310228384</v>
      </c>
      <c r="N52">
        <f t="shared" ca="1" si="4"/>
        <v>-2.9399999999999977</v>
      </c>
      <c r="O52">
        <f t="shared" ca="1" si="5"/>
        <v>0</v>
      </c>
      <c r="P52">
        <f t="shared" ca="1" si="6"/>
        <v>2.9399999999999977</v>
      </c>
      <c r="Q52">
        <f t="shared" ca="1" si="10"/>
        <v>0.6299541755943302</v>
      </c>
      <c r="R52">
        <f t="shared" ca="1" si="11"/>
        <v>0.96683574512689596</v>
      </c>
      <c r="S52">
        <f t="shared" ca="1" si="8"/>
        <v>0.6515627693426348</v>
      </c>
      <c r="T52">
        <f t="shared" ca="1" si="9"/>
        <v>39.451287074119122</v>
      </c>
      <c r="U52">
        <f>70</f>
        <v>70</v>
      </c>
      <c r="V52">
        <f>30</f>
        <v>30</v>
      </c>
      <c r="W52">
        <f t="shared" ca="1" si="7"/>
        <v>106.32282799192956</v>
      </c>
      <c r="X52">
        <f t="shared" ca="1" si="17"/>
        <v>107.29641222613914</v>
      </c>
      <c r="Y52">
        <f t="shared" ca="1" si="16"/>
        <v>-1.0301255267582405</v>
      </c>
      <c r="Z52">
        <f t="shared" ca="1" si="18"/>
        <v>-0.89511508354838043</v>
      </c>
      <c r="AA52">
        <f t="shared" ca="1" si="19"/>
        <v>-0.13501044320986011</v>
      </c>
    </row>
    <row r="53" spans="1:27" x14ac:dyDescent="0.25">
      <c r="A53" s="20">
        <f t="shared" ca="1" si="0"/>
        <v>45782</v>
      </c>
      <c r="B53" vm="153">
        <f ca="1"/>
        <v>45783</v>
      </c>
      <c r="C53" vm="154">
        <f ca="1"/>
        <v>104.71</v>
      </c>
      <c r="D53" vm="155">
        <f ca="1"/>
        <v>16303449</v>
      </c>
      <c r="E53">
        <f t="shared" ca="1" si="1"/>
        <v>1707134144.79</v>
      </c>
      <c r="F53">
        <f ca="1">SUM($E$2:E53)/SUM($D$2:D53)</f>
        <v>108.91689339247736</v>
      </c>
      <c r="G53">
        <f ca="1">_xlfn.STDEV.P($C$2:C53)</f>
        <v>5.0100552737623421</v>
      </c>
      <c r="H53">
        <f t="shared" ca="1" si="2"/>
        <v>113.92694866623971</v>
      </c>
      <c r="I53">
        <f t="shared" ca="1" si="3"/>
        <v>103.90683811871502</v>
      </c>
      <c r="J53">
        <f t="shared" ca="1" si="12"/>
        <v>105.40249999999996</v>
      </c>
      <c r="K53">
        <f t="shared" ca="1" si="13"/>
        <v>2.5911384919009093</v>
      </c>
      <c r="L53">
        <f t="shared" ca="1" si="14"/>
        <v>110.58477698380177</v>
      </c>
      <c r="M53">
        <f t="shared" ca="1" si="15"/>
        <v>100.22022301619815</v>
      </c>
      <c r="N53">
        <f t="shared" ca="1" si="4"/>
        <v>1.4399999999999977</v>
      </c>
      <c r="O53">
        <f t="shared" ca="1" si="5"/>
        <v>1.4399999999999977</v>
      </c>
      <c r="P53">
        <f t="shared" ca="1" si="6"/>
        <v>0</v>
      </c>
      <c r="Q53">
        <f t="shared" ca="1" si="10"/>
        <v>0.68781459162330638</v>
      </c>
      <c r="R53">
        <f t="shared" ca="1" si="11"/>
        <v>0.8977760490464034</v>
      </c>
      <c r="S53">
        <f t="shared" ca="1" si="8"/>
        <v>0.76613158966970307</v>
      </c>
      <c r="T53">
        <f t="shared" ca="1" si="9"/>
        <v>43.379077422706807</v>
      </c>
      <c r="U53">
        <f>70</f>
        <v>70</v>
      </c>
      <c r="V53">
        <f>30</f>
        <v>30</v>
      </c>
      <c r="W53">
        <f t="shared" ca="1" si="7"/>
        <v>106.07470060855579</v>
      </c>
      <c r="X53">
        <f t="shared" ca="1" si="17"/>
        <v>107.10482613531403</v>
      </c>
      <c r="Y53">
        <f t="shared" ca="1" si="16"/>
        <v>-1.0706621459714682</v>
      </c>
      <c r="Z53">
        <f t="shared" ca="1" si="18"/>
        <v>-0.93022449603299806</v>
      </c>
      <c r="AA53">
        <f t="shared" ca="1" si="19"/>
        <v>-0.14043764993847019</v>
      </c>
    </row>
    <row r="54" spans="1:27" x14ac:dyDescent="0.25">
      <c r="A54" s="20">
        <f t="shared" ca="1" si="0"/>
        <v>45782</v>
      </c>
      <c r="B54" vm="156">
        <f ca="1"/>
        <v>45784</v>
      </c>
      <c r="C54" vm="157">
        <f ca="1"/>
        <v>104.61</v>
      </c>
      <c r="D54" vm="158">
        <f ca="1"/>
        <v>12335924</v>
      </c>
      <c r="E54">
        <f t="shared" ca="1" si="1"/>
        <v>1290461009.6400001</v>
      </c>
      <c r="F54">
        <f ca="1">SUM($E$2:E54)/SUM($D$2:D54)</f>
        <v>108.86121024578601</v>
      </c>
      <c r="G54">
        <f ca="1">_xlfn.STDEV.P($C$2:C54)</f>
        <v>5.0075107277114501</v>
      </c>
      <c r="H54">
        <f t="shared" ca="1" si="2"/>
        <v>113.86872097349746</v>
      </c>
      <c r="I54">
        <f t="shared" ca="1" si="3"/>
        <v>103.85369951807456</v>
      </c>
      <c r="J54">
        <f t="shared" ca="1" si="12"/>
        <v>105.59449999999997</v>
      </c>
      <c r="K54">
        <f t="shared" ca="1" si="13"/>
        <v>2.3619427217975937</v>
      </c>
      <c r="L54">
        <f t="shared" ca="1" si="14"/>
        <v>110.31838544359516</v>
      </c>
      <c r="M54">
        <f t="shared" ca="1" si="15"/>
        <v>100.87061455640477</v>
      </c>
      <c r="N54">
        <f t="shared" ca="1" si="4"/>
        <v>-9.9999999999994316E-2</v>
      </c>
      <c r="O54">
        <f t="shared" ca="1" si="5"/>
        <v>0</v>
      </c>
      <c r="P54">
        <f t="shared" ca="1" si="6"/>
        <v>9.9999999999994316E-2</v>
      </c>
      <c r="Q54">
        <f t="shared" ca="1" si="10"/>
        <v>0.63868497793592738</v>
      </c>
      <c r="R54">
        <f t="shared" ca="1" si="11"/>
        <v>0.84079204554308851</v>
      </c>
      <c r="S54">
        <f t="shared" ca="1" si="8"/>
        <v>0.75962300228873458</v>
      </c>
      <c r="T54">
        <f t="shared" ca="1" si="9"/>
        <v>43.169644935346717</v>
      </c>
      <c r="U54">
        <f>70</f>
        <v>70</v>
      </c>
      <c r="V54">
        <f>30</f>
        <v>30</v>
      </c>
      <c r="W54">
        <f t="shared" ca="1" si="7"/>
        <v>105.84936205339336</v>
      </c>
      <c r="X54">
        <f t="shared" ca="1" si="17"/>
        <v>106.92002419936483</v>
      </c>
      <c r="Y54">
        <f t="shared" ca="1" si="16"/>
        <v>-0.97375309098501361</v>
      </c>
      <c r="Z54">
        <f t="shared" ca="1" si="18"/>
        <v>-0.93893021502340113</v>
      </c>
      <c r="AA54">
        <f t="shared" ca="1" si="19"/>
        <v>-3.4822875961612487E-2</v>
      </c>
    </row>
    <row r="55" spans="1:27" x14ac:dyDescent="0.25">
      <c r="A55" s="20">
        <f t="shared" ca="1" si="0"/>
        <v>45782</v>
      </c>
      <c r="B55" vm="159">
        <f ca="1"/>
        <v>45785</v>
      </c>
      <c r="C55" vm="160">
        <f ca="1"/>
        <v>106.07</v>
      </c>
      <c r="D55" vm="161">
        <f ca="1"/>
        <v>19196548</v>
      </c>
      <c r="E55">
        <f t="shared" ca="1" si="1"/>
        <v>2036177846.3599999</v>
      </c>
      <c r="F55">
        <f ca="1">SUM($E$2:E55)/SUM($D$2:D55)</f>
        <v>108.80616082891316</v>
      </c>
      <c r="G55">
        <f ca="1">_xlfn.STDEV.P($C$2:C55)</f>
        <v>4.9816543960076158</v>
      </c>
      <c r="H55">
        <f t="shared" ca="1" si="2"/>
        <v>113.78781522492078</v>
      </c>
      <c r="I55">
        <f t="shared" ca="1" si="3"/>
        <v>103.82450643290555</v>
      </c>
      <c r="J55">
        <f t="shared" ca="1" si="12"/>
        <v>105.60799999999999</v>
      </c>
      <c r="K55">
        <f t="shared" ca="1" si="13"/>
        <v>2.3639498614328547</v>
      </c>
      <c r="L55">
        <f t="shared" ca="1" si="14"/>
        <v>110.3358997228657</v>
      </c>
      <c r="M55">
        <f t="shared" ca="1" si="15"/>
        <v>100.88010027713428</v>
      </c>
      <c r="N55">
        <f t="shared" ca="1" si="4"/>
        <v>1.4599999999999937</v>
      </c>
      <c r="O55">
        <f t="shared" ca="1" si="5"/>
        <v>1.4599999999999937</v>
      </c>
      <c r="P55">
        <f t="shared" ca="1" si="6"/>
        <v>0</v>
      </c>
      <c r="Q55">
        <f t="shared" ca="1" si="10"/>
        <v>0.69735033665478929</v>
      </c>
      <c r="R55">
        <f t="shared" ca="1" si="11"/>
        <v>0.78073547086143935</v>
      </c>
      <c r="S55">
        <f t="shared" ca="1" si="8"/>
        <v>0.8931966878427523</v>
      </c>
      <c r="T55">
        <f t="shared" ca="1" si="9"/>
        <v>47.179286419549271</v>
      </c>
      <c r="U55">
        <f>70</f>
        <v>70</v>
      </c>
      <c r="V55">
        <f>30</f>
        <v>30</v>
      </c>
      <c r="W55">
        <f t="shared" ca="1" si="7"/>
        <v>105.8833063528713</v>
      </c>
      <c r="X55">
        <f t="shared" ca="1" si="17"/>
        <v>106.85705944385631</v>
      </c>
      <c r="Y55">
        <f t="shared" ca="1" si="16"/>
        <v>-0.78781291296446909</v>
      </c>
      <c r="Z55">
        <f t="shared" ca="1" si="18"/>
        <v>-0.90870675461161476</v>
      </c>
      <c r="AA55">
        <f t="shared" ca="1" si="19"/>
        <v>0.12089384164714567</v>
      </c>
    </row>
    <row r="56" spans="1:27" x14ac:dyDescent="0.25">
      <c r="A56" s="20">
        <f t="shared" ca="1" si="0"/>
        <v>45782</v>
      </c>
      <c r="B56" vm="162">
        <f ca="1"/>
        <v>45786</v>
      </c>
      <c r="C56" vm="163">
        <f ca="1"/>
        <v>107.31</v>
      </c>
      <c r="D56" vm="164">
        <f ca="1"/>
        <v>10992080</v>
      </c>
      <c r="E56">
        <f t="shared" ca="1" si="1"/>
        <v>1179560104.8</v>
      </c>
      <c r="F56">
        <f ca="1">SUM($E$2:E56)/SUM($D$2:D56)</f>
        <v>108.78945307353312</v>
      </c>
      <c r="G56">
        <f ca="1">_xlfn.STDEV.P($C$2:C56)</f>
        <v>4.943862109928177</v>
      </c>
      <c r="H56">
        <f t="shared" ca="1" si="2"/>
        <v>113.7333151834613</v>
      </c>
      <c r="I56">
        <f t="shared" ca="1" si="3"/>
        <v>103.84559096360495</v>
      </c>
      <c r="J56">
        <f t="shared" ca="1" si="12"/>
        <v>105.977</v>
      </c>
      <c r="K56">
        <f t="shared" ca="1" si="13"/>
        <v>1.974985942654836</v>
      </c>
      <c r="L56">
        <f t="shared" ca="1" si="14"/>
        <v>109.92697188530967</v>
      </c>
      <c r="M56">
        <f t="shared" ca="1" si="15"/>
        <v>102.02702811469034</v>
      </c>
      <c r="N56">
        <f t="shared" ca="1" si="4"/>
        <v>1.2400000000000091</v>
      </c>
      <c r="O56">
        <f t="shared" ca="1" si="5"/>
        <v>1.2400000000000091</v>
      </c>
      <c r="P56">
        <f t="shared" ca="1" si="6"/>
        <v>0</v>
      </c>
      <c r="Q56">
        <f t="shared" ca="1" si="10"/>
        <v>0.73611102689373353</v>
      </c>
      <c r="R56">
        <f t="shared" ca="1" si="11"/>
        <v>0.72496865151419365</v>
      </c>
      <c r="S56">
        <f t="shared" ca="1" si="8"/>
        <v>1.0153694581914232</v>
      </c>
      <c r="T56">
        <f t="shared" ca="1" si="9"/>
        <v>50.38130621978403</v>
      </c>
      <c r="U56">
        <f>70</f>
        <v>70</v>
      </c>
      <c r="V56">
        <f>30</f>
        <v>30</v>
      </c>
      <c r="W56">
        <f t="shared" ca="1" si="7"/>
        <v>106.10279768319879</v>
      </c>
      <c r="X56">
        <f t="shared" ca="1" si="17"/>
        <v>106.89061059616326</v>
      </c>
      <c r="Y56">
        <f t="shared" ca="1" si="16"/>
        <v>-0.48557701379777995</v>
      </c>
      <c r="Z56">
        <f t="shared" ca="1" si="18"/>
        <v>-0.82408080644884785</v>
      </c>
      <c r="AA56">
        <f t="shared" ca="1" si="19"/>
        <v>0.33850379265106789</v>
      </c>
    </row>
    <row r="57" spans="1:27" x14ac:dyDescent="0.25">
      <c r="A57" s="20">
        <f t="shared" ca="1" si="0"/>
        <v>45789</v>
      </c>
      <c r="B57" vm="165">
        <f ca="1"/>
        <v>45789</v>
      </c>
      <c r="C57" vm="38">
        <f ca="1"/>
        <v>109.16</v>
      </c>
      <c r="D57" vm="166">
        <f ca="1"/>
        <v>14244559</v>
      </c>
      <c r="E57">
        <f t="shared" ca="1" si="1"/>
        <v>1554936060.4400001</v>
      </c>
      <c r="F57">
        <f ca="1">SUM($E$2:E57)/SUM($D$2:D57)</f>
        <v>108.79473889372758</v>
      </c>
      <c r="G57">
        <f ca="1">_xlfn.STDEV.P($C$2:C57)</f>
        <v>4.899577888810466</v>
      </c>
      <c r="H57">
        <f t="shared" ca="1" si="2"/>
        <v>113.69431678253805</v>
      </c>
      <c r="I57">
        <f t="shared" ca="1" si="3"/>
        <v>103.89516100491711</v>
      </c>
      <c r="J57">
        <f t="shared" ca="1" si="12"/>
        <v>106.27799999999998</v>
      </c>
      <c r="K57">
        <f t="shared" ca="1" si="13"/>
        <v>1.9785922693726095</v>
      </c>
      <c r="L57">
        <f t="shared" ca="1" si="14"/>
        <v>110.2351845387452</v>
      </c>
      <c r="M57">
        <f t="shared" ca="1" si="15"/>
        <v>102.32081546125475</v>
      </c>
      <c r="N57">
        <f t="shared" ca="1" si="4"/>
        <v>1.8499999999999943</v>
      </c>
      <c r="O57">
        <f t="shared" ca="1" si="5"/>
        <v>1.8499999999999943</v>
      </c>
      <c r="P57">
        <f t="shared" ca="1" si="6"/>
        <v>0</v>
      </c>
      <c r="Q57">
        <f t="shared" ca="1" si="10"/>
        <v>0.81567452497275217</v>
      </c>
      <c r="R57">
        <f t="shared" ca="1" si="11"/>
        <v>0.67318517640603692</v>
      </c>
      <c r="S57">
        <f t="shared" ca="1" si="8"/>
        <v>1.2116644179948068</v>
      </c>
      <c r="T57">
        <f t="shared" ca="1" si="9"/>
        <v>54.785183870406321</v>
      </c>
      <c r="U57">
        <f>70</f>
        <v>70</v>
      </c>
      <c r="V57">
        <f>30</f>
        <v>30</v>
      </c>
      <c r="W57">
        <f t="shared" ca="1" si="7"/>
        <v>106.57313650116819</v>
      </c>
      <c r="X57">
        <f t="shared" ca="1" si="17"/>
        <v>107.05871351496597</v>
      </c>
      <c r="Y57">
        <f t="shared" ca="1" si="16"/>
        <v>-0.21931724078913817</v>
      </c>
      <c r="Z57">
        <f t="shared" ca="1" si="18"/>
        <v>-0.70312809331690596</v>
      </c>
      <c r="AA57">
        <f t="shared" ca="1" si="19"/>
        <v>0.48381085252776779</v>
      </c>
    </row>
    <row r="58" spans="1:27" x14ac:dyDescent="0.25">
      <c r="A58" s="20">
        <f t="shared" ca="1" si="0"/>
        <v>45789</v>
      </c>
      <c r="B58" vm="167">
        <f ca="1"/>
        <v>45790</v>
      </c>
      <c r="C58" vm="11">
        <f ca="1"/>
        <v>109.46</v>
      </c>
      <c r="D58" vm="168">
        <f ca="1"/>
        <v>13350836</v>
      </c>
      <c r="E58">
        <f t="shared" ca="1" si="1"/>
        <v>1461382508.5599999</v>
      </c>
      <c r="F58">
        <f ca="1">SUM($E$2:E58)/SUM($D$2:D58)</f>
        <v>108.80351602816559</v>
      </c>
      <c r="G58">
        <f ca="1">_xlfn.STDEV.P($C$2:C58)</f>
        <v>4.8564370852956502</v>
      </c>
      <c r="H58">
        <f t="shared" ca="1" si="2"/>
        <v>113.65995311346124</v>
      </c>
      <c r="I58">
        <f t="shared" ca="1" si="3"/>
        <v>103.94707894286994</v>
      </c>
      <c r="J58">
        <f t="shared" ca="1" si="12"/>
        <v>106.58149999999998</v>
      </c>
      <c r="K58">
        <f t="shared" ca="1" si="13"/>
        <v>1.977825161236719</v>
      </c>
      <c r="L58">
        <f t="shared" ca="1" si="14"/>
        <v>110.53715032247341</v>
      </c>
      <c r="M58">
        <f t="shared" ca="1" si="15"/>
        <v>102.62584967752655</v>
      </c>
      <c r="N58">
        <f t="shared" ca="1" si="4"/>
        <v>0.29999999999999716</v>
      </c>
      <c r="O58">
        <f t="shared" ca="1" si="5"/>
        <v>0.29999999999999716</v>
      </c>
      <c r="P58">
        <f t="shared" ca="1" si="6"/>
        <v>0</v>
      </c>
      <c r="Q58">
        <f t="shared" ca="1" si="10"/>
        <v>0.77884063033184103</v>
      </c>
      <c r="R58">
        <f t="shared" ca="1" si="11"/>
        <v>0.6251005209484628</v>
      </c>
      <c r="S58">
        <f t="shared" ca="1" si="8"/>
        <v>1.2459446188752312</v>
      </c>
      <c r="T58">
        <f t="shared" ca="1" si="9"/>
        <v>55.475304618116546</v>
      </c>
      <c r="U58">
        <f>70</f>
        <v>70</v>
      </c>
      <c r="V58">
        <f>30</f>
        <v>30</v>
      </c>
      <c r="W58">
        <f t="shared" ca="1" si="7"/>
        <v>107.01726934714232</v>
      </c>
      <c r="X58">
        <f t="shared" ca="1" si="17"/>
        <v>107.23658658793146</v>
      </c>
      <c r="Y58">
        <f t="shared" ca="1" si="16"/>
        <v>-8.6386452924372747E-2</v>
      </c>
      <c r="Z58">
        <f t="shared" ca="1" si="18"/>
        <v>-0.57977976523839936</v>
      </c>
      <c r="AA58">
        <f t="shared" ca="1" si="19"/>
        <v>0.49339331231402661</v>
      </c>
    </row>
    <row r="59" spans="1:27" x14ac:dyDescent="0.25">
      <c r="A59" s="20">
        <f t="shared" ca="1" si="0"/>
        <v>45789</v>
      </c>
      <c r="B59" vm="169">
        <f ca="1"/>
        <v>45791</v>
      </c>
      <c r="C59" vm="170">
        <f ca="1"/>
        <v>108.48</v>
      </c>
      <c r="D59" vm="171">
        <f ca="1"/>
        <v>15494932</v>
      </c>
      <c r="E59">
        <f t="shared" ca="1" si="1"/>
        <v>1680890223.3600001</v>
      </c>
      <c r="F59">
        <f ca="1">SUM($E$2:E59)/SUM($D$2:D59)</f>
        <v>108.79863694788824</v>
      </c>
      <c r="G59">
        <f ca="1">_xlfn.STDEV.P($C$2:C59)</f>
        <v>4.8156794205810032</v>
      </c>
      <c r="H59">
        <f t="shared" ca="1" si="2"/>
        <v>113.61431636846925</v>
      </c>
      <c r="I59">
        <f t="shared" ca="1" si="3"/>
        <v>103.98295752730724</v>
      </c>
      <c r="J59">
        <f t="shared" ca="1" si="12"/>
        <v>106.85050000000001</v>
      </c>
      <c r="K59">
        <f t="shared" ca="1" si="13"/>
        <v>1.840484704464675</v>
      </c>
      <c r="L59">
        <f t="shared" ca="1" si="14"/>
        <v>110.53146940892935</v>
      </c>
      <c r="M59">
        <f t="shared" ca="1" si="15"/>
        <v>103.16953059107067</v>
      </c>
      <c r="N59">
        <f t="shared" ca="1" si="4"/>
        <v>-0.97999999999998977</v>
      </c>
      <c r="O59">
        <f t="shared" ca="1" si="5"/>
        <v>0</v>
      </c>
      <c r="P59">
        <f t="shared" ca="1" si="6"/>
        <v>0.97999999999998977</v>
      </c>
      <c r="Q59">
        <f t="shared" ca="1" si="10"/>
        <v>0.72320915673670949</v>
      </c>
      <c r="R59">
        <f t="shared" ca="1" si="11"/>
        <v>0.65045048373785763</v>
      </c>
      <c r="S59">
        <f t="shared" ca="1" si="8"/>
        <v>1.1118588959773528</v>
      </c>
      <c r="T59">
        <f t="shared" ca="1" si="9"/>
        <v>52.648351558677057</v>
      </c>
      <c r="U59">
        <f>70</f>
        <v>70</v>
      </c>
      <c r="V59">
        <f>30</f>
        <v>30</v>
      </c>
      <c r="W59">
        <f t="shared" ca="1" si="7"/>
        <v>107.24230483219735</v>
      </c>
      <c r="X59">
        <f t="shared" ca="1" si="17"/>
        <v>107.32869128512172</v>
      </c>
      <c r="Y59">
        <f t="shared" ca="1" si="16"/>
        <v>2.6723269225229274E-2</v>
      </c>
      <c r="Z59">
        <f t="shared" ca="1" si="18"/>
        <v>-0.45847915834567365</v>
      </c>
      <c r="AA59">
        <f t="shared" ca="1" si="19"/>
        <v>0.48520242757090293</v>
      </c>
    </row>
    <row r="60" spans="1:27" x14ac:dyDescent="0.25">
      <c r="A60" s="20">
        <f t="shared" ca="1" si="0"/>
        <v>45789</v>
      </c>
      <c r="B60" vm="172">
        <f ca="1"/>
        <v>45792</v>
      </c>
      <c r="C60" vm="173">
        <f ca="1"/>
        <v>108.58</v>
      </c>
      <c r="D60" vm="174">
        <f ca="1"/>
        <v>15004291</v>
      </c>
      <c r="E60">
        <f t="shared" ca="1" si="1"/>
        <v>1629165916.78</v>
      </c>
      <c r="F60">
        <f ca="1">SUM($E$2:E60)/SUM($D$2:D60)</f>
        <v>108.79548996046712</v>
      </c>
      <c r="G60">
        <f ca="1">_xlfn.STDEV.P($C$2:C60)</f>
        <v>4.7756535429639984</v>
      </c>
      <c r="H60">
        <f t="shared" ca="1" si="2"/>
        <v>113.57114350343112</v>
      </c>
      <c r="I60">
        <f t="shared" ca="1" si="3"/>
        <v>104.01983641750313</v>
      </c>
      <c r="J60">
        <f t="shared" ca="1" si="12"/>
        <v>107.07000000000001</v>
      </c>
      <c r="K60">
        <f t="shared" ca="1" si="13"/>
        <v>1.7667931103377226</v>
      </c>
      <c r="L60">
        <f t="shared" ca="1" si="14"/>
        <v>110.60358622067545</v>
      </c>
      <c r="M60">
        <f t="shared" ca="1" si="15"/>
        <v>103.53641377932456</v>
      </c>
      <c r="N60">
        <f t="shared" ca="1" si="4"/>
        <v>9.9999999999994316E-2</v>
      </c>
      <c r="O60">
        <f t="shared" ca="1" si="5"/>
        <v>9.9999999999994316E-2</v>
      </c>
      <c r="P60">
        <f t="shared" ca="1" si="6"/>
        <v>0</v>
      </c>
      <c r="Q60">
        <f t="shared" ca="1" si="10"/>
        <v>0.67869421696980126</v>
      </c>
      <c r="R60">
        <f t="shared" ca="1" si="11"/>
        <v>0.6039897348994393</v>
      </c>
      <c r="S60">
        <f t="shared" ca="1" si="8"/>
        <v>1.1236850193866288</v>
      </c>
      <c r="T60">
        <f t="shared" ca="1" si="9"/>
        <v>52.912037761191911</v>
      </c>
      <c r="U60">
        <f>70</f>
        <v>70</v>
      </c>
      <c r="V60">
        <f>30</f>
        <v>30</v>
      </c>
      <c r="W60">
        <f t="shared" ca="1" si="7"/>
        <v>107.44810408878237</v>
      </c>
      <c r="X60">
        <f t="shared" ca="1" si="17"/>
        <v>107.42138081955714</v>
      </c>
      <c r="Y60">
        <f t="shared" ca="1" si="16"/>
        <v>8.3926347613385133E-2</v>
      </c>
      <c r="Z60">
        <f t="shared" ca="1" si="18"/>
        <v>-0.34999805715386195</v>
      </c>
      <c r="AA60">
        <f t="shared" ca="1" si="19"/>
        <v>0.43392440476724708</v>
      </c>
    </row>
    <row r="61" spans="1:27" x14ac:dyDescent="0.25">
      <c r="A61" s="20">
        <f t="shared" ca="1" si="0"/>
        <v>45789</v>
      </c>
      <c r="B61" vm="175">
        <f ca="1"/>
        <v>45793</v>
      </c>
      <c r="C61" vm="176">
        <f ca="1"/>
        <v>108.19</v>
      </c>
      <c r="D61" vm="177">
        <f ca="1"/>
        <v>14042535</v>
      </c>
      <c r="E61">
        <f t="shared" ca="1" si="1"/>
        <v>1519261861.6499999</v>
      </c>
      <c r="F61">
        <f ca="1">SUM($E$2:E61)/SUM($D$2:D61)</f>
        <v>108.78744179149292</v>
      </c>
      <c r="G61">
        <f ca="1">_xlfn.STDEV.P($C$2:C61)</f>
        <v>4.7378553399425591</v>
      </c>
      <c r="H61">
        <f t="shared" ca="1" si="2"/>
        <v>113.52529713143548</v>
      </c>
      <c r="I61">
        <f t="shared" ca="1" si="3"/>
        <v>104.04958645155037</v>
      </c>
      <c r="J61">
        <f t="shared" ca="1" si="12"/>
        <v>107.13349999999998</v>
      </c>
      <c r="K61">
        <f t="shared" ca="1" si="13"/>
        <v>1.7838582519802118</v>
      </c>
      <c r="L61">
        <f t="shared" ca="1" si="14"/>
        <v>110.70121650396041</v>
      </c>
      <c r="M61">
        <f t="shared" ca="1" si="15"/>
        <v>103.56578349603956</v>
      </c>
      <c r="N61">
        <f t="shared" ca="1" si="4"/>
        <v>-0.39000000000000057</v>
      </c>
      <c r="O61">
        <f t="shared" ca="1" si="5"/>
        <v>0</v>
      </c>
      <c r="P61">
        <f t="shared" ca="1" si="6"/>
        <v>0.39000000000000057</v>
      </c>
      <c r="Q61">
        <f t="shared" ca="1" si="10"/>
        <v>0.63021605861481544</v>
      </c>
      <c r="R61">
        <f t="shared" ca="1" si="11"/>
        <v>0.58870475383519361</v>
      </c>
      <c r="S61">
        <f t="shared" ca="1" si="8"/>
        <v>1.0705129430486013</v>
      </c>
      <c r="T61">
        <f t="shared" ca="1" si="9"/>
        <v>51.702789236003973</v>
      </c>
      <c r="U61">
        <f>70</f>
        <v>70</v>
      </c>
      <c r="V61">
        <f>30</f>
        <v>30</v>
      </c>
      <c r="W61">
        <f t="shared" ca="1" si="7"/>
        <v>107.5622419212774</v>
      </c>
      <c r="X61">
        <f t="shared" ca="1" si="17"/>
        <v>107.47831557366402</v>
      </c>
      <c r="Y61">
        <f t="shared" ca="1" si="16"/>
        <v>-9.4208285510575251E-3</v>
      </c>
      <c r="Z61">
        <f t="shared" ca="1" si="18"/>
        <v>-0.28188261143330107</v>
      </c>
      <c r="AA61">
        <f t="shared" ca="1" si="19"/>
        <v>0.27246178288224354</v>
      </c>
    </row>
    <row r="62" spans="1:27" x14ac:dyDescent="0.25">
      <c r="A62" s="20">
        <f t="shared" ca="1" si="0"/>
        <v>45796</v>
      </c>
      <c r="B62" vm="178">
        <f ca="1"/>
        <v>45796</v>
      </c>
      <c r="C62" vm="179">
        <f ca="1"/>
        <v>106.47</v>
      </c>
      <c r="D62" vm="180">
        <f ca="1"/>
        <v>16802719</v>
      </c>
      <c r="E62">
        <f t="shared" ca="1" si="1"/>
        <v>1788985491.9300001</v>
      </c>
      <c r="F62">
        <f ca="1">SUM($E$2:E62)/SUM($D$2:D62)</f>
        <v>108.75116072254718</v>
      </c>
      <c r="G62">
        <f ca="1">_xlfn.STDEV.P($C$2:C62)</f>
        <v>4.7124882491653928</v>
      </c>
      <c r="H62">
        <f t="shared" ca="1" si="2"/>
        <v>113.46364897171257</v>
      </c>
      <c r="I62">
        <f t="shared" ca="1" si="3"/>
        <v>104.03867247338179</v>
      </c>
      <c r="J62">
        <f t="shared" ca="1" si="12"/>
        <v>107.1895</v>
      </c>
      <c r="K62">
        <f t="shared" ca="1" si="13"/>
        <v>1.7420117680429144</v>
      </c>
      <c r="L62">
        <f t="shared" ca="1" si="14"/>
        <v>110.67352353608582</v>
      </c>
      <c r="M62">
        <f t="shared" ca="1" si="15"/>
        <v>103.70547646391417</v>
      </c>
      <c r="N62">
        <f t="shared" ca="1" si="4"/>
        <v>-1.7199999999999989</v>
      </c>
      <c r="O62">
        <f t="shared" ca="1" si="5"/>
        <v>0</v>
      </c>
      <c r="P62">
        <f t="shared" ca="1" si="6"/>
        <v>1.7199999999999989</v>
      </c>
      <c r="Q62">
        <f t="shared" ca="1" si="10"/>
        <v>0.58520062585661425</v>
      </c>
      <c r="R62">
        <f t="shared" ca="1" si="11"/>
        <v>0.66951155713267974</v>
      </c>
      <c r="S62">
        <f t="shared" ca="1" si="8"/>
        <v>0.87407098446941778</v>
      </c>
      <c r="T62">
        <f t="shared" ca="1" si="9"/>
        <v>46.640228236439107</v>
      </c>
      <c r="U62">
        <f>70</f>
        <v>70</v>
      </c>
      <c r="V62">
        <f>30</f>
        <v>30</v>
      </c>
      <c r="W62">
        <f t="shared" ca="1" si="7"/>
        <v>107.39420470261933</v>
      </c>
      <c r="X62">
        <f t="shared" ca="1" si="17"/>
        <v>107.40362553117039</v>
      </c>
      <c r="Y62">
        <f t="shared" ca="1" si="16"/>
        <v>-0.20370228191578121</v>
      </c>
      <c r="Z62">
        <f t="shared" ca="1" si="18"/>
        <v>-0.2662465455297971</v>
      </c>
      <c r="AA62">
        <f t="shared" ca="1" si="19"/>
        <v>6.2544263614015883E-2</v>
      </c>
    </row>
    <row r="63" spans="1:27" x14ac:dyDescent="0.25">
      <c r="A63" s="20">
        <f t="shared" ca="1" si="0"/>
        <v>45796</v>
      </c>
      <c r="B63" vm="181">
        <f ca="1"/>
        <v>45797</v>
      </c>
      <c r="C63" vm="182">
        <f ca="1"/>
        <v>104.95</v>
      </c>
      <c r="D63" vm="183">
        <f ca="1"/>
        <v>12429321</v>
      </c>
      <c r="E63">
        <f t="shared" ca="1" si="1"/>
        <v>1304457238.95</v>
      </c>
      <c r="F63">
        <f ca="1">SUM($E$2:E63)/SUM($D$2:D63)</f>
        <v>108.70764414533235</v>
      </c>
      <c r="G63">
        <f ca="1">_xlfn.STDEV.P($C$2:C63)</f>
        <v>4.7055254898125636</v>
      </c>
      <c r="H63">
        <f t="shared" ca="1" si="2"/>
        <v>113.41316963514491</v>
      </c>
      <c r="I63">
        <f t="shared" ca="1" si="3"/>
        <v>104.00211865551979</v>
      </c>
      <c r="J63">
        <f t="shared" ca="1" si="12"/>
        <v>107.02199999999998</v>
      </c>
      <c r="K63">
        <f t="shared" ca="1" si="13"/>
        <v>1.7900091149429789</v>
      </c>
      <c r="L63">
        <f t="shared" ca="1" si="14"/>
        <v>110.60201822988593</v>
      </c>
      <c r="M63">
        <f t="shared" ca="1" si="15"/>
        <v>103.44198177011403</v>
      </c>
      <c r="N63">
        <f t="shared" ca="1" si="4"/>
        <v>-1.519999999999996</v>
      </c>
      <c r="O63">
        <f t="shared" ca="1" si="5"/>
        <v>0</v>
      </c>
      <c r="P63">
        <f t="shared" ca="1" si="6"/>
        <v>1.519999999999996</v>
      </c>
      <c r="Q63">
        <f t="shared" ca="1" si="10"/>
        <v>0.54340058115257039</v>
      </c>
      <c r="R63">
        <f t="shared" ca="1" si="11"/>
        <v>0.73026073162320237</v>
      </c>
      <c r="S63">
        <f t="shared" ca="1" si="8"/>
        <v>0.74411858343350235</v>
      </c>
      <c r="T63">
        <f t="shared" ca="1" si="9"/>
        <v>42.664448994552735</v>
      </c>
      <c r="U63">
        <f>70</f>
        <v>70</v>
      </c>
      <c r="V63">
        <f>30</f>
        <v>30</v>
      </c>
      <c r="W63">
        <f t="shared" ca="1" si="7"/>
        <v>107.01817320990867</v>
      </c>
      <c r="X63">
        <f t="shared" ca="1" si="17"/>
        <v>107.22187549182445</v>
      </c>
      <c r="Y63">
        <f t="shared" ca="1" si="16"/>
        <v>-0.45650168518538692</v>
      </c>
      <c r="Z63">
        <f t="shared" ca="1" si="18"/>
        <v>-0.30429757346091507</v>
      </c>
      <c r="AA63">
        <f t="shared" ca="1" si="19"/>
        <v>-0.15220411172447185</v>
      </c>
    </row>
    <row r="64" spans="1:27" x14ac:dyDescent="0.25">
      <c r="A64" s="20">
        <f t="shared" ca="1" si="0"/>
        <v>45796</v>
      </c>
      <c r="B64" vm="184">
        <f ca="1"/>
        <v>45798</v>
      </c>
      <c r="C64" vm="185">
        <f ca="1"/>
        <v>103.66</v>
      </c>
      <c r="D64" vm="186">
        <f ca="1"/>
        <v>16716079</v>
      </c>
      <c r="E64">
        <f t="shared" ca="1" si="1"/>
        <v>1732788749.1399999</v>
      </c>
      <c r="F64">
        <f ca="1">SUM($E$2:E64)/SUM($D$2:D64)</f>
        <v>108.63110589656864</v>
      </c>
      <c r="G64">
        <f ca="1">_xlfn.STDEV.P($C$2:C64)</f>
        <v>4.7186439423924398</v>
      </c>
      <c r="H64">
        <f t="shared" ca="1" si="2"/>
        <v>113.34974983896109</v>
      </c>
      <c r="I64">
        <f t="shared" ca="1" si="3"/>
        <v>103.91246195417619</v>
      </c>
      <c r="J64">
        <f t="shared" ca="1" si="12"/>
        <v>106.8365</v>
      </c>
      <c r="K64">
        <f t="shared" ca="1" si="13"/>
        <v>1.9381523350047101</v>
      </c>
      <c r="L64">
        <f t="shared" ca="1" si="14"/>
        <v>110.71280467000942</v>
      </c>
      <c r="M64">
        <f t="shared" ca="1" si="15"/>
        <v>102.96019532999058</v>
      </c>
      <c r="N64">
        <f t="shared" ca="1" si="4"/>
        <v>-1.2900000000000063</v>
      </c>
      <c r="O64">
        <f t="shared" ca="1" si="5"/>
        <v>0</v>
      </c>
      <c r="P64">
        <f t="shared" ca="1" si="6"/>
        <v>1.2900000000000063</v>
      </c>
      <c r="Q64">
        <f t="shared" ca="1" si="10"/>
        <v>0.50458625392738676</v>
      </c>
      <c r="R64">
        <f t="shared" ca="1" si="11"/>
        <v>0.77024210793583126</v>
      </c>
      <c r="S64">
        <f t="shared" ca="1" si="8"/>
        <v>0.65510084261638912</v>
      </c>
      <c r="T64">
        <f t="shared" ca="1" si="9"/>
        <v>39.580720748157162</v>
      </c>
      <c r="U64">
        <f>70</f>
        <v>70</v>
      </c>
      <c r="V64">
        <f>30</f>
        <v>30</v>
      </c>
      <c r="W64">
        <f t="shared" ca="1" si="7"/>
        <v>106.50153117761502</v>
      </c>
      <c r="X64">
        <f t="shared" ca="1" si="17"/>
        <v>106.95803286280041</v>
      </c>
      <c r="Y64">
        <f t="shared" ca="1" si="16"/>
        <v>-0.70440433236031197</v>
      </c>
      <c r="Z64">
        <f t="shared" ca="1" si="18"/>
        <v>-0.38431892524079447</v>
      </c>
      <c r="AA64">
        <f t="shared" ca="1" si="19"/>
        <v>-0.3200854071195175</v>
      </c>
    </row>
    <row r="65" spans="1:27" x14ac:dyDescent="0.25">
      <c r="A65" s="20">
        <f t="shared" ca="1" si="0"/>
        <v>45796</v>
      </c>
      <c r="B65" vm="187">
        <f ca="1"/>
        <v>45799</v>
      </c>
      <c r="C65" vm="188">
        <f ca="1"/>
        <v>102.97</v>
      </c>
      <c r="D65" vm="189">
        <f ca="1"/>
        <v>13417378</v>
      </c>
      <c r="E65">
        <f t="shared" ca="1" si="1"/>
        <v>1381587412.6600001</v>
      </c>
      <c r="F65">
        <f ca="1">SUM($E$2:E65)/SUM($D$2:D65)</f>
        <v>108.56303359118314</v>
      </c>
      <c r="G65">
        <f ca="1">_xlfn.STDEV.P($C$2:C65)</f>
        <v>4.7427074133240019</v>
      </c>
      <c r="H65">
        <f t="shared" ca="1" si="2"/>
        <v>113.30574100450714</v>
      </c>
      <c r="I65">
        <f t="shared" ca="1" si="3"/>
        <v>103.82032617785914</v>
      </c>
      <c r="J65">
        <f t="shared" ca="1" si="12"/>
        <v>106.55350000000001</v>
      </c>
      <c r="K65">
        <f t="shared" ca="1" si="13"/>
        <v>2.0711509004974937</v>
      </c>
      <c r="L65">
        <f t="shared" ca="1" si="14"/>
        <v>110.695801800995</v>
      </c>
      <c r="M65">
        <f t="shared" ca="1" si="15"/>
        <v>102.41119819900503</v>
      </c>
      <c r="N65">
        <f t="shared" ca="1" si="4"/>
        <v>-0.68999999999999773</v>
      </c>
      <c r="O65">
        <f t="shared" ca="1" si="5"/>
        <v>0</v>
      </c>
      <c r="P65">
        <f t="shared" ca="1" si="6"/>
        <v>0.68999999999999773</v>
      </c>
      <c r="Q65">
        <f t="shared" ca="1" si="10"/>
        <v>0.46854437864685916</v>
      </c>
      <c r="R65">
        <f t="shared" ca="1" si="11"/>
        <v>0.76451052879755743</v>
      </c>
      <c r="S65">
        <f t="shared" ca="1" si="8"/>
        <v>0.61286844457694811</v>
      </c>
      <c r="T65">
        <f t="shared" ca="1" si="9"/>
        <v>37.998662980705916</v>
      </c>
      <c r="U65">
        <f>70</f>
        <v>70</v>
      </c>
      <c r="V65">
        <f>30</f>
        <v>30</v>
      </c>
      <c r="W65">
        <f t="shared" ca="1" si="7"/>
        <v>105.95821868875117</v>
      </c>
      <c r="X65">
        <f t="shared" ca="1" si="17"/>
        <v>106.66262302111149</v>
      </c>
      <c r="Y65">
        <f t="shared" ca="1" si="16"/>
        <v>-0.88581632849610514</v>
      </c>
      <c r="Z65">
        <f t="shared" ca="1" si="18"/>
        <v>-0.48461840589185662</v>
      </c>
      <c r="AA65">
        <f t="shared" ca="1" si="19"/>
        <v>-0.40119792260424852</v>
      </c>
    </row>
    <row r="66" spans="1:27" x14ac:dyDescent="0.25">
      <c r="A66" s="20">
        <f t="shared" ca="1" si="0"/>
        <v>45796</v>
      </c>
      <c r="B66" vm="190">
        <f ca="1"/>
        <v>45800</v>
      </c>
      <c r="C66" vm="191">
        <f ca="1"/>
        <v>103.03</v>
      </c>
      <c r="D66" vm="192">
        <f ca="1"/>
        <v>12061606</v>
      </c>
      <c r="E66">
        <f t="shared" ca="1" si="1"/>
        <v>1242707266.1800001</v>
      </c>
      <c r="F66">
        <f ca="1">SUM($E$2:E66)/SUM($D$2:D66)</f>
        <v>108.50386371731587</v>
      </c>
      <c r="G66">
        <f ca="1">_xlfn.STDEV.P($C$2:C66)</f>
        <v>4.7629415603902094</v>
      </c>
      <c r="H66">
        <f t="shared" ca="1" si="2"/>
        <v>113.26680527770607</v>
      </c>
      <c r="I66">
        <f t="shared" ca="1" si="3"/>
        <v>103.74092215692566</v>
      </c>
      <c r="J66">
        <f t="shared" ca="1" si="12"/>
        <v>106.27650000000001</v>
      </c>
      <c r="K66">
        <f t="shared" ca="1" si="13"/>
        <v>2.1559935431013555</v>
      </c>
      <c r="L66">
        <f t="shared" ca="1" si="14"/>
        <v>110.58848708620272</v>
      </c>
      <c r="M66">
        <f t="shared" ca="1" si="15"/>
        <v>101.96451291379731</v>
      </c>
      <c r="N66">
        <f t="shared" ca="1" si="4"/>
        <v>6.0000000000002274E-2</v>
      </c>
      <c r="O66">
        <f t="shared" ca="1" si="5"/>
        <v>6.0000000000002274E-2</v>
      </c>
      <c r="P66">
        <f t="shared" ca="1" si="6"/>
        <v>0</v>
      </c>
      <c r="Q66">
        <f t="shared" ca="1" si="10"/>
        <v>0.4393626373149408</v>
      </c>
      <c r="R66">
        <f t="shared" ca="1" si="11"/>
        <v>0.7099026338834461</v>
      </c>
      <c r="S66">
        <f t="shared" ca="1" si="8"/>
        <v>0.6189054897732309</v>
      </c>
      <c r="T66">
        <f t="shared" ca="1" si="9"/>
        <v>38.229871581936784</v>
      </c>
      <c r="U66">
        <f>70</f>
        <v>70</v>
      </c>
      <c r="V66">
        <f>30</f>
        <v>30</v>
      </c>
      <c r="W66">
        <f t="shared" ca="1" si="7"/>
        <v>105.50772350586638</v>
      </c>
      <c r="X66">
        <f t="shared" ca="1" si="17"/>
        <v>106.39353983436249</v>
      </c>
      <c r="Y66">
        <f t="shared" ca="1" si="16"/>
        <v>-0.97876514223787581</v>
      </c>
      <c r="Z66">
        <f t="shared" ca="1" si="18"/>
        <v>-0.58344775316106046</v>
      </c>
      <c r="AA66">
        <f t="shared" ca="1" si="19"/>
        <v>-0.39531738907681535</v>
      </c>
    </row>
    <row r="67" spans="1:27" x14ac:dyDescent="0.25">
      <c r="A67" s="20">
        <f t="shared" ref="A67:A130" ca="1" si="20">B67 - WEEKDAY(B67, 2) + 1</f>
        <v>45803</v>
      </c>
      <c r="B67" vm="193">
        <f ca="1"/>
        <v>45804</v>
      </c>
      <c r="C67" vm="194">
        <f ca="1"/>
        <v>103.52</v>
      </c>
      <c r="D67" vm="195">
        <f ca="1"/>
        <v>13043604</v>
      </c>
      <c r="E67">
        <f t="shared" ref="E67:E130" ca="1" si="21">C67*D67</f>
        <v>1350273886.0799999</v>
      </c>
      <c r="F67">
        <f ca="1">SUM($E$2:E67)/SUM($D$2:D67)</f>
        <v>108.44688635388933</v>
      </c>
      <c r="G67">
        <f ca="1">_xlfn.STDEV.P($C$2:C67)</f>
        <v>4.7721900322929196</v>
      </c>
      <c r="H67">
        <f t="shared" ref="H67:H130" ca="1" si="22">F67 + G67</f>
        <v>113.21907638618225</v>
      </c>
      <c r="I67">
        <f t="shared" ref="I67:I130" ca="1" si="23">F67 - G67</f>
        <v>103.6746963215964</v>
      </c>
      <c r="J67">
        <f t="shared" ca="1" si="12"/>
        <v>106.02100000000003</v>
      </c>
      <c r="K67">
        <f t="shared" ca="1" si="13"/>
        <v>2.1651738717102704</v>
      </c>
      <c r="L67">
        <f t="shared" ca="1" si="14"/>
        <v>110.35134774342058</v>
      </c>
      <c r="M67">
        <f t="shared" ca="1" si="15"/>
        <v>101.69065225657948</v>
      </c>
      <c r="N67">
        <f t="shared" ca="1" si="4"/>
        <v>0.48999999999999488</v>
      </c>
      <c r="O67">
        <f t="shared" ca="1" si="5"/>
        <v>0.48999999999999488</v>
      </c>
      <c r="P67">
        <f t="shared" ca="1" si="6"/>
        <v>0</v>
      </c>
      <c r="Q67">
        <f t="shared" ca="1" si="10"/>
        <v>0.44297959179244467</v>
      </c>
      <c r="R67">
        <f t="shared" ca="1" si="11"/>
        <v>0.65919530289177142</v>
      </c>
      <c r="S67">
        <f t="shared" ca="1" si="8"/>
        <v>0.67200052829438062</v>
      </c>
      <c r="T67">
        <f t="shared" ca="1" si="9"/>
        <v>40.191406457263085</v>
      </c>
      <c r="U67">
        <f>70</f>
        <v>70</v>
      </c>
      <c r="V67">
        <f>30</f>
        <v>30</v>
      </c>
      <c r="W67">
        <f t="shared" ca="1" si="7"/>
        <v>105.20191988957924</v>
      </c>
      <c r="X67">
        <f t="shared" ca="1" si="17"/>
        <v>106.18068503181712</v>
      </c>
      <c r="Y67">
        <f t="shared" ca="1" si="16"/>
        <v>-1.1529129006710264</v>
      </c>
      <c r="Z67">
        <f t="shared" ca="1" si="18"/>
        <v>-0.69734078266305366</v>
      </c>
      <c r="AA67">
        <f t="shared" ca="1" si="19"/>
        <v>-0.4555721180079727</v>
      </c>
    </row>
    <row r="68" spans="1:27" x14ac:dyDescent="0.25">
      <c r="A68" s="20">
        <f t="shared" ca="1" si="20"/>
        <v>45803</v>
      </c>
      <c r="B68" vm="196">
        <f ca="1"/>
        <v>45805</v>
      </c>
      <c r="C68" vm="197">
        <f ca="1"/>
        <v>102.11</v>
      </c>
      <c r="D68" vm="198">
        <f ca="1"/>
        <v>14292377</v>
      </c>
      <c r="E68">
        <f t="shared" ca="1" si="21"/>
        <v>1459394615.47</v>
      </c>
      <c r="F68">
        <f ca="1">SUM($E$2:E68)/SUM($D$2:D68)</f>
        <v>108.36848701432172</v>
      </c>
      <c r="G68">
        <f ca="1">_xlfn.STDEV.P($C$2:C68)</f>
        <v>4.8057843247657255</v>
      </c>
      <c r="H68">
        <f t="shared" ca="1" si="22"/>
        <v>113.17427133908744</v>
      </c>
      <c r="I68">
        <f t="shared" ca="1" si="23"/>
        <v>103.56270268955599</v>
      </c>
      <c r="J68">
        <f t="shared" ca="1" si="12"/>
        <v>105.7085</v>
      </c>
      <c r="K68">
        <f t="shared" ca="1" si="13"/>
        <v>2.2588242749853644</v>
      </c>
      <c r="L68">
        <f t="shared" ca="1" si="14"/>
        <v>110.22614854997073</v>
      </c>
      <c r="M68">
        <f t="shared" ca="1" si="15"/>
        <v>101.19085145002927</v>
      </c>
      <c r="N68">
        <f t="shared" ref="N68:N131" ca="1" si="24">C68-C67</f>
        <v>-1.4099999999999966</v>
      </c>
      <c r="O68">
        <f t="shared" ref="O68:O131" ca="1" si="25">MAX(N68,0)</f>
        <v>0</v>
      </c>
      <c r="P68">
        <f t="shared" ref="P68:P131" ca="1" si="26">MAX(-N68,0)</f>
        <v>1.4099999999999966</v>
      </c>
      <c r="Q68">
        <f t="shared" ca="1" si="10"/>
        <v>0.41133819237869862</v>
      </c>
      <c r="R68">
        <f t="shared" ca="1" si="11"/>
        <v>0.71282420982807326</v>
      </c>
      <c r="S68">
        <f t="shared" ca="1" si="8"/>
        <v>0.57705418349625026</v>
      </c>
      <c r="T68">
        <f t="shared" ca="1" si="9"/>
        <v>36.590637755828396</v>
      </c>
      <c r="U68">
        <f>70</f>
        <v>70</v>
      </c>
      <c r="V68">
        <f>30</f>
        <v>30</v>
      </c>
      <c r="W68">
        <f t="shared" ca="1" si="7"/>
        <v>104.72623990656706</v>
      </c>
      <c r="X68">
        <f t="shared" ca="1" si="17"/>
        <v>105.87915280723809</v>
      </c>
      <c r="Y68">
        <f t="shared" ca="1" si="16"/>
        <v>-1.2299470373275341</v>
      </c>
      <c r="Z68">
        <f t="shared" ca="1" si="18"/>
        <v>-0.80386203359594977</v>
      </c>
      <c r="AA68">
        <f t="shared" ca="1" si="19"/>
        <v>-0.42608500373158431</v>
      </c>
    </row>
    <row r="69" spans="1:27" x14ac:dyDescent="0.25">
      <c r="A69" s="20">
        <f t="shared" ca="1" si="20"/>
        <v>45803</v>
      </c>
      <c r="B69" vm="199">
        <f ca="1"/>
        <v>45806</v>
      </c>
      <c r="C69" vm="200">
        <f ca="1"/>
        <v>102.69</v>
      </c>
      <c r="D69" vm="201">
        <f ca="1"/>
        <v>13832487</v>
      </c>
      <c r="E69">
        <f t="shared" ca="1" si="21"/>
        <v>1420458090.03</v>
      </c>
      <c r="F69">
        <f ca="1">SUM($E$2:E69)/SUM($D$2:D69)</f>
        <v>108.30129840412084</v>
      </c>
      <c r="G69">
        <f ca="1">_xlfn.STDEV.P($C$2:C69)</f>
        <v>4.8251933733235415</v>
      </c>
      <c r="H69">
        <f t="shared" ca="1" si="22"/>
        <v>113.12649177744439</v>
      </c>
      <c r="I69">
        <f t="shared" ca="1" si="23"/>
        <v>103.4761050307973</v>
      </c>
      <c r="J69">
        <f t="shared" ca="1" si="12"/>
        <v>105.56149999999998</v>
      </c>
      <c r="K69">
        <f t="shared" ca="1" si="13"/>
        <v>2.3577024387046137</v>
      </c>
      <c r="L69">
        <f t="shared" ca="1" si="14"/>
        <v>110.27690487740921</v>
      </c>
      <c r="M69">
        <f t="shared" ca="1" si="15"/>
        <v>100.84609512259075</v>
      </c>
      <c r="N69">
        <f t="shared" ca="1" si="24"/>
        <v>0.57999999999999829</v>
      </c>
      <c r="O69">
        <f t="shared" ca="1" si="25"/>
        <v>0.57999999999999829</v>
      </c>
      <c r="P69">
        <f t="shared" ca="1" si="26"/>
        <v>0</v>
      </c>
      <c r="Q69">
        <f t="shared" ca="1" si="10"/>
        <v>0.42338546435164864</v>
      </c>
      <c r="R69">
        <f t="shared" ca="1" si="11"/>
        <v>0.66190819484035379</v>
      </c>
      <c r="S69">
        <f t="shared" ca="1" si="8"/>
        <v>0.63964378693598944</v>
      </c>
      <c r="T69">
        <f t="shared" ca="1" si="9"/>
        <v>39.011143275899883</v>
      </c>
      <c r="U69">
        <f>70</f>
        <v>70</v>
      </c>
      <c r="V69">
        <f>30</f>
        <v>30</v>
      </c>
      <c r="W69">
        <f t="shared" ca="1" si="7"/>
        <v>104.41297222863366</v>
      </c>
      <c r="X69">
        <f t="shared" ca="1" si="17"/>
        <v>105.6429192659612</v>
      </c>
      <c r="Y69">
        <f t="shared" ca="1" si="16"/>
        <v>-1.3073960385561065</v>
      </c>
      <c r="Z69">
        <f t="shared" ca="1" si="18"/>
        <v>-0.90456883458798121</v>
      </c>
      <c r="AA69">
        <f t="shared" ca="1" si="19"/>
        <v>-0.40282720396812532</v>
      </c>
    </row>
    <row r="70" spans="1:27" x14ac:dyDescent="0.25">
      <c r="A70" s="20">
        <f t="shared" ca="1" si="20"/>
        <v>45803</v>
      </c>
      <c r="B70" vm="202">
        <f ca="1"/>
        <v>45807</v>
      </c>
      <c r="C70" vm="203">
        <f ca="1"/>
        <v>102.3</v>
      </c>
      <c r="D70" vm="204">
        <f ca="1"/>
        <v>28645787</v>
      </c>
      <c r="E70">
        <f t="shared" ca="1" si="21"/>
        <v>2930464010.0999999</v>
      </c>
      <c r="F70">
        <f ca="1">SUM($E$2:E70)/SUM($D$2:D70)</f>
        <v>108.15776420374833</v>
      </c>
      <c r="G70">
        <f ca="1">_xlfn.STDEV.P($C$2:C70)</f>
        <v>4.8494642105695176</v>
      </c>
      <c r="H70">
        <f t="shared" ca="1" si="22"/>
        <v>113.00722841431785</v>
      </c>
      <c r="I70">
        <f t="shared" ca="1" si="23"/>
        <v>103.30829999317881</v>
      </c>
      <c r="J70">
        <f t="shared" ca="1" si="12"/>
        <v>105.38750000000002</v>
      </c>
      <c r="K70">
        <f t="shared" ca="1" si="13"/>
        <v>2.4666253849082325</v>
      </c>
      <c r="L70">
        <f t="shared" ca="1" si="14"/>
        <v>110.32075076981648</v>
      </c>
      <c r="M70">
        <f t="shared" ca="1" si="15"/>
        <v>100.45424923018355</v>
      </c>
      <c r="N70">
        <f t="shared" ca="1" si="24"/>
        <v>-0.39000000000000057</v>
      </c>
      <c r="O70">
        <f t="shared" ca="1" si="25"/>
        <v>0</v>
      </c>
      <c r="P70">
        <f t="shared" ca="1" si="26"/>
        <v>0.39000000000000057</v>
      </c>
      <c r="Q70">
        <f t="shared" ca="1" si="10"/>
        <v>0.39314364546938801</v>
      </c>
      <c r="R70">
        <f t="shared" ca="1" si="11"/>
        <v>0.64248618092318566</v>
      </c>
      <c r="S70">
        <f t="shared" ca="1" si="8"/>
        <v>0.611909885601713</v>
      </c>
      <c r="T70">
        <f t="shared" ca="1" si="9"/>
        <v>37.961792471623937</v>
      </c>
      <c r="U70">
        <f>70</f>
        <v>70</v>
      </c>
      <c r="V70">
        <f>30</f>
        <v>30</v>
      </c>
      <c r="W70">
        <f t="shared" ca="1" si="7"/>
        <v>104.08789957807464</v>
      </c>
      <c r="X70">
        <f t="shared" ca="1" si="17"/>
        <v>105.39529561663075</v>
      </c>
      <c r="Y70">
        <f t="shared" ca="1" si="16"/>
        <v>-1.2933472954895393</v>
      </c>
      <c r="Z70">
        <f t="shared" ca="1" si="18"/>
        <v>-0.98232452676829296</v>
      </c>
      <c r="AA70">
        <f t="shared" ca="1" si="19"/>
        <v>-0.31102276872124635</v>
      </c>
    </row>
    <row r="71" spans="1:27" x14ac:dyDescent="0.25">
      <c r="A71" s="20">
        <f t="shared" ca="1" si="20"/>
        <v>45810</v>
      </c>
      <c r="B71" vm="205">
        <f ca="1"/>
        <v>45810</v>
      </c>
      <c r="C71" vm="206">
        <f ca="1"/>
        <v>103.05</v>
      </c>
      <c r="D71" vm="207">
        <f ca="1"/>
        <v>17290462</v>
      </c>
      <c r="E71">
        <f t="shared" ca="1" si="21"/>
        <v>1781782109.0999999</v>
      </c>
      <c r="F71">
        <f ca="1">SUM($E$2:E71)/SUM($D$2:D71)</f>
        <v>108.08507631262474</v>
      </c>
      <c r="G71">
        <f ca="1">_xlfn.STDEV.P($C$2:C71)</f>
        <v>4.8585440016867754</v>
      </c>
      <c r="H71">
        <f t="shared" ca="1" si="22"/>
        <v>112.94362031431152</v>
      </c>
      <c r="I71">
        <f t="shared" ca="1" si="23"/>
        <v>103.22653231093796</v>
      </c>
      <c r="J71">
        <f t="shared" ca="1" si="12"/>
        <v>105.2295</v>
      </c>
      <c r="K71">
        <f t="shared" ca="1" si="13"/>
        <v>2.5119576660026484</v>
      </c>
      <c r="L71">
        <f t="shared" ca="1" si="14"/>
        <v>110.2534153320053</v>
      </c>
      <c r="M71">
        <f t="shared" ca="1" si="15"/>
        <v>100.2055846679947</v>
      </c>
      <c r="N71">
        <f t="shared" ca="1" si="24"/>
        <v>0.75</v>
      </c>
      <c r="O71">
        <f t="shared" ca="1" si="25"/>
        <v>0.75</v>
      </c>
      <c r="P71">
        <f t="shared" ca="1" si="26"/>
        <v>0</v>
      </c>
      <c r="Q71">
        <f t="shared" ca="1" si="10"/>
        <v>0.41863338507871745</v>
      </c>
      <c r="R71">
        <f t="shared" ca="1" si="11"/>
        <v>0.59659431085724379</v>
      </c>
      <c r="S71">
        <f t="shared" ca="1" si="8"/>
        <v>0.70170529195490472</v>
      </c>
      <c r="T71">
        <f t="shared" ca="1" si="9"/>
        <v>41.235418099263917</v>
      </c>
      <c r="U71">
        <f>70</f>
        <v>70</v>
      </c>
      <c r="V71">
        <f>30</f>
        <v>30</v>
      </c>
      <c r="W71">
        <f t="shared" ca="1" si="7"/>
        <v>103.9282227199093</v>
      </c>
      <c r="X71">
        <f t="shared" ca="1" si="17"/>
        <v>105.22157001539884</v>
      </c>
      <c r="Y71">
        <f t="shared" ca="1" si="16"/>
        <v>-1.2077723851611495</v>
      </c>
      <c r="Z71">
        <f t="shared" ca="1" si="18"/>
        <v>-1.0274140984468643</v>
      </c>
      <c r="AA71">
        <f t="shared" ca="1" si="19"/>
        <v>-0.18035828671428522</v>
      </c>
    </row>
    <row r="72" spans="1:27" x14ac:dyDescent="0.25">
      <c r="A72" s="20">
        <f t="shared" ca="1" si="20"/>
        <v>45810</v>
      </c>
      <c r="B72" vm="208">
        <f ca="1"/>
        <v>45811</v>
      </c>
      <c r="C72" vm="209">
        <f ca="1"/>
        <v>103.8</v>
      </c>
      <c r="D72" vm="210">
        <f ca="1"/>
        <v>19194335</v>
      </c>
      <c r="E72">
        <f t="shared" ca="1" si="21"/>
        <v>1992371973</v>
      </c>
      <c r="F72">
        <f ca="1">SUM($E$2:E72)/SUM($D$2:D72)</f>
        <v>108.01843416609758</v>
      </c>
      <c r="G72">
        <f ca="1">_xlfn.STDEV.P($C$2:C72)</f>
        <v>4.8553546682577693</v>
      </c>
      <c r="H72">
        <f t="shared" ca="1" si="22"/>
        <v>112.87378883435535</v>
      </c>
      <c r="I72">
        <f t="shared" ca="1" si="23"/>
        <v>103.1630794978398</v>
      </c>
      <c r="J72">
        <f t="shared" ca="1" si="12"/>
        <v>105.25600000000001</v>
      </c>
      <c r="K72">
        <f t="shared" ca="1" si="13"/>
        <v>2.4929213469552671</v>
      </c>
      <c r="L72">
        <f t="shared" ca="1" si="14"/>
        <v>110.24184269391054</v>
      </c>
      <c r="M72">
        <f t="shared" ca="1" si="15"/>
        <v>100.27015730608949</v>
      </c>
      <c r="N72">
        <f t="shared" ca="1" si="24"/>
        <v>0.75</v>
      </c>
      <c r="O72">
        <f t="shared" ca="1" si="25"/>
        <v>0.75</v>
      </c>
      <c r="P72">
        <f t="shared" ca="1" si="26"/>
        <v>0</v>
      </c>
      <c r="Q72">
        <f t="shared" ca="1" si="10"/>
        <v>0.44230242900166622</v>
      </c>
      <c r="R72">
        <f t="shared" ca="1" si="11"/>
        <v>0.55398043151029774</v>
      </c>
      <c r="S72">
        <f t="shared" ca="1" si="8"/>
        <v>0.79840803725834208</v>
      </c>
      <c r="T72">
        <f t="shared" ca="1" si="9"/>
        <v>44.395266297603314</v>
      </c>
      <c r="U72">
        <f>70</f>
        <v>70</v>
      </c>
      <c r="V72">
        <f>30</f>
        <v>30</v>
      </c>
      <c r="W72">
        <f t="shared" ca="1" si="7"/>
        <v>103.90849614761555</v>
      </c>
      <c r="X72">
        <f t="shared" ca="1" si="17"/>
        <v>105.1162685327767</v>
      </c>
      <c r="Y72">
        <f t="shared" ca="1" si="16"/>
        <v>-1.2466208470387841</v>
      </c>
      <c r="Z72">
        <f t="shared" ca="1" si="18"/>
        <v>-1.0712554481652483</v>
      </c>
      <c r="AA72">
        <f t="shared" ca="1" si="19"/>
        <v>-0.17536539887353575</v>
      </c>
    </row>
    <row r="73" spans="1:27" x14ac:dyDescent="0.25">
      <c r="A73" s="20">
        <f t="shared" ca="1" si="20"/>
        <v>45810</v>
      </c>
      <c r="B73" vm="211">
        <f ca="1"/>
        <v>45812</v>
      </c>
      <c r="C73" vm="203">
        <f ca="1"/>
        <v>102.3</v>
      </c>
      <c r="D73" vm="212">
        <f ca="1"/>
        <v>15648515</v>
      </c>
      <c r="E73">
        <f t="shared" ca="1" si="21"/>
        <v>1600843084.5</v>
      </c>
      <c r="F73">
        <f ca="1">SUM($E$2:E73)/SUM($D$2:D73)</f>
        <v>107.94683701698699</v>
      </c>
      <c r="G73">
        <f ca="1">_xlfn.STDEV.P($C$2:C73)</f>
        <v>4.8739780485499642</v>
      </c>
      <c r="H73">
        <f t="shared" ca="1" si="22"/>
        <v>112.82081506553695</v>
      </c>
      <c r="I73">
        <f t="shared" ca="1" si="23"/>
        <v>103.07285896843703</v>
      </c>
      <c r="J73">
        <f t="shared" ca="1" si="12"/>
        <v>105.13550000000001</v>
      </c>
      <c r="K73">
        <f t="shared" ca="1" si="13"/>
        <v>2.5775130302391553</v>
      </c>
      <c r="L73">
        <f t="shared" ca="1" si="14"/>
        <v>110.29052606047831</v>
      </c>
      <c r="M73">
        <f t="shared" ca="1" si="15"/>
        <v>99.980473939521701</v>
      </c>
      <c r="N73">
        <f t="shared" ca="1" si="24"/>
        <v>-1.5</v>
      </c>
      <c r="O73">
        <f t="shared" ca="1" si="25"/>
        <v>0</v>
      </c>
      <c r="P73">
        <f t="shared" ca="1" si="26"/>
        <v>1.5</v>
      </c>
      <c r="Q73">
        <f t="shared" ca="1" si="10"/>
        <v>0.41070939835869008</v>
      </c>
      <c r="R73">
        <f t="shared" ca="1" si="11"/>
        <v>0.6215532578309908</v>
      </c>
      <c r="S73">
        <f t="shared" ca="1" si="8"/>
        <v>0.66077909364022325</v>
      </c>
      <c r="T73">
        <f t="shared" ca="1" si="9"/>
        <v>39.787295984794518</v>
      </c>
      <c r="U73">
        <f>70</f>
        <v>70</v>
      </c>
      <c r="V73">
        <f>30</f>
        <v>30</v>
      </c>
      <c r="W73">
        <f t="shared" ca="1" si="7"/>
        <v>103.66103520182854</v>
      </c>
      <c r="X73">
        <f t="shared" ca="1" si="17"/>
        <v>104.90765604886732</v>
      </c>
      <c r="Y73">
        <f t="shared" ca="1" si="16"/>
        <v>-1.3003440482586939</v>
      </c>
      <c r="Z73">
        <f t="shared" ca="1" si="18"/>
        <v>-1.1170731681839374</v>
      </c>
      <c r="AA73">
        <f t="shared" ca="1" si="19"/>
        <v>-0.18327088007475645</v>
      </c>
    </row>
    <row r="74" spans="1:27" x14ac:dyDescent="0.25">
      <c r="A74" s="20">
        <f t="shared" ca="1" si="20"/>
        <v>45810</v>
      </c>
      <c r="B74" vm="213">
        <f ca="1"/>
        <v>45813</v>
      </c>
      <c r="C74" vm="214">
        <f ca="1"/>
        <v>101.83</v>
      </c>
      <c r="D74" vm="215">
        <f ca="1"/>
        <v>13942218</v>
      </c>
      <c r="E74">
        <f t="shared" ca="1" si="21"/>
        <v>1419736058.9400001</v>
      </c>
      <c r="F74">
        <f ca="1">SUM($E$2:E74)/SUM($D$2:D74)</f>
        <v>107.87935525214672</v>
      </c>
      <c r="G74">
        <f ca="1">_xlfn.STDEV.P($C$2:C74)</f>
        <v>4.8987193994502878</v>
      </c>
      <c r="H74">
        <f t="shared" ca="1" si="22"/>
        <v>112.77807465159701</v>
      </c>
      <c r="I74">
        <f t="shared" ca="1" si="23"/>
        <v>102.98063585269644</v>
      </c>
      <c r="J74">
        <f t="shared" ca="1" si="12"/>
        <v>104.9965</v>
      </c>
      <c r="K74">
        <f t="shared" ca="1" si="13"/>
        <v>2.6802558302873765</v>
      </c>
      <c r="L74">
        <f t="shared" ca="1" si="14"/>
        <v>110.35701166057476</v>
      </c>
      <c r="M74">
        <f t="shared" ca="1" si="15"/>
        <v>99.635988339425239</v>
      </c>
      <c r="N74">
        <f t="shared" ca="1" si="24"/>
        <v>-0.46999999999999886</v>
      </c>
      <c r="O74">
        <f t="shared" ca="1" si="25"/>
        <v>0</v>
      </c>
      <c r="P74">
        <f t="shared" ca="1" si="26"/>
        <v>0.46999999999999886</v>
      </c>
      <c r="Q74">
        <f t="shared" ca="1" si="10"/>
        <v>0.38137301276164076</v>
      </c>
      <c r="R74">
        <f t="shared" ca="1" si="11"/>
        <v>0.61072802512877711</v>
      </c>
      <c r="S74">
        <f t="shared" ca="1" si="8"/>
        <v>0.62445638167861228</v>
      </c>
      <c r="T74">
        <f t="shared" ca="1" si="9"/>
        <v>38.440944842934954</v>
      </c>
      <c r="U74">
        <f>70</f>
        <v>70</v>
      </c>
      <c r="V74">
        <f>30</f>
        <v>30</v>
      </c>
      <c r="W74">
        <f t="shared" ca="1" si="7"/>
        <v>103.3793374784703</v>
      </c>
      <c r="X74">
        <f t="shared" ca="1" si="17"/>
        <v>104.679681526729</v>
      </c>
      <c r="Y74">
        <f t="shared" ca="1" si="16"/>
        <v>-1.1329722651887266</v>
      </c>
      <c r="Z74">
        <f t="shared" ca="1" si="18"/>
        <v>-1.1202529875848952</v>
      </c>
      <c r="AA74">
        <f t="shared" ca="1" si="19"/>
        <v>-1.2719277603831403E-2</v>
      </c>
    </row>
    <row r="75" spans="1:27" x14ac:dyDescent="0.25">
      <c r="A75" s="20">
        <f t="shared" ca="1" si="20"/>
        <v>45810</v>
      </c>
      <c r="B75" vm="216">
        <f ca="1"/>
        <v>45814</v>
      </c>
      <c r="C75" vm="217">
        <f ca="1"/>
        <v>104.27</v>
      </c>
      <c r="D75" vm="218">
        <f ca="1"/>
        <v>15487844</v>
      </c>
      <c r="E75">
        <f t="shared" ca="1" si="21"/>
        <v>1614917493.8799999</v>
      </c>
      <c r="F75">
        <f ca="1">SUM($E$2:E75)/SUM($D$2:D75)</f>
        <v>107.8356575847572</v>
      </c>
      <c r="G75">
        <f ca="1">_xlfn.STDEV.P($C$2:C75)</f>
        <v>4.886840995945068</v>
      </c>
      <c r="H75">
        <f t="shared" ca="1" si="22"/>
        <v>112.72249858070226</v>
      </c>
      <c r="I75">
        <f t="shared" ca="1" si="23"/>
        <v>102.94881658881214</v>
      </c>
      <c r="J75">
        <f t="shared" ca="1" si="12"/>
        <v>104.90649999999998</v>
      </c>
      <c r="K75">
        <f t="shared" ca="1" si="13"/>
        <v>2.6725215276568823</v>
      </c>
      <c r="L75">
        <f t="shared" ca="1" si="14"/>
        <v>110.25154305531375</v>
      </c>
      <c r="M75">
        <f t="shared" ca="1" si="15"/>
        <v>99.561456944686213</v>
      </c>
      <c r="N75">
        <f t="shared" ca="1" si="24"/>
        <v>2.4399999999999977</v>
      </c>
      <c r="O75">
        <f t="shared" ca="1" si="25"/>
        <v>2.4399999999999977</v>
      </c>
      <c r="P75">
        <f t="shared" ca="1" si="26"/>
        <v>0</v>
      </c>
      <c r="Q75">
        <f t="shared" ca="1" si="10"/>
        <v>0.52841779756438056</v>
      </c>
      <c r="R75">
        <f t="shared" ca="1" si="11"/>
        <v>0.56710459476243591</v>
      </c>
      <c r="S75">
        <f t="shared" ca="1" si="8"/>
        <v>0.93178190133645189</v>
      </c>
      <c r="T75">
        <f t="shared" ca="1" si="9"/>
        <v>48.2343219331242</v>
      </c>
      <c r="U75">
        <f>70</f>
        <v>70</v>
      </c>
      <c r="V75">
        <f>30</f>
        <v>30</v>
      </c>
      <c r="W75">
        <f t="shared" ca="1" si="7"/>
        <v>103.51636248178256</v>
      </c>
      <c r="X75">
        <f t="shared" ca="1" si="17"/>
        <v>104.64933474697129</v>
      </c>
      <c r="Y75">
        <f t="shared" ca="1" si="16"/>
        <v>-0.93308870563033963</v>
      </c>
      <c r="Z75">
        <f t="shared" ca="1" si="18"/>
        <v>-1.0828201311939842</v>
      </c>
      <c r="AA75">
        <f t="shared" ca="1" si="19"/>
        <v>0.1497314255636446</v>
      </c>
    </row>
    <row r="76" spans="1:27" x14ac:dyDescent="0.25">
      <c r="A76" s="20">
        <f t="shared" ca="1" si="20"/>
        <v>45817</v>
      </c>
      <c r="B76" vm="219">
        <f ca="1"/>
        <v>45817</v>
      </c>
      <c r="C76" vm="220">
        <f ca="1"/>
        <v>104.97</v>
      </c>
      <c r="D76" vm="221">
        <f ca="1"/>
        <v>17087328</v>
      </c>
      <c r="E76">
        <f t="shared" ca="1" si="21"/>
        <v>1793656820.1600001</v>
      </c>
      <c r="F76">
        <f ca="1">SUM($E$2:E76)/SUM($D$2:D76)</f>
        <v>107.79788526990941</v>
      </c>
      <c r="G76">
        <f ca="1">_xlfn.STDEV.P($C$2:C76)</f>
        <v>4.8679844681574558</v>
      </c>
      <c r="H76">
        <f t="shared" ca="1" si="22"/>
        <v>112.66586973806687</v>
      </c>
      <c r="I76">
        <f t="shared" ca="1" si="23"/>
        <v>102.92990080175196</v>
      </c>
      <c r="J76">
        <f t="shared" ca="1" si="12"/>
        <v>104.78949999999998</v>
      </c>
      <c r="K76">
        <f t="shared" ca="1" si="13"/>
        <v>2.6123038329776023</v>
      </c>
      <c r="L76">
        <f t="shared" ca="1" si="14"/>
        <v>110.01410766595518</v>
      </c>
      <c r="M76">
        <f t="shared" ca="1" si="15"/>
        <v>99.564892334044771</v>
      </c>
      <c r="N76">
        <f t="shared" ca="1" si="24"/>
        <v>0.70000000000000284</v>
      </c>
      <c r="O76">
        <f t="shared" ca="1" si="25"/>
        <v>0.70000000000000284</v>
      </c>
      <c r="P76">
        <f t="shared" ca="1" si="26"/>
        <v>0</v>
      </c>
      <c r="Q76">
        <f t="shared" ca="1" si="10"/>
        <v>0.54067366916692505</v>
      </c>
      <c r="R76">
        <f t="shared" ca="1" si="11"/>
        <v>0.52659712370797618</v>
      </c>
      <c r="S76">
        <f t="shared" ca="1" si="8"/>
        <v>1.0267311476367937</v>
      </c>
      <c r="T76">
        <f t="shared" ca="1" si="9"/>
        <v>50.659464568548294</v>
      </c>
      <c r="U76">
        <f>70</f>
        <v>70</v>
      </c>
      <c r="V76">
        <f>30</f>
        <v>30</v>
      </c>
      <c r="W76">
        <f t="shared" ca="1" si="7"/>
        <v>103.73999902304678</v>
      </c>
      <c r="X76">
        <f t="shared" ca="1" si="17"/>
        <v>104.67308772867712</v>
      </c>
      <c r="Y76">
        <f t="shared" ca="1" si="16"/>
        <v>-0.58636410819137552</v>
      </c>
      <c r="Z76">
        <f t="shared" ca="1" si="18"/>
        <v>-0.98352892659346258</v>
      </c>
      <c r="AA76">
        <f t="shared" ca="1" si="19"/>
        <v>0.39716481840208706</v>
      </c>
    </row>
    <row r="77" spans="1:27" x14ac:dyDescent="0.25">
      <c r="A77" s="20">
        <f t="shared" ca="1" si="20"/>
        <v>45817</v>
      </c>
      <c r="B77" vm="222">
        <f ca="1"/>
        <v>45818</v>
      </c>
      <c r="C77" vm="223">
        <f ca="1"/>
        <v>107.22</v>
      </c>
      <c r="D77" vm="224">
        <f ca="1"/>
        <v>17634793</v>
      </c>
      <c r="E77">
        <f t="shared" ca="1" si="21"/>
        <v>1890802505.46</v>
      </c>
      <c r="F77">
        <f ca="1">SUM($E$2:E77)/SUM($D$2:D77)</f>
        <v>107.7901296037316</v>
      </c>
      <c r="G77">
        <f ca="1">_xlfn.STDEV.P($C$2:C77)</f>
        <v>4.836950531400265</v>
      </c>
      <c r="H77">
        <f t="shared" ca="1" si="22"/>
        <v>112.62708013513186</v>
      </c>
      <c r="I77">
        <f t="shared" ca="1" si="23"/>
        <v>102.95317907233134</v>
      </c>
      <c r="J77">
        <f t="shared" ca="1" si="12"/>
        <v>104.69249999999997</v>
      </c>
      <c r="K77">
        <f t="shared" ca="1" si="13"/>
        <v>2.473824814033184</v>
      </c>
      <c r="L77">
        <f t="shared" ca="1" si="14"/>
        <v>109.64014962806634</v>
      </c>
      <c r="M77">
        <f t="shared" ca="1" si="15"/>
        <v>99.744850371933595</v>
      </c>
      <c r="N77">
        <f t="shared" ca="1" si="24"/>
        <v>2.25</v>
      </c>
      <c r="O77">
        <f t="shared" ca="1" si="25"/>
        <v>2.25</v>
      </c>
      <c r="P77">
        <f t="shared" ca="1" si="26"/>
        <v>0</v>
      </c>
      <c r="Q77">
        <f t="shared" ca="1" si="10"/>
        <v>0.66276840708357321</v>
      </c>
      <c r="R77">
        <f t="shared" ca="1" si="11"/>
        <v>0.48898304344312077</v>
      </c>
      <c r="S77">
        <f t="shared" ca="1" si="8"/>
        <v>1.3554016155995139</v>
      </c>
      <c r="T77">
        <f t="shared" ca="1" si="9"/>
        <v>57.544395258238261</v>
      </c>
      <c r="U77">
        <f>70</f>
        <v>70</v>
      </c>
      <c r="V77">
        <f>30</f>
        <v>30</v>
      </c>
      <c r="W77">
        <f t="shared" ca="1" si="7"/>
        <v>104.27538378873189</v>
      </c>
      <c r="X77">
        <f t="shared" ca="1" si="17"/>
        <v>104.86174789692326</v>
      </c>
      <c r="Y77">
        <f t="shared" ca="1" si="16"/>
        <v>-0.14130792377974899</v>
      </c>
      <c r="Z77">
        <f t="shared" ca="1" si="18"/>
        <v>-0.81508472603071991</v>
      </c>
      <c r="AA77">
        <f t="shared" ca="1" si="19"/>
        <v>0.67377680225097092</v>
      </c>
    </row>
    <row r="78" spans="1:27" x14ac:dyDescent="0.25">
      <c r="A78" s="20">
        <f t="shared" ca="1" si="20"/>
        <v>45817</v>
      </c>
      <c r="B78" vm="225">
        <f ca="1"/>
        <v>45819</v>
      </c>
      <c r="C78" vm="226">
        <f ca="1"/>
        <v>109.31</v>
      </c>
      <c r="D78" vm="227">
        <f ca="1"/>
        <v>22648191</v>
      </c>
      <c r="E78">
        <f t="shared" ca="1" si="21"/>
        <v>2475673758.21</v>
      </c>
      <c r="F78">
        <f ca="1">SUM($E$2:E78)/SUM($D$2:D78)</f>
        <v>107.81588245976779</v>
      </c>
      <c r="G78">
        <f ca="1">_xlfn.STDEV.P($C$2:C78)</f>
        <v>4.8073508992209897</v>
      </c>
      <c r="H78">
        <f t="shared" ca="1" si="22"/>
        <v>112.62323335898878</v>
      </c>
      <c r="I78">
        <f t="shared" ca="1" si="23"/>
        <v>103.0085315605468</v>
      </c>
      <c r="J78">
        <f t="shared" ca="1" si="12"/>
        <v>104.68499999999999</v>
      </c>
      <c r="K78">
        <f t="shared" ca="1" si="13"/>
        <v>2.4587919584090168</v>
      </c>
      <c r="L78">
        <f t="shared" ca="1" si="14"/>
        <v>109.60258391681802</v>
      </c>
      <c r="M78">
        <f t="shared" ca="1" si="15"/>
        <v>99.767416083181956</v>
      </c>
      <c r="N78">
        <f t="shared" ca="1" si="24"/>
        <v>2.0900000000000034</v>
      </c>
      <c r="O78">
        <f t="shared" ca="1" si="25"/>
        <v>2.0900000000000034</v>
      </c>
      <c r="P78">
        <f t="shared" ca="1" si="26"/>
        <v>0</v>
      </c>
      <c r="Q78">
        <f t="shared" ca="1" si="10"/>
        <v>0.76471352086331823</v>
      </c>
      <c r="R78">
        <f t="shared" ca="1" si="11"/>
        <v>0.45405568319718359</v>
      </c>
      <c r="S78">
        <f t="shared" ca="1" si="8"/>
        <v>1.6841844495341878</v>
      </c>
      <c r="T78">
        <f t="shared" ca="1" si="9"/>
        <v>62.744736108819211</v>
      </c>
      <c r="U78">
        <f>70</f>
        <v>70</v>
      </c>
      <c r="V78">
        <f>30</f>
        <v>30</v>
      </c>
      <c r="W78">
        <f t="shared" ca="1" si="7"/>
        <v>105.04994012892698</v>
      </c>
      <c r="X78">
        <f t="shared" ca="1" si="17"/>
        <v>105.19124805270673</v>
      </c>
      <c r="Y78">
        <f t="shared" ca="1" si="16"/>
        <v>0.24249743920691458</v>
      </c>
      <c r="Z78">
        <f t="shared" ca="1" si="18"/>
        <v>-0.60356829298319303</v>
      </c>
      <c r="AA78">
        <f t="shared" ca="1" si="19"/>
        <v>0.84606573219010761</v>
      </c>
    </row>
    <row r="79" spans="1:27" x14ac:dyDescent="0.25">
      <c r="A79" s="20">
        <f t="shared" ca="1" si="20"/>
        <v>45817</v>
      </c>
      <c r="B79" vm="228">
        <f ca="1"/>
        <v>45820</v>
      </c>
      <c r="C79" vm="8">
        <f ca="1"/>
        <v>109.73</v>
      </c>
      <c r="D79" vm="229">
        <f ca="1"/>
        <v>17469408</v>
      </c>
      <c r="E79">
        <f t="shared" ca="1" si="21"/>
        <v>1916918139.8400002</v>
      </c>
      <c r="F79">
        <f ca="1">SUM($E$2:E79)/SUM($D$2:D79)</f>
        <v>107.84057653785045</v>
      </c>
      <c r="G79">
        <f ca="1">_xlfn.STDEV.P($C$2:C79)</f>
        <v>4.77983326577949</v>
      </c>
      <c r="H79">
        <f t="shared" ca="1" si="22"/>
        <v>112.62040980362994</v>
      </c>
      <c r="I79">
        <f t="shared" ca="1" si="23"/>
        <v>103.06074327207097</v>
      </c>
      <c r="J79">
        <f t="shared" ca="1" si="12"/>
        <v>104.74749999999999</v>
      </c>
      <c r="K79">
        <f t="shared" ca="1" si="13"/>
        <v>2.5735432772735733</v>
      </c>
      <c r="L79">
        <f t="shared" ca="1" si="14"/>
        <v>109.89458655454713</v>
      </c>
      <c r="M79">
        <f t="shared" ca="1" si="15"/>
        <v>99.600413445452844</v>
      </c>
      <c r="N79">
        <f t="shared" ca="1" si="24"/>
        <v>0.42000000000000171</v>
      </c>
      <c r="O79">
        <f t="shared" ca="1" si="25"/>
        <v>0.42000000000000171</v>
      </c>
      <c r="P79">
        <f t="shared" ca="1" si="26"/>
        <v>0</v>
      </c>
      <c r="Q79">
        <f t="shared" ca="1" si="10"/>
        <v>0.74009112651593845</v>
      </c>
      <c r="R79">
        <f t="shared" ca="1" si="11"/>
        <v>0.42162313439738475</v>
      </c>
      <c r="S79">
        <f t="shared" ca="1" si="8"/>
        <v>1.7553380403893917</v>
      </c>
      <c r="T79">
        <f t="shared" ca="1" si="9"/>
        <v>63.706812545633149</v>
      </c>
      <c r="U79">
        <f>70</f>
        <v>70</v>
      </c>
      <c r="V79">
        <f>30</f>
        <v>30</v>
      </c>
      <c r="W79">
        <f t="shared" ref="W79:W142" ca="1" si="27">C79*(2/(12+1)) + W78*(1-(2/(12+1)))</f>
        <v>105.76994933986128</v>
      </c>
      <c r="X79">
        <f t="shared" ca="1" si="17"/>
        <v>105.52745190065437</v>
      </c>
      <c r="Y79">
        <f t="shared" ca="1" si="16"/>
        <v>0.73109141374966669</v>
      </c>
      <c r="Z79">
        <f t="shared" ca="1" si="18"/>
        <v>-0.33663635163662109</v>
      </c>
      <c r="AA79">
        <f t="shared" ca="1" si="19"/>
        <v>1.0677277653862878</v>
      </c>
    </row>
    <row r="80" spans="1:27" x14ac:dyDescent="0.25">
      <c r="A80" s="20">
        <f t="shared" ca="1" si="20"/>
        <v>45817</v>
      </c>
      <c r="B80" vm="230">
        <f ca="1"/>
        <v>45821</v>
      </c>
      <c r="C80" vm="231">
        <f ca="1"/>
        <v>112.12</v>
      </c>
      <c r="D80" vm="232">
        <f ca="1"/>
        <v>28540165</v>
      </c>
      <c r="E80">
        <f t="shared" ca="1" si="21"/>
        <v>3199923299.8000002</v>
      </c>
      <c r="F80">
        <f ca="1">SUM($E$2:E80)/SUM($D$2:D80)</f>
        <v>107.92891084463646</v>
      </c>
      <c r="G80">
        <f ca="1">_xlfn.STDEV.P($C$2:C80)</f>
        <v>4.770190027511898</v>
      </c>
      <c r="H80">
        <f t="shared" ca="1" si="22"/>
        <v>112.69910087214836</v>
      </c>
      <c r="I80">
        <f t="shared" ca="1" si="23"/>
        <v>103.15872081712456</v>
      </c>
      <c r="J80">
        <f t="shared" ca="1" si="12"/>
        <v>104.92449999999999</v>
      </c>
      <c r="K80">
        <f t="shared" ca="1" si="13"/>
        <v>2.9458132198623526</v>
      </c>
      <c r="L80">
        <f t="shared" ca="1" si="14"/>
        <v>110.8161264397247</v>
      </c>
      <c r="M80">
        <f t="shared" ca="1" si="15"/>
        <v>99.032873560275291</v>
      </c>
      <c r="N80">
        <f t="shared" ca="1" si="24"/>
        <v>2.3900000000000006</v>
      </c>
      <c r="O80">
        <f t="shared" ca="1" si="25"/>
        <v>2.3900000000000006</v>
      </c>
      <c r="P80">
        <f t="shared" ca="1" si="26"/>
        <v>0</v>
      </c>
      <c r="Q80">
        <f t="shared" ca="1" si="10"/>
        <v>0.8579417603362286</v>
      </c>
      <c r="R80">
        <f t="shared" ca="1" si="11"/>
        <v>0.39150719622614299</v>
      </c>
      <c r="S80">
        <f t="shared" ref="S80:S143" ca="1" si="28">IF(R80=0,NA(),Q80/R80)</f>
        <v>2.1913818407584595</v>
      </c>
      <c r="T80">
        <f t="shared" ref="T80:T143" ca="1" si="29">100-(100/(1+S80))</f>
        <v>68.665611014370455</v>
      </c>
      <c r="U80">
        <f>70</f>
        <v>70</v>
      </c>
      <c r="V80">
        <f>30</f>
        <v>30</v>
      </c>
      <c r="W80">
        <f t="shared" ca="1" si="27"/>
        <v>106.74688021065185</v>
      </c>
      <c r="X80">
        <f t="shared" ca="1" si="17"/>
        <v>106.01578879690219</v>
      </c>
      <c r="Y80">
        <f t="shared" ca="1" si="16"/>
        <v>1.1342793833914158</v>
      </c>
      <c r="Z80">
        <f t="shared" ca="1" si="18"/>
        <v>-4.2453204631013708E-2</v>
      </c>
      <c r="AA80">
        <f t="shared" ca="1" si="19"/>
        <v>1.1767325880224295</v>
      </c>
    </row>
    <row r="81" spans="1:27" x14ac:dyDescent="0.25">
      <c r="A81" s="20">
        <f t="shared" ca="1" si="20"/>
        <v>45824</v>
      </c>
      <c r="B81" vm="233">
        <f ca="1"/>
        <v>45824</v>
      </c>
      <c r="C81" vm="234">
        <f ca="1"/>
        <v>112.48</v>
      </c>
      <c r="D81" vm="235">
        <f ca="1"/>
        <v>22986113</v>
      </c>
      <c r="E81">
        <f t="shared" ca="1" si="21"/>
        <v>2585477990.2400002</v>
      </c>
      <c r="F81">
        <f ca="1">SUM($E$2:E81)/SUM($D$2:D81)</f>
        <v>108.00333396860665</v>
      </c>
      <c r="G81">
        <f ca="1">_xlfn.STDEV.P($C$2:C81)</f>
        <v>4.7640847756940685</v>
      </c>
      <c r="H81">
        <f t="shared" ca="1" si="22"/>
        <v>112.76741874430073</v>
      </c>
      <c r="I81">
        <f t="shared" ca="1" si="23"/>
        <v>103.23924919291258</v>
      </c>
      <c r="J81">
        <f t="shared" ca="1" si="12"/>
        <v>105.13899999999998</v>
      </c>
      <c r="K81">
        <f t="shared" ca="1" si="13"/>
        <v>3.3275594027676472</v>
      </c>
      <c r="L81">
        <f t="shared" ca="1" si="14"/>
        <v>111.79411880553528</v>
      </c>
      <c r="M81">
        <f t="shared" ca="1" si="15"/>
        <v>98.483881194464686</v>
      </c>
      <c r="N81">
        <f t="shared" ca="1" si="24"/>
        <v>0.35999999999999943</v>
      </c>
      <c r="O81">
        <f t="shared" ca="1" si="25"/>
        <v>0.35999999999999943</v>
      </c>
      <c r="P81">
        <f t="shared" ca="1" si="26"/>
        <v>0</v>
      </c>
      <c r="Q81">
        <f t="shared" ref="Q81:Q144" ca="1" si="30">(Q80*13+O81)/14</f>
        <v>0.8223744917407837</v>
      </c>
      <c r="R81">
        <f t="shared" ref="R81:R144" ca="1" si="31">(R80*13+P81)/14</f>
        <v>0.36354239649570419</v>
      </c>
      <c r="S81">
        <f t="shared" ca="1" si="28"/>
        <v>2.2621144044488393</v>
      </c>
      <c r="T81">
        <f t="shared" ca="1" si="29"/>
        <v>69.345035887269617</v>
      </c>
      <c r="U81">
        <f>70</f>
        <v>70</v>
      </c>
      <c r="V81">
        <f>30</f>
        <v>30</v>
      </c>
      <c r="W81">
        <f t="shared" ca="1" si="27"/>
        <v>107.62889863978234</v>
      </c>
      <c r="X81">
        <f t="shared" ca="1" si="17"/>
        <v>106.49461925639092</v>
      </c>
      <c r="Y81">
        <f t="shared" ca="1" si="16"/>
        <v>1.5584946942686599</v>
      </c>
      <c r="Z81">
        <f t="shared" ca="1" si="18"/>
        <v>0.27773637514892102</v>
      </c>
      <c r="AA81">
        <f t="shared" ca="1" si="19"/>
        <v>1.2807583191197389</v>
      </c>
    </row>
    <row r="82" spans="1:27" x14ac:dyDescent="0.25">
      <c r="A82" s="20">
        <f t="shared" ca="1" si="20"/>
        <v>45824</v>
      </c>
      <c r="B82" vm="236">
        <f ca="1"/>
        <v>45825</v>
      </c>
      <c r="C82" vm="237">
        <f ca="1"/>
        <v>114</v>
      </c>
      <c r="D82" vm="238">
        <f ca="1"/>
        <v>19451701</v>
      </c>
      <c r="E82">
        <f t="shared" ca="1" si="21"/>
        <v>2217493914</v>
      </c>
      <c r="F82">
        <f ca="1">SUM($E$2:E82)/SUM($D$2:D82)</f>
        <v>108.08518529924282</v>
      </c>
      <c r="G82">
        <f ca="1">_xlfn.STDEV.P($C$2:C82)</f>
        <v>4.7769330417298033</v>
      </c>
      <c r="H82">
        <f t="shared" ca="1" si="22"/>
        <v>112.86211834097263</v>
      </c>
      <c r="I82">
        <f t="shared" ca="1" si="23"/>
        <v>103.30825225751302</v>
      </c>
      <c r="J82">
        <f t="shared" ca="1" si="12"/>
        <v>105.5155</v>
      </c>
      <c r="K82">
        <f t="shared" ca="1" si="13"/>
        <v>3.8681635449559697</v>
      </c>
      <c r="L82">
        <f t="shared" ca="1" si="14"/>
        <v>113.25182708991194</v>
      </c>
      <c r="M82">
        <f t="shared" ca="1" si="15"/>
        <v>97.779172910088064</v>
      </c>
      <c r="N82">
        <f t="shared" ca="1" si="24"/>
        <v>1.519999999999996</v>
      </c>
      <c r="O82">
        <f t="shared" ca="1" si="25"/>
        <v>1.519999999999996</v>
      </c>
      <c r="P82">
        <f t="shared" ca="1" si="26"/>
        <v>0</v>
      </c>
      <c r="Q82">
        <f t="shared" ca="1" si="30"/>
        <v>0.87220488518787032</v>
      </c>
      <c r="R82">
        <f t="shared" ca="1" si="31"/>
        <v>0.33757508246029672</v>
      </c>
      <c r="S82">
        <f t="shared" ca="1" si="28"/>
        <v>2.5837359761008223</v>
      </c>
      <c r="T82">
        <f t="shared" ca="1" si="29"/>
        <v>72.096158682760432</v>
      </c>
      <c r="U82">
        <f>70</f>
        <v>70</v>
      </c>
      <c r="V82">
        <f>30</f>
        <v>30</v>
      </c>
      <c r="W82">
        <f t="shared" ca="1" si="27"/>
        <v>108.60906807981581</v>
      </c>
      <c r="X82">
        <f t="shared" ca="1" si="17"/>
        <v>107.05057338554715</v>
      </c>
      <c r="Y82">
        <f t="shared" ca="1" si="16"/>
        <v>1.8084811094087456</v>
      </c>
      <c r="Z82">
        <f t="shared" ca="1" si="18"/>
        <v>0.58388532200088594</v>
      </c>
      <c r="AA82">
        <f t="shared" ca="1" si="19"/>
        <v>1.2245957874078597</v>
      </c>
    </row>
    <row r="83" spans="1:27" x14ac:dyDescent="0.25">
      <c r="A83" s="20">
        <f t="shared" ca="1" si="20"/>
        <v>45824</v>
      </c>
      <c r="B83" vm="239">
        <f ca="1"/>
        <v>45826</v>
      </c>
      <c r="C83" vm="240">
        <f ca="1"/>
        <v>113.19</v>
      </c>
      <c r="D83" vm="241">
        <f ca="1"/>
        <v>17968893</v>
      </c>
      <c r="E83">
        <f t="shared" ca="1" si="21"/>
        <v>2033898998.6700001</v>
      </c>
      <c r="F83">
        <f ca="1">SUM($E$2:E83)/SUM($D$2:D83)</f>
        <v>108.1487502669619</v>
      </c>
      <c r="G83">
        <f ca="1">_xlfn.STDEV.P($C$2:C83)</f>
        <v>4.7776673751207595</v>
      </c>
      <c r="H83">
        <f t="shared" ca="1" si="22"/>
        <v>112.92641764208265</v>
      </c>
      <c r="I83">
        <f t="shared" ca="1" si="23"/>
        <v>103.37108289184114</v>
      </c>
      <c r="J83">
        <f t="shared" ca="1" si="12"/>
        <v>105.92749999999998</v>
      </c>
      <c r="K83">
        <f t="shared" ca="1" si="13"/>
        <v>4.2269459859833871</v>
      </c>
      <c r="L83">
        <f t="shared" ca="1" si="14"/>
        <v>114.38139197196675</v>
      </c>
      <c r="M83">
        <f t="shared" ca="1" si="15"/>
        <v>97.473608028033212</v>
      </c>
      <c r="N83">
        <f t="shared" ca="1" si="24"/>
        <v>-0.81000000000000227</v>
      </c>
      <c r="O83">
        <f t="shared" ca="1" si="25"/>
        <v>0</v>
      </c>
      <c r="P83">
        <f t="shared" ca="1" si="26"/>
        <v>0.81000000000000227</v>
      </c>
      <c r="Q83">
        <f t="shared" ca="1" si="30"/>
        <v>0.80990453624587955</v>
      </c>
      <c r="R83">
        <f t="shared" ca="1" si="31"/>
        <v>0.37131971942741854</v>
      </c>
      <c r="S83">
        <f t="shared" ca="1" si="28"/>
        <v>2.1811514279251489</v>
      </c>
      <c r="T83">
        <f t="shared" ca="1" si="29"/>
        <v>68.56484129546034</v>
      </c>
      <c r="U83">
        <f>70</f>
        <v>70</v>
      </c>
      <c r="V83">
        <f>30</f>
        <v>30</v>
      </c>
      <c r="W83">
        <f t="shared" ca="1" si="27"/>
        <v>109.31382683676722</v>
      </c>
      <c r="X83">
        <f t="shared" ca="1" si="17"/>
        <v>107.50534572735847</v>
      </c>
      <c r="Y83">
        <f t="shared" ca="1" si="16"/>
        <v>2.1041857809924949</v>
      </c>
      <c r="Z83">
        <f t="shared" ca="1" si="18"/>
        <v>0.88794541379920777</v>
      </c>
      <c r="AA83">
        <f t="shared" ca="1" si="19"/>
        <v>1.2162403671932871</v>
      </c>
    </row>
    <row r="84" spans="1:27" x14ac:dyDescent="0.25">
      <c r="A84" s="20">
        <f t="shared" ca="1" si="20"/>
        <v>45824</v>
      </c>
      <c r="B84" vm="242">
        <f ca="1"/>
        <v>45828</v>
      </c>
      <c r="C84" vm="243">
        <f ca="1"/>
        <v>114.7</v>
      </c>
      <c r="D84" vm="244">
        <f ca="1"/>
        <v>36273288</v>
      </c>
      <c r="E84">
        <f t="shared" ca="1" si="21"/>
        <v>4160546133.5999999</v>
      </c>
      <c r="F84">
        <f ca="1">SUM($E$2:E84)/SUM($D$2:D84)</f>
        <v>108.30938739885794</v>
      </c>
      <c r="G84">
        <f ca="1">_xlfn.STDEV.P($C$2:C84)</f>
        <v>4.7985524956103376</v>
      </c>
      <c r="H84">
        <f t="shared" ca="1" si="22"/>
        <v>113.10793989446827</v>
      </c>
      <c r="I84">
        <f t="shared" ca="1" si="23"/>
        <v>103.5108349032476</v>
      </c>
      <c r="J84">
        <f t="shared" ca="1" si="12"/>
        <v>106.47949999999999</v>
      </c>
      <c r="K84">
        <f t="shared" ca="1" si="13"/>
        <v>4.6180167479352585</v>
      </c>
      <c r="L84">
        <f t="shared" ca="1" si="14"/>
        <v>115.7155334958705</v>
      </c>
      <c r="M84">
        <f t="shared" ca="1" si="15"/>
        <v>97.243466504129472</v>
      </c>
      <c r="N84">
        <f t="shared" ca="1" si="24"/>
        <v>1.5100000000000051</v>
      </c>
      <c r="O84">
        <f t="shared" ca="1" si="25"/>
        <v>1.5100000000000051</v>
      </c>
      <c r="P84">
        <f t="shared" ca="1" si="26"/>
        <v>0</v>
      </c>
      <c r="Q84">
        <f t="shared" ca="1" si="30"/>
        <v>0.85991135508545991</v>
      </c>
      <c r="R84">
        <f t="shared" ca="1" si="31"/>
        <v>0.34479688232546007</v>
      </c>
      <c r="S84">
        <f t="shared" ca="1" si="28"/>
        <v>2.4939649955238687</v>
      </c>
      <c r="T84">
        <f t="shared" ca="1" si="29"/>
        <v>71.379220991592547</v>
      </c>
      <c r="U84">
        <f>70</f>
        <v>70</v>
      </c>
      <c r="V84">
        <f>30</f>
        <v>30</v>
      </c>
      <c r="W84">
        <f t="shared" ca="1" si="27"/>
        <v>110.14246886187996</v>
      </c>
      <c r="X84">
        <f t="shared" ca="1" si="17"/>
        <v>108.03828308088747</v>
      </c>
      <c r="Y84">
        <f t="shared" ca="1" si="16"/>
        <v>2.0757585489741359</v>
      </c>
      <c r="Z84">
        <f t="shared" ca="1" si="18"/>
        <v>1.1255080408341933</v>
      </c>
      <c r="AA84">
        <f t="shared" ca="1" si="19"/>
        <v>0.95025050813994261</v>
      </c>
    </row>
    <row r="85" spans="1:27" x14ac:dyDescent="0.25">
      <c r="A85" s="20">
        <f t="shared" ca="1" si="20"/>
        <v>45831</v>
      </c>
      <c r="B85" vm="245">
        <f ca="1"/>
        <v>45831</v>
      </c>
      <c r="C85" vm="246">
        <f ca="1"/>
        <v>111.74</v>
      </c>
      <c r="D85" vm="247">
        <f ca="1"/>
        <v>26631056</v>
      </c>
      <c r="E85">
        <f t="shared" ca="1" si="21"/>
        <v>2975754197.4400001</v>
      </c>
      <c r="F85">
        <f ca="1">SUM($E$2:E85)/SUM($D$2:D85)</f>
        <v>108.37005352353989</v>
      </c>
      <c r="G85">
        <f ca="1">_xlfn.STDEV.P($C$2:C85)</f>
        <v>4.7831601378372248</v>
      </c>
      <c r="H85">
        <f t="shared" ca="1" si="22"/>
        <v>113.15321366137712</v>
      </c>
      <c r="I85">
        <f t="shared" ca="1" si="23"/>
        <v>103.58689338570267</v>
      </c>
      <c r="J85">
        <f t="shared" ca="1" si="12"/>
        <v>106.91800000000001</v>
      </c>
      <c r="K85">
        <f t="shared" ca="1" si="13"/>
        <v>4.683150761253752</v>
      </c>
      <c r="L85">
        <f t="shared" ca="1" si="14"/>
        <v>116.2843015225075</v>
      </c>
      <c r="M85">
        <f t="shared" ca="1" si="15"/>
        <v>97.551698477492508</v>
      </c>
      <c r="N85">
        <f t="shared" ca="1" si="24"/>
        <v>-2.960000000000008</v>
      </c>
      <c r="O85">
        <f t="shared" ca="1" si="25"/>
        <v>0</v>
      </c>
      <c r="P85">
        <f t="shared" ca="1" si="26"/>
        <v>2.960000000000008</v>
      </c>
      <c r="Q85">
        <f t="shared" ca="1" si="30"/>
        <v>0.79848911543649848</v>
      </c>
      <c r="R85">
        <f t="shared" ca="1" si="31"/>
        <v>0.53159710501649926</v>
      </c>
      <c r="S85">
        <f t="shared" ca="1" si="28"/>
        <v>1.5020569297714961</v>
      </c>
      <c r="T85">
        <f t="shared" ca="1" si="29"/>
        <v>60.032883820460214</v>
      </c>
      <c r="U85">
        <f>70</f>
        <v>70</v>
      </c>
      <c r="V85">
        <f>30</f>
        <v>30</v>
      </c>
      <c r="W85">
        <f t="shared" ca="1" si="27"/>
        <v>110.38824288312919</v>
      </c>
      <c r="X85">
        <f t="shared" ca="1" si="17"/>
        <v>108.31248433415506</v>
      </c>
      <c r="Y85">
        <f t="shared" ca="1" si="16"/>
        <v>1.7586060617919657</v>
      </c>
      <c r="Z85">
        <f t="shared" ca="1" si="18"/>
        <v>1.2521276450257477</v>
      </c>
      <c r="AA85">
        <f t="shared" ca="1" si="19"/>
        <v>0.50647841676621796</v>
      </c>
    </row>
    <row r="86" spans="1:27" x14ac:dyDescent="0.25">
      <c r="A86" s="20">
        <f t="shared" ca="1" si="20"/>
        <v>45831</v>
      </c>
      <c r="B86" vm="248">
        <f ca="1"/>
        <v>45832</v>
      </c>
      <c r="C86" vm="249">
        <f ca="1"/>
        <v>108.34</v>
      </c>
      <c r="D86" vm="250">
        <f ca="1"/>
        <v>24828277</v>
      </c>
      <c r="E86">
        <f t="shared" ca="1" si="21"/>
        <v>2689895530.1800003</v>
      </c>
      <c r="F86">
        <f ca="1">SUM($E$2:E86)/SUM($D$2:D86)</f>
        <v>108.36956607757341</v>
      </c>
      <c r="G86">
        <f ca="1">_xlfn.STDEV.P($C$2:C86)</f>
        <v>4.7549711681237987</v>
      </c>
      <c r="H86">
        <f t="shared" ca="1" si="22"/>
        <v>113.12453724569721</v>
      </c>
      <c r="I86">
        <f t="shared" ca="1" si="23"/>
        <v>103.61459490944961</v>
      </c>
      <c r="J86">
        <f t="shared" ref="J86:J149" ca="1" si="32">AVERAGE(C67:C86)</f>
        <v>107.18350000000001</v>
      </c>
      <c r="K86">
        <f t="shared" ref="K86:K149" ca="1" si="33">_xlfn.STDEV.S(C67:C86)</f>
        <v>4.6009258507620547</v>
      </c>
      <c r="L86">
        <f t="shared" ref="L86:L149" ca="1" si="34">J86 + 2*K86</f>
        <v>116.38535170152412</v>
      </c>
      <c r="M86">
        <f t="shared" ref="M86:M149" ca="1" si="35">J86-2*K86</f>
        <v>97.981648298475903</v>
      </c>
      <c r="N86">
        <f t="shared" ca="1" si="24"/>
        <v>-3.3999999999999915</v>
      </c>
      <c r="O86">
        <f t="shared" ca="1" si="25"/>
        <v>0</v>
      </c>
      <c r="P86">
        <f t="shared" ca="1" si="26"/>
        <v>3.3999999999999915</v>
      </c>
      <c r="Q86">
        <f t="shared" ca="1" si="30"/>
        <v>0.74145417861960572</v>
      </c>
      <c r="R86">
        <f t="shared" ca="1" si="31"/>
        <v>0.73648302608674876</v>
      </c>
      <c r="S86">
        <f t="shared" ca="1" si="28"/>
        <v>1.0067498535020838</v>
      </c>
      <c r="T86">
        <f t="shared" ca="1" si="29"/>
        <v>50.168178746601235</v>
      </c>
      <c r="U86">
        <f>70</f>
        <v>70</v>
      </c>
      <c r="V86">
        <f>30</f>
        <v>30</v>
      </c>
      <c r="W86">
        <f t="shared" ca="1" si="27"/>
        <v>110.07312859341701</v>
      </c>
      <c r="X86">
        <f t="shared" ca="1" si="17"/>
        <v>108.31452253162504</v>
      </c>
      <c r="Y86">
        <f t="shared" ca="1" si="16"/>
        <v>1.4924768360875049</v>
      </c>
      <c r="Z86">
        <f t="shared" ca="1" si="18"/>
        <v>1.3001974832380991</v>
      </c>
      <c r="AA86">
        <f t="shared" ca="1" si="19"/>
        <v>0.19227935284940578</v>
      </c>
    </row>
    <row r="87" spans="1:27" x14ac:dyDescent="0.25">
      <c r="A87" s="20">
        <f t="shared" ca="1" si="20"/>
        <v>45831</v>
      </c>
      <c r="B87" vm="251">
        <f ca="1"/>
        <v>45833</v>
      </c>
      <c r="C87" vm="252">
        <f ca="1"/>
        <v>108.37</v>
      </c>
      <c r="D87" vm="253">
        <f ca="1"/>
        <v>17483231</v>
      </c>
      <c r="E87">
        <f t="shared" ca="1" si="21"/>
        <v>1894657743.47</v>
      </c>
      <c r="F87">
        <f ca="1">SUM($E$2:E87)/SUM($D$2:D87)</f>
        <v>108.36957097746311</v>
      </c>
      <c r="G87">
        <f ca="1">_xlfn.STDEV.P($C$2:C87)</f>
        <v>4.7272644869390801</v>
      </c>
      <c r="H87">
        <f t="shared" ca="1" si="22"/>
        <v>113.09683546440219</v>
      </c>
      <c r="I87">
        <f t="shared" ca="1" si="23"/>
        <v>103.64230649052404</v>
      </c>
      <c r="J87">
        <f t="shared" ca="1" si="32"/>
        <v>107.426</v>
      </c>
      <c r="K87">
        <f t="shared" ca="1" si="33"/>
        <v>4.5248569619730308</v>
      </c>
      <c r="L87">
        <f t="shared" ca="1" si="34"/>
        <v>116.47571392394606</v>
      </c>
      <c r="M87">
        <f t="shared" ca="1" si="35"/>
        <v>98.376286076053944</v>
      </c>
      <c r="N87">
        <f t="shared" ca="1" si="24"/>
        <v>3.0000000000001137E-2</v>
      </c>
      <c r="O87">
        <f t="shared" ca="1" si="25"/>
        <v>3.0000000000001137E-2</v>
      </c>
      <c r="P87">
        <f t="shared" ca="1" si="26"/>
        <v>0</v>
      </c>
      <c r="Q87">
        <f t="shared" ca="1" si="30"/>
        <v>0.69063602300391957</v>
      </c>
      <c r="R87">
        <f t="shared" ca="1" si="31"/>
        <v>0.68387709565198107</v>
      </c>
      <c r="S87">
        <f t="shared" ca="1" si="28"/>
        <v>1.0098832486055038</v>
      </c>
      <c r="T87">
        <f t="shared" ca="1" si="29"/>
        <v>50.245866236567743</v>
      </c>
      <c r="U87">
        <f>70</f>
        <v>70</v>
      </c>
      <c r="V87">
        <f>30</f>
        <v>30</v>
      </c>
      <c r="W87">
        <f t="shared" ca="1" si="27"/>
        <v>109.8111088098144</v>
      </c>
      <c r="X87">
        <f t="shared" ca="1" si="17"/>
        <v>108.31863197372689</v>
      </c>
      <c r="Y87">
        <f t="shared" ca="1" si="16"/>
        <v>1.3961935186713248</v>
      </c>
      <c r="Z87">
        <f t="shared" ca="1" si="18"/>
        <v>1.3193966903247443</v>
      </c>
      <c r="AA87">
        <f t="shared" ca="1" si="19"/>
        <v>7.6796828346580526E-2</v>
      </c>
    </row>
    <row r="88" spans="1:27" x14ac:dyDescent="0.25">
      <c r="A88" s="20">
        <f t="shared" ca="1" si="20"/>
        <v>45831</v>
      </c>
      <c r="B88" vm="254">
        <f ca="1"/>
        <v>45834</v>
      </c>
      <c r="C88" vm="255">
        <f ca="1"/>
        <v>109.99</v>
      </c>
      <c r="D88" vm="256">
        <f ca="1"/>
        <v>18304841</v>
      </c>
      <c r="E88">
        <f t="shared" ca="1" si="21"/>
        <v>2013349461.5899999</v>
      </c>
      <c r="F88">
        <f ca="1">SUM($E$2:E88)/SUM($D$2:D88)</f>
        <v>108.38850505043013</v>
      </c>
      <c r="G88">
        <f ca="1">_xlfn.STDEV.P($C$2:C88)</f>
        <v>4.702719811904311</v>
      </c>
      <c r="H88">
        <f t="shared" ca="1" si="22"/>
        <v>113.09122486233444</v>
      </c>
      <c r="I88">
        <f t="shared" ca="1" si="23"/>
        <v>103.68578523852581</v>
      </c>
      <c r="J88">
        <f t="shared" ca="1" si="32"/>
        <v>107.82000000000001</v>
      </c>
      <c r="K88">
        <f t="shared" ca="1" si="33"/>
        <v>4.3783065700168429</v>
      </c>
      <c r="L88">
        <f t="shared" ca="1" si="34"/>
        <v>116.57661314003369</v>
      </c>
      <c r="M88">
        <f t="shared" ca="1" si="35"/>
        <v>99.063386859966329</v>
      </c>
      <c r="N88">
        <f t="shared" ca="1" si="24"/>
        <v>1.6199999999999903</v>
      </c>
      <c r="O88">
        <f t="shared" ca="1" si="25"/>
        <v>1.6199999999999903</v>
      </c>
      <c r="P88">
        <f t="shared" ca="1" si="26"/>
        <v>0</v>
      </c>
      <c r="Q88">
        <f t="shared" ca="1" si="30"/>
        <v>0.75701916421792459</v>
      </c>
      <c r="R88">
        <f t="shared" ca="1" si="31"/>
        <v>0.63502873167683949</v>
      </c>
      <c r="S88">
        <f t="shared" ca="1" si="28"/>
        <v>1.1921022253890159</v>
      </c>
      <c r="T88">
        <f t="shared" ca="1" si="29"/>
        <v>54.381689484278617</v>
      </c>
      <c r="U88">
        <f>70</f>
        <v>70</v>
      </c>
      <c r="V88">
        <f>30</f>
        <v>30</v>
      </c>
      <c r="W88">
        <f t="shared" ca="1" si="27"/>
        <v>109.83863053138141</v>
      </c>
      <c r="X88">
        <f t="shared" ca="1" si="17"/>
        <v>108.44243701271009</v>
      </c>
      <c r="Y88">
        <f t="shared" ca="1" si="16"/>
        <v>1.2561858652122453</v>
      </c>
      <c r="Z88">
        <f t="shared" ca="1" si="18"/>
        <v>1.3067545253022446</v>
      </c>
      <c r="AA88">
        <f t="shared" ca="1" si="19"/>
        <v>-5.0568660089999273E-2</v>
      </c>
    </row>
    <row r="89" spans="1:27" x14ac:dyDescent="0.25">
      <c r="A89" s="20">
        <f t="shared" ca="1" si="20"/>
        <v>45831</v>
      </c>
      <c r="B89" vm="257">
        <f ca="1"/>
        <v>45835</v>
      </c>
      <c r="C89" vm="258">
        <f ca="1"/>
        <v>109.38</v>
      </c>
      <c r="D89" vm="259">
        <f ca="1"/>
        <v>22002079</v>
      </c>
      <c r="E89">
        <f t="shared" ca="1" si="21"/>
        <v>2406587401.02</v>
      </c>
      <c r="F89">
        <f ca="1">SUM($E$2:E89)/SUM($D$2:D89)</f>
        <v>108.40223741132795</v>
      </c>
      <c r="G89">
        <f ca="1">_xlfn.STDEV.P($C$2:C89)</f>
        <v>4.6768288162325318</v>
      </c>
      <c r="H89">
        <f t="shared" ca="1" si="22"/>
        <v>113.07906622756047</v>
      </c>
      <c r="I89">
        <f t="shared" ca="1" si="23"/>
        <v>103.72540859509542</v>
      </c>
      <c r="J89">
        <f t="shared" ca="1" si="32"/>
        <v>108.15450000000001</v>
      </c>
      <c r="K89">
        <f t="shared" ca="1" si="33"/>
        <v>4.2183851674607249</v>
      </c>
      <c r="L89">
        <f t="shared" ca="1" si="34"/>
        <v>116.59127033492146</v>
      </c>
      <c r="M89">
        <f t="shared" ca="1" si="35"/>
        <v>99.717729665078565</v>
      </c>
      <c r="N89">
        <f t="shared" ca="1" si="24"/>
        <v>-0.60999999999999943</v>
      </c>
      <c r="O89">
        <f t="shared" ca="1" si="25"/>
        <v>0</v>
      </c>
      <c r="P89">
        <f t="shared" ca="1" si="26"/>
        <v>0.60999999999999943</v>
      </c>
      <c r="Q89">
        <f t="shared" ca="1" si="30"/>
        <v>0.70294636677378708</v>
      </c>
      <c r="R89">
        <f t="shared" ca="1" si="31"/>
        <v>0.6332409651284937</v>
      </c>
      <c r="S89">
        <f t="shared" ca="1" si="28"/>
        <v>1.1100772146526388</v>
      </c>
      <c r="T89">
        <f t="shared" ca="1" si="29"/>
        <v>52.608369349904564</v>
      </c>
      <c r="U89">
        <f>70</f>
        <v>70</v>
      </c>
      <c r="V89">
        <f>30</f>
        <v>30</v>
      </c>
      <c r="W89">
        <f t="shared" ca="1" si="27"/>
        <v>109.76807198809196</v>
      </c>
      <c r="X89">
        <f t="shared" ca="1" si="17"/>
        <v>108.51188612287972</v>
      </c>
      <c r="Y89">
        <f t="shared" ca="1" si="16"/>
        <v>1.0061378647504426</v>
      </c>
      <c r="Z89">
        <f t="shared" ca="1" si="18"/>
        <v>1.2466311931918843</v>
      </c>
      <c r="AA89">
        <f t="shared" ca="1" si="19"/>
        <v>-0.24049332844144167</v>
      </c>
    </row>
    <row r="90" spans="1:27" x14ac:dyDescent="0.25">
      <c r="A90" s="20">
        <f t="shared" ca="1" si="20"/>
        <v>45838</v>
      </c>
      <c r="B90" vm="260">
        <f ca="1"/>
        <v>45838</v>
      </c>
      <c r="C90" vm="261">
        <f ca="1"/>
        <v>107.8</v>
      </c>
      <c r="D90" vm="262">
        <f ca="1"/>
        <v>19199048</v>
      </c>
      <c r="E90">
        <f t="shared" ca="1" si="21"/>
        <v>2069657374.3999999</v>
      </c>
      <c r="F90">
        <f ca="1">SUM($E$2:E90)/SUM($D$2:D90)</f>
        <v>108.39504588404563</v>
      </c>
      <c r="G90">
        <f ca="1">_xlfn.STDEV.P($C$2:C90)</f>
        <v>4.651102381637517</v>
      </c>
      <c r="H90">
        <f t="shared" ca="1" si="22"/>
        <v>113.04614826568314</v>
      </c>
      <c r="I90">
        <f t="shared" ca="1" si="23"/>
        <v>103.74394350240811</v>
      </c>
      <c r="J90">
        <f t="shared" ca="1" si="32"/>
        <v>108.4295</v>
      </c>
      <c r="K90">
        <f t="shared" ca="1" si="33"/>
        <v>3.9897150340132805</v>
      </c>
      <c r="L90">
        <f t="shared" ca="1" si="34"/>
        <v>116.40893006802656</v>
      </c>
      <c r="M90">
        <f t="shared" ca="1" si="35"/>
        <v>100.45006993197345</v>
      </c>
      <c r="N90">
        <f t="shared" ca="1" si="24"/>
        <v>-1.5799999999999983</v>
      </c>
      <c r="O90">
        <f t="shared" ca="1" si="25"/>
        <v>0</v>
      </c>
      <c r="P90">
        <f t="shared" ca="1" si="26"/>
        <v>1.5799999999999983</v>
      </c>
      <c r="Q90">
        <f t="shared" ca="1" si="30"/>
        <v>0.65273591200423087</v>
      </c>
      <c r="R90">
        <f t="shared" ca="1" si="31"/>
        <v>0.70086661047645826</v>
      </c>
      <c r="S90">
        <f t="shared" ca="1" si="28"/>
        <v>0.93132687767861055</v>
      </c>
      <c r="T90">
        <f t="shared" ca="1" si="29"/>
        <v>48.222125857743663</v>
      </c>
      <c r="U90">
        <f>70</f>
        <v>70</v>
      </c>
      <c r="V90">
        <f>30</f>
        <v>30</v>
      </c>
      <c r="W90">
        <f t="shared" ca="1" si="27"/>
        <v>109.46529168223167</v>
      </c>
      <c r="X90">
        <f t="shared" ca="1" si="17"/>
        <v>108.45915381748122</v>
      </c>
      <c r="Y90">
        <f t="shared" ca="1" si="16"/>
        <v>0.91363714798120554</v>
      </c>
      <c r="Z90">
        <f t="shared" ca="1" si="18"/>
        <v>1.1800323841497486</v>
      </c>
      <c r="AA90">
        <f t="shared" ca="1" si="19"/>
        <v>-0.2663952361685431</v>
      </c>
    </row>
    <row r="91" spans="1:27" x14ac:dyDescent="0.25">
      <c r="A91" s="20">
        <f t="shared" ca="1" si="20"/>
        <v>45838</v>
      </c>
      <c r="B91" vm="263">
        <f ca="1"/>
        <v>45839</v>
      </c>
      <c r="C91" vm="264">
        <f ca="1"/>
        <v>109.24</v>
      </c>
      <c r="D91" vm="265">
        <f ca="1"/>
        <v>15536896</v>
      </c>
      <c r="E91">
        <f t="shared" ca="1" si="21"/>
        <v>1697250519.04</v>
      </c>
      <c r="F91">
        <f ca="1">SUM($E$2:E91)/SUM($D$2:D91)</f>
        <v>108.40313301362269</v>
      </c>
      <c r="G91">
        <f ca="1">_xlfn.STDEV.P($C$2:C91)</f>
        <v>4.6258174652943485</v>
      </c>
      <c r="H91">
        <f t="shared" ca="1" si="22"/>
        <v>113.02895047891704</v>
      </c>
      <c r="I91">
        <f t="shared" ca="1" si="23"/>
        <v>103.77731554832835</v>
      </c>
      <c r="J91">
        <f t="shared" ca="1" si="32"/>
        <v>108.73899999999999</v>
      </c>
      <c r="K91">
        <f t="shared" ca="1" si="33"/>
        <v>3.7852955109559372</v>
      </c>
      <c r="L91">
        <f t="shared" ca="1" si="34"/>
        <v>116.30959102191187</v>
      </c>
      <c r="M91">
        <f t="shared" ca="1" si="35"/>
        <v>101.16840897808811</v>
      </c>
      <c r="N91">
        <f t="shared" ca="1" si="24"/>
        <v>1.4399999999999977</v>
      </c>
      <c r="O91">
        <f t="shared" ca="1" si="25"/>
        <v>1.4399999999999977</v>
      </c>
      <c r="P91">
        <f t="shared" ca="1" si="26"/>
        <v>0</v>
      </c>
      <c r="Q91">
        <f t="shared" ca="1" si="30"/>
        <v>0.70896906114678571</v>
      </c>
      <c r="R91">
        <f t="shared" ca="1" si="31"/>
        <v>0.65080470972813986</v>
      </c>
      <c r="S91">
        <f t="shared" ca="1" si="28"/>
        <v>1.0893729724896164</v>
      </c>
      <c r="T91">
        <f t="shared" ca="1" si="29"/>
        <v>52.138751043168782</v>
      </c>
      <c r="U91">
        <f>70</f>
        <v>70</v>
      </c>
      <c r="V91">
        <f>30</f>
        <v>30</v>
      </c>
      <c r="W91">
        <f t="shared" ca="1" si="27"/>
        <v>109.43063142342679</v>
      </c>
      <c r="X91">
        <f t="shared" ca="1" si="17"/>
        <v>108.51699427544558</v>
      </c>
      <c r="Y91">
        <f t="shared" ca="1" si="16"/>
        <v>0.97514072147562558</v>
      </c>
      <c r="Z91">
        <f t="shared" ca="1" si="18"/>
        <v>1.1390540516149241</v>
      </c>
      <c r="AA91">
        <f t="shared" ca="1" si="19"/>
        <v>-0.16391333013929854</v>
      </c>
    </row>
    <row r="92" spans="1:27" x14ac:dyDescent="0.25">
      <c r="A92" s="20">
        <f t="shared" ca="1" si="20"/>
        <v>45838</v>
      </c>
      <c r="B92" vm="266">
        <f ca="1"/>
        <v>45840</v>
      </c>
      <c r="C92" vm="267">
        <f ca="1"/>
        <v>111.05</v>
      </c>
      <c r="D92" vm="268">
        <f ca="1"/>
        <v>11892160</v>
      </c>
      <c r="E92">
        <f t="shared" ca="1" si="21"/>
        <v>1320624368</v>
      </c>
      <c r="F92">
        <f ca="1">SUM($E$2:E92)/SUM($D$2:D92)</f>
        <v>108.4223825334626</v>
      </c>
      <c r="G92">
        <f ca="1">_xlfn.STDEV.P($C$2:C92)</f>
        <v>4.6078755712933157</v>
      </c>
      <c r="H92">
        <f t="shared" ca="1" si="22"/>
        <v>113.03025810475592</v>
      </c>
      <c r="I92">
        <f t="shared" ca="1" si="23"/>
        <v>103.81450696216928</v>
      </c>
      <c r="J92">
        <f t="shared" ca="1" si="32"/>
        <v>109.10150000000002</v>
      </c>
      <c r="K92">
        <f t="shared" ca="1" si="33"/>
        <v>3.6314391449063139</v>
      </c>
      <c r="L92">
        <f t="shared" ca="1" si="34"/>
        <v>116.36437828981265</v>
      </c>
      <c r="M92">
        <f t="shared" ca="1" si="35"/>
        <v>101.83862171018738</v>
      </c>
      <c r="N92">
        <f t="shared" ca="1" si="24"/>
        <v>1.8100000000000023</v>
      </c>
      <c r="O92">
        <f t="shared" ca="1" si="25"/>
        <v>1.8100000000000023</v>
      </c>
      <c r="P92">
        <f t="shared" ca="1" si="26"/>
        <v>0</v>
      </c>
      <c r="Q92">
        <f t="shared" ca="1" si="30"/>
        <v>0.78761412820772969</v>
      </c>
      <c r="R92">
        <f t="shared" ca="1" si="31"/>
        <v>0.60431865903327275</v>
      </c>
      <c r="S92">
        <f t="shared" ca="1" si="28"/>
        <v>1.3033092995468223</v>
      </c>
      <c r="T92">
        <f t="shared" ca="1" si="29"/>
        <v>56.584206897582078</v>
      </c>
      <c r="U92">
        <f>70</f>
        <v>70</v>
      </c>
      <c r="V92">
        <f>30</f>
        <v>30</v>
      </c>
      <c r="W92">
        <f t="shared" ca="1" si="27"/>
        <v>109.6797650505919</v>
      </c>
      <c r="X92">
        <f t="shared" ca="1" si="17"/>
        <v>108.70462432911627</v>
      </c>
      <c r="Y92">
        <f t="shared" ref="Y92:Y155" ca="1" si="36">W93-X93</f>
        <v>1.1039524588689602</v>
      </c>
      <c r="Z92">
        <f t="shared" ca="1" si="18"/>
        <v>1.1320337330657315</v>
      </c>
      <c r="AA92">
        <f t="shared" ca="1" si="19"/>
        <v>-2.8081274196771311E-2</v>
      </c>
    </row>
    <row r="93" spans="1:27" x14ac:dyDescent="0.25">
      <c r="A93" s="20">
        <f t="shared" ca="1" si="20"/>
        <v>45838</v>
      </c>
      <c r="B93" vm="269">
        <f ca="1"/>
        <v>45841</v>
      </c>
      <c r="C93" vm="270">
        <f ca="1"/>
        <v>112.2</v>
      </c>
      <c r="D93" vm="271">
        <f ca="1"/>
        <v>11223580</v>
      </c>
      <c r="E93">
        <f t="shared" ca="1" si="21"/>
        <v>1259285676</v>
      </c>
      <c r="F93">
        <f ca="1">SUM($E$2:E93)/SUM($D$2:D93)</f>
        <v>108.4481342236984</v>
      </c>
      <c r="G93">
        <f ca="1">_xlfn.STDEV.P($C$2:C93)</f>
        <v>4.5983701394633849</v>
      </c>
      <c r="H93">
        <f t="shared" ca="1" si="22"/>
        <v>113.04650436316179</v>
      </c>
      <c r="I93">
        <f t="shared" ca="1" si="23"/>
        <v>103.84976408423502</v>
      </c>
      <c r="J93">
        <f t="shared" ca="1" si="32"/>
        <v>109.59649999999999</v>
      </c>
      <c r="K93">
        <f t="shared" ca="1" si="33"/>
        <v>3.3166204660451402</v>
      </c>
      <c r="L93">
        <f t="shared" ca="1" si="34"/>
        <v>116.22974093209027</v>
      </c>
      <c r="M93">
        <f t="shared" ca="1" si="35"/>
        <v>102.96325906790972</v>
      </c>
      <c r="N93">
        <f t="shared" ca="1" si="24"/>
        <v>1.1500000000000057</v>
      </c>
      <c r="O93">
        <f t="shared" ca="1" si="25"/>
        <v>1.1500000000000057</v>
      </c>
      <c r="P93">
        <f t="shared" ca="1" si="26"/>
        <v>0</v>
      </c>
      <c r="Q93">
        <f t="shared" ca="1" si="30"/>
        <v>0.81349883333574946</v>
      </c>
      <c r="R93">
        <f t="shared" ca="1" si="31"/>
        <v>0.5611530405308961</v>
      </c>
      <c r="S93">
        <f t="shared" ca="1" si="28"/>
        <v>1.4496915717789105</v>
      </c>
      <c r="T93">
        <f t="shared" ca="1" si="29"/>
        <v>59.178534493065889</v>
      </c>
      <c r="U93">
        <f>70</f>
        <v>70</v>
      </c>
      <c r="V93">
        <f>30</f>
        <v>30</v>
      </c>
      <c r="W93">
        <f t="shared" ca="1" si="27"/>
        <v>110.06749350434698</v>
      </c>
      <c r="X93">
        <f t="shared" ref="X93:X156" ca="1" si="37">C93*(2/(26+1)) + X92*(1-(2/(26+1)))</f>
        <v>108.96354104547802</v>
      </c>
      <c r="Y93">
        <f t="shared" ca="1" si="36"/>
        <v>1.1053411139905904</v>
      </c>
      <c r="Z93">
        <f t="shared" ca="1" si="18"/>
        <v>1.1266952092507032</v>
      </c>
      <c r="AA93">
        <f t="shared" ca="1" si="19"/>
        <v>-2.1354095260112782E-2</v>
      </c>
    </row>
    <row r="94" spans="1:27" x14ac:dyDescent="0.25">
      <c r="A94" s="20">
        <f t="shared" ca="1" si="20"/>
        <v>45845</v>
      </c>
      <c r="B94" vm="272">
        <f ca="1"/>
        <v>45845</v>
      </c>
      <c r="C94" vm="273">
        <f ca="1"/>
        <v>111.11</v>
      </c>
      <c r="D94" vm="274">
        <f ca="1"/>
        <v>15415889</v>
      </c>
      <c r="E94">
        <f t="shared" ca="1" si="21"/>
        <v>1712859426.79</v>
      </c>
      <c r="F94">
        <f ca="1">SUM($E$2:E94)/SUM($D$2:D94)</f>
        <v>108.47282664110175</v>
      </c>
      <c r="G94">
        <f ca="1">_xlfn.STDEV.P($C$2:C94)</f>
        <v>4.5809648028210113</v>
      </c>
      <c r="H94">
        <f t="shared" ca="1" si="22"/>
        <v>113.05379144392276</v>
      </c>
      <c r="I94">
        <f t="shared" ca="1" si="23"/>
        <v>103.89186183828073</v>
      </c>
      <c r="J94">
        <f t="shared" ca="1" si="32"/>
        <v>110.0605</v>
      </c>
      <c r="K94">
        <f t="shared" ca="1" si="33"/>
        <v>2.7783533082139074</v>
      </c>
      <c r="L94">
        <f t="shared" ca="1" si="34"/>
        <v>115.61720661642782</v>
      </c>
      <c r="M94">
        <f t="shared" ca="1" si="35"/>
        <v>104.50379338357219</v>
      </c>
      <c r="N94">
        <f t="shared" ca="1" si="24"/>
        <v>-1.0900000000000034</v>
      </c>
      <c r="O94">
        <f t="shared" ca="1" si="25"/>
        <v>0</v>
      </c>
      <c r="P94">
        <f t="shared" ca="1" si="26"/>
        <v>1.0900000000000034</v>
      </c>
      <c r="Q94">
        <f t="shared" ca="1" si="30"/>
        <v>0.75539177381176736</v>
      </c>
      <c r="R94">
        <f t="shared" ca="1" si="31"/>
        <v>0.59892782335011796</v>
      </c>
      <c r="S94">
        <f t="shared" ca="1" si="28"/>
        <v>1.2612400766196907</v>
      </c>
      <c r="T94">
        <f t="shared" ca="1" si="29"/>
        <v>55.776478121912128</v>
      </c>
      <c r="U94">
        <f>70</f>
        <v>70</v>
      </c>
      <c r="V94">
        <f>30</f>
        <v>30</v>
      </c>
      <c r="W94">
        <f t="shared" ca="1" si="27"/>
        <v>110.22787911906283</v>
      </c>
      <c r="X94">
        <f t="shared" ca="1" si="37"/>
        <v>109.12253800507224</v>
      </c>
      <c r="Y94">
        <f t="shared" ca="1" si="36"/>
        <v>1.3395306174164716</v>
      </c>
      <c r="Z94">
        <f t="shared" ca="1" si="18"/>
        <v>1.1692622908838568</v>
      </c>
      <c r="AA94">
        <f t="shared" ca="1" si="19"/>
        <v>0.17026832653261481</v>
      </c>
    </row>
    <row r="95" spans="1:27" x14ac:dyDescent="0.25">
      <c r="A95" s="20">
        <f t="shared" ca="1" si="20"/>
        <v>45845</v>
      </c>
      <c r="B95" vm="275">
        <f ca="1"/>
        <v>45846</v>
      </c>
      <c r="C95" vm="276">
        <f ca="1"/>
        <v>114.19</v>
      </c>
      <c r="D95" vm="277">
        <f ca="1"/>
        <v>17913404</v>
      </c>
      <c r="E95">
        <f t="shared" ca="1" si="21"/>
        <v>2045531602.76</v>
      </c>
      <c r="F95">
        <f ca="1">SUM($E$2:E95)/SUM($D$2:D95)</f>
        <v>108.53379606103537</v>
      </c>
      <c r="G95">
        <f ca="1">_xlfn.STDEV.P($C$2:C95)</f>
        <v>4.592273255506119</v>
      </c>
      <c r="H95">
        <f t="shared" ca="1" si="22"/>
        <v>113.12606931654149</v>
      </c>
      <c r="I95">
        <f t="shared" ca="1" si="23"/>
        <v>103.94152280552926</v>
      </c>
      <c r="J95">
        <f t="shared" ca="1" si="32"/>
        <v>110.5565</v>
      </c>
      <c r="K95">
        <f t="shared" ca="1" si="33"/>
        <v>2.5676966434202426</v>
      </c>
      <c r="L95">
        <f t="shared" ca="1" si="34"/>
        <v>115.69189328684048</v>
      </c>
      <c r="M95">
        <f t="shared" ca="1" si="35"/>
        <v>105.42110671315952</v>
      </c>
      <c r="N95">
        <f t="shared" ca="1" si="24"/>
        <v>3.0799999999999983</v>
      </c>
      <c r="O95">
        <f t="shared" ca="1" si="25"/>
        <v>3.0799999999999983</v>
      </c>
      <c r="P95">
        <f t="shared" ca="1" si="26"/>
        <v>0</v>
      </c>
      <c r="Q95">
        <f t="shared" ca="1" si="30"/>
        <v>0.92143521853949817</v>
      </c>
      <c r="R95">
        <f t="shared" ca="1" si="31"/>
        <v>0.55614726453939523</v>
      </c>
      <c r="S95">
        <f t="shared" ca="1" si="28"/>
        <v>1.656818755195419</v>
      </c>
      <c r="T95">
        <f t="shared" ca="1" si="29"/>
        <v>62.361000424116391</v>
      </c>
      <c r="U95">
        <f>70</f>
        <v>70</v>
      </c>
      <c r="V95">
        <f>30</f>
        <v>30</v>
      </c>
      <c r="W95">
        <f t="shared" ca="1" si="27"/>
        <v>110.83743617766855</v>
      </c>
      <c r="X95">
        <f t="shared" ca="1" si="37"/>
        <v>109.49790556025208</v>
      </c>
      <c r="Y95">
        <f t="shared" ca="1" si="36"/>
        <v>1.4766360048023728</v>
      </c>
      <c r="Z95">
        <f t="shared" ca="1" si="18"/>
        <v>1.23073703366756</v>
      </c>
      <c r="AA95">
        <f t="shared" ca="1" si="19"/>
        <v>0.24589897113481274</v>
      </c>
    </row>
    <row r="96" spans="1:27" x14ac:dyDescent="0.25">
      <c r="A96" s="20">
        <f t="shared" ca="1" si="20"/>
        <v>45845</v>
      </c>
      <c r="B96" vm="278">
        <f ca="1"/>
        <v>45847</v>
      </c>
      <c r="C96" vm="279">
        <f ca="1"/>
        <v>113.8</v>
      </c>
      <c r="D96" vm="280">
        <f ca="1"/>
        <v>10652062</v>
      </c>
      <c r="E96">
        <f t="shared" ca="1" si="21"/>
        <v>1212204655.5999999</v>
      </c>
      <c r="F96">
        <f ca="1">SUM($E$2:E96)/SUM($D$2:D96)</f>
        <v>108.56698081436407</v>
      </c>
      <c r="G96">
        <f ca="1">_xlfn.STDEV.P($C$2:C96)</f>
        <v>4.5978796871741379</v>
      </c>
      <c r="H96">
        <f t="shared" ca="1" si="22"/>
        <v>113.16486050153821</v>
      </c>
      <c r="I96">
        <f t="shared" ca="1" si="23"/>
        <v>103.96910112718993</v>
      </c>
      <c r="J96">
        <f t="shared" ca="1" si="32"/>
        <v>110.99799999999998</v>
      </c>
      <c r="K96">
        <f t="shared" ca="1" si="33"/>
        <v>2.3019570621081256</v>
      </c>
      <c r="L96">
        <f t="shared" ca="1" si="34"/>
        <v>115.60191412421622</v>
      </c>
      <c r="M96">
        <f t="shared" ca="1" si="35"/>
        <v>106.39408587578373</v>
      </c>
      <c r="N96">
        <f t="shared" ca="1" si="24"/>
        <v>-0.39000000000000057</v>
      </c>
      <c r="O96">
        <f t="shared" ca="1" si="25"/>
        <v>0</v>
      </c>
      <c r="P96">
        <f t="shared" ca="1" si="26"/>
        <v>0.39000000000000057</v>
      </c>
      <c r="Q96">
        <f t="shared" ca="1" si="30"/>
        <v>0.85561841721524823</v>
      </c>
      <c r="R96">
        <f t="shared" ca="1" si="31"/>
        <v>0.54427960278658127</v>
      </c>
      <c r="S96">
        <f t="shared" ca="1" si="28"/>
        <v>1.572019992729264</v>
      </c>
      <c r="T96">
        <f t="shared" ca="1" si="29"/>
        <v>61.120053388898292</v>
      </c>
      <c r="U96">
        <f>70</f>
        <v>70</v>
      </c>
      <c r="V96">
        <f>30</f>
        <v>30</v>
      </c>
      <c r="W96">
        <f t="shared" ca="1" si="27"/>
        <v>111.293215227258</v>
      </c>
      <c r="X96">
        <f t="shared" ca="1" si="37"/>
        <v>109.81657922245563</v>
      </c>
      <c r="Y96">
        <f t="shared" ca="1" si="36"/>
        <v>1.6573694450072622</v>
      </c>
      <c r="Z96">
        <f t="shared" ca="1" si="18"/>
        <v>1.3160635159355005</v>
      </c>
      <c r="AA96">
        <f t="shared" ca="1" si="19"/>
        <v>0.34130592907176172</v>
      </c>
    </row>
    <row r="97" spans="1:28" x14ac:dyDescent="0.25">
      <c r="A97" s="20">
        <f t="shared" ca="1" si="20"/>
        <v>45845</v>
      </c>
      <c r="B97" vm="281">
        <f ca="1"/>
        <v>45848</v>
      </c>
      <c r="C97" vm="282">
        <f ca="1"/>
        <v>114.93</v>
      </c>
      <c r="D97" vm="283">
        <f ca="1"/>
        <v>14903884</v>
      </c>
      <c r="E97">
        <f t="shared" ca="1" si="21"/>
        <v>1712903388.1200001</v>
      </c>
      <c r="F97">
        <f ca="1">SUM($E$2:E97)/SUM($D$2:D97)</f>
        <v>108.62259142456882</v>
      </c>
      <c r="G97">
        <f ca="1">_xlfn.STDEV.P($C$2:C97)</f>
        <v>4.6169900408989868</v>
      </c>
      <c r="H97">
        <f t="shared" ca="1" si="22"/>
        <v>113.23958146546781</v>
      </c>
      <c r="I97">
        <f t="shared" ca="1" si="23"/>
        <v>104.00560138366984</v>
      </c>
      <c r="J97">
        <f t="shared" ca="1" si="32"/>
        <v>111.3835</v>
      </c>
      <c r="K97">
        <f t="shared" ca="1" si="33"/>
        <v>2.2814613853036354</v>
      </c>
      <c r="L97">
        <f t="shared" ca="1" si="34"/>
        <v>115.94642277060727</v>
      </c>
      <c r="M97">
        <f t="shared" ca="1" si="35"/>
        <v>106.82057722939273</v>
      </c>
      <c r="N97">
        <f t="shared" ca="1" si="24"/>
        <v>1.1300000000000097</v>
      </c>
      <c r="O97">
        <f t="shared" ca="1" si="25"/>
        <v>1.1300000000000097</v>
      </c>
      <c r="P97">
        <f t="shared" ca="1" si="26"/>
        <v>0</v>
      </c>
      <c r="Q97">
        <f t="shared" ca="1" si="30"/>
        <v>0.8752171016998741</v>
      </c>
      <c r="R97">
        <f t="shared" ca="1" si="31"/>
        <v>0.50540248830182544</v>
      </c>
      <c r="S97">
        <f t="shared" ca="1" si="28"/>
        <v>1.731722977147663</v>
      </c>
      <c r="T97">
        <f t="shared" ca="1" si="29"/>
        <v>63.393066999635771</v>
      </c>
      <c r="U97">
        <f>70</f>
        <v>70</v>
      </c>
      <c r="V97">
        <f>30</f>
        <v>30</v>
      </c>
      <c r="W97">
        <f t="shared" ca="1" si="27"/>
        <v>111.85272057691063</v>
      </c>
      <c r="X97">
        <f t="shared" ca="1" si="37"/>
        <v>110.19535113190337</v>
      </c>
      <c r="Y97">
        <f t="shared" ca="1" si="36"/>
        <v>1.8199683574753749</v>
      </c>
      <c r="Z97">
        <f t="shared" ca="1" si="18"/>
        <v>1.4168444842434753</v>
      </c>
      <c r="AA97">
        <f t="shared" ca="1" si="19"/>
        <v>0.40312387323189958</v>
      </c>
    </row>
    <row r="98" spans="1:28" x14ac:dyDescent="0.25">
      <c r="A98" s="20">
        <f t="shared" ca="1" si="20"/>
        <v>45845</v>
      </c>
      <c r="B98" vm="284">
        <f ca="1"/>
        <v>45849</v>
      </c>
      <c r="C98" vm="285">
        <f ca="1"/>
        <v>115.43</v>
      </c>
      <c r="D98" vm="286">
        <f ca="1"/>
        <v>11683884</v>
      </c>
      <c r="E98">
        <f t="shared" ca="1" si="21"/>
        <v>1348670730.1200001</v>
      </c>
      <c r="F98">
        <f ca="1">SUM($E$2:E98)/SUM($D$2:D98)</f>
        <v>108.66891463197791</v>
      </c>
      <c r="G98">
        <f ca="1">_xlfn.STDEV.P($C$2:C98)</f>
        <v>4.6417813481881387</v>
      </c>
      <c r="H98">
        <f t="shared" ca="1" si="22"/>
        <v>113.31069598016605</v>
      </c>
      <c r="I98">
        <f t="shared" ca="1" si="23"/>
        <v>104.02713328378978</v>
      </c>
      <c r="J98">
        <f t="shared" ca="1" si="32"/>
        <v>111.68949999999998</v>
      </c>
      <c r="K98">
        <f t="shared" ca="1" si="33"/>
        <v>2.3962503054388531</v>
      </c>
      <c r="L98">
        <f t="shared" ca="1" si="34"/>
        <v>116.48200061087769</v>
      </c>
      <c r="M98">
        <f t="shared" ca="1" si="35"/>
        <v>106.89699938912227</v>
      </c>
      <c r="N98">
        <f t="shared" ca="1" si="24"/>
        <v>0.5</v>
      </c>
      <c r="O98">
        <f t="shared" ca="1" si="25"/>
        <v>0.5</v>
      </c>
      <c r="P98">
        <f t="shared" ca="1" si="26"/>
        <v>0</v>
      </c>
      <c r="Q98">
        <f t="shared" ca="1" si="30"/>
        <v>0.84841588014988312</v>
      </c>
      <c r="R98">
        <f t="shared" ca="1" si="31"/>
        <v>0.46930231056598076</v>
      </c>
      <c r="S98">
        <f t="shared" ca="1" si="28"/>
        <v>1.8078237866050342</v>
      </c>
      <c r="T98">
        <f t="shared" ca="1" si="29"/>
        <v>64.385229416084229</v>
      </c>
      <c r="U98">
        <f>70</f>
        <v>70</v>
      </c>
      <c r="V98">
        <f>30</f>
        <v>30</v>
      </c>
      <c r="W98">
        <f t="shared" ca="1" si="27"/>
        <v>112.4030712573859</v>
      </c>
      <c r="X98">
        <f t="shared" ca="1" si="37"/>
        <v>110.58310289991053</v>
      </c>
      <c r="Y98">
        <f t="shared" ca="1" si="36"/>
        <v>1.806164447215636</v>
      </c>
      <c r="Z98">
        <f t="shared" ca="1" si="18"/>
        <v>1.4947084768379075</v>
      </c>
      <c r="AA98">
        <f t="shared" ca="1" si="19"/>
        <v>0.31145597037772843</v>
      </c>
    </row>
    <row r="99" spans="1:28" x14ac:dyDescent="0.25">
      <c r="A99" s="20">
        <f t="shared" ca="1" si="20"/>
        <v>45852</v>
      </c>
      <c r="B99" vm="287">
        <f ca="1"/>
        <v>45852</v>
      </c>
      <c r="C99" vm="288">
        <f ca="1"/>
        <v>113.92</v>
      </c>
      <c r="D99" vm="289">
        <f ca="1"/>
        <v>13220303</v>
      </c>
      <c r="E99">
        <f t="shared" ca="1" si="21"/>
        <v>1506056917.76</v>
      </c>
      <c r="F99">
        <f ca="1">SUM($E$2:E99)/SUM($D$2:D99)</f>
        <v>108.70903722090925</v>
      </c>
      <c r="G99">
        <f ca="1">_xlfn.STDEV.P($C$2:C99)</f>
        <v>4.6459248846868419</v>
      </c>
      <c r="H99">
        <f t="shared" ca="1" si="22"/>
        <v>113.35496210559609</v>
      </c>
      <c r="I99">
        <f t="shared" ca="1" si="23"/>
        <v>104.06311233622242</v>
      </c>
      <c r="J99">
        <f t="shared" ca="1" si="32"/>
        <v>111.899</v>
      </c>
      <c r="K99">
        <f t="shared" ca="1" si="33"/>
        <v>2.399078551181026</v>
      </c>
      <c r="L99">
        <f t="shared" ca="1" si="34"/>
        <v>116.69715710236206</v>
      </c>
      <c r="M99">
        <f t="shared" ca="1" si="35"/>
        <v>107.10084289763795</v>
      </c>
      <c r="N99">
        <f t="shared" ca="1" si="24"/>
        <v>-1.5100000000000051</v>
      </c>
      <c r="O99">
        <f t="shared" ca="1" si="25"/>
        <v>0</v>
      </c>
      <c r="P99">
        <f t="shared" ca="1" si="26"/>
        <v>1.5100000000000051</v>
      </c>
      <c r="Q99">
        <f t="shared" ca="1" si="30"/>
        <v>0.78781474585346289</v>
      </c>
      <c r="R99">
        <f t="shared" ca="1" si="31"/>
        <v>0.54363785981126822</v>
      </c>
      <c r="S99">
        <f t="shared" ca="1" si="28"/>
        <v>1.4491535709579981</v>
      </c>
      <c r="T99">
        <f t="shared" ca="1" si="29"/>
        <v>59.169567320809321</v>
      </c>
      <c r="U99">
        <f>70</f>
        <v>70</v>
      </c>
      <c r="V99">
        <f>30</f>
        <v>30</v>
      </c>
      <c r="W99">
        <f t="shared" ca="1" si="27"/>
        <v>112.63644491009576</v>
      </c>
      <c r="X99">
        <f t="shared" ca="1" si="37"/>
        <v>110.83028046288013</v>
      </c>
      <c r="Y99">
        <f t="shared" ca="1" si="36"/>
        <v>1.6941965466165243</v>
      </c>
      <c r="Z99">
        <f t="shared" ca="1" si="18"/>
        <v>1.534606090793631</v>
      </c>
      <c r="AA99">
        <f t="shared" ca="1" si="19"/>
        <v>0.15959045582289333</v>
      </c>
    </row>
    <row r="100" spans="1:28" x14ac:dyDescent="0.25">
      <c r="A100" s="20">
        <f t="shared" ca="1" si="20"/>
        <v>45852</v>
      </c>
      <c r="B100" vm="290">
        <f ca="1"/>
        <v>45853</v>
      </c>
      <c r="C100" vm="291">
        <f ca="1"/>
        <v>112.91</v>
      </c>
      <c r="D100" vm="292">
        <f ca="1"/>
        <v>10959347</v>
      </c>
      <c r="E100">
        <f t="shared" ca="1" si="21"/>
        <v>1237419869.77</v>
      </c>
      <c r="F100">
        <f ca="1">SUM($E$2:E100)/SUM($D$2:D100)</f>
        <v>108.73547894652418</v>
      </c>
      <c r="G100">
        <f ca="1">_xlfn.STDEV.P($C$2:C100)</f>
        <v>4.6396388796739636</v>
      </c>
      <c r="H100">
        <f t="shared" ca="1" si="22"/>
        <v>113.37511782619815</v>
      </c>
      <c r="I100">
        <f t="shared" ca="1" si="23"/>
        <v>104.09584006685022</v>
      </c>
      <c r="J100">
        <f t="shared" ca="1" si="32"/>
        <v>111.9385</v>
      </c>
      <c r="K100">
        <f t="shared" ca="1" si="33"/>
        <v>2.409390128118253</v>
      </c>
      <c r="L100">
        <f t="shared" ca="1" si="34"/>
        <v>116.75728025623651</v>
      </c>
      <c r="M100">
        <f t="shared" ca="1" si="35"/>
        <v>107.1197197437635</v>
      </c>
      <c r="N100">
        <f t="shared" ca="1" si="24"/>
        <v>-1.0100000000000051</v>
      </c>
      <c r="O100">
        <f t="shared" ca="1" si="25"/>
        <v>0</v>
      </c>
      <c r="P100">
        <f t="shared" ca="1" si="26"/>
        <v>1.0100000000000051</v>
      </c>
      <c r="Q100">
        <f t="shared" ca="1" si="30"/>
        <v>0.73154226400678701</v>
      </c>
      <c r="R100">
        <f t="shared" ca="1" si="31"/>
        <v>0.57694944125332093</v>
      </c>
      <c r="S100">
        <f t="shared" ca="1" si="28"/>
        <v>1.2679486480091573</v>
      </c>
      <c r="T100">
        <f t="shared" ca="1" si="29"/>
        <v>55.907290895769769</v>
      </c>
      <c r="U100">
        <f>70</f>
        <v>70</v>
      </c>
      <c r="V100">
        <f>30</f>
        <v>30</v>
      </c>
      <c r="W100">
        <f t="shared" ca="1" si="27"/>
        <v>112.67853030854256</v>
      </c>
      <c r="X100">
        <f t="shared" ca="1" si="37"/>
        <v>110.98433376192604</v>
      </c>
      <c r="Y100">
        <f t="shared" ca="1" si="36"/>
        <v>1.532920310573175</v>
      </c>
      <c r="Z100">
        <f t="shared" ca="1" si="18"/>
        <v>1.5342689347495397</v>
      </c>
      <c r="AA100">
        <f t="shared" ca="1" si="19"/>
        <v>-1.3486241763647211E-3</v>
      </c>
    </row>
    <row r="101" spans="1:28" x14ac:dyDescent="0.25">
      <c r="A101" s="20">
        <f t="shared" ca="1" si="20"/>
        <v>45852</v>
      </c>
      <c r="B101" vm="293">
        <f ca="1"/>
        <v>45854</v>
      </c>
      <c r="C101" vm="294">
        <f ca="1"/>
        <v>112.23</v>
      </c>
      <c r="D101" vm="295">
        <f ca="1"/>
        <v>11158852</v>
      </c>
      <c r="E101">
        <f t="shared" ca="1" si="21"/>
        <v>1252357959.96</v>
      </c>
      <c r="F101">
        <f ca="1">SUM($E$2:E101)/SUM($D$2:D101)</f>
        <v>108.75773197080315</v>
      </c>
      <c r="G101">
        <f ca="1">_xlfn.STDEV.P($C$2:C101)</f>
        <v>4.6278727467379666</v>
      </c>
      <c r="H101">
        <f t="shared" ca="1" si="22"/>
        <v>113.38560471754111</v>
      </c>
      <c r="I101">
        <f t="shared" ca="1" si="23"/>
        <v>104.12985922406519</v>
      </c>
      <c r="J101">
        <f t="shared" ca="1" si="32"/>
        <v>111.926</v>
      </c>
      <c r="K101">
        <f t="shared" ca="1" si="33"/>
        <v>2.4070803454545695</v>
      </c>
      <c r="L101">
        <f t="shared" ca="1" si="34"/>
        <v>116.74016069090914</v>
      </c>
      <c r="M101">
        <f t="shared" ca="1" si="35"/>
        <v>107.11183930909087</v>
      </c>
      <c r="N101">
        <f t="shared" ca="1" si="24"/>
        <v>-0.67999999999999261</v>
      </c>
      <c r="O101">
        <f t="shared" ca="1" si="25"/>
        <v>0</v>
      </c>
      <c r="P101">
        <f t="shared" ca="1" si="26"/>
        <v>0.67999999999999261</v>
      </c>
      <c r="Q101">
        <f t="shared" ca="1" si="30"/>
        <v>0.67928924514915934</v>
      </c>
      <c r="R101">
        <f t="shared" ca="1" si="31"/>
        <v>0.58431019544951179</v>
      </c>
      <c r="S101">
        <f t="shared" ca="1" si="28"/>
        <v>1.1625490200912545</v>
      </c>
      <c r="T101">
        <f t="shared" ca="1" si="29"/>
        <v>53.758273652552745</v>
      </c>
      <c r="U101">
        <f>70</f>
        <v>70</v>
      </c>
      <c r="V101">
        <f>30</f>
        <v>30</v>
      </c>
      <c r="W101">
        <f t="shared" ca="1" si="27"/>
        <v>112.60952564568987</v>
      </c>
      <c r="X101">
        <f t="shared" ca="1" si="37"/>
        <v>111.0766053351167</v>
      </c>
      <c r="Y101">
        <f t="shared" ca="1" si="36"/>
        <v>1.343625022384515</v>
      </c>
      <c r="Z101">
        <f t="shared" ca="1" si="18"/>
        <v>1.4961401522765347</v>
      </c>
      <c r="AA101">
        <f t="shared" ca="1" si="19"/>
        <v>-0.15251512989201976</v>
      </c>
      <c r="AB101">
        <f ca="1">AVERAGE(C2:C101)</f>
        <v>108.98719999999999</v>
      </c>
    </row>
    <row r="102" spans="1:28" x14ac:dyDescent="0.25">
      <c r="A102" s="20">
        <f t="shared" ca="1" si="20"/>
        <v>45852</v>
      </c>
      <c r="B102" vm="296">
        <f ca="1"/>
        <v>45855</v>
      </c>
      <c r="C102" vm="297">
        <f ca="1"/>
        <v>111.66</v>
      </c>
      <c r="D102" vm="298">
        <f ca="1"/>
        <v>13151446</v>
      </c>
      <c r="E102">
        <f t="shared" ca="1" si="21"/>
        <v>1468490460.3599999</v>
      </c>
      <c r="F102">
        <f ca="1">SUM($E$2:E102)/SUM($D$2:D102)</f>
        <v>108.77935147060954</v>
      </c>
      <c r="G102">
        <f ca="1">_xlfn.STDEV.P($C$2:C102)</f>
        <v>4.6125031804485603</v>
      </c>
      <c r="H102">
        <f t="shared" ca="1" si="22"/>
        <v>113.3918546510581</v>
      </c>
      <c r="I102">
        <f t="shared" ca="1" si="23"/>
        <v>104.16684829016098</v>
      </c>
      <c r="J102">
        <f t="shared" ca="1" si="32"/>
        <v>111.809</v>
      </c>
      <c r="K102">
        <f t="shared" ca="1" si="33"/>
        <v>2.3573198429795794</v>
      </c>
      <c r="L102">
        <f t="shared" ca="1" si="34"/>
        <v>116.52363968595915</v>
      </c>
      <c r="M102">
        <f t="shared" ca="1" si="35"/>
        <v>107.09436031404084</v>
      </c>
      <c r="N102">
        <f t="shared" ca="1" si="24"/>
        <v>-0.57000000000000739</v>
      </c>
      <c r="O102">
        <f t="shared" ca="1" si="25"/>
        <v>0</v>
      </c>
      <c r="P102">
        <f t="shared" ca="1" si="26"/>
        <v>0.57000000000000739</v>
      </c>
      <c r="Q102">
        <f t="shared" ca="1" si="30"/>
        <v>0.63076858478136233</v>
      </c>
      <c r="R102">
        <f t="shared" ca="1" si="31"/>
        <v>0.5832880386316901</v>
      </c>
      <c r="S102">
        <f t="shared" ca="1" si="28"/>
        <v>1.0814015426427306</v>
      </c>
      <c r="T102">
        <f t="shared" ca="1" si="29"/>
        <v>51.955450233292702</v>
      </c>
      <c r="U102">
        <f>70</f>
        <v>70</v>
      </c>
      <c r="V102">
        <f>30</f>
        <v>30</v>
      </c>
      <c r="W102">
        <f t="shared" ca="1" si="27"/>
        <v>112.46344477712219</v>
      </c>
      <c r="X102">
        <f t="shared" ca="1" si="37"/>
        <v>111.11981975473768</v>
      </c>
      <c r="Y102">
        <f t="shared" ca="1" si="36"/>
        <v>0.86969139178218313</v>
      </c>
      <c r="Z102">
        <f t="shared" ref="Z102:Z165" ca="1" si="38">Y102*(2/(9+1)) + Z101*(1-(2/(9+1)))</f>
        <v>1.3708504001776645</v>
      </c>
      <c r="AA102">
        <f t="shared" ref="AA102:AA165" ca="1" si="39">Y102-Z102</f>
        <v>-0.50115900839548133</v>
      </c>
      <c r="AB102">
        <f t="shared" ref="AB102:AB165" ca="1" si="40">AVERAGE(C3:C102)</f>
        <v>108.99690000000001</v>
      </c>
    </row>
    <row r="103" spans="1:28" x14ac:dyDescent="0.25">
      <c r="A103" s="20">
        <f t="shared" ca="1" si="20"/>
        <v>45852</v>
      </c>
      <c r="B103" vm="299">
        <f ca="1"/>
        <v>45856</v>
      </c>
      <c r="C103" vm="300">
        <f ca="1"/>
        <v>107.77</v>
      </c>
      <c r="D103" vm="301">
        <f ca="1"/>
        <v>32366594</v>
      </c>
      <c r="E103">
        <f t="shared" ca="1" si="21"/>
        <v>3488147835.3799996</v>
      </c>
      <c r="F103">
        <f ca="1">SUM($E$2:E103)/SUM($D$2:D103)</f>
        <v>108.76118024355284</v>
      </c>
      <c r="G103">
        <f ca="1">_xlfn.STDEV.P($C$2:C103)</f>
        <v>4.5914725727580965</v>
      </c>
      <c r="H103">
        <f t="shared" ca="1" si="22"/>
        <v>113.35265281631094</v>
      </c>
      <c r="I103">
        <f t="shared" ca="1" si="23"/>
        <v>104.16970767079475</v>
      </c>
      <c r="J103">
        <f t="shared" ca="1" si="32"/>
        <v>111.53800000000001</v>
      </c>
      <c r="K103">
        <f t="shared" ca="1" si="33"/>
        <v>2.4975748237039879</v>
      </c>
      <c r="L103">
        <f t="shared" ca="1" si="34"/>
        <v>116.53314964740798</v>
      </c>
      <c r="M103">
        <f t="shared" ca="1" si="35"/>
        <v>106.54285035259204</v>
      </c>
      <c r="N103">
        <f t="shared" ca="1" si="24"/>
        <v>-3.8900000000000006</v>
      </c>
      <c r="O103">
        <f t="shared" ca="1" si="25"/>
        <v>0</v>
      </c>
      <c r="P103">
        <f t="shared" ca="1" si="26"/>
        <v>3.8900000000000006</v>
      </c>
      <c r="Q103">
        <f t="shared" ca="1" si="30"/>
        <v>0.58571368586840789</v>
      </c>
      <c r="R103">
        <f t="shared" ca="1" si="31"/>
        <v>0.81948175015799796</v>
      </c>
      <c r="S103">
        <f t="shared" ca="1" si="28"/>
        <v>0.71473670494246022</v>
      </c>
      <c r="T103">
        <f t="shared" ca="1" si="29"/>
        <v>41.682008840327704</v>
      </c>
      <c r="U103">
        <f>70</f>
        <v>70</v>
      </c>
      <c r="V103">
        <f>30</f>
        <v>30</v>
      </c>
      <c r="W103">
        <f t="shared" ca="1" si="27"/>
        <v>111.74137634987262</v>
      </c>
      <c r="X103">
        <f t="shared" ca="1" si="37"/>
        <v>110.87168495809044</v>
      </c>
      <c r="Y103">
        <f t="shared" ca="1" si="36"/>
        <v>0.51080103855491643</v>
      </c>
      <c r="Z103">
        <f t="shared" ca="1" si="38"/>
        <v>1.1988405278531149</v>
      </c>
      <c r="AA103">
        <f t="shared" ca="1" si="39"/>
        <v>-0.68803948929819847</v>
      </c>
      <c r="AB103">
        <f t="shared" ca="1" si="40"/>
        <v>108.96190000000003</v>
      </c>
    </row>
    <row r="104" spans="1:28" x14ac:dyDescent="0.25">
      <c r="A104" s="20">
        <f t="shared" ca="1" si="20"/>
        <v>45859</v>
      </c>
      <c r="B104" vm="302">
        <f ca="1"/>
        <v>45859</v>
      </c>
      <c r="C104" vm="303">
        <f ca="1"/>
        <v>108.05</v>
      </c>
      <c r="D104" vm="304">
        <f ca="1"/>
        <v>17010405</v>
      </c>
      <c r="E104">
        <f t="shared" ca="1" si="21"/>
        <v>1837974260.25</v>
      </c>
      <c r="F104">
        <f ca="1">SUM($E$2:E104)/SUM($D$2:D104)</f>
        <v>108.75451448748112</v>
      </c>
      <c r="G104">
        <f ca="1">_xlfn.STDEV.P($C$2:C104)</f>
        <v>4.5700818823874378</v>
      </c>
      <c r="H104">
        <f t="shared" ca="1" si="22"/>
        <v>113.32459636986856</v>
      </c>
      <c r="I104">
        <f t="shared" ca="1" si="23"/>
        <v>104.18443260509368</v>
      </c>
      <c r="J104">
        <f t="shared" ca="1" si="32"/>
        <v>111.20550000000003</v>
      </c>
      <c r="K104">
        <f t="shared" ca="1" si="33"/>
        <v>2.4971193403600096</v>
      </c>
      <c r="L104">
        <f t="shared" ca="1" si="34"/>
        <v>116.19973868072005</v>
      </c>
      <c r="M104">
        <f t="shared" ca="1" si="35"/>
        <v>106.21126131928001</v>
      </c>
      <c r="N104">
        <f t="shared" ca="1" si="24"/>
        <v>0.28000000000000114</v>
      </c>
      <c r="O104">
        <f t="shared" ca="1" si="25"/>
        <v>0.28000000000000114</v>
      </c>
      <c r="P104">
        <f t="shared" ca="1" si="26"/>
        <v>0</v>
      </c>
      <c r="Q104">
        <f t="shared" ca="1" si="30"/>
        <v>0.5638769940206646</v>
      </c>
      <c r="R104">
        <f t="shared" ca="1" si="31"/>
        <v>0.76094733943242665</v>
      </c>
      <c r="S104">
        <f t="shared" ca="1" si="28"/>
        <v>0.74101973264174581</v>
      </c>
      <c r="T104">
        <f t="shared" ca="1" si="29"/>
        <v>42.562397125583146</v>
      </c>
      <c r="U104">
        <f>70</f>
        <v>70</v>
      </c>
      <c r="V104">
        <f>30</f>
        <v>30</v>
      </c>
      <c r="W104">
        <f t="shared" ca="1" si="27"/>
        <v>111.17347229604607</v>
      </c>
      <c r="X104">
        <f t="shared" ca="1" si="37"/>
        <v>110.66267125749116</v>
      </c>
      <c r="Y104">
        <f t="shared" ca="1" si="36"/>
        <v>0.26288636251014452</v>
      </c>
      <c r="Z104">
        <f t="shared" ca="1" si="38"/>
        <v>1.0116496947845208</v>
      </c>
      <c r="AA104">
        <f t="shared" ca="1" si="39"/>
        <v>-0.7487633322743763</v>
      </c>
      <c r="AB104">
        <f t="shared" ca="1" si="40"/>
        <v>108.9451</v>
      </c>
    </row>
    <row r="105" spans="1:28" x14ac:dyDescent="0.25">
      <c r="A105" s="20">
        <f t="shared" ca="1" si="20"/>
        <v>45859</v>
      </c>
      <c r="B105" vm="305">
        <f ca="1"/>
        <v>45860</v>
      </c>
      <c r="C105" vm="306">
        <f ca="1"/>
        <v>108.54</v>
      </c>
      <c r="D105" vm="307">
        <f ca="1"/>
        <v>13970885</v>
      </c>
      <c r="E105">
        <f t="shared" ca="1" si="21"/>
        <v>1516399857.9000001</v>
      </c>
      <c r="F105">
        <f ca="1">SUM($E$2:E105)/SUM($D$2:D105)</f>
        <v>108.75287576572127</v>
      </c>
      <c r="G105">
        <f ca="1">_xlfn.STDEV.P($C$2:C105)</f>
        <v>4.5482713692374235</v>
      </c>
      <c r="H105">
        <f t="shared" ca="1" si="22"/>
        <v>113.3011471349587</v>
      </c>
      <c r="I105">
        <f t="shared" ca="1" si="23"/>
        <v>104.20460439648384</v>
      </c>
      <c r="J105">
        <f t="shared" ca="1" si="32"/>
        <v>111.04550000000002</v>
      </c>
      <c r="K105">
        <f t="shared" ca="1" si="33"/>
        <v>2.5627256768403535</v>
      </c>
      <c r="L105">
        <f t="shared" ca="1" si="34"/>
        <v>116.17095135368072</v>
      </c>
      <c r="M105">
        <f t="shared" ca="1" si="35"/>
        <v>105.92004864631932</v>
      </c>
      <c r="N105">
        <f t="shared" ca="1" si="24"/>
        <v>0.49000000000000909</v>
      </c>
      <c r="O105">
        <f t="shared" ca="1" si="25"/>
        <v>0.49000000000000909</v>
      </c>
      <c r="P105">
        <f t="shared" ca="1" si="26"/>
        <v>0</v>
      </c>
      <c r="Q105">
        <f t="shared" ca="1" si="30"/>
        <v>0.55860006587633204</v>
      </c>
      <c r="R105">
        <f t="shared" ca="1" si="31"/>
        <v>0.70659395804439618</v>
      </c>
      <c r="S105">
        <f t="shared" ca="1" si="28"/>
        <v>0.79055313099809221</v>
      </c>
      <c r="T105">
        <f t="shared" ca="1" si="29"/>
        <v>44.151336104582455</v>
      </c>
      <c r="U105">
        <f>70</f>
        <v>70</v>
      </c>
      <c r="V105">
        <f>30</f>
        <v>30</v>
      </c>
      <c r="W105">
        <f t="shared" ca="1" si="27"/>
        <v>110.76832271203899</v>
      </c>
      <c r="X105">
        <f t="shared" ca="1" si="37"/>
        <v>110.50543634952885</v>
      </c>
      <c r="Y105">
        <f t="shared" ca="1" si="36"/>
        <v>0.17653855236098082</v>
      </c>
      <c r="Z105">
        <f t="shared" ca="1" si="38"/>
        <v>0.84462746629981289</v>
      </c>
      <c r="AA105">
        <f t="shared" ca="1" si="39"/>
        <v>-0.66808891393883207</v>
      </c>
      <c r="AB105">
        <f t="shared" ca="1" si="40"/>
        <v>108.9359</v>
      </c>
    </row>
    <row r="106" spans="1:28" x14ac:dyDescent="0.25">
      <c r="A106" s="20">
        <f t="shared" ca="1" si="20"/>
        <v>45859</v>
      </c>
      <c r="B106" vm="308">
        <f ca="1"/>
        <v>45861</v>
      </c>
      <c r="C106" vm="309">
        <f ca="1"/>
        <v>109.93</v>
      </c>
      <c r="D106" vm="310">
        <f ca="1"/>
        <v>12002687</v>
      </c>
      <c r="E106">
        <f t="shared" ca="1" si="21"/>
        <v>1319455381.9100001</v>
      </c>
      <c r="F106">
        <f ca="1">SUM($E$2:E106)/SUM($D$2:D106)</f>
        <v>108.76055087361561</v>
      </c>
      <c r="G106">
        <f ca="1">_xlfn.STDEV.P($C$2:C106)</f>
        <v>4.5274858605728516</v>
      </c>
      <c r="H106">
        <f t="shared" ca="1" si="22"/>
        <v>113.28803673418847</v>
      </c>
      <c r="I106">
        <f t="shared" ca="1" si="23"/>
        <v>104.23306501304276</v>
      </c>
      <c r="J106">
        <f t="shared" ca="1" si="32"/>
        <v>111.125</v>
      </c>
      <c r="K106">
        <f t="shared" ca="1" si="33"/>
        <v>2.4982298996647514</v>
      </c>
      <c r="L106">
        <f t="shared" ca="1" si="34"/>
        <v>116.1214597993295</v>
      </c>
      <c r="M106">
        <f t="shared" ca="1" si="35"/>
        <v>106.1285402006705</v>
      </c>
      <c r="N106">
        <f t="shared" ca="1" si="24"/>
        <v>1.3900000000000006</v>
      </c>
      <c r="O106">
        <f t="shared" ca="1" si="25"/>
        <v>1.3900000000000006</v>
      </c>
      <c r="P106">
        <f t="shared" ca="1" si="26"/>
        <v>0</v>
      </c>
      <c r="Q106">
        <f t="shared" ca="1" si="30"/>
        <v>0.61798577545659406</v>
      </c>
      <c r="R106">
        <f t="shared" ca="1" si="31"/>
        <v>0.65612296104122503</v>
      </c>
      <c r="S106">
        <f t="shared" ca="1" si="28"/>
        <v>0.94187494136143368</v>
      </c>
      <c r="T106">
        <f t="shared" ca="1" si="29"/>
        <v>48.503377910685245</v>
      </c>
      <c r="U106">
        <f>70</f>
        <v>70</v>
      </c>
      <c r="V106">
        <f>30</f>
        <v>30</v>
      </c>
      <c r="W106">
        <f t="shared" ca="1" si="27"/>
        <v>110.63934998710992</v>
      </c>
      <c r="X106">
        <f t="shared" ca="1" si="37"/>
        <v>110.46281143474894</v>
      </c>
      <c r="Y106">
        <f t="shared" ca="1" si="36"/>
        <v>0.17547928740239627</v>
      </c>
      <c r="Z106">
        <f t="shared" ca="1" si="38"/>
        <v>0.71079783052032963</v>
      </c>
      <c r="AA106">
        <f t="shared" ca="1" si="39"/>
        <v>-0.53531854311793337</v>
      </c>
      <c r="AB106">
        <f t="shared" ca="1" si="40"/>
        <v>108.9337</v>
      </c>
    </row>
    <row r="107" spans="1:28" x14ac:dyDescent="0.25">
      <c r="A107" s="20">
        <f t="shared" ca="1" si="20"/>
        <v>45859</v>
      </c>
      <c r="B107" vm="311">
        <f ca="1"/>
        <v>45862</v>
      </c>
      <c r="C107" vm="312">
        <f ca="1"/>
        <v>110.79</v>
      </c>
      <c r="D107" vm="313">
        <f ca="1"/>
        <v>15647208</v>
      </c>
      <c r="E107">
        <f t="shared" ca="1" si="21"/>
        <v>1733554174.3200002</v>
      </c>
      <c r="F107">
        <f ca="1">SUM($E$2:E107)/SUM($D$2:D107)</f>
        <v>108.77765586327294</v>
      </c>
      <c r="G107">
        <f ca="1">_xlfn.STDEV.P($C$2:C107)</f>
        <v>4.5094120548927092</v>
      </c>
      <c r="H107">
        <f t="shared" ca="1" si="22"/>
        <v>113.28706791816565</v>
      </c>
      <c r="I107">
        <f t="shared" ca="1" si="23"/>
        <v>104.26824380838023</v>
      </c>
      <c r="J107">
        <f t="shared" ca="1" si="32"/>
        <v>111.24600000000001</v>
      </c>
      <c r="K107">
        <f t="shared" ca="1" si="33"/>
        <v>2.4149891576524634</v>
      </c>
      <c r="L107">
        <f t="shared" ca="1" si="34"/>
        <v>116.07597831530494</v>
      </c>
      <c r="M107">
        <f t="shared" ca="1" si="35"/>
        <v>106.41602168469508</v>
      </c>
      <c r="N107">
        <f t="shared" ca="1" si="24"/>
        <v>0.85999999999999943</v>
      </c>
      <c r="O107">
        <f t="shared" ca="1" si="25"/>
        <v>0.85999999999999943</v>
      </c>
      <c r="P107">
        <f t="shared" ca="1" si="26"/>
        <v>0</v>
      </c>
      <c r="Q107">
        <f t="shared" ca="1" si="30"/>
        <v>0.63527250578112304</v>
      </c>
      <c r="R107">
        <f t="shared" ca="1" si="31"/>
        <v>0.60925703525256603</v>
      </c>
      <c r="S107">
        <f t="shared" ca="1" si="28"/>
        <v>1.042700320264291</v>
      </c>
      <c r="T107">
        <f t="shared" ca="1" si="29"/>
        <v>51.045192969342814</v>
      </c>
      <c r="U107">
        <f>70</f>
        <v>70</v>
      </c>
      <c r="V107">
        <f>30</f>
        <v>30</v>
      </c>
      <c r="W107">
        <f t="shared" ca="1" si="27"/>
        <v>110.66252691216994</v>
      </c>
      <c r="X107">
        <f t="shared" ca="1" si="37"/>
        <v>110.48704762476754</v>
      </c>
      <c r="Y107">
        <f t="shared" ca="1" si="36"/>
        <v>0.1415385038889525</v>
      </c>
      <c r="Z107">
        <f t="shared" ca="1" si="38"/>
        <v>0.5969459651940543</v>
      </c>
      <c r="AA107">
        <f t="shared" ca="1" si="39"/>
        <v>-0.45540746130510179</v>
      </c>
      <c r="AB107">
        <f t="shared" ca="1" si="40"/>
        <v>108.92829999999999</v>
      </c>
    </row>
    <row r="108" spans="1:28" x14ac:dyDescent="0.25">
      <c r="A108" s="20">
        <f t="shared" ca="1" si="20"/>
        <v>45859</v>
      </c>
      <c r="B108" vm="314">
        <f ca="1"/>
        <v>45863</v>
      </c>
      <c r="C108" vm="315">
        <f ca="1"/>
        <v>110.4</v>
      </c>
      <c r="D108" vm="316">
        <f ca="1"/>
        <v>10548938</v>
      </c>
      <c r="E108">
        <f t="shared" ca="1" si="21"/>
        <v>1164602755.2</v>
      </c>
      <c r="F108">
        <f ca="1">SUM($E$2:E108)/SUM($D$2:D108)</f>
        <v>108.7868222621359</v>
      </c>
      <c r="G108">
        <f ca="1">_xlfn.STDEV.P($C$2:C108)</f>
        <v>4.49027209709869</v>
      </c>
      <c r="H108">
        <f t="shared" ca="1" si="22"/>
        <v>113.2770943592346</v>
      </c>
      <c r="I108">
        <f t="shared" ca="1" si="23"/>
        <v>104.2965501650372</v>
      </c>
      <c r="J108">
        <f t="shared" ca="1" si="32"/>
        <v>111.26650000000002</v>
      </c>
      <c r="K108">
        <f t="shared" ca="1" si="33"/>
        <v>2.4054877500809435</v>
      </c>
      <c r="L108">
        <f t="shared" ca="1" si="34"/>
        <v>116.07747550016191</v>
      </c>
      <c r="M108">
        <f t="shared" ca="1" si="35"/>
        <v>106.45552449983813</v>
      </c>
      <c r="N108">
        <f t="shared" ca="1" si="24"/>
        <v>-0.39000000000000057</v>
      </c>
      <c r="O108">
        <f t="shared" ca="1" si="25"/>
        <v>0</v>
      </c>
      <c r="P108">
        <f t="shared" ca="1" si="26"/>
        <v>0.39000000000000057</v>
      </c>
      <c r="Q108">
        <f t="shared" ca="1" si="30"/>
        <v>0.58989589822532851</v>
      </c>
      <c r="R108">
        <f t="shared" ca="1" si="31"/>
        <v>0.59359581844881137</v>
      </c>
      <c r="S108">
        <f t="shared" ca="1" si="28"/>
        <v>0.99376693684744688</v>
      </c>
      <c r="T108">
        <f t="shared" ca="1" si="29"/>
        <v>49.843686264493662</v>
      </c>
      <c r="U108">
        <f>70</f>
        <v>70</v>
      </c>
      <c r="V108">
        <f>30</f>
        <v>30</v>
      </c>
      <c r="W108">
        <f t="shared" ca="1" si="27"/>
        <v>110.62213815645148</v>
      </c>
      <c r="X108">
        <f t="shared" ca="1" si="37"/>
        <v>110.48059965256253</v>
      </c>
      <c r="Y108">
        <f t="shared" ca="1" si="36"/>
        <v>0.19629671049364106</v>
      </c>
      <c r="Z108">
        <f t="shared" ca="1" si="38"/>
        <v>0.51681611425397167</v>
      </c>
      <c r="AA108">
        <f t="shared" ca="1" si="39"/>
        <v>-0.32051940376033061</v>
      </c>
      <c r="AB108">
        <f t="shared" ca="1" si="40"/>
        <v>108.95469999999999</v>
      </c>
    </row>
    <row r="109" spans="1:28" x14ac:dyDescent="0.25">
      <c r="A109" s="20">
        <f t="shared" ca="1" si="20"/>
        <v>45866</v>
      </c>
      <c r="B109" vm="317">
        <f ca="1"/>
        <v>45866</v>
      </c>
      <c r="C109" vm="318">
        <f ca="1"/>
        <v>111.44</v>
      </c>
      <c r="D109" vm="319">
        <f ca="1"/>
        <v>12352966</v>
      </c>
      <c r="E109">
        <f t="shared" ca="1" si="21"/>
        <v>1376614531.04</v>
      </c>
      <c r="F109">
        <f ca="1">SUM($E$2:E109)/SUM($D$2:D109)</f>
        <v>108.80426122446183</v>
      </c>
      <c r="G109">
        <f ca="1">_xlfn.STDEV.P($C$2:C109)</f>
        <v>4.4754082240942914</v>
      </c>
      <c r="H109">
        <f t="shared" ca="1" si="22"/>
        <v>113.27966944855612</v>
      </c>
      <c r="I109">
        <f t="shared" ca="1" si="23"/>
        <v>104.32885300036753</v>
      </c>
      <c r="J109">
        <f t="shared" ca="1" si="32"/>
        <v>111.36950000000002</v>
      </c>
      <c r="K109">
        <f t="shared" ca="1" si="33"/>
        <v>2.3642078343941191</v>
      </c>
      <c r="L109">
        <f t="shared" ca="1" si="34"/>
        <v>116.09791566878826</v>
      </c>
      <c r="M109">
        <f t="shared" ca="1" si="35"/>
        <v>106.64108433121177</v>
      </c>
      <c r="N109">
        <f t="shared" ca="1" si="24"/>
        <v>1.039999999999992</v>
      </c>
      <c r="O109">
        <f t="shared" ca="1" si="25"/>
        <v>1.039999999999992</v>
      </c>
      <c r="P109">
        <f t="shared" ca="1" si="26"/>
        <v>0</v>
      </c>
      <c r="Q109">
        <f t="shared" ca="1" si="30"/>
        <v>0.6220461912092331</v>
      </c>
      <c r="R109">
        <f t="shared" ca="1" si="31"/>
        <v>0.55119611713103911</v>
      </c>
      <c r="S109">
        <f t="shared" ca="1" si="28"/>
        <v>1.1285387757210024</v>
      </c>
      <c r="T109">
        <f t="shared" ca="1" si="29"/>
        <v>53.019413533527533</v>
      </c>
      <c r="U109">
        <f>70</f>
        <v>70</v>
      </c>
      <c r="V109">
        <f>30</f>
        <v>30</v>
      </c>
      <c r="W109">
        <f t="shared" ca="1" si="27"/>
        <v>110.74796305545894</v>
      </c>
      <c r="X109">
        <f t="shared" ca="1" si="37"/>
        <v>110.5516663449653</v>
      </c>
      <c r="Y109">
        <f t="shared" ca="1" si="36"/>
        <v>0.35183323463698457</v>
      </c>
      <c r="Z109">
        <f t="shared" ca="1" si="38"/>
        <v>0.48381953833057428</v>
      </c>
      <c r="AA109">
        <f t="shared" ca="1" si="39"/>
        <v>-0.13198630369358971</v>
      </c>
      <c r="AB109">
        <f t="shared" ca="1" si="40"/>
        <v>108.9937</v>
      </c>
    </row>
    <row r="110" spans="1:28" x14ac:dyDescent="0.25">
      <c r="A110" s="20">
        <f t="shared" ca="1" si="20"/>
        <v>45866</v>
      </c>
      <c r="B110" vm="320">
        <f ca="1"/>
        <v>45867</v>
      </c>
      <c r="C110" vm="321">
        <f ca="1"/>
        <v>112.88</v>
      </c>
      <c r="D110" vm="322">
        <f ca="1"/>
        <v>15927998</v>
      </c>
      <c r="E110">
        <f t="shared" ca="1" si="21"/>
        <v>1797952414.24</v>
      </c>
      <c r="F110">
        <f ca="1">SUM($E$2:E110)/SUM($D$2:D110)</f>
        <v>108.8385131828544</v>
      </c>
      <c r="G110">
        <f ca="1">_xlfn.STDEV.P($C$2:C110)</f>
        <v>4.4697797276716624</v>
      </c>
      <c r="H110">
        <f t="shared" ca="1" si="22"/>
        <v>113.30829291052606</v>
      </c>
      <c r="I110">
        <f t="shared" ca="1" si="23"/>
        <v>104.36873345518273</v>
      </c>
      <c r="J110">
        <f t="shared" ca="1" si="32"/>
        <v>111.62350000000001</v>
      </c>
      <c r="K110">
        <f t="shared" ca="1" si="33"/>
        <v>2.229586402523076</v>
      </c>
      <c r="L110">
        <f t="shared" ca="1" si="34"/>
        <v>116.08267280504616</v>
      </c>
      <c r="M110">
        <f t="shared" ca="1" si="35"/>
        <v>107.16432719495386</v>
      </c>
      <c r="N110">
        <f t="shared" ca="1" si="24"/>
        <v>1.4399999999999977</v>
      </c>
      <c r="O110">
        <f t="shared" ca="1" si="25"/>
        <v>1.4399999999999977</v>
      </c>
      <c r="P110">
        <f t="shared" ca="1" si="26"/>
        <v>0</v>
      </c>
      <c r="Q110">
        <f t="shared" ca="1" si="30"/>
        <v>0.68047146326571628</v>
      </c>
      <c r="R110">
        <f t="shared" ca="1" si="31"/>
        <v>0.51182496590739346</v>
      </c>
      <c r="S110">
        <f t="shared" ca="1" si="28"/>
        <v>1.3295003342780209</v>
      </c>
      <c r="T110">
        <f t="shared" ca="1" si="29"/>
        <v>57.072339278717948</v>
      </c>
      <c r="U110">
        <f>70</f>
        <v>70</v>
      </c>
      <c r="V110">
        <f>30</f>
        <v>30</v>
      </c>
      <c r="W110">
        <f t="shared" ca="1" si="27"/>
        <v>111.07596873923448</v>
      </c>
      <c r="X110">
        <f t="shared" ca="1" si="37"/>
        <v>110.7241355045975</v>
      </c>
      <c r="Y110">
        <f t="shared" ca="1" si="36"/>
        <v>0.39150620102124378</v>
      </c>
      <c r="Z110">
        <f t="shared" ca="1" si="38"/>
        <v>0.46535687086870825</v>
      </c>
      <c r="AA110">
        <f t="shared" ca="1" si="39"/>
        <v>-7.3850669847464467E-2</v>
      </c>
      <c r="AB110">
        <f t="shared" ca="1" si="40"/>
        <v>109.0681</v>
      </c>
    </row>
    <row r="111" spans="1:28" x14ac:dyDescent="0.25">
      <c r="A111" s="20">
        <f t="shared" ca="1" si="20"/>
        <v>45866</v>
      </c>
      <c r="B111" vm="323">
        <f ca="1"/>
        <v>45868</v>
      </c>
      <c r="C111" vm="47">
        <f ca="1"/>
        <v>111.9</v>
      </c>
      <c r="D111" vm="324">
        <f ca="1"/>
        <v>12996905</v>
      </c>
      <c r="E111">
        <f t="shared" ca="1" si="21"/>
        <v>1454353669.5</v>
      </c>
      <c r="F111">
        <f ca="1">SUM($E$2:E111)/SUM($D$2:D111)</f>
        <v>108.85936396051859</v>
      </c>
      <c r="G111">
        <f ca="1">_xlfn.STDEV.P($C$2:C111)</f>
        <v>4.4574350516490338</v>
      </c>
      <c r="H111">
        <f t="shared" ca="1" si="22"/>
        <v>113.31679901216762</v>
      </c>
      <c r="I111">
        <f t="shared" ca="1" si="23"/>
        <v>104.40192890886956</v>
      </c>
      <c r="J111">
        <f t="shared" ca="1" si="32"/>
        <v>111.7565</v>
      </c>
      <c r="K111">
        <f t="shared" ca="1" si="33"/>
        <v>2.1581138816836782</v>
      </c>
      <c r="L111">
        <f t="shared" ca="1" si="34"/>
        <v>116.07272776336735</v>
      </c>
      <c r="M111">
        <f t="shared" ca="1" si="35"/>
        <v>107.44027223663265</v>
      </c>
      <c r="N111">
        <f t="shared" ca="1" si="24"/>
        <v>-0.97999999999998977</v>
      </c>
      <c r="O111">
        <f t="shared" ca="1" si="25"/>
        <v>0</v>
      </c>
      <c r="P111">
        <f t="shared" ca="1" si="26"/>
        <v>0.97999999999998977</v>
      </c>
      <c r="Q111">
        <f t="shared" ca="1" si="30"/>
        <v>0.63186635874673658</v>
      </c>
      <c r="R111">
        <f t="shared" ca="1" si="31"/>
        <v>0.5452660397711504</v>
      </c>
      <c r="S111">
        <f t="shared" ca="1" si="28"/>
        <v>1.1588221393944369</v>
      </c>
      <c r="T111">
        <f t="shared" ca="1" si="29"/>
        <v>53.678444289046148</v>
      </c>
      <c r="U111">
        <f>70</f>
        <v>70</v>
      </c>
      <c r="V111">
        <f>30</f>
        <v>30</v>
      </c>
      <c r="W111">
        <f t="shared" ca="1" si="27"/>
        <v>111.20274277935226</v>
      </c>
      <c r="X111">
        <f t="shared" ca="1" si="37"/>
        <v>110.81123657833102</v>
      </c>
      <c r="Y111">
        <f t="shared" ca="1" si="36"/>
        <v>0.39738665957275998</v>
      </c>
      <c r="Z111">
        <f t="shared" ca="1" si="38"/>
        <v>0.45176282860951866</v>
      </c>
      <c r="AA111">
        <f t="shared" ca="1" si="39"/>
        <v>-5.4376169036758681E-2</v>
      </c>
      <c r="AB111">
        <f t="shared" ca="1" si="40"/>
        <v>109.11089999999999</v>
      </c>
    </row>
    <row r="112" spans="1:28" x14ac:dyDescent="0.25">
      <c r="A112" s="20">
        <f t="shared" ca="1" si="20"/>
        <v>45866</v>
      </c>
      <c r="B112" vm="325">
        <f ca="1"/>
        <v>45869</v>
      </c>
      <c r="C112" vm="326">
        <f ca="1"/>
        <v>111.64</v>
      </c>
      <c r="D112" vm="327">
        <f ca="1"/>
        <v>17233744</v>
      </c>
      <c r="E112">
        <f t="shared" ca="1" si="21"/>
        <v>1923975180.1600001</v>
      </c>
      <c r="F112">
        <f ca="1">SUM($E$2:E112)/SUM($D$2:D112)</f>
        <v>108.88425077160001</v>
      </c>
      <c r="G112">
        <f ca="1">_xlfn.STDEV.P($C$2:C112)</f>
        <v>4.4437466360320688</v>
      </c>
      <c r="H112">
        <f t="shared" ca="1" si="22"/>
        <v>113.32799740763208</v>
      </c>
      <c r="I112">
        <f t="shared" ca="1" si="23"/>
        <v>104.44050413556793</v>
      </c>
      <c r="J112">
        <f t="shared" ca="1" si="32"/>
        <v>111.78600000000002</v>
      </c>
      <c r="K112">
        <f t="shared" ca="1" si="33"/>
        <v>2.1519719231195231</v>
      </c>
      <c r="L112">
        <f t="shared" ca="1" si="34"/>
        <v>116.08994384623907</v>
      </c>
      <c r="M112">
        <f t="shared" ca="1" si="35"/>
        <v>107.48205615376096</v>
      </c>
      <c r="N112">
        <f t="shared" ca="1" si="24"/>
        <v>-0.26000000000000512</v>
      </c>
      <c r="O112">
        <f t="shared" ca="1" si="25"/>
        <v>0</v>
      </c>
      <c r="P112">
        <f t="shared" ca="1" si="26"/>
        <v>0.26000000000000512</v>
      </c>
      <c r="Q112">
        <f t="shared" ca="1" si="30"/>
        <v>0.58673304740768395</v>
      </c>
      <c r="R112">
        <f t="shared" ca="1" si="31"/>
        <v>0.52488989407321152</v>
      </c>
      <c r="S112">
        <f t="shared" ca="1" si="28"/>
        <v>1.1178211926592105</v>
      </c>
      <c r="T112">
        <f t="shared" ca="1" si="29"/>
        <v>52.781660535544788</v>
      </c>
      <c r="U112">
        <f>70</f>
        <v>70</v>
      </c>
      <c r="V112">
        <f>30</f>
        <v>30</v>
      </c>
      <c r="W112">
        <f t="shared" ca="1" si="27"/>
        <v>111.27001312099037</v>
      </c>
      <c r="X112">
        <f t="shared" ca="1" si="37"/>
        <v>110.87262646141761</v>
      </c>
      <c r="Y112">
        <f t="shared" ca="1" si="36"/>
        <v>0.2379210739983364</v>
      </c>
      <c r="Z112">
        <f t="shared" ca="1" si="38"/>
        <v>0.40899447768728225</v>
      </c>
      <c r="AA112">
        <f t="shared" ca="1" si="39"/>
        <v>-0.17107340368894586</v>
      </c>
      <c r="AB112">
        <f t="shared" ca="1" si="40"/>
        <v>109.13709999999999</v>
      </c>
    </row>
    <row r="113" spans="1:28" x14ac:dyDescent="0.25">
      <c r="A113" s="20">
        <f t="shared" ca="1" si="20"/>
        <v>45866</v>
      </c>
      <c r="B113" vm="328">
        <f ca="1"/>
        <v>45870</v>
      </c>
      <c r="C113" vm="329">
        <f ca="1"/>
        <v>109.64</v>
      </c>
      <c r="D113" vm="330">
        <f ca="1"/>
        <v>19652030</v>
      </c>
      <c r="E113">
        <f t="shared" ca="1" si="21"/>
        <v>2154648569.1999998</v>
      </c>
      <c r="F113">
        <f ca="1">SUM($E$2:E113)/SUM($D$2:D113)</f>
        <v>108.89188597622388</v>
      </c>
      <c r="G113">
        <f ca="1">_xlfn.STDEV.P($C$2:C113)</f>
        <v>4.4241214681907337</v>
      </c>
      <c r="H113">
        <f t="shared" ca="1" si="22"/>
        <v>113.31600744441461</v>
      </c>
      <c r="I113">
        <f t="shared" ca="1" si="23"/>
        <v>104.46776450803314</v>
      </c>
      <c r="J113">
        <f t="shared" ca="1" si="32"/>
        <v>111.65799999999999</v>
      </c>
      <c r="K113">
        <f t="shared" ca="1" si="33"/>
        <v>2.2016132840786504</v>
      </c>
      <c r="L113">
        <f t="shared" ca="1" si="34"/>
        <v>116.06122656815728</v>
      </c>
      <c r="M113">
        <f t="shared" ca="1" si="35"/>
        <v>107.25477343184269</v>
      </c>
      <c r="N113">
        <f t="shared" ca="1" si="24"/>
        <v>-2</v>
      </c>
      <c r="O113">
        <f t="shared" ca="1" si="25"/>
        <v>0</v>
      </c>
      <c r="P113">
        <f t="shared" ca="1" si="26"/>
        <v>2</v>
      </c>
      <c r="Q113">
        <f t="shared" ca="1" si="30"/>
        <v>0.54482354402142075</v>
      </c>
      <c r="R113">
        <f t="shared" ca="1" si="31"/>
        <v>0.63025490163941078</v>
      </c>
      <c r="S113">
        <f t="shared" ca="1" si="28"/>
        <v>0.86444951495693712</v>
      </c>
      <c r="T113">
        <f t="shared" ca="1" si="29"/>
        <v>46.364865769878634</v>
      </c>
      <c r="U113">
        <f>70</f>
        <v>70</v>
      </c>
      <c r="V113">
        <f>30</f>
        <v>30</v>
      </c>
      <c r="W113">
        <f t="shared" ca="1" si="27"/>
        <v>111.01924187160724</v>
      </c>
      <c r="X113">
        <f t="shared" ca="1" si="37"/>
        <v>110.7813207976089</v>
      </c>
      <c r="Y113">
        <f t="shared" ca="1" si="36"/>
        <v>-7.0810322950265459E-2</v>
      </c>
      <c r="Z113">
        <f t="shared" ca="1" si="38"/>
        <v>0.31303351755977271</v>
      </c>
      <c r="AA113">
        <f t="shared" ca="1" si="39"/>
        <v>-0.38384384051003817</v>
      </c>
      <c r="AB113">
        <f t="shared" ca="1" si="40"/>
        <v>109.11549999999997</v>
      </c>
    </row>
    <row r="114" spans="1:28" x14ac:dyDescent="0.25">
      <c r="A114" s="20">
        <f t="shared" ca="1" si="20"/>
        <v>45873</v>
      </c>
      <c r="B114" vm="331">
        <f ca="1"/>
        <v>45873</v>
      </c>
      <c r="C114" vm="128">
        <f ca="1"/>
        <v>107.37</v>
      </c>
      <c r="D114" vm="332">
        <f ca="1"/>
        <v>19129474</v>
      </c>
      <c r="E114">
        <f t="shared" ca="1" si="21"/>
        <v>2053931623.3800001</v>
      </c>
      <c r="F114">
        <f ca="1">SUM($E$2:E114)/SUM($D$2:D114)</f>
        <v>108.87706521115851</v>
      </c>
      <c r="G114">
        <f ca="1">_xlfn.STDEV.P($C$2:C114)</f>
        <v>4.4076105181911114</v>
      </c>
      <c r="H114">
        <f t="shared" ca="1" si="22"/>
        <v>113.28467572934962</v>
      </c>
      <c r="I114">
        <f t="shared" ca="1" si="23"/>
        <v>104.4694546929674</v>
      </c>
      <c r="J114">
        <f t="shared" ca="1" si="32"/>
        <v>111.471</v>
      </c>
      <c r="K114">
        <f t="shared" ca="1" si="33"/>
        <v>2.4004624554447838</v>
      </c>
      <c r="L114">
        <f t="shared" ca="1" si="34"/>
        <v>116.27192491088957</v>
      </c>
      <c r="M114">
        <f t="shared" ca="1" si="35"/>
        <v>106.67007508911044</v>
      </c>
      <c r="N114">
        <f t="shared" ca="1" si="24"/>
        <v>-2.269999999999996</v>
      </c>
      <c r="O114">
        <f t="shared" ca="1" si="25"/>
        <v>0</v>
      </c>
      <c r="P114">
        <f t="shared" ca="1" si="26"/>
        <v>2.269999999999996</v>
      </c>
      <c r="Q114">
        <f t="shared" ca="1" si="30"/>
        <v>0.50590757659131924</v>
      </c>
      <c r="R114">
        <f t="shared" ca="1" si="31"/>
        <v>0.74737955152230973</v>
      </c>
      <c r="S114">
        <f t="shared" ca="1" si="28"/>
        <v>0.67690850727833651</v>
      </c>
      <c r="T114">
        <f t="shared" ca="1" si="29"/>
        <v>40.366454361721594</v>
      </c>
      <c r="U114">
        <f>70</f>
        <v>70</v>
      </c>
      <c r="V114">
        <f>30</f>
        <v>30</v>
      </c>
      <c r="W114">
        <f t="shared" ca="1" si="27"/>
        <v>110.45782004520612</v>
      </c>
      <c r="X114">
        <f t="shared" ca="1" si="37"/>
        <v>110.52863036815639</v>
      </c>
      <c r="Y114">
        <f t="shared" ca="1" si="36"/>
        <v>-0.32225731118121814</v>
      </c>
      <c r="Z114">
        <f t="shared" ca="1" si="38"/>
        <v>0.18597535181157454</v>
      </c>
      <c r="AA114">
        <f t="shared" ca="1" si="39"/>
        <v>-0.50823266299279268</v>
      </c>
      <c r="AB114">
        <f t="shared" ca="1" si="40"/>
        <v>109.0976</v>
      </c>
    </row>
    <row r="115" spans="1:28" x14ac:dyDescent="0.25">
      <c r="A115" s="20">
        <f t="shared" ca="1" si="20"/>
        <v>45873</v>
      </c>
      <c r="B115" vm="333">
        <f ca="1"/>
        <v>45874</v>
      </c>
      <c r="C115" vm="334">
        <f ca="1"/>
        <v>107.24</v>
      </c>
      <c r="D115" vm="335">
        <f ca="1"/>
        <v>21314254</v>
      </c>
      <c r="E115">
        <f t="shared" ca="1" si="21"/>
        <v>2285740598.96</v>
      </c>
      <c r="F115">
        <f ca="1">SUM($E$2:E115)/SUM($D$2:D115)</f>
        <v>108.85949266864665</v>
      </c>
      <c r="G115">
        <f ca="1">_xlfn.STDEV.P($C$2:C115)</f>
        <v>4.3917421012862921</v>
      </c>
      <c r="H115">
        <f t="shared" ca="1" si="22"/>
        <v>113.25123476993295</v>
      </c>
      <c r="I115">
        <f t="shared" ca="1" si="23"/>
        <v>104.46775056736035</v>
      </c>
      <c r="J115">
        <f t="shared" ca="1" si="32"/>
        <v>111.12350000000001</v>
      </c>
      <c r="K115">
        <f t="shared" ca="1" si="33"/>
        <v>2.48760564441096</v>
      </c>
      <c r="L115">
        <f t="shared" ca="1" si="34"/>
        <v>116.09871128882193</v>
      </c>
      <c r="M115">
        <f t="shared" ca="1" si="35"/>
        <v>106.14828871117808</v>
      </c>
      <c r="N115">
        <f t="shared" ca="1" si="24"/>
        <v>-0.13000000000000966</v>
      </c>
      <c r="O115">
        <f t="shared" ca="1" si="25"/>
        <v>0</v>
      </c>
      <c r="P115">
        <f t="shared" ca="1" si="26"/>
        <v>0.13000000000000966</v>
      </c>
      <c r="Q115">
        <f t="shared" ca="1" si="30"/>
        <v>0.46977132112051073</v>
      </c>
      <c r="R115">
        <f t="shared" ca="1" si="31"/>
        <v>0.70328101212785976</v>
      </c>
      <c r="S115">
        <f t="shared" ca="1" si="28"/>
        <v>0.66797100023952316</v>
      </c>
      <c r="T115">
        <f t="shared" ca="1" si="29"/>
        <v>40.046919289580067</v>
      </c>
      <c r="U115">
        <f>70</f>
        <v>70</v>
      </c>
      <c r="V115">
        <f>30</f>
        <v>30</v>
      </c>
      <c r="W115">
        <f t="shared" ca="1" si="27"/>
        <v>109.9627708074821</v>
      </c>
      <c r="X115">
        <f t="shared" ca="1" si="37"/>
        <v>110.28502811866332</v>
      </c>
      <c r="Y115">
        <f t="shared" ca="1" si="36"/>
        <v>-0.57382110753103177</v>
      </c>
      <c r="Z115">
        <f t="shared" ca="1" si="38"/>
        <v>3.401605994305329E-2</v>
      </c>
      <c r="AA115">
        <f t="shared" ca="1" si="39"/>
        <v>-0.60783716747408501</v>
      </c>
      <c r="AB115">
        <f t="shared" ca="1" si="40"/>
        <v>109.07869999999998</v>
      </c>
    </row>
    <row r="116" spans="1:28" x14ac:dyDescent="0.25">
      <c r="A116" s="20">
        <f t="shared" ca="1" si="20"/>
        <v>45873</v>
      </c>
      <c r="B116" vm="336">
        <f ca="1"/>
        <v>45875</v>
      </c>
      <c r="C116" vm="337">
        <f ca="1"/>
        <v>106.51</v>
      </c>
      <c r="D116" vm="338">
        <f ca="1"/>
        <v>15321811</v>
      </c>
      <c r="E116">
        <f t="shared" ca="1" si="21"/>
        <v>1631926089.6100001</v>
      </c>
      <c r="F116">
        <f ca="1">SUM($E$2:E116)/SUM($D$2:D116)</f>
        <v>108.84150212025524</v>
      </c>
      <c r="G116">
        <f ca="1">_xlfn.STDEV.P($C$2:C116)</f>
        <v>4.3792384867699976</v>
      </c>
      <c r="H116">
        <f t="shared" ca="1" si="22"/>
        <v>113.22074060702523</v>
      </c>
      <c r="I116">
        <f t="shared" ca="1" si="23"/>
        <v>104.46226363348525</v>
      </c>
      <c r="J116">
        <f t="shared" ca="1" si="32"/>
        <v>110.75900000000001</v>
      </c>
      <c r="K116">
        <f t="shared" ca="1" si="33"/>
        <v>2.6060554988637326</v>
      </c>
      <c r="L116">
        <f t="shared" ca="1" si="34"/>
        <v>115.97111099772748</v>
      </c>
      <c r="M116">
        <f t="shared" ca="1" si="35"/>
        <v>105.54688900227255</v>
      </c>
      <c r="N116">
        <f t="shared" ca="1" si="24"/>
        <v>-0.72999999999998977</v>
      </c>
      <c r="O116">
        <f t="shared" ca="1" si="25"/>
        <v>0</v>
      </c>
      <c r="P116">
        <f t="shared" ca="1" si="26"/>
        <v>0.72999999999998977</v>
      </c>
      <c r="Q116">
        <f t="shared" ca="1" si="30"/>
        <v>0.43621622675475996</v>
      </c>
      <c r="R116">
        <f t="shared" ca="1" si="31"/>
        <v>0.70518951126158336</v>
      </c>
      <c r="S116">
        <f t="shared" ca="1" si="28"/>
        <v>0.61858014021559904</v>
      </c>
      <c r="T116">
        <f t="shared" ca="1" si="29"/>
        <v>38.217455215606599</v>
      </c>
      <c r="U116">
        <f>70</f>
        <v>70</v>
      </c>
      <c r="V116">
        <f>30</f>
        <v>30</v>
      </c>
      <c r="W116">
        <f t="shared" ca="1" si="27"/>
        <v>109.43157529863871</v>
      </c>
      <c r="X116">
        <f t="shared" ca="1" si="37"/>
        <v>110.00539640616974</v>
      </c>
      <c r="Y116">
        <f t="shared" ca="1" si="36"/>
        <v>-0.80904834276202564</v>
      </c>
      <c r="Z116">
        <f t="shared" ca="1" si="38"/>
        <v>-0.13459682059796252</v>
      </c>
      <c r="AA116">
        <f t="shared" ca="1" si="39"/>
        <v>-0.67445152216406312</v>
      </c>
      <c r="AB116">
        <f t="shared" ca="1" si="40"/>
        <v>109.05710000000001</v>
      </c>
    </row>
    <row r="117" spans="1:28" x14ac:dyDescent="0.25">
      <c r="A117" s="20">
        <f t="shared" ca="1" si="20"/>
        <v>45873</v>
      </c>
      <c r="B117" vm="339">
        <f ca="1"/>
        <v>45876</v>
      </c>
      <c r="C117" vm="340">
        <f ca="1"/>
        <v>105.95</v>
      </c>
      <c r="D117" vm="341">
        <f ca="1"/>
        <v>13468287</v>
      </c>
      <c r="E117">
        <f t="shared" ca="1" si="21"/>
        <v>1426965007.6500001</v>
      </c>
      <c r="F117">
        <f ca="1">SUM($E$2:E117)/SUM($D$2:D117)</f>
        <v>108.82216985750215</v>
      </c>
      <c r="G117">
        <f ca="1">_xlfn.STDEV.P($C$2:C117)</f>
        <v>4.3699270869482216</v>
      </c>
      <c r="H117">
        <f t="shared" ca="1" si="22"/>
        <v>113.19209694445037</v>
      </c>
      <c r="I117">
        <f t="shared" ca="1" si="23"/>
        <v>104.45224277055392</v>
      </c>
      <c r="J117">
        <f t="shared" ca="1" si="32"/>
        <v>110.30999999999999</v>
      </c>
      <c r="K117">
        <f t="shared" ca="1" si="33"/>
        <v>2.623137936056537</v>
      </c>
      <c r="L117">
        <f t="shared" ca="1" si="34"/>
        <v>115.55627587211306</v>
      </c>
      <c r="M117">
        <f t="shared" ca="1" si="35"/>
        <v>105.06372412788691</v>
      </c>
      <c r="N117">
        <f t="shared" ca="1" si="24"/>
        <v>-0.56000000000000227</v>
      </c>
      <c r="O117">
        <f t="shared" ca="1" si="25"/>
        <v>0</v>
      </c>
      <c r="P117">
        <f t="shared" ca="1" si="26"/>
        <v>0.56000000000000227</v>
      </c>
      <c r="Q117">
        <f t="shared" ca="1" si="30"/>
        <v>0.40505792484370567</v>
      </c>
      <c r="R117">
        <f t="shared" ca="1" si="31"/>
        <v>0.69481883188575622</v>
      </c>
      <c r="S117">
        <f t="shared" ca="1" si="28"/>
        <v>0.58296912267672429</v>
      </c>
      <c r="T117">
        <f t="shared" ca="1" si="29"/>
        <v>36.827573850016201</v>
      </c>
      <c r="U117">
        <f>70</f>
        <v>70</v>
      </c>
      <c r="V117">
        <f>30</f>
        <v>30</v>
      </c>
      <c r="W117">
        <f t="shared" ca="1" si="27"/>
        <v>108.89594832961737</v>
      </c>
      <c r="X117">
        <f t="shared" ca="1" si="37"/>
        <v>109.70499667237939</v>
      </c>
      <c r="Y117">
        <f t="shared" ca="1" si="36"/>
        <v>-0.91631699323914972</v>
      </c>
      <c r="Z117">
        <f t="shared" ca="1" si="38"/>
        <v>-0.29094085512619994</v>
      </c>
      <c r="AA117">
        <f t="shared" ca="1" si="39"/>
        <v>-0.62537613811294979</v>
      </c>
      <c r="AB117">
        <f t="shared" ca="1" si="40"/>
        <v>108.99760000000002</v>
      </c>
    </row>
    <row r="118" spans="1:28" x14ac:dyDescent="0.25">
      <c r="A118" s="20">
        <f t="shared" ca="1" si="20"/>
        <v>45873</v>
      </c>
      <c r="B118" vm="342">
        <f ca="1"/>
        <v>45877</v>
      </c>
      <c r="C118" vm="343">
        <f ca="1"/>
        <v>106.8</v>
      </c>
      <c r="D118" vm="344">
        <f ca="1"/>
        <v>14417734</v>
      </c>
      <c r="E118">
        <f t="shared" ca="1" si="21"/>
        <v>1539813991.2</v>
      </c>
      <c r="F118">
        <f ca="1">SUM($E$2:E118)/SUM($D$2:D118)</f>
        <v>108.80779961204057</v>
      </c>
      <c r="G118">
        <f ca="1">_xlfn.STDEV.P($C$2:C118)</f>
        <v>4.3561627131190788</v>
      </c>
      <c r="H118">
        <f t="shared" ca="1" si="22"/>
        <v>113.16396232515964</v>
      </c>
      <c r="I118">
        <f t="shared" ca="1" si="23"/>
        <v>104.45163689892149</v>
      </c>
      <c r="J118">
        <f t="shared" ca="1" si="32"/>
        <v>109.8785</v>
      </c>
      <c r="K118">
        <f t="shared" ca="1" si="33"/>
        <v>2.4399962791170937</v>
      </c>
      <c r="L118">
        <f t="shared" ca="1" si="34"/>
        <v>114.7584925582342</v>
      </c>
      <c r="M118">
        <f t="shared" ca="1" si="35"/>
        <v>104.99850744176581</v>
      </c>
      <c r="N118">
        <f t="shared" ca="1" si="24"/>
        <v>0.84999999999999432</v>
      </c>
      <c r="O118">
        <f t="shared" ca="1" si="25"/>
        <v>0.84999999999999432</v>
      </c>
      <c r="P118">
        <f t="shared" ca="1" si="26"/>
        <v>0</v>
      </c>
      <c r="Q118">
        <f t="shared" ca="1" si="30"/>
        <v>0.43683950164058344</v>
      </c>
      <c r="R118">
        <f t="shared" ca="1" si="31"/>
        <v>0.6451889153224879</v>
      </c>
      <c r="S118">
        <f t="shared" ca="1" si="28"/>
        <v>0.67707223615618972</v>
      </c>
      <c r="T118">
        <f t="shared" ca="1" si="29"/>
        <v>40.37227625376611</v>
      </c>
      <c r="U118">
        <f>70</f>
        <v>70</v>
      </c>
      <c r="V118">
        <f>30</f>
        <v>30</v>
      </c>
      <c r="W118">
        <f t="shared" ca="1" si="27"/>
        <v>108.57349474044547</v>
      </c>
      <c r="X118">
        <f t="shared" ca="1" si="37"/>
        <v>109.48981173368462</v>
      </c>
      <c r="Y118">
        <f t="shared" ca="1" si="36"/>
        <v>-1.0672959416957184</v>
      </c>
      <c r="Z118">
        <f t="shared" ca="1" si="38"/>
        <v>-0.44621187244010363</v>
      </c>
      <c r="AA118">
        <f t="shared" ca="1" si="39"/>
        <v>-0.62108406925561477</v>
      </c>
      <c r="AB118">
        <f t="shared" ca="1" si="40"/>
        <v>108.92800000000001</v>
      </c>
    </row>
    <row r="119" spans="1:28" x14ac:dyDescent="0.25">
      <c r="A119" s="20">
        <f t="shared" ca="1" si="20"/>
        <v>45880</v>
      </c>
      <c r="B119" vm="345">
        <f ca="1"/>
        <v>45880</v>
      </c>
      <c r="C119" vm="346">
        <f ca="1"/>
        <v>105.83</v>
      </c>
      <c r="D119" vm="347">
        <f ca="1"/>
        <v>13570661</v>
      </c>
      <c r="E119">
        <f t="shared" ca="1" si="21"/>
        <v>1436183053.6299999</v>
      </c>
      <c r="F119">
        <f ca="1">SUM($E$2:E119)/SUM($D$2:D119)</f>
        <v>108.78801394193417</v>
      </c>
      <c r="G119">
        <f ca="1">_xlfn.STDEV.P($C$2:C119)</f>
        <v>4.3476101734230639</v>
      </c>
      <c r="H119">
        <f t="shared" ca="1" si="22"/>
        <v>113.13562411535723</v>
      </c>
      <c r="I119">
        <f t="shared" ca="1" si="23"/>
        <v>104.4404037685111</v>
      </c>
      <c r="J119">
        <f t="shared" ca="1" si="32"/>
        <v>109.474</v>
      </c>
      <c r="K119">
        <f t="shared" ca="1" si="33"/>
        <v>2.4050635181457864</v>
      </c>
      <c r="L119">
        <f t="shared" ca="1" si="34"/>
        <v>114.28412703629158</v>
      </c>
      <c r="M119">
        <f t="shared" ca="1" si="35"/>
        <v>104.66387296370843</v>
      </c>
      <c r="N119">
        <f t="shared" ca="1" si="24"/>
        <v>-0.96999999999999886</v>
      </c>
      <c r="O119">
        <f t="shared" ca="1" si="25"/>
        <v>0</v>
      </c>
      <c r="P119">
        <f t="shared" ca="1" si="26"/>
        <v>0.96999999999999886</v>
      </c>
      <c r="Q119">
        <f t="shared" ca="1" si="30"/>
        <v>0.40563668009482745</v>
      </c>
      <c r="R119">
        <f t="shared" ca="1" si="31"/>
        <v>0.66838970708516732</v>
      </c>
      <c r="S119">
        <f t="shared" ca="1" si="28"/>
        <v>0.60688648522700928</v>
      </c>
      <c r="T119">
        <f t="shared" ca="1" si="29"/>
        <v>37.767850486418943</v>
      </c>
      <c r="U119">
        <f>70</f>
        <v>70</v>
      </c>
      <c r="V119">
        <f>30</f>
        <v>30</v>
      </c>
      <c r="W119">
        <f t="shared" ca="1" si="27"/>
        <v>108.15141862653078</v>
      </c>
      <c r="X119">
        <f t="shared" ca="1" si="37"/>
        <v>109.2187145682265</v>
      </c>
      <c r="Y119">
        <f t="shared" ca="1" si="36"/>
        <v>-1.1494897509799813</v>
      </c>
      <c r="Z119">
        <f t="shared" ca="1" si="38"/>
        <v>-0.58686744814807923</v>
      </c>
      <c r="AA119">
        <f t="shared" ca="1" si="39"/>
        <v>-0.56262230283190207</v>
      </c>
      <c r="AB119">
        <f t="shared" ca="1" si="40"/>
        <v>108.84989999999999</v>
      </c>
    </row>
    <row r="120" spans="1:28" x14ac:dyDescent="0.25">
      <c r="A120" s="20">
        <f t="shared" ca="1" si="20"/>
        <v>45880</v>
      </c>
      <c r="B120" vm="348">
        <f ca="1"/>
        <v>45881</v>
      </c>
      <c r="C120" vm="349">
        <f ca="1"/>
        <v>106.13</v>
      </c>
      <c r="D120" vm="350">
        <f ca="1"/>
        <v>14113216</v>
      </c>
      <c r="E120">
        <f t="shared" ca="1" si="21"/>
        <v>1497835614.0799999</v>
      </c>
      <c r="F120">
        <f ca="1">SUM($E$2:E120)/SUM($D$2:D120)</f>
        <v>108.76977301656507</v>
      </c>
      <c r="G120">
        <f ca="1">_xlfn.STDEV.P($C$2:C120)</f>
        <v>4.3372736370816565</v>
      </c>
      <c r="H120">
        <f t="shared" ca="1" si="22"/>
        <v>113.10704665364672</v>
      </c>
      <c r="I120">
        <f t="shared" ca="1" si="23"/>
        <v>104.43249937948342</v>
      </c>
      <c r="J120">
        <f t="shared" ca="1" si="32"/>
        <v>109.13500000000002</v>
      </c>
      <c r="K120">
        <f t="shared" ca="1" si="33"/>
        <v>2.3728741178046868</v>
      </c>
      <c r="L120">
        <f t="shared" ca="1" si="34"/>
        <v>113.88074823560939</v>
      </c>
      <c r="M120">
        <f t="shared" ca="1" si="35"/>
        <v>104.38925176439065</v>
      </c>
      <c r="N120">
        <f t="shared" ca="1" si="24"/>
        <v>0.29999999999999716</v>
      </c>
      <c r="O120">
        <f t="shared" ca="1" si="25"/>
        <v>0.29999999999999716</v>
      </c>
      <c r="P120">
        <f t="shared" ca="1" si="26"/>
        <v>0</v>
      </c>
      <c r="Q120">
        <f t="shared" ca="1" si="30"/>
        <v>0.39809120294519673</v>
      </c>
      <c r="R120">
        <f t="shared" ca="1" si="31"/>
        <v>0.62064758515051255</v>
      </c>
      <c r="S120">
        <f t="shared" ca="1" si="28"/>
        <v>0.64141263491528144</v>
      </c>
      <c r="T120">
        <f t="shared" ca="1" si="29"/>
        <v>39.076867161339166</v>
      </c>
      <c r="U120">
        <f>70</f>
        <v>70</v>
      </c>
      <c r="V120">
        <f>30</f>
        <v>30</v>
      </c>
      <c r="W120">
        <f t="shared" ca="1" si="27"/>
        <v>107.84043114552604</v>
      </c>
      <c r="X120">
        <f t="shared" ca="1" si="37"/>
        <v>108.98992089650602</v>
      </c>
      <c r="Y120">
        <f t="shared" ca="1" si="36"/>
        <v>-1.0835220545391167</v>
      </c>
      <c r="Z120">
        <f t="shared" ca="1" si="38"/>
        <v>-0.68619836942628676</v>
      </c>
      <c r="AA120">
        <f t="shared" ca="1" si="39"/>
        <v>-0.39732368511282989</v>
      </c>
      <c r="AB120">
        <f t="shared" ca="1" si="40"/>
        <v>108.75709999999999</v>
      </c>
    </row>
    <row r="121" spans="1:28" x14ac:dyDescent="0.25">
      <c r="A121" s="20">
        <f t="shared" ca="1" si="20"/>
        <v>45880</v>
      </c>
      <c r="B121" vm="351">
        <f ca="1"/>
        <v>45882</v>
      </c>
      <c r="C121" vm="352">
        <f ca="1"/>
        <v>107.6</v>
      </c>
      <c r="D121" vm="353">
        <f ca="1"/>
        <v>17958695</v>
      </c>
      <c r="E121">
        <f t="shared" ca="1" si="21"/>
        <v>1932355582</v>
      </c>
      <c r="F121">
        <f ca="1">SUM($E$2:E121)/SUM($D$2:D121)</f>
        <v>108.75964640887199</v>
      </c>
      <c r="G121">
        <f ca="1">_xlfn.STDEV.P($C$2:C121)</f>
        <v>4.3209979870588553</v>
      </c>
      <c r="H121">
        <f t="shared" ca="1" si="22"/>
        <v>113.08064439593085</v>
      </c>
      <c r="I121">
        <f t="shared" ca="1" si="23"/>
        <v>104.43864842181313</v>
      </c>
      <c r="J121">
        <f t="shared" ca="1" si="32"/>
        <v>108.90350000000001</v>
      </c>
      <c r="K121">
        <f t="shared" ca="1" si="33"/>
        <v>2.2790285903843936</v>
      </c>
      <c r="L121">
        <f t="shared" ca="1" si="34"/>
        <v>113.46155718076879</v>
      </c>
      <c r="M121">
        <f t="shared" ca="1" si="35"/>
        <v>104.34544281923122</v>
      </c>
      <c r="N121">
        <f t="shared" ca="1" si="24"/>
        <v>1.4699999999999989</v>
      </c>
      <c r="O121">
        <f t="shared" ca="1" si="25"/>
        <v>1.4699999999999989</v>
      </c>
      <c r="P121">
        <f t="shared" ca="1" si="26"/>
        <v>0</v>
      </c>
      <c r="Q121">
        <f t="shared" ca="1" si="30"/>
        <v>0.47465611702053978</v>
      </c>
      <c r="R121">
        <f t="shared" ca="1" si="31"/>
        <v>0.57631561478261883</v>
      </c>
      <c r="S121">
        <f t="shared" ca="1" si="28"/>
        <v>0.82360447096262679</v>
      </c>
      <c r="T121">
        <f t="shared" ca="1" si="29"/>
        <v>45.163547472981918</v>
      </c>
      <c r="U121">
        <f>70</f>
        <v>70</v>
      </c>
      <c r="V121">
        <f>30</f>
        <v>30</v>
      </c>
      <c r="W121">
        <f t="shared" ca="1" si="27"/>
        <v>107.80344173852203</v>
      </c>
      <c r="X121">
        <f t="shared" ca="1" si="37"/>
        <v>108.88696379306114</v>
      </c>
      <c r="Y121">
        <f t="shared" ca="1" si="36"/>
        <v>-1.0370399897545042</v>
      </c>
      <c r="Z121">
        <f t="shared" ca="1" si="38"/>
        <v>-0.7563666934919302</v>
      </c>
      <c r="AA121">
        <f t="shared" ca="1" si="39"/>
        <v>-0.28067329626257398</v>
      </c>
      <c r="AB121">
        <f t="shared" ca="1" si="40"/>
        <v>108.6741</v>
      </c>
    </row>
    <row r="122" spans="1:28" x14ac:dyDescent="0.25">
      <c r="A122" s="20">
        <f t="shared" ca="1" si="20"/>
        <v>45880</v>
      </c>
      <c r="B122" vm="354">
        <f ca="1"/>
        <v>45883</v>
      </c>
      <c r="C122" vm="355">
        <f ca="1"/>
        <v>107.38</v>
      </c>
      <c r="D122" vm="356">
        <f ca="1"/>
        <v>13683472</v>
      </c>
      <c r="E122">
        <f t="shared" ca="1" si="21"/>
        <v>1469331223.3599999</v>
      </c>
      <c r="F122">
        <f ca="1">SUM($E$2:E122)/SUM($D$2:D122)</f>
        <v>108.75060582472669</v>
      </c>
      <c r="G122">
        <f ca="1">_xlfn.STDEV.P($C$2:C122)</f>
        <v>4.3055223996242002</v>
      </c>
      <c r="H122">
        <f t="shared" ca="1" si="22"/>
        <v>113.05612822435089</v>
      </c>
      <c r="I122">
        <f t="shared" ca="1" si="23"/>
        <v>104.4450834251025</v>
      </c>
      <c r="J122">
        <f t="shared" ca="1" si="32"/>
        <v>108.68950000000002</v>
      </c>
      <c r="K122">
        <f t="shared" ca="1" si="33"/>
        <v>2.2063579778258551</v>
      </c>
      <c r="L122">
        <f t="shared" ca="1" si="34"/>
        <v>113.10221595565173</v>
      </c>
      <c r="M122">
        <f t="shared" ca="1" si="35"/>
        <v>104.27678404434832</v>
      </c>
      <c r="N122">
        <f t="shared" ca="1" si="24"/>
        <v>-0.21999999999999886</v>
      </c>
      <c r="O122">
        <f t="shared" ca="1" si="25"/>
        <v>0</v>
      </c>
      <c r="P122">
        <f t="shared" ca="1" si="26"/>
        <v>0.21999999999999886</v>
      </c>
      <c r="Q122">
        <f t="shared" ca="1" si="30"/>
        <v>0.44075210866192982</v>
      </c>
      <c r="R122">
        <f t="shared" ca="1" si="31"/>
        <v>0.55086449944100313</v>
      </c>
      <c r="S122">
        <f t="shared" ca="1" si="28"/>
        <v>0.80010984390751028</v>
      </c>
      <c r="T122">
        <f t="shared" ca="1" si="29"/>
        <v>44.447834481628441</v>
      </c>
      <c r="U122">
        <f>70</f>
        <v>70</v>
      </c>
      <c r="V122">
        <f>30</f>
        <v>30</v>
      </c>
      <c r="W122">
        <f t="shared" ca="1" si="27"/>
        <v>107.73829685567247</v>
      </c>
      <c r="X122">
        <f t="shared" ca="1" si="37"/>
        <v>108.77533684542698</v>
      </c>
      <c r="Y122">
        <f t="shared" ca="1" si="36"/>
        <v>-1.0598014490855832</v>
      </c>
      <c r="Z122">
        <f t="shared" ca="1" si="38"/>
        <v>-0.81705364461066088</v>
      </c>
      <c r="AA122">
        <f t="shared" ca="1" si="39"/>
        <v>-0.24274780447492228</v>
      </c>
      <c r="AB122">
        <f t="shared" ca="1" si="40"/>
        <v>108.59289999999999</v>
      </c>
    </row>
    <row r="123" spans="1:28" x14ac:dyDescent="0.25">
      <c r="A123" s="20">
        <f t="shared" ca="1" si="20"/>
        <v>45880</v>
      </c>
      <c r="B123" vm="357">
        <f ca="1"/>
        <v>45884</v>
      </c>
      <c r="C123" vm="358">
        <f ca="1"/>
        <v>106.49</v>
      </c>
      <c r="D123" vm="359">
        <f ca="1"/>
        <v>19271861</v>
      </c>
      <c r="E123">
        <f t="shared" ca="1" si="21"/>
        <v>2052260477.8899999</v>
      </c>
      <c r="F123">
        <f ca="1">SUM($E$2:E123)/SUM($D$2:D123)</f>
        <v>108.72993341268396</v>
      </c>
      <c r="G123">
        <f ca="1">_xlfn.STDEV.P($C$2:C123)</f>
        <v>4.2936205028281016</v>
      </c>
      <c r="H123">
        <f t="shared" ca="1" si="22"/>
        <v>113.02355391551207</v>
      </c>
      <c r="I123">
        <f t="shared" ca="1" si="23"/>
        <v>104.43631290985586</v>
      </c>
      <c r="J123">
        <f t="shared" ca="1" si="32"/>
        <v>108.62549999999999</v>
      </c>
      <c r="K123">
        <f t="shared" ca="1" si="33"/>
        <v>2.252515494426528</v>
      </c>
      <c r="L123">
        <f t="shared" ca="1" si="34"/>
        <v>113.13053098885304</v>
      </c>
      <c r="M123">
        <f t="shared" ca="1" si="35"/>
        <v>104.12046901114694</v>
      </c>
      <c r="N123">
        <f t="shared" ca="1" si="24"/>
        <v>-0.89000000000000057</v>
      </c>
      <c r="O123">
        <f t="shared" ca="1" si="25"/>
        <v>0</v>
      </c>
      <c r="P123">
        <f t="shared" ca="1" si="26"/>
        <v>0.89000000000000057</v>
      </c>
      <c r="Q123">
        <f t="shared" ca="1" si="30"/>
        <v>0.40926981518607769</v>
      </c>
      <c r="R123">
        <f t="shared" ca="1" si="31"/>
        <v>0.5750884637666458</v>
      </c>
      <c r="S123">
        <f t="shared" ca="1" si="28"/>
        <v>0.71166410208525321</v>
      </c>
      <c r="T123">
        <f t="shared" ca="1" si="29"/>
        <v>41.577322397441222</v>
      </c>
      <c r="U123">
        <f>70</f>
        <v>70</v>
      </c>
      <c r="V123">
        <f>30</f>
        <v>30</v>
      </c>
      <c r="W123">
        <f t="shared" ca="1" si="27"/>
        <v>107.54625118556902</v>
      </c>
      <c r="X123">
        <f t="shared" ca="1" si="37"/>
        <v>108.6060526346546</v>
      </c>
      <c r="Y123">
        <f t="shared" ca="1" si="36"/>
        <v>-1.0472094135292025</v>
      </c>
      <c r="Z123">
        <f t="shared" ca="1" si="38"/>
        <v>-0.86308479839436925</v>
      </c>
      <c r="AA123">
        <f t="shared" ca="1" si="39"/>
        <v>-0.18412461513483325</v>
      </c>
      <c r="AB123">
        <f t="shared" ca="1" si="40"/>
        <v>108.49979999999998</v>
      </c>
    </row>
    <row r="124" spans="1:28" x14ac:dyDescent="0.25">
      <c r="A124" s="20">
        <f t="shared" ca="1" si="20"/>
        <v>45887</v>
      </c>
      <c r="B124" vm="360">
        <f ca="1"/>
        <v>45887</v>
      </c>
      <c r="C124" vm="361">
        <f ca="1"/>
        <v>106.72</v>
      </c>
      <c r="D124" vm="362">
        <f ca="1"/>
        <v>13040018</v>
      </c>
      <c r="E124">
        <f t="shared" ca="1" si="21"/>
        <v>1391630720.96</v>
      </c>
      <c r="F124">
        <f ca="1">SUM($E$2:E124)/SUM($D$2:D124)</f>
        <v>108.71757326772266</v>
      </c>
      <c r="G124">
        <f ca="1">_xlfn.STDEV.P($C$2:C124)</f>
        <v>4.2807749531153876</v>
      </c>
      <c r="H124">
        <f t="shared" ca="1" si="22"/>
        <v>112.99834822083804</v>
      </c>
      <c r="I124">
        <f t="shared" ca="1" si="23"/>
        <v>104.43679831460727</v>
      </c>
      <c r="J124">
        <f t="shared" ca="1" si="32"/>
        <v>108.559</v>
      </c>
      <c r="K124">
        <f t="shared" ca="1" si="33"/>
        <v>2.2897251041624158</v>
      </c>
      <c r="L124">
        <f t="shared" ca="1" si="34"/>
        <v>113.13845020832483</v>
      </c>
      <c r="M124">
        <f t="shared" ca="1" si="35"/>
        <v>103.97954979167517</v>
      </c>
      <c r="N124">
        <f t="shared" ca="1" si="24"/>
        <v>0.23000000000000398</v>
      </c>
      <c r="O124">
        <f t="shared" ca="1" si="25"/>
        <v>0.23000000000000398</v>
      </c>
      <c r="P124">
        <f t="shared" ca="1" si="26"/>
        <v>0</v>
      </c>
      <c r="Q124">
        <f t="shared" ca="1" si="30"/>
        <v>0.39646482838707248</v>
      </c>
      <c r="R124">
        <f t="shared" ca="1" si="31"/>
        <v>0.53401071635474251</v>
      </c>
      <c r="S124">
        <f t="shared" ca="1" si="28"/>
        <v>0.74242859973563058</v>
      </c>
      <c r="T124">
        <f t="shared" ca="1" si="29"/>
        <v>42.608839171273665</v>
      </c>
      <c r="U124">
        <f>70</f>
        <v>70</v>
      </c>
      <c r="V124">
        <f>30</f>
        <v>30</v>
      </c>
      <c r="W124">
        <f t="shared" ca="1" si="27"/>
        <v>107.4191356185584</v>
      </c>
      <c r="X124">
        <f t="shared" ca="1" si="37"/>
        <v>108.4663450320876</v>
      </c>
      <c r="Y124">
        <f t="shared" ca="1" si="36"/>
        <v>-0.96956939235506923</v>
      </c>
      <c r="Z124">
        <f t="shared" ca="1" si="38"/>
        <v>-0.88438171718650926</v>
      </c>
      <c r="AA124">
        <f t="shared" ca="1" si="39"/>
        <v>-8.5187675168559962E-2</v>
      </c>
      <c r="AB124">
        <f t="shared" ca="1" si="40"/>
        <v>108.40109999999999</v>
      </c>
    </row>
    <row r="125" spans="1:28" x14ac:dyDescent="0.25">
      <c r="A125" s="20">
        <f t="shared" ca="1" si="20"/>
        <v>45887</v>
      </c>
      <c r="B125" vm="363">
        <f ca="1"/>
        <v>45888</v>
      </c>
      <c r="C125" vm="364">
        <f ca="1"/>
        <v>107.42</v>
      </c>
      <c r="D125" vm="365">
        <f ca="1"/>
        <v>16113611</v>
      </c>
      <c r="E125">
        <f t="shared" ca="1" si="21"/>
        <v>1730924093.6200001</v>
      </c>
      <c r="F125">
        <f ca="1">SUM($E$2:E125)/SUM($D$2:D125)</f>
        <v>108.70778736848833</v>
      </c>
      <c r="G125">
        <f ca="1">_xlfn.STDEV.P($C$2:C125)</f>
        <v>4.2655941490405338</v>
      </c>
      <c r="H125">
        <f t="shared" ca="1" si="22"/>
        <v>112.97338151752886</v>
      </c>
      <c r="I125">
        <f t="shared" ca="1" si="23"/>
        <v>104.44219321944779</v>
      </c>
      <c r="J125">
        <f t="shared" ca="1" si="32"/>
        <v>108.503</v>
      </c>
      <c r="K125">
        <f t="shared" ca="1" si="33"/>
        <v>2.3038665440149924</v>
      </c>
      <c r="L125">
        <f t="shared" ca="1" si="34"/>
        <v>113.11073308802999</v>
      </c>
      <c r="M125">
        <f t="shared" ca="1" si="35"/>
        <v>103.89526691197001</v>
      </c>
      <c r="N125">
        <f t="shared" ca="1" si="24"/>
        <v>0.70000000000000284</v>
      </c>
      <c r="O125">
        <f t="shared" ca="1" si="25"/>
        <v>0.70000000000000284</v>
      </c>
      <c r="P125">
        <f t="shared" ca="1" si="26"/>
        <v>0</v>
      </c>
      <c r="Q125">
        <f t="shared" ca="1" si="30"/>
        <v>0.41814591207371038</v>
      </c>
      <c r="R125">
        <f t="shared" ca="1" si="31"/>
        <v>0.49586709375797522</v>
      </c>
      <c r="S125">
        <f t="shared" ca="1" si="28"/>
        <v>0.84326207029539391</v>
      </c>
      <c r="T125">
        <f t="shared" ca="1" si="29"/>
        <v>45.748354717691122</v>
      </c>
      <c r="U125">
        <f>70</f>
        <v>70</v>
      </c>
      <c r="V125">
        <f>30</f>
        <v>30</v>
      </c>
      <c r="W125">
        <f t="shared" ca="1" si="27"/>
        <v>107.41926860031865</v>
      </c>
      <c r="X125">
        <f t="shared" ca="1" si="37"/>
        <v>108.38883799267371</v>
      </c>
      <c r="Y125">
        <f t="shared" ca="1" si="36"/>
        <v>-0.80914408354507827</v>
      </c>
      <c r="Z125">
        <f t="shared" ca="1" si="38"/>
        <v>-0.86933419045822302</v>
      </c>
      <c r="AA125">
        <f t="shared" ca="1" si="39"/>
        <v>6.0190106913144747E-2</v>
      </c>
      <c r="AB125">
        <f t="shared" ca="1" si="40"/>
        <v>108.29259999999998</v>
      </c>
    </row>
    <row r="126" spans="1:28" x14ac:dyDescent="0.25">
      <c r="A126" s="20">
        <f t="shared" ca="1" si="20"/>
        <v>45887</v>
      </c>
      <c r="B126" vm="366">
        <f ca="1"/>
        <v>45889</v>
      </c>
      <c r="C126" vm="367">
        <f ca="1"/>
        <v>108.53</v>
      </c>
      <c r="D126" vm="368">
        <f ca="1"/>
        <v>18959716</v>
      </c>
      <c r="E126">
        <f t="shared" ca="1" si="21"/>
        <v>2057697977.48</v>
      </c>
      <c r="F126">
        <f ca="1">SUM($E$2:E126)/SUM($D$2:D126)</f>
        <v>108.70622360209136</v>
      </c>
      <c r="G126">
        <f ca="1">_xlfn.STDEV.P($C$2:C126)</f>
        <v>4.2486321458088137</v>
      </c>
      <c r="H126">
        <f t="shared" ca="1" si="22"/>
        <v>112.95485574790017</v>
      </c>
      <c r="I126">
        <f t="shared" ca="1" si="23"/>
        <v>104.45759145628254</v>
      </c>
      <c r="J126">
        <f t="shared" ca="1" si="32"/>
        <v>108.43300000000002</v>
      </c>
      <c r="K126">
        <f t="shared" ca="1" si="33"/>
        <v>2.2793653317951201</v>
      </c>
      <c r="L126">
        <f t="shared" ca="1" si="34"/>
        <v>112.99173066359026</v>
      </c>
      <c r="M126">
        <f t="shared" ca="1" si="35"/>
        <v>103.87426933640978</v>
      </c>
      <c r="N126">
        <f t="shared" ca="1" si="24"/>
        <v>1.1099999999999994</v>
      </c>
      <c r="O126">
        <f t="shared" ca="1" si="25"/>
        <v>1.1099999999999994</v>
      </c>
      <c r="P126">
        <f t="shared" ca="1" si="26"/>
        <v>0</v>
      </c>
      <c r="Q126">
        <f t="shared" ca="1" si="30"/>
        <v>0.46756406121130245</v>
      </c>
      <c r="R126">
        <f t="shared" ca="1" si="31"/>
        <v>0.46044801563240556</v>
      </c>
      <c r="S126">
        <f t="shared" ca="1" si="28"/>
        <v>1.0154546123282198</v>
      </c>
      <c r="T126">
        <f t="shared" ca="1" si="29"/>
        <v>50.383402638632653</v>
      </c>
      <c r="U126">
        <f>70</f>
        <v>70</v>
      </c>
      <c r="V126">
        <f>30</f>
        <v>30</v>
      </c>
      <c r="W126">
        <f t="shared" ca="1" si="27"/>
        <v>107.59015035411576</v>
      </c>
      <c r="X126">
        <f t="shared" ca="1" si="37"/>
        <v>108.39929443766084</v>
      </c>
      <c r="Y126">
        <f t="shared" ca="1" si="36"/>
        <v>-0.61839326799825756</v>
      </c>
      <c r="Z126">
        <f t="shared" ca="1" si="38"/>
        <v>-0.81914600596622988</v>
      </c>
      <c r="AA126">
        <f t="shared" ca="1" si="39"/>
        <v>0.20075273796797233</v>
      </c>
      <c r="AB126">
        <f t="shared" ca="1" si="40"/>
        <v>108.199</v>
      </c>
    </row>
    <row r="127" spans="1:28" x14ac:dyDescent="0.25">
      <c r="A127" s="20">
        <f t="shared" ca="1" si="20"/>
        <v>45887</v>
      </c>
      <c r="B127" vm="369">
        <f ca="1"/>
        <v>45890</v>
      </c>
      <c r="C127" vm="370">
        <f ca="1"/>
        <v>109.23</v>
      </c>
      <c r="D127" vm="371">
        <f ca="1"/>
        <v>12194897</v>
      </c>
      <c r="E127">
        <f t="shared" ca="1" si="21"/>
        <v>1332048599.3099999</v>
      </c>
      <c r="F127">
        <f ca="1">SUM($E$2:E127)/SUM($D$2:D127)</f>
        <v>108.70917014759513</v>
      </c>
      <c r="G127">
        <f ca="1">_xlfn.STDEV.P($C$2:C127)</f>
        <v>4.2318361812996166</v>
      </c>
      <c r="H127">
        <f t="shared" ca="1" si="22"/>
        <v>112.94100632889474</v>
      </c>
      <c r="I127">
        <f t="shared" ca="1" si="23"/>
        <v>104.47733396629552</v>
      </c>
      <c r="J127">
        <f t="shared" ca="1" si="32"/>
        <v>108.35500000000002</v>
      </c>
      <c r="K127">
        <f t="shared" ca="1" si="33"/>
        <v>2.2203923313827132</v>
      </c>
      <c r="L127">
        <f t="shared" ca="1" si="34"/>
        <v>112.79578466276544</v>
      </c>
      <c r="M127">
        <f t="shared" ca="1" si="35"/>
        <v>103.91421533723459</v>
      </c>
      <c r="N127">
        <f t="shared" ca="1" si="24"/>
        <v>0.70000000000000284</v>
      </c>
      <c r="O127">
        <f t="shared" ca="1" si="25"/>
        <v>0.70000000000000284</v>
      </c>
      <c r="P127">
        <f t="shared" ca="1" si="26"/>
        <v>0</v>
      </c>
      <c r="Q127">
        <f t="shared" ca="1" si="30"/>
        <v>0.48416662826763818</v>
      </c>
      <c r="R127">
        <f t="shared" ca="1" si="31"/>
        <v>0.4275588716586623</v>
      </c>
      <c r="S127">
        <f t="shared" ca="1" si="28"/>
        <v>1.1323975722673536</v>
      </c>
      <c r="T127">
        <f t="shared" ca="1" si="29"/>
        <v>53.10442982090288</v>
      </c>
      <c r="U127">
        <f>70</f>
        <v>70</v>
      </c>
      <c r="V127">
        <f>30</f>
        <v>30</v>
      </c>
      <c r="W127">
        <f t="shared" ca="1" si="27"/>
        <v>107.84243491502103</v>
      </c>
      <c r="X127">
        <f t="shared" ca="1" si="37"/>
        <v>108.46082818301929</v>
      </c>
      <c r="Y127">
        <f t="shared" ca="1" si="36"/>
        <v>-0.29836464307697952</v>
      </c>
      <c r="Z127">
        <f t="shared" ca="1" si="38"/>
        <v>-0.71498973338837979</v>
      </c>
      <c r="AA127">
        <f t="shared" ca="1" si="39"/>
        <v>0.41662509031140027</v>
      </c>
      <c r="AB127">
        <f t="shared" ca="1" si="40"/>
        <v>108.11399999999998</v>
      </c>
    </row>
    <row r="128" spans="1:28" x14ac:dyDescent="0.25">
      <c r="A128" s="20">
        <f t="shared" ca="1" si="20"/>
        <v>45887</v>
      </c>
      <c r="B128" vm="372">
        <f ca="1"/>
        <v>45891</v>
      </c>
      <c r="C128" vm="373">
        <f ca="1"/>
        <v>111.28</v>
      </c>
      <c r="D128" vm="374">
        <f ca="1"/>
        <v>13586668</v>
      </c>
      <c r="E128">
        <f t="shared" ca="1" si="21"/>
        <v>1511924415.04</v>
      </c>
      <c r="F128">
        <f ca="1">SUM($E$2:E128)/SUM($D$2:D128)</f>
        <v>108.72518274904897</v>
      </c>
      <c r="G128">
        <f ca="1">_xlfn.STDEV.P($C$2:C128)</f>
        <v>4.2203477167491448</v>
      </c>
      <c r="H128">
        <f t="shared" ca="1" si="22"/>
        <v>112.94553046579811</v>
      </c>
      <c r="I128">
        <f t="shared" ca="1" si="23"/>
        <v>104.50483503229982</v>
      </c>
      <c r="J128">
        <f t="shared" ca="1" si="32"/>
        <v>108.399</v>
      </c>
      <c r="K128">
        <f t="shared" ca="1" si="33"/>
        <v>2.2711877254446691</v>
      </c>
      <c r="L128">
        <f t="shared" ca="1" si="34"/>
        <v>112.94137545088934</v>
      </c>
      <c r="M128">
        <f t="shared" ca="1" si="35"/>
        <v>103.85662454911066</v>
      </c>
      <c r="N128">
        <f t="shared" ca="1" si="24"/>
        <v>2.0499999999999972</v>
      </c>
      <c r="O128">
        <f t="shared" ca="1" si="25"/>
        <v>2.0499999999999972</v>
      </c>
      <c r="P128">
        <f t="shared" ca="1" si="26"/>
        <v>0</v>
      </c>
      <c r="Q128">
        <f t="shared" ca="1" si="30"/>
        <v>0.59601186910566384</v>
      </c>
      <c r="R128">
        <f t="shared" ca="1" si="31"/>
        <v>0.39701895225447215</v>
      </c>
      <c r="S128">
        <f t="shared" ca="1" si="28"/>
        <v>1.5012176766907737</v>
      </c>
      <c r="T128">
        <f t="shared" ca="1" si="29"/>
        <v>60.019473342158442</v>
      </c>
      <c r="U128">
        <f>70</f>
        <v>70</v>
      </c>
      <c r="V128">
        <f>30</f>
        <v>30</v>
      </c>
      <c r="W128">
        <f t="shared" ca="1" si="27"/>
        <v>108.37129108194088</v>
      </c>
      <c r="X128">
        <f t="shared" ca="1" si="37"/>
        <v>108.66965572501786</v>
      </c>
      <c r="Y128">
        <f t="shared" ca="1" si="36"/>
        <v>-7.5346418642681101E-3</v>
      </c>
      <c r="Z128">
        <f t="shared" ca="1" si="38"/>
        <v>-0.57349871508355743</v>
      </c>
      <c r="AA128">
        <f t="shared" ca="1" si="39"/>
        <v>0.56596407321928932</v>
      </c>
      <c r="AB128">
        <f t="shared" ca="1" si="40"/>
        <v>108.03749999999998</v>
      </c>
    </row>
    <row r="129" spans="1:28" x14ac:dyDescent="0.25">
      <c r="A129" s="20">
        <f t="shared" ca="1" si="20"/>
        <v>45894</v>
      </c>
      <c r="B129" vm="375">
        <f ca="1"/>
        <v>45894</v>
      </c>
      <c r="C129" vm="246">
        <f ca="1"/>
        <v>111.74</v>
      </c>
      <c r="D129" vm="376">
        <f ca="1"/>
        <v>9744897</v>
      </c>
      <c r="E129">
        <f t="shared" ca="1" si="21"/>
        <v>1088894790.78</v>
      </c>
      <c r="F129">
        <f ca="1">SUM($E$2:E129)/SUM($D$2:D129)</f>
        <v>108.73859118137047</v>
      </c>
      <c r="G129">
        <f ca="1">_xlfn.STDEV.P($C$2:C129)</f>
        <v>4.2111141979392972</v>
      </c>
      <c r="H129">
        <f t="shared" ca="1" si="22"/>
        <v>112.94970537930976</v>
      </c>
      <c r="I129">
        <f t="shared" ca="1" si="23"/>
        <v>104.52747698343117</v>
      </c>
      <c r="J129">
        <f t="shared" ca="1" si="32"/>
        <v>108.41399999999999</v>
      </c>
      <c r="K129">
        <f t="shared" ca="1" si="33"/>
        <v>2.2932128691331504</v>
      </c>
      <c r="L129">
        <f t="shared" ca="1" si="34"/>
        <v>113.00042573826629</v>
      </c>
      <c r="M129">
        <f t="shared" ca="1" si="35"/>
        <v>103.82757426173369</v>
      </c>
      <c r="N129">
        <f t="shared" ca="1" si="24"/>
        <v>0.45999999999999375</v>
      </c>
      <c r="O129">
        <f t="shared" ca="1" si="25"/>
        <v>0.45999999999999375</v>
      </c>
      <c r="P129">
        <f t="shared" ca="1" si="26"/>
        <v>0</v>
      </c>
      <c r="Q129">
        <f t="shared" ca="1" si="30"/>
        <v>0.58629673559811601</v>
      </c>
      <c r="R129">
        <f t="shared" ca="1" si="31"/>
        <v>0.36866045566486699</v>
      </c>
      <c r="S129">
        <f t="shared" ca="1" si="28"/>
        <v>1.5903434355082895</v>
      </c>
      <c r="T129">
        <f t="shared" ca="1" si="29"/>
        <v>61.395080424778691</v>
      </c>
      <c r="U129">
        <f>70</f>
        <v>70</v>
      </c>
      <c r="V129">
        <f>30</f>
        <v>30</v>
      </c>
      <c r="W129">
        <f t="shared" ca="1" si="27"/>
        <v>108.88955399241152</v>
      </c>
      <c r="X129">
        <f t="shared" ca="1" si="37"/>
        <v>108.89708863427579</v>
      </c>
      <c r="Y129">
        <f t="shared" ca="1" si="36"/>
        <v>0.20046646611562835</v>
      </c>
      <c r="Z129">
        <f t="shared" ca="1" si="38"/>
        <v>-0.41870567884372029</v>
      </c>
      <c r="AA129">
        <f t="shared" ca="1" si="39"/>
        <v>0.61917214495934858</v>
      </c>
      <c r="AB129">
        <f t="shared" ca="1" si="40"/>
        <v>107.96449999999997</v>
      </c>
    </row>
    <row r="130" spans="1:28" x14ac:dyDescent="0.25">
      <c r="A130" s="20">
        <f t="shared" ca="1" si="20"/>
        <v>45894</v>
      </c>
      <c r="B130" vm="377">
        <f ca="1"/>
        <v>45895</v>
      </c>
      <c r="C130" vm="378">
        <f ca="1"/>
        <v>111.49</v>
      </c>
      <c r="D130" vm="379">
        <f ca="1"/>
        <v>18143880</v>
      </c>
      <c r="E130">
        <f t="shared" ca="1" si="21"/>
        <v>2022861181.1999998</v>
      </c>
      <c r="F130">
        <f ca="1">SUM($E$2:E130)/SUM($D$2:D130)</f>
        <v>108.76118780600878</v>
      </c>
      <c r="G130">
        <f ca="1">_xlfn.STDEV.P($C$2:C130)</f>
        <v>4.2006719396909791</v>
      </c>
      <c r="H130">
        <f t="shared" ca="1" si="22"/>
        <v>112.96185974569975</v>
      </c>
      <c r="I130">
        <f t="shared" ca="1" si="23"/>
        <v>104.5605158663178</v>
      </c>
      <c r="J130">
        <f t="shared" ca="1" si="32"/>
        <v>108.34449999999997</v>
      </c>
      <c r="K130">
        <f t="shared" ca="1" si="33"/>
        <v>2.1684058539324282</v>
      </c>
      <c r="L130">
        <f t="shared" ca="1" si="34"/>
        <v>112.68131170786482</v>
      </c>
      <c r="M130">
        <f t="shared" ca="1" si="35"/>
        <v>104.00768829213511</v>
      </c>
      <c r="N130">
        <f t="shared" ca="1" si="24"/>
        <v>-0.25</v>
      </c>
      <c r="O130">
        <f t="shared" ca="1" si="25"/>
        <v>0</v>
      </c>
      <c r="P130">
        <f t="shared" ca="1" si="26"/>
        <v>0.25</v>
      </c>
      <c r="Q130">
        <f t="shared" ca="1" si="30"/>
        <v>0.54441839734110775</v>
      </c>
      <c r="R130">
        <f t="shared" ca="1" si="31"/>
        <v>0.3601847088316622</v>
      </c>
      <c r="S130">
        <f t="shared" ca="1" si="28"/>
        <v>1.5114978065200151</v>
      </c>
      <c r="T130">
        <f t="shared" ca="1" si="29"/>
        <v>60.18312270056802</v>
      </c>
      <c r="U130">
        <f>70</f>
        <v>70</v>
      </c>
      <c r="V130">
        <f>30</f>
        <v>30</v>
      </c>
      <c r="W130">
        <f t="shared" ca="1" si="27"/>
        <v>109.28962260896358</v>
      </c>
      <c r="X130">
        <f t="shared" ca="1" si="37"/>
        <v>109.08915614284795</v>
      </c>
      <c r="Y130">
        <f t="shared" ca="1" si="36"/>
        <v>0.46165859953447352</v>
      </c>
      <c r="Z130">
        <f t="shared" ca="1" si="38"/>
        <v>-0.24263282316808155</v>
      </c>
      <c r="AA130">
        <f t="shared" ca="1" si="39"/>
        <v>0.70429142270255507</v>
      </c>
      <c r="AB130">
        <f t="shared" ca="1" si="40"/>
        <v>107.89269999999996</v>
      </c>
    </row>
    <row r="131" spans="1:28" x14ac:dyDescent="0.25">
      <c r="A131" s="20">
        <f t="shared" ref="A131:A194" ca="1" si="41">B131 - WEEKDAY(B131, 2) + 1</f>
        <v>45894</v>
      </c>
      <c r="B131" vm="380">
        <f ca="1"/>
        <v>45896</v>
      </c>
      <c r="C131" vm="381">
        <f ca="1"/>
        <v>112.75</v>
      </c>
      <c r="D131" vm="382">
        <f ca="1"/>
        <v>15262630</v>
      </c>
      <c r="E131">
        <f t="shared" ref="E131:E194" ca="1" si="42">C131*D131</f>
        <v>1720861532.5</v>
      </c>
      <c r="F131">
        <f ca="1">SUM($E$2:E131)/SUM($D$2:D131)</f>
        <v>108.78855568952693</v>
      </c>
      <c r="G131">
        <f ca="1">_xlfn.STDEV.P($C$2:C131)</f>
        <v>4.1974993936584806</v>
      </c>
      <c r="H131">
        <f t="shared" ref="H131:H194" ca="1" si="43">F131 + G131</f>
        <v>112.98605508318541</v>
      </c>
      <c r="I131">
        <f t="shared" ref="I131:I194" ca="1" si="44">F131 - G131</f>
        <v>104.59105629586846</v>
      </c>
      <c r="J131">
        <f t="shared" ca="1" si="32"/>
        <v>108.38700000000001</v>
      </c>
      <c r="K131">
        <f t="shared" ca="1" si="33"/>
        <v>2.2486068201397384</v>
      </c>
      <c r="L131">
        <f t="shared" ca="1" si="34"/>
        <v>112.8842136402795</v>
      </c>
      <c r="M131">
        <f t="shared" ca="1" si="35"/>
        <v>103.88978635972053</v>
      </c>
      <c r="N131">
        <f t="shared" ca="1" si="24"/>
        <v>1.2600000000000051</v>
      </c>
      <c r="O131">
        <f t="shared" ca="1" si="25"/>
        <v>1.2600000000000051</v>
      </c>
      <c r="P131">
        <f t="shared" ca="1" si="26"/>
        <v>0</v>
      </c>
      <c r="Q131">
        <f t="shared" ca="1" si="30"/>
        <v>0.59553136895960035</v>
      </c>
      <c r="R131">
        <f t="shared" ca="1" si="31"/>
        <v>0.33445722962940067</v>
      </c>
      <c r="S131">
        <f t="shared" ca="1" si="28"/>
        <v>1.7805905096429999</v>
      </c>
      <c r="T131">
        <f t="shared" ca="1" si="29"/>
        <v>64.036416130601339</v>
      </c>
      <c r="U131">
        <f>70</f>
        <v>70</v>
      </c>
      <c r="V131">
        <f>30</f>
        <v>30</v>
      </c>
      <c r="W131">
        <f t="shared" ca="1" si="27"/>
        <v>109.82198836143073</v>
      </c>
      <c r="X131">
        <f t="shared" ca="1" si="37"/>
        <v>109.36032976189625</v>
      </c>
      <c r="Y131">
        <f t="shared" ca="1" si="36"/>
        <v>0.70889849210439593</v>
      </c>
      <c r="Z131">
        <f t="shared" ca="1" si="38"/>
        <v>-5.2326560113586051E-2</v>
      </c>
      <c r="AA131">
        <f t="shared" ca="1" si="39"/>
        <v>0.76122505221798198</v>
      </c>
      <c r="AB131">
        <f t="shared" ca="1" si="40"/>
        <v>107.89589999999997</v>
      </c>
    </row>
    <row r="132" spans="1:28" x14ac:dyDescent="0.25">
      <c r="A132" s="20">
        <f t="shared" ca="1" si="41"/>
        <v>45894</v>
      </c>
      <c r="B132" vm="383">
        <f ca="1"/>
        <v>45897</v>
      </c>
      <c r="C132" vm="384">
        <f ca="1"/>
        <v>113.35</v>
      </c>
      <c r="D132" vm="385">
        <f ca="1"/>
        <v>14189829</v>
      </c>
      <c r="E132">
        <f t="shared" ca="1" si="42"/>
        <v>1608417117.1499999</v>
      </c>
      <c r="F132">
        <f ca="1">SUM($E$2:E132)/SUM($D$2:D132)</f>
        <v>108.81746823085152</v>
      </c>
      <c r="G132">
        <f ca="1">_xlfn.STDEV.P($C$2:C132)</f>
        <v>4.1985640586994304</v>
      </c>
      <c r="H132">
        <f t="shared" ca="1" si="43"/>
        <v>113.01603228955095</v>
      </c>
      <c r="I132">
        <f t="shared" ca="1" si="44"/>
        <v>104.61890417215209</v>
      </c>
      <c r="J132">
        <f t="shared" ca="1" si="32"/>
        <v>108.47250000000001</v>
      </c>
      <c r="K132">
        <f t="shared" ca="1" si="33"/>
        <v>2.4058216125845537</v>
      </c>
      <c r="L132">
        <f t="shared" ca="1" si="34"/>
        <v>113.28414322516912</v>
      </c>
      <c r="M132">
        <f t="shared" ca="1" si="35"/>
        <v>103.6608567748309</v>
      </c>
      <c r="N132">
        <f t="shared" ref="N132:N195" ca="1" si="45">C132-C131</f>
        <v>0.59999999999999432</v>
      </c>
      <c r="O132">
        <f t="shared" ref="O132:O195" ca="1" si="46">MAX(N132,0)</f>
        <v>0.59999999999999432</v>
      </c>
      <c r="P132">
        <f t="shared" ref="P132:P195" ca="1" si="47">MAX(-N132,0)</f>
        <v>0</v>
      </c>
      <c r="Q132">
        <f t="shared" ca="1" si="30"/>
        <v>0.59585055689105715</v>
      </c>
      <c r="R132">
        <f t="shared" ca="1" si="31"/>
        <v>0.31056742751301492</v>
      </c>
      <c r="S132">
        <f t="shared" ca="1" si="28"/>
        <v>1.9185867676547854</v>
      </c>
      <c r="T132">
        <f t="shared" ca="1" si="29"/>
        <v>65.736841848168027</v>
      </c>
      <c r="U132">
        <f>70</f>
        <v>70</v>
      </c>
      <c r="V132">
        <f>30</f>
        <v>30</v>
      </c>
      <c r="W132">
        <f t="shared" ca="1" si="27"/>
        <v>110.36475938274907</v>
      </c>
      <c r="X132">
        <f t="shared" ca="1" si="37"/>
        <v>109.65586089064468</v>
      </c>
      <c r="Y132">
        <f t="shared" ca="1" si="36"/>
        <v>0.96951210033319057</v>
      </c>
      <c r="Z132">
        <f t="shared" ca="1" si="38"/>
        <v>0.15204117197576927</v>
      </c>
      <c r="AA132">
        <f t="shared" ca="1" si="39"/>
        <v>0.8174709283574213</v>
      </c>
      <c r="AB132">
        <f t="shared" ca="1" si="40"/>
        <v>107.98599999999996</v>
      </c>
    </row>
    <row r="133" spans="1:28" x14ac:dyDescent="0.25">
      <c r="A133" s="20">
        <f t="shared" ca="1" si="41"/>
        <v>45894</v>
      </c>
      <c r="B133" vm="386">
        <f ca="1"/>
        <v>45898</v>
      </c>
      <c r="C133" vm="387">
        <f ca="1"/>
        <v>114.29</v>
      </c>
      <c r="D133" vm="388">
        <f ca="1"/>
        <v>14597872</v>
      </c>
      <c r="E133">
        <f t="shared" ca="1" si="42"/>
        <v>1668390790.8800001</v>
      </c>
      <c r="F133">
        <f ca="1">SUM($E$2:E133)/SUM($D$2:D133)</f>
        <v>108.85292195374964</v>
      </c>
      <c r="G133">
        <f ca="1">_xlfn.STDEV.P($C$2:C133)</f>
        <v>4.2074060184441917</v>
      </c>
      <c r="H133">
        <f t="shared" ca="1" si="43"/>
        <v>113.06032797219383</v>
      </c>
      <c r="I133">
        <f t="shared" ca="1" si="44"/>
        <v>104.64551593530545</v>
      </c>
      <c r="J133">
        <f t="shared" ca="1" si="32"/>
        <v>108.705</v>
      </c>
      <c r="K133">
        <f t="shared" ca="1" si="33"/>
        <v>2.7277395692944624</v>
      </c>
      <c r="L133">
        <f t="shared" ca="1" si="34"/>
        <v>114.16047913858893</v>
      </c>
      <c r="M133">
        <f t="shared" ca="1" si="35"/>
        <v>103.24952086141107</v>
      </c>
      <c r="N133">
        <f t="shared" ca="1" si="45"/>
        <v>0.94000000000001194</v>
      </c>
      <c r="O133">
        <f t="shared" ca="1" si="46"/>
        <v>0.94000000000001194</v>
      </c>
      <c r="P133">
        <f t="shared" ca="1" si="47"/>
        <v>0</v>
      </c>
      <c r="Q133">
        <f t="shared" ca="1" si="30"/>
        <v>0.62043265997026809</v>
      </c>
      <c r="R133">
        <f t="shared" ca="1" si="31"/>
        <v>0.28838403983351385</v>
      </c>
      <c r="S133">
        <f t="shared" ca="1" si="28"/>
        <v>2.1514112234798022</v>
      </c>
      <c r="T133">
        <f t="shared" ca="1" si="29"/>
        <v>68.268184343908132</v>
      </c>
      <c r="U133">
        <f>70</f>
        <v>70</v>
      </c>
      <c r="V133">
        <f>30</f>
        <v>30</v>
      </c>
      <c r="W133">
        <f t="shared" ca="1" si="27"/>
        <v>110.96864255463382</v>
      </c>
      <c r="X133">
        <f t="shared" ca="1" si="37"/>
        <v>109.99913045430063</v>
      </c>
      <c r="Y133">
        <f t="shared" ca="1" si="36"/>
        <v>1.1945568121895747</v>
      </c>
      <c r="Z133">
        <f t="shared" ca="1" si="38"/>
        <v>0.36054430001853038</v>
      </c>
      <c r="AA133">
        <f t="shared" ca="1" si="39"/>
        <v>0.83401251217104422</v>
      </c>
      <c r="AB133">
        <f t="shared" ca="1" si="40"/>
        <v>108.09949999999998</v>
      </c>
    </row>
    <row r="134" spans="1:28" x14ac:dyDescent="0.25">
      <c r="A134" s="20">
        <f t="shared" ca="1" si="41"/>
        <v>45901</v>
      </c>
      <c r="B134" vm="389">
        <f ca="1"/>
        <v>45902</v>
      </c>
      <c r="C134" vm="390">
        <f ca="1"/>
        <v>114.69</v>
      </c>
      <c r="D134" vm="391">
        <f ca="1"/>
        <v>15206667</v>
      </c>
      <c r="E134">
        <f t="shared" ca="1" si="42"/>
        <v>1744052638.23</v>
      </c>
      <c r="F134">
        <f ca="1">SUM($E$2:E134)/SUM($D$2:D134)</f>
        <v>108.89205038854644</v>
      </c>
      <c r="G134">
        <f ca="1">_xlfn.STDEV.P($C$2:C134)</f>
        <v>4.2195636083001462</v>
      </c>
      <c r="H134">
        <f t="shared" ca="1" si="43"/>
        <v>113.11161399684659</v>
      </c>
      <c r="I134">
        <f t="shared" ca="1" si="44"/>
        <v>104.67248678024629</v>
      </c>
      <c r="J134">
        <f t="shared" ca="1" si="32"/>
        <v>109.071</v>
      </c>
      <c r="K134">
        <f t="shared" ca="1" si="33"/>
        <v>3.0151335834944022</v>
      </c>
      <c r="L134">
        <f t="shared" ca="1" si="34"/>
        <v>115.10126716698881</v>
      </c>
      <c r="M134">
        <f t="shared" ca="1" si="35"/>
        <v>103.04073283301119</v>
      </c>
      <c r="N134">
        <f t="shared" ca="1" si="45"/>
        <v>0.39999999999999147</v>
      </c>
      <c r="O134">
        <f t="shared" ca="1" si="46"/>
        <v>0.39999999999999147</v>
      </c>
      <c r="P134">
        <f t="shared" ca="1" si="47"/>
        <v>0</v>
      </c>
      <c r="Q134">
        <f t="shared" ca="1" si="30"/>
        <v>0.6046874699723912</v>
      </c>
      <c r="R134">
        <f t="shared" ca="1" si="31"/>
        <v>0.26778517984540573</v>
      </c>
      <c r="S134">
        <f t="shared" ca="1" si="28"/>
        <v>2.2581065551181045</v>
      </c>
      <c r="T134">
        <f t="shared" ca="1" si="29"/>
        <v>69.307326722352997</v>
      </c>
      <c r="U134">
        <f>70</f>
        <v>70</v>
      </c>
      <c r="V134">
        <f>30</f>
        <v>30</v>
      </c>
      <c r="W134">
        <f t="shared" ca="1" si="27"/>
        <v>111.54115908469015</v>
      </c>
      <c r="X134">
        <f t="shared" ca="1" si="37"/>
        <v>110.34660227250058</v>
      </c>
      <c r="Y134">
        <f t="shared" ca="1" si="36"/>
        <v>1.1354943293170692</v>
      </c>
      <c r="Z134">
        <f t="shared" ca="1" si="38"/>
        <v>0.51553430587823812</v>
      </c>
      <c r="AA134">
        <f t="shared" ca="1" si="39"/>
        <v>0.61996002343883105</v>
      </c>
      <c r="AB134">
        <f t="shared" ca="1" si="40"/>
        <v>108.23869999999997</v>
      </c>
    </row>
    <row r="135" spans="1:28" x14ac:dyDescent="0.25">
      <c r="A135" s="20">
        <f t="shared" ca="1" si="41"/>
        <v>45901</v>
      </c>
      <c r="B135" vm="392">
        <f ca="1"/>
        <v>45903</v>
      </c>
      <c r="C135" vm="393">
        <f ca="1"/>
        <v>111.91</v>
      </c>
      <c r="D135" vm="394">
        <f ca="1"/>
        <v>14920087</v>
      </c>
      <c r="E135">
        <f t="shared" ca="1" si="42"/>
        <v>1669706936.1699998</v>
      </c>
      <c r="F135">
        <f ca="1">SUM($E$2:E135)/SUM($D$2:D135)</f>
        <v>108.91177004001888</v>
      </c>
      <c r="G135">
        <f ca="1">_xlfn.STDEV.P($C$2:C135)</f>
        <v>4.2106715379644326</v>
      </c>
      <c r="H135">
        <f t="shared" ca="1" si="43"/>
        <v>113.12244157798331</v>
      </c>
      <c r="I135">
        <f t="shared" ca="1" si="44"/>
        <v>104.70109850205445</v>
      </c>
      <c r="J135">
        <f t="shared" ca="1" si="32"/>
        <v>109.30449999999999</v>
      </c>
      <c r="K135">
        <f t="shared" ca="1" si="33"/>
        <v>3.0465381129544751</v>
      </c>
      <c r="L135">
        <f t="shared" ca="1" si="34"/>
        <v>115.39757622590894</v>
      </c>
      <c r="M135">
        <f t="shared" ca="1" si="35"/>
        <v>103.21142377409105</v>
      </c>
      <c r="N135">
        <f t="shared" ca="1" si="45"/>
        <v>-2.7800000000000011</v>
      </c>
      <c r="O135">
        <f t="shared" ca="1" si="46"/>
        <v>0</v>
      </c>
      <c r="P135">
        <f t="shared" ca="1" si="47"/>
        <v>2.7800000000000011</v>
      </c>
      <c r="Q135">
        <f t="shared" ca="1" si="30"/>
        <v>0.56149550783150615</v>
      </c>
      <c r="R135">
        <f t="shared" ca="1" si="31"/>
        <v>0.44722909557073398</v>
      </c>
      <c r="S135">
        <f t="shared" ca="1" si="28"/>
        <v>1.2554986099796357</v>
      </c>
      <c r="T135">
        <f t="shared" ca="1" si="29"/>
        <v>55.663905285712914</v>
      </c>
      <c r="U135">
        <f>70</f>
        <v>70</v>
      </c>
      <c r="V135">
        <f>30</f>
        <v>30</v>
      </c>
      <c r="W135">
        <f t="shared" ca="1" si="27"/>
        <v>111.59790384089168</v>
      </c>
      <c r="X135">
        <f t="shared" ca="1" si="37"/>
        <v>110.46240951157461</v>
      </c>
      <c r="Y135">
        <f t="shared" ca="1" si="36"/>
        <v>1.1153685170457948</v>
      </c>
      <c r="Z135">
        <f t="shared" ca="1" si="38"/>
        <v>0.63550114811174951</v>
      </c>
      <c r="AA135">
        <f t="shared" ca="1" si="39"/>
        <v>0.47986736893404525</v>
      </c>
      <c r="AB135">
        <f t="shared" ca="1" si="40"/>
        <v>108.29979999999999</v>
      </c>
    </row>
    <row r="136" spans="1:28" x14ac:dyDescent="0.25">
      <c r="A136" s="20">
        <f t="shared" ca="1" si="41"/>
        <v>45901</v>
      </c>
      <c r="B136" vm="395">
        <f ca="1"/>
        <v>45904</v>
      </c>
      <c r="C136" vm="396">
        <f ca="1"/>
        <v>112.4</v>
      </c>
      <c r="D136" vm="397">
        <f ca="1"/>
        <v>12864438</v>
      </c>
      <c r="E136">
        <f t="shared" ca="1" si="42"/>
        <v>1445962831.2</v>
      </c>
      <c r="F136">
        <f ca="1">SUM($E$2:E136)/SUM($D$2:D136)</f>
        <v>108.93131217144015</v>
      </c>
      <c r="G136">
        <f ca="1">_xlfn.STDEV.P($C$2:C136)</f>
        <v>4.2043803038460972</v>
      </c>
      <c r="H136">
        <f t="shared" ca="1" si="43"/>
        <v>113.13569247528625</v>
      </c>
      <c r="I136">
        <f t="shared" ca="1" si="44"/>
        <v>104.72693186759406</v>
      </c>
      <c r="J136">
        <f t="shared" ca="1" si="32"/>
        <v>109.599</v>
      </c>
      <c r="K136">
        <f t="shared" ca="1" si="33"/>
        <v>3.0468687982393035</v>
      </c>
      <c r="L136">
        <f t="shared" ca="1" si="34"/>
        <v>115.69273759647861</v>
      </c>
      <c r="M136">
        <f t="shared" ca="1" si="35"/>
        <v>103.5052624035214</v>
      </c>
      <c r="N136">
        <f t="shared" ca="1" si="45"/>
        <v>0.49000000000000909</v>
      </c>
      <c r="O136">
        <f t="shared" ca="1" si="46"/>
        <v>0.49000000000000909</v>
      </c>
      <c r="P136">
        <f t="shared" ca="1" si="47"/>
        <v>0</v>
      </c>
      <c r="Q136">
        <f t="shared" ca="1" si="30"/>
        <v>0.55638868584354206</v>
      </c>
      <c r="R136">
        <f t="shared" ca="1" si="31"/>
        <v>0.41528416017282443</v>
      </c>
      <c r="S136">
        <f t="shared" ca="1" si="28"/>
        <v>1.3397782511425325</v>
      </c>
      <c r="T136">
        <f t="shared" ca="1" si="29"/>
        <v>57.260907117514577</v>
      </c>
      <c r="U136">
        <f>70</f>
        <v>70</v>
      </c>
      <c r="V136">
        <f>30</f>
        <v>30</v>
      </c>
      <c r="W136">
        <f t="shared" ca="1" si="27"/>
        <v>111.72130324998525</v>
      </c>
      <c r="X136">
        <f t="shared" ca="1" si="37"/>
        <v>110.60593473293946</v>
      </c>
      <c r="Y136">
        <f t="shared" ca="1" si="36"/>
        <v>0.8340121852999971</v>
      </c>
      <c r="Z136">
        <f t="shared" ca="1" si="38"/>
        <v>0.67520335554939903</v>
      </c>
      <c r="AA136">
        <f t="shared" ca="1" si="39"/>
        <v>0.15880882975059807</v>
      </c>
      <c r="AB136">
        <f t="shared" ca="1" si="40"/>
        <v>108.42449999999999</v>
      </c>
    </row>
    <row r="137" spans="1:28" x14ac:dyDescent="0.25">
      <c r="A137" s="20">
        <f t="shared" ca="1" si="41"/>
        <v>45901</v>
      </c>
      <c r="B137" vm="398">
        <f ca="1"/>
        <v>45905</v>
      </c>
      <c r="C137" vm="370">
        <f ca="1"/>
        <v>109.23</v>
      </c>
      <c r="D137" vm="399">
        <f ca="1"/>
        <v>16826692</v>
      </c>
      <c r="E137">
        <f t="shared" ca="1" si="42"/>
        <v>1837979567.1600001</v>
      </c>
      <c r="F137">
        <f ca="1">SUM($E$2:E137)/SUM($D$2:D137)</f>
        <v>108.93348497991474</v>
      </c>
      <c r="G137">
        <f ca="1">_xlfn.STDEV.P($C$2:C137)</f>
        <v>4.1888989006400905</v>
      </c>
      <c r="H137">
        <f t="shared" ca="1" si="43"/>
        <v>113.12238388055482</v>
      </c>
      <c r="I137">
        <f t="shared" ca="1" si="44"/>
        <v>104.74458607927465</v>
      </c>
      <c r="J137">
        <f t="shared" ca="1" si="32"/>
        <v>109.76299999999999</v>
      </c>
      <c r="K137">
        <f t="shared" ca="1" si="33"/>
        <v>2.925997985393415</v>
      </c>
      <c r="L137">
        <f t="shared" ca="1" si="34"/>
        <v>115.61499597078682</v>
      </c>
      <c r="M137">
        <f t="shared" ca="1" si="35"/>
        <v>103.91100402921316</v>
      </c>
      <c r="N137">
        <f t="shared" ca="1" si="45"/>
        <v>-3.1700000000000017</v>
      </c>
      <c r="O137">
        <f t="shared" ca="1" si="46"/>
        <v>0</v>
      </c>
      <c r="P137">
        <f t="shared" ca="1" si="47"/>
        <v>3.1700000000000017</v>
      </c>
      <c r="Q137">
        <f t="shared" ca="1" si="30"/>
        <v>0.51664663685471768</v>
      </c>
      <c r="R137">
        <f t="shared" ca="1" si="31"/>
        <v>0.61204957730333709</v>
      </c>
      <c r="S137">
        <f t="shared" ca="1" si="28"/>
        <v>0.84412546959192347</v>
      </c>
      <c r="T137">
        <f t="shared" ca="1" si="29"/>
        <v>45.77375474233407</v>
      </c>
      <c r="U137">
        <f>70</f>
        <v>70</v>
      </c>
      <c r="V137">
        <f>30</f>
        <v>30</v>
      </c>
      <c r="W137">
        <f t="shared" ca="1" si="27"/>
        <v>111.33802582691061</v>
      </c>
      <c r="X137">
        <f t="shared" ca="1" si="37"/>
        <v>110.50401364161061</v>
      </c>
      <c r="Y137">
        <f t="shared" ca="1" si="36"/>
        <v>0.65353058994017488</v>
      </c>
      <c r="Z137">
        <f t="shared" ca="1" si="38"/>
        <v>0.6708688024275542</v>
      </c>
      <c r="AA137">
        <f t="shared" ca="1" si="39"/>
        <v>-1.7338212487379323E-2</v>
      </c>
      <c r="AB137">
        <f t="shared" ca="1" si="40"/>
        <v>108.48539999999997</v>
      </c>
    </row>
    <row r="138" spans="1:28" x14ac:dyDescent="0.25">
      <c r="A138" s="20">
        <f t="shared" ca="1" si="41"/>
        <v>45908</v>
      </c>
      <c r="B138" vm="400">
        <f ca="1"/>
        <v>45908</v>
      </c>
      <c r="C138" vm="401">
        <f ca="1"/>
        <v>109.85</v>
      </c>
      <c r="D138" vm="402">
        <f ca="1"/>
        <v>15440513</v>
      </c>
      <c r="E138">
        <f t="shared" ca="1" si="42"/>
        <v>1696140353.05</v>
      </c>
      <c r="F138">
        <f ca="1">SUM($E$2:E138)/SUM($D$2:D138)</f>
        <v>108.93956236982567</v>
      </c>
      <c r="G138">
        <f ca="1">_xlfn.STDEV.P($C$2:C138)</f>
        <v>4.1739968366558502</v>
      </c>
      <c r="H138">
        <f t="shared" ca="1" si="43"/>
        <v>113.11355920648151</v>
      </c>
      <c r="I138">
        <f t="shared" ca="1" si="44"/>
        <v>104.76556553316982</v>
      </c>
      <c r="J138">
        <f t="shared" ca="1" si="32"/>
        <v>109.91549999999999</v>
      </c>
      <c r="K138">
        <f t="shared" ca="1" si="33"/>
        <v>2.8417090391449125</v>
      </c>
      <c r="L138">
        <f t="shared" ca="1" si="34"/>
        <v>115.59891807828981</v>
      </c>
      <c r="M138">
        <f t="shared" ca="1" si="35"/>
        <v>104.23208192171018</v>
      </c>
      <c r="N138">
        <f t="shared" ca="1" si="45"/>
        <v>0.61999999999999034</v>
      </c>
      <c r="O138">
        <f t="shared" ca="1" si="46"/>
        <v>0.61999999999999034</v>
      </c>
      <c r="P138">
        <f t="shared" ca="1" si="47"/>
        <v>0</v>
      </c>
      <c r="Q138">
        <f t="shared" ca="1" si="30"/>
        <v>0.52402901993652284</v>
      </c>
      <c r="R138">
        <f t="shared" ca="1" si="31"/>
        <v>0.56833175035309869</v>
      </c>
      <c r="S138">
        <f t="shared" ca="1" si="28"/>
        <v>0.92204776455116044</v>
      </c>
      <c r="T138">
        <f t="shared" ca="1" si="29"/>
        <v>47.972156652749909</v>
      </c>
      <c r="U138">
        <f>70</f>
        <v>70</v>
      </c>
      <c r="V138">
        <f>30</f>
        <v>30</v>
      </c>
      <c r="W138">
        <f t="shared" ca="1" si="27"/>
        <v>111.10909877661666</v>
      </c>
      <c r="X138">
        <f t="shared" ca="1" si="37"/>
        <v>110.45556818667649</v>
      </c>
      <c r="Y138">
        <f t="shared" ca="1" si="36"/>
        <v>0.56849765237976158</v>
      </c>
      <c r="Z138">
        <f t="shared" ca="1" si="38"/>
        <v>0.65039457241799581</v>
      </c>
      <c r="AA138">
        <f t="shared" ca="1" si="39"/>
        <v>-8.1896920038234233E-2</v>
      </c>
      <c r="AB138">
        <f t="shared" ca="1" si="40"/>
        <v>108.54999999999998</v>
      </c>
    </row>
    <row r="139" spans="1:28" x14ac:dyDescent="0.25">
      <c r="A139" s="20">
        <f t="shared" ca="1" si="41"/>
        <v>45908</v>
      </c>
      <c r="B139" vm="403">
        <f ca="1"/>
        <v>45909</v>
      </c>
      <c r="C139" vm="404">
        <f ca="1"/>
        <v>110.65</v>
      </c>
      <c r="D139" vm="405">
        <f ca="1"/>
        <v>14899502</v>
      </c>
      <c r="E139">
        <f t="shared" ca="1" si="42"/>
        <v>1648629896.3000002</v>
      </c>
      <c r="F139">
        <f ca="1">SUM($E$2:E139)/SUM($D$2:D139)</f>
        <v>108.9504372565907</v>
      </c>
      <c r="G139">
        <f ca="1">_xlfn.STDEV.P($C$2:C139)</f>
        <v>4.160754215358283</v>
      </c>
      <c r="H139">
        <f t="shared" ca="1" si="43"/>
        <v>113.11119147194898</v>
      </c>
      <c r="I139">
        <f t="shared" ca="1" si="44"/>
        <v>104.78968304123242</v>
      </c>
      <c r="J139">
        <f t="shared" ca="1" si="32"/>
        <v>110.15650000000001</v>
      </c>
      <c r="K139">
        <f t="shared" ca="1" si="33"/>
        <v>2.6765792681980058</v>
      </c>
      <c r="L139">
        <f t="shared" ca="1" si="34"/>
        <v>115.50965853639602</v>
      </c>
      <c r="M139">
        <f t="shared" ca="1" si="35"/>
        <v>104.803341463604</v>
      </c>
      <c r="N139">
        <f t="shared" ca="1" si="45"/>
        <v>0.80000000000001137</v>
      </c>
      <c r="O139">
        <f t="shared" ca="1" si="46"/>
        <v>0.80000000000001137</v>
      </c>
      <c r="P139">
        <f t="shared" ca="1" si="47"/>
        <v>0</v>
      </c>
      <c r="Q139">
        <f t="shared" ca="1" si="30"/>
        <v>0.54374123279820064</v>
      </c>
      <c r="R139">
        <f t="shared" ca="1" si="31"/>
        <v>0.52773662532787735</v>
      </c>
      <c r="S139">
        <f t="shared" ca="1" si="28"/>
        <v>1.030326884097498</v>
      </c>
      <c r="T139">
        <f t="shared" ca="1" si="29"/>
        <v>50.746847326286044</v>
      </c>
      <c r="U139">
        <f>70</f>
        <v>70</v>
      </c>
      <c r="V139">
        <f>30</f>
        <v>30</v>
      </c>
      <c r="W139">
        <f t="shared" ca="1" si="27"/>
        <v>111.03846819559872</v>
      </c>
      <c r="X139">
        <f t="shared" ca="1" si="37"/>
        <v>110.46997054321896</v>
      </c>
      <c r="Y139">
        <f t="shared" ca="1" si="36"/>
        <v>0.64297614685658289</v>
      </c>
      <c r="Z139">
        <f t="shared" ca="1" si="38"/>
        <v>0.64891088730571334</v>
      </c>
      <c r="AA139">
        <f t="shared" ca="1" si="39"/>
        <v>-5.934740449130449E-3</v>
      </c>
      <c r="AB139">
        <f t="shared" ca="1" si="40"/>
        <v>108.62549999999997</v>
      </c>
    </row>
    <row r="140" spans="1:28" x14ac:dyDescent="0.25">
      <c r="A140" s="20">
        <f t="shared" ca="1" si="41"/>
        <v>45908</v>
      </c>
      <c r="B140" vm="406">
        <f ca="1"/>
        <v>45910</v>
      </c>
      <c r="C140" vm="407">
        <f ca="1"/>
        <v>112.5</v>
      </c>
      <c r="D140" vm="408">
        <f ca="1"/>
        <v>15837583</v>
      </c>
      <c r="E140">
        <f t="shared" ca="1" si="42"/>
        <v>1781728087.5</v>
      </c>
      <c r="F140">
        <f ca="1">SUM($E$2:E140)/SUM($D$2:D140)</f>
        <v>108.97426507652655</v>
      </c>
      <c r="G140">
        <f ca="1">_xlfn.STDEV.P($C$2:C140)</f>
        <v>4.1552714314112444</v>
      </c>
      <c r="H140">
        <f t="shared" ca="1" si="43"/>
        <v>113.1295365079378</v>
      </c>
      <c r="I140">
        <f t="shared" ca="1" si="44"/>
        <v>104.8189936451153</v>
      </c>
      <c r="J140">
        <f t="shared" ca="1" si="32"/>
        <v>110.47499999999999</v>
      </c>
      <c r="K140">
        <f t="shared" ca="1" si="33"/>
        <v>2.5481458687486982</v>
      </c>
      <c r="L140">
        <f t="shared" ca="1" si="34"/>
        <v>115.57129173749739</v>
      </c>
      <c r="M140">
        <f t="shared" ca="1" si="35"/>
        <v>105.3787082625026</v>
      </c>
      <c r="N140">
        <f t="shared" ca="1" si="45"/>
        <v>1.8499999999999943</v>
      </c>
      <c r="O140">
        <f t="shared" ca="1" si="46"/>
        <v>1.8499999999999943</v>
      </c>
      <c r="P140">
        <f t="shared" ca="1" si="47"/>
        <v>0</v>
      </c>
      <c r="Q140">
        <f t="shared" ca="1" si="30"/>
        <v>0.63704543045547168</v>
      </c>
      <c r="R140">
        <f t="shared" ca="1" si="31"/>
        <v>0.49004115209017179</v>
      </c>
      <c r="S140">
        <f t="shared" ca="1" si="28"/>
        <v>1.2999835375830842</v>
      </c>
      <c r="T140">
        <f t="shared" ca="1" si="29"/>
        <v>56.521427929399849</v>
      </c>
      <c r="U140">
        <f>70</f>
        <v>70</v>
      </c>
      <c r="V140">
        <f>30</f>
        <v>30</v>
      </c>
      <c r="W140">
        <f t="shared" ca="1" si="27"/>
        <v>111.26331924242969</v>
      </c>
      <c r="X140">
        <f t="shared" ca="1" si="37"/>
        <v>110.62034309557311</v>
      </c>
      <c r="Y140">
        <f t="shared" ca="1" si="36"/>
        <v>0.66528293145400141</v>
      </c>
      <c r="Z140">
        <f t="shared" ca="1" si="38"/>
        <v>0.65218529613537102</v>
      </c>
      <c r="AA140">
        <f t="shared" ca="1" si="39"/>
        <v>1.3097635318630396E-2</v>
      </c>
      <c r="AB140">
        <f t="shared" ca="1" si="40"/>
        <v>108.70859999999998</v>
      </c>
    </row>
    <row r="141" spans="1:28" x14ac:dyDescent="0.25">
      <c r="A141" s="20">
        <f t="shared" ca="1" si="41"/>
        <v>45908</v>
      </c>
      <c r="B141" vm="409">
        <f ca="1"/>
        <v>45911</v>
      </c>
      <c r="C141" vm="410">
        <f ca="1"/>
        <v>112.14</v>
      </c>
      <c r="D141" vm="411">
        <f ca="1"/>
        <v>11534502</v>
      </c>
      <c r="E141">
        <f t="shared" ca="1" si="42"/>
        <v>1293479054.28</v>
      </c>
      <c r="F141">
        <f ca="1">SUM($E$2:E141)/SUM($D$2:D141)</f>
        <v>108.98966703170088</v>
      </c>
      <c r="G141">
        <f ca="1">_xlfn.STDEV.P($C$2:C141)</f>
        <v>4.1478044911662337</v>
      </c>
      <c r="H141">
        <f t="shared" ca="1" si="43"/>
        <v>113.13747152286712</v>
      </c>
      <c r="I141">
        <f t="shared" ca="1" si="44"/>
        <v>104.84186254053463</v>
      </c>
      <c r="J141">
        <f t="shared" ca="1" si="32"/>
        <v>110.70200000000003</v>
      </c>
      <c r="K141">
        <f t="shared" ca="1" si="33"/>
        <v>2.4798548344610825</v>
      </c>
      <c r="L141">
        <f t="shared" ca="1" si="34"/>
        <v>115.66170966892219</v>
      </c>
      <c r="M141">
        <f t="shared" ca="1" si="35"/>
        <v>105.74229033107787</v>
      </c>
      <c r="N141">
        <f t="shared" ca="1" si="45"/>
        <v>-0.35999999999999943</v>
      </c>
      <c r="O141">
        <f t="shared" ca="1" si="46"/>
        <v>0</v>
      </c>
      <c r="P141">
        <f t="shared" ca="1" si="47"/>
        <v>0.35999999999999943</v>
      </c>
      <c r="Q141">
        <f t="shared" ca="1" si="30"/>
        <v>0.59154218542293802</v>
      </c>
      <c r="R141">
        <f t="shared" ca="1" si="31"/>
        <v>0.48075249836944517</v>
      </c>
      <c r="S141">
        <f t="shared" ca="1" si="28"/>
        <v>1.2304505695326704</v>
      </c>
      <c r="T141">
        <f t="shared" ca="1" si="29"/>
        <v>55.166009340905383</v>
      </c>
      <c r="U141">
        <f>70</f>
        <v>70</v>
      </c>
      <c r="V141">
        <f>30</f>
        <v>30</v>
      </c>
      <c r="W141">
        <f t="shared" ca="1" si="27"/>
        <v>111.39819320513281</v>
      </c>
      <c r="X141">
        <f t="shared" ca="1" si="37"/>
        <v>110.73291027367881</v>
      </c>
      <c r="Y141">
        <f t="shared" ca="1" si="36"/>
        <v>0.67677362672031904</v>
      </c>
      <c r="Z141">
        <f t="shared" ca="1" si="38"/>
        <v>0.65710296225236065</v>
      </c>
      <c r="AA141">
        <f t="shared" ca="1" si="39"/>
        <v>1.9670664467958399E-2</v>
      </c>
      <c r="AB141">
        <f t="shared" ca="1" si="40"/>
        <v>108.76079999999996</v>
      </c>
    </row>
    <row r="142" spans="1:28" x14ac:dyDescent="0.25">
      <c r="A142" s="20">
        <f t="shared" ca="1" si="41"/>
        <v>45908</v>
      </c>
      <c r="B142" vm="412">
        <f ca="1"/>
        <v>45912</v>
      </c>
      <c r="C142" vm="413">
        <f ca="1"/>
        <v>112.16</v>
      </c>
      <c r="D142" vm="414">
        <f ca="1"/>
        <v>11105690</v>
      </c>
      <c r="E142">
        <f t="shared" ca="1" si="42"/>
        <v>1245614190.3999999</v>
      </c>
      <c r="F142">
        <f ca="1">SUM($E$2:E142)/SUM($D$2:D142)</f>
        <v>109.00444869316256</v>
      </c>
      <c r="G142">
        <f ca="1">_xlfn.STDEV.P($C$2:C142)</f>
        <v>4.1404256303164146</v>
      </c>
      <c r="H142">
        <f t="shared" ca="1" si="43"/>
        <v>113.14487432347897</v>
      </c>
      <c r="I142">
        <f t="shared" ca="1" si="44"/>
        <v>104.86402306284614</v>
      </c>
      <c r="J142">
        <f t="shared" ca="1" si="32"/>
        <v>110.941</v>
      </c>
      <c r="K142">
        <f t="shared" ca="1" si="33"/>
        <v>2.3707824602194552</v>
      </c>
      <c r="L142">
        <f t="shared" ca="1" si="34"/>
        <v>115.68256492043891</v>
      </c>
      <c r="M142">
        <f t="shared" ca="1" si="35"/>
        <v>106.1994350795611</v>
      </c>
      <c r="N142">
        <f t="shared" ca="1" si="45"/>
        <v>1.9999999999996021E-2</v>
      </c>
      <c r="O142">
        <f t="shared" ca="1" si="46"/>
        <v>1.9999999999996021E-2</v>
      </c>
      <c r="P142">
        <f t="shared" ca="1" si="47"/>
        <v>0</v>
      </c>
      <c r="Q142">
        <f t="shared" ca="1" si="30"/>
        <v>0.55071774360701364</v>
      </c>
      <c r="R142">
        <f t="shared" ca="1" si="31"/>
        <v>0.44641303420019912</v>
      </c>
      <c r="S142">
        <f t="shared" ca="1" si="28"/>
        <v>1.233650680907399</v>
      </c>
      <c r="T142">
        <f t="shared" ca="1" si="29"/>
        <v>55.230242197326945</v>
      </c>
      <c r="U142">
        <f>70</f>
        <v>70</v>
      </c>
      <c r="V142">
        <f>30</f>
        <v>30</v>
      </c>
      <c r="W142">
        <f t="shared" ca="1" si="27"/>
        <v>111.515394250497</v>
      </c>
      <c r="X142">
        <f t="shared" ca="1" si="37"/>
        <v>110.83862062377668</v>
      </c>
      <c r="Y142">
        <f t="shared" ca="1" si="36"/>
        <v>0.69322048339085995</v>
      </c>
      <c r="Z142">
        <f t="shared" ca="1" si="38"/>
        <v>0.66432646648006055</v>
      </c>
      <c r="AA142">
        <f t="shared" ca="1" si="39"/>
        <v>2.8894016910799403E-2</v>
      </c>
      <c r="AB142">
        <f t="shared" ca="1" si="40"/>
        <v>108.82889999999996</v>
      </c>
    </row>
    <row r="143" spans="1:28" x14ac:dyDescent="0.25">
      <c r="A143" s="20">
        <f t="shared" ca="1" si="41"/>
        <v>45915</v>
      </c>
      <c r="B143" vm="415">
        <f ca="1"/>
        <v>45915</v>
      </c>
      <c r="C143" vm="416">
        <f ca="1"/>
        <v>112.35</v>
      </c>
      <c r="D143" vm="417">
        <f ca="1"/>
        <v>12880487</v>
      </c>
      <c r="E143">
        <f t="shared" ca="1" si="42"/>
        <v>1447122714.4499998</v>
      </c>
      <c r="F143">
        <f ca="1">SUM($E$2:E143)/SUM($D$2:D143)</f>
        <v>109.02244281428435</v>
      </c>
      <c r="G143">
        <f ca="1">_xlfn.STDEV.P($C$2:C143)</f>
        <v>4.1340035822351391</v>
      </c>
      <c r="H143">
        <f t="shared" ca="1" si="43"/>
        <v>113.15644639651948</v>
      </c>
      <c r="I143">
        <f t="shared" ca="1" si="44"/>
        <v>104.88843923204921</v>
      </c>
      <c r="J143">
        <f t="shared" ca="1" si="32"/>
        <v>111.23400000000001</v>
      </c>
      <c r="K143">
        <f t="shared" ca="1" si="33"/>
        <v>2.1429011323805613</v>
      </c>
      <c r="L143">
        <f t="shared" ca="1" si="34"/>
        <v>115.51980226476113</v>
      </c>
      <c r="M143">
        <f t="shared" ca="1" si="35"/>
        <v>106.94819773523889</v>
      </c>
      <c r="N143">
        <f t="shared" ca="1" si="45"/>
        <v>0.18999999999999773</v>
      </c>
      <c r="O143">
        <f t="shared" ca="1" si="46"/>
        <v>0.18999999999999773</v>
      </c>
      <c r="P143">
        <f t="shared" ca="1" si="47"/>
        <v>0</v>
      </c>
      <c r="Q143">
        <f t="shared" ca="1" si="30"/>
        <v>0.52495219049222686</v>
      </c>
      <c r="R143">
        <f t="shared" ca="1" si="31"/>
        <v>0.41452638890018489</v>
      </c>
      <c r="S143">
        <f t="shared" ca="1" si="28"/>
        <v>1.2663902818950128</v>
      </c>
      <c r="T143">
        <f t="shared" ca="1" si="29"/>
        <v>55.876972823768767</v>
      </c>
      <c r="U143">
        <f>70</f>
        <v>70</v>
      </c>
      <c r="V143">
        <f>30</f>
        <v>30</v>
      </c>
      <c r="W143">
        <f t="shared" ref="W143:W206" ca="1" si="48">C143*(2/(12+1)) + W142*(1-(2/(12+1)))</f>
        <v>111.64379513503593</v>
      </c>
      <c r="X143">
        <f t="shared" ca="1" si="37"/>
        <v>110.95057465164507</v>
      </c>
      <c r="Y143">
        <f t="shared" ca="1" si="36"/>
        <v>0.8840751946467833</v>
      </c>
      <c r="Z143">
        <f t="shared" ca="1" si="38"/>
        <v>0.70827621211340519</v>
      </c>
      <c r="AA143">
        <f t="shared" ca="1" si="39"/>
        <v>0.17579898253337811</v>
      </c>
      <c r="AB143">
        <f t="shared" ca="1" si="40"/>
        <v>108.86939999999997</v>
      </c>
    </row>
    <row r="144" spans="1:28" x14ac:dyDescent="0.25">
      <c r="A144" s="20">
        <f t="shared" ca="1" si="41"/>
        <v>45915</v>
      </c>
      <c r="B144" vm="418">
        <f ca="1"/>
        <v>45916</v>
      </c>
      <c r="C144" vm="419">
        <f ca="1"/>
        <v>114.68</v>
      </c>
      <c r="D144" vm="420">
        <f ca="1"/>
        <v>17208044</v>
      </c>
      <c r="E144">
        <f t="shared" ca="1" si="42"/>
        <v>1973418485.9200001</v>
      </c>
      <c r="F144">
        <f ca="1">SUM($E$2:E144)/SUM($D$2:D144)</f>
        <v>109.06280564531552</v>
      </c>
      <c r="G144">
        <f ca="1">_xlfn.STDEV.P($C$2:C144)</f>
        <v>4.1441821207151648</v>
      </c>
      <c r="H144">
        <f t="shared" ca="1" si="43"/>
        <v>113.20698776603069</v>
      </c>
      <c r="I144">
        <f t="shared" ca="1" si="44"/>
        <v>104.91862352460035</v>
      </c>
      <c r="J144">
        <f t="shared" ca="1" si="32"/>
        <v>111.63200000000002</v>
      </c>
      <c r="K144">
        <f t="shared" ca="1" si="33"/>
        <v>1.9944544168901506</v>
      </c>
      <c r="L144">
        <f t="shared" ca="1" si="34"/>
        <v>115.62090883378032</v>
      </c>
      <c r="M144">
        <f t="shared" ca="1" si="35"/>
        <v>107.64309116621972</v>
      </c>
      <c r="N144">
        <f t="shared" ca="1" si="45"/>
        <v>2.3300000000000125</v>
      </c>
      <c r="O144">
        <f t="shared" ca="1" si="46"/>
        <v>2.3300000000000125</v>
      </c>
      <c r="P144">
        <f t="shared" ca="1" si="47"/>
        <v>0</v>
      </c>
      <c r="Q144">
        <f t="shared" ca="1" si="30"/>
        <v>0.65388417688564004</v>
      </c>
      <c r="R144">
        <f t="shared" ca="1" si="31"/>
        <v>0.3849173611216003</v>
      </c>
      <c r="S144">
        <f t="shared" ref="S144:S207" ca="1" si="49">IF(R144=0,NA(),Q144/R144)</f>
        <v>1.6987650933184844</v>
      </c>
      <c r="T144">
        <f t="shared" ref="T144:T207" ca="1" si="50">100-(100/(1+S144))</f>
        <v>62.946015476642714</v>
      </c>
      <c r="U144">
        <f>70</f>
        <v>70</v>
      </c>
      <c r="V144">
        <f>30</f>
        <v>30</v>
      </c>
      <c r="W144">
        <f t="shared" ca="1" si="48"/>
        <v>112.11090357579963</v>
      </c>
      <c r="X144">
        <f t="shared" ca="1" si="37"/>
        <v>111.22682838115284</v>
      </c>
      <c r="Y144">
        <f t="shared" ca="1" si="36"/>
        <v>1.0721912767458974</v>
      </c>
      <c r="Z144">
        <f t="shared" ca="1" si="38"/>
        <v>0.78105922503990366</v>
      </c>
      <c r="AA144">
        <f t="shared" ca="1" si="39"/>
        <v>0.29113205170599377</v>
      </c>
      <c r="AB144">
        <f t="shared" ca="1" si="40"/>
        <v>108.94249999999998</v>
      </c>
    </row>
    <row r="145" spans="1:28" x14ac:dyDescent="0.25">
      <c r="A145" s="20">
        <f t="shared" ca="1" si="41"/>
        <v>45915</v>
      </c>
      <c r="B145" vm="421">
        <f ca="1"/>
        <v>45917</v>
      </c>
      <c r="C145" vm="422">
        <f ca="1"/>
        <v>115.29</v>
      </c>
      <c r="D145" vm="423">
        <f ca="1"/>
        <v>13302030</v>
      </c>
      <c r="E145">
        <f t="shared" ca="1" si="42"/>
        <v>1533591038.7</v>
      </c>
      <c r="F145">
        <f ca="1">SUM($E$2:E145)/SUM($D$2:D145)</f>
        <v>109.09695975625004</v>
      </c>
      <c r="G145">
        <f ca="1">_xlfn.STDEV.P($C$2:C145)</f>
        <v>4.1596090639171761</v>
      </c>
      <c r="H145">
        <f t="shared" ca="1" si="43"/>
        <v>113.25656882016722</v>
      </c>
      <c r="I145">
        <f t="shared" ca="1" si="44"/>
        <v>104.93735069233287</v>
      </c>
      <c r="J145">
        <f t="shared" ca="1" si="32"/>
        <v>112.02550000000001</v>
      </c>
      <c r="K145">
        <f t="shared" ca="1" si="33"/>
        <v>1.893511010627724</v>
      </c>
      <c r="L145">
        <f t="shared" ca="1" si="34"/>
        <v>115.81252202125546</v>
      </c>
      <c r="M145">
        <f t="shared" ca="1" si="35"/>
        <v>108.23847797874456</v>
      </c>
      <c r="N145">
        <f t="shared" ca="1" si="45"/>
        <v>0.60999999999999943</v>
      </c>
      <c r="O145">
        <f t="shared" ca="1" si="46"/>
        <v>0.60999999999999943</v>
      </c>
      <c r="P145">
        <f t="shared" ca="1" si="47"/>
        <v>0</v>
      </c>
      <c r="Q145">
        <f t="shared" ref="Q145:Q208" ca="1" si="51">(Q144*13+O145)/14</f>
        <v>0.65074959282237999</v>
      </c>
      <c r="R145">
        <f t="shared" ref="R145:R208" ca="1" si="52">(R144*13+P145)/14</f>
        <v>0.35742326389862888</v>
      </c>
      <c r="S145">
        <f t="shared" ca="1" si="49"/>
        <v>1.8206693815177719</v>
      </c>
      <c r="T145">
        <f t="shared" ca="1" si="50"/>
        <v>64.547422446869305</v>
      </c>
      <c r="U145">
        <f>70</f>
        <v>70</v>
      </c>
      <c r="V145">
        <f>30</f>
        <v>30</v>
      </c>
      <c r="W145">
        <f t="shared" ca="1" si="48"/>
        <v>112.59999533336891</v>
      </c>
      <c r="X145">
        <f t="shared" ca="1" si="37"/>
        <v>111.52780405662301</v>
      </c>
      <c r="Y145">
        <f t="shared" ca="1" si="36"/>
        <v>1.0988669390543748</v>
      </c>
      <c r="Z145">
        <f t="shared" ca="1" si="38"/>
        <v>0.84462076784279794</v>
      </c>
      <c r="AA145">
        <f t="shared" ca="1" si="39"/>
        <v>0.25424617121157689</v>
      </c>
      <c r="AB145">
        <f t="shared" ca="1" si="40"/>
        <v>109.0091</v>
      </c>
    </row>
    <row r="146" spans="1:28" x14ac:dyDescent="0.25">
      <c r="A146" s="20">
        <f t="shared" ca="1" si="41"/>
        <v>45915</v>
      </c>
      <c r="B146" vm="424">
        <f ca="1"/>
        <v>45918</v>
      </c>
      <c r="C146" vm="425">
        <f ca="1"/>
        <v>113.93</v>
      </c>
      <c r="D146" vm="426">
        <f ca="1"/>
        <v>14628726</v>
      </c>
      <c r="E146">
        <f t="shared" ca="1" si="42"/>
        <v>1666650753.1800001</v>
      </c>
      <c r="F146">
        <f ca="1">SUM($E$2:E146)/SUM($D$2:D146)</f>
        <v>109.12593638763781</v>
      </c>
      <c r="G146">
        <f ca="1">_xlfn.STDEV.P($C$2:C146)</f>
        <v>4.1625909531828418</v>
      </c>
      <c r="H146">
        <f t="shared" ca="1" si="43"/>
        <v>113.28852734082065</v>
      </c>
      <c r="I146">
        <f t="shared" ca="1" si="44"/>
        <v>104.96334543445496</v>
      </c>
      <c r="J146">
        <f t="shared" ca="1" si="32"/>
        <v>112.29549999999999</v>
      </c>
      <c r="K146">
        <f t="shared" ca="1" si="33"/>
        <v>1.7482757671187747</v>
      </c>
      <c r="L146">
        <f t="shared" ca="1" si="34"/>
        <v>115.79205153423754</v>
      </c>
      <c r="M146">
        <f t="shared" ca="1" si="35"/>
        <v>108.79894846576244</v>
      </c>
      <c r="N146">
        <f t="shared" ca="1" si="45"/>
        <v>-1.3599999999999994</v>
      </c>
      <c r="O146">
        <f t="shared" ca="1" si="46"/>
        <v>0</v>
      </c>
      <c r="P146">
        <f t="shared" ca="1" si="47"/>
        <v>1.3599999999999994</v>
      </c>
      <c r="Q146">
        <f t="shared" ca="1" si="51"/>
        <v>0.60426747904935285</v>
      </c>
      <c r="R146">
        <f t="shared" ca="1" si="52"/>
        <v>0.42903588790586961</v>
      </c>
      <c r="S146">
        <f t="shared" ca="1" si="49"/>
        <v>1.4084310802035493</v>
      </c>
      <c r="T146">
        <f t="shared" ca="1" si="50"/>
        <v>58.47919385280958</v>
      </c>
      <c r="U146">
        <f>70</f>
        <v>70</v>
      </c>
      <c r="V146">
        <f>30</f>
        <v>30</v>
      </c>
      <c r="W146">
        <f t="shared" ca="1" si="48"/>
        <v>112.80461143592754</v>
      </c>
      <c r="X146">
        <f t="shared" ca="1" si="37"/>
        <v>111.70574449687317</v>
      </c>
      <c r="Y146">
        <f t="shared" ca="1" si="36"/>
        <v>1.0186969657740832</v>
      </c>
      <c r="Z146">
        <f t="shared" ca="1" si="38"/>
        <v>0.87943600742905503</v>
      </c>
      <c r="AA146">
        <f t="shared" ca="1" si="39"/>
        <v>0.13926095834502816</v>
      </c>
      <c r="AB146">
        <f t="shared" ca="1" si="40"/>
        <v>109.06270000000002</v>
      </c>
    </row>
    <row r="147" spans="1:28" x14ac:dyDescent="0.25">
      <c r="A147" s="20">
        <f t="shared" ca="1" si="41"/>
        <v>45915</v>
      </c>
      <c r="B147" vm="427">
        <f ca="1"/>
        <v>45919</v>
      </c>
      <c r="C147" vm="428">
        <f ca="1"/>
        <v>112.82</v>
      </c>
      <c r="D147" vm="429">
        <f ca="1"/>
        <v>38746517</v>
      </c>
      <c r="E147">
        <f t="shared" ca="1" si="42"/>
        <v>4371382047.9399996</v>
      </c>
      <c r="F147">
        <f ca="1">SUM($E$2:E147)/SUM($D$2:D147)</f>
        <v>109.18368154357317</v>
      </c>
      <c r="G147">
        <f ca="1">_xlfn.STDEV.P($C$2:C147)</f>
        <v>4.1580354688729315</v>
      </c>
      <c r="H147">
        <f t="shared" ca="1" si="43"/>
        <v>113.34171701244611</v>
      </c>
      <c r="I147">
        <f t="shared" ca="1" si="44"/>
        <v>105.02564607470023</v>
      </c>
      <c r="J147">
        <f t="shared" ca="1" si="32"/>
        <v>112.47499999999999</v>
      </c>
      <c r="K147">
        <f t="shared" ca="1" si="33"/>
        <v>1.5945020671373453</v>
      </c>
      <c r="L147">
        <f t="shared" ca="1" si="34"/>
        <v>115.66400413427469</v>
      </c>
      <c r="M147">
        <f t="shared" ca="1" si="35"/>
        <v>109.2859958657253</v>
      </c>
      <c r="N147">
        <f t="shared" ca="1" si="45"/>
        <v>-1.1100000000000136</v>
      </c>
      <c r="O147">
        <f t="shared" ca="1" si="46"/>
        <v>0</v>
      </c>
      <c r="P147">
        <f t="shared" ca="1" si="47"/>
        <v>1.1100000000000136</v>
      </c>
      <c r="Q147">
        <f t="shared" ca="1" si="51"/>
        <v>0.5611055162601134</v>
      </c>
      <c r="R147">
        <f t="shared" ca="1" si="52"/>
        <v>0.47767618162687991</v>
      </c>
      <c r="S147">
        <f t="shared" ca="1" si="49"/>
        <v>1.1746566771428462</v>
      </c>
      <c r="T147">
        <f t="shared" ca="1" si="50"/>
        <v>54.015729907589773</v>
      </c>
      <c r="U147">
        <f>70</f>
        <v>70</v>
      </c>
      <c r="V147">
        <f>30</f>
        <v>30</v>
      </c>
      <c r="W147">
        <f t="shared" ca="1" si="48"/>
        <v>112.80697890732331</v>
      </c>
      <c r="X147">
        <f t="shared" ca="1" si="37"/>
        <v>111.78828194154923</v>
      </c>
      <c r="Y147">
        <f t="shared" ca="1" si="36"/>
        <v>0.88045898709835058</v>
      </c>
      <c r="Z147">
        <f t="shared" ca="1" si="38"/>
        <v>0.87964060336291428</v>
      </c>
      <c r="AA147">
        <f t="shared" ca="1" si="39"/>
        <v>8.1838373543630105E-4</v>
      </c>
      <c r="AB147">
        <f t="shared" ca="1" si="40"/>
        <v>109.10460000000003</v>
      </c>
    </row>
    <row r="148" spans="1:28" x14ac:dyDescent="0.25">
      <c r="A148" s="20">
        <f t="shared" ca="1" si="41"/>
        <v>45922</v>
      </c>
      <c r="B148" vm="430">
        <f ca="1"/>
        <v>45922</v>
      </c>
      <c r="C148" vm="431">
        <f ca="1"/>
        <v>112.02</v>
      </c>
      <c r="D148" vm="432">
        <f ca="1"/>
        <v>15611495</v>
      </c>
      <c r="E148">
        <f t="shared" ca="1" si="42"/>
        <v>1748799669.8999999</v>
      </c>
      <c r="F148">
        <f ca="1">SUM($E$2:E148)/SUM($D$2:D148)</f>
        <v>109.20143370620828</v>
      </c>
      <c r="G148">
        <f ca="1">_xlfn.STDEV.P($C$2:C148)</f>
        <v>4.1494706135053976</v>
      </c>
      <c r="H148">
        <f t="shared" ca="1" si="43"/>
        <v>113.35090431971368</v>
      </c>
      <c r="I148">
        <f t="shared" ca="1" si="44"/>
        <v>105.05196309270288</v>
      </c>
      <c r="J148">
        <f t="shared" ca="1" si="32"/>
        <v>112.51200000000001</v>
      </c>
      <c r="K148">
        <f t="shared" ca="1" si="33"/>
        <v>1.5737638423788214</v>
      </c>
      <c r="L148">
        <f t="shared" ca="1" si="34"/>
        <v>115.65952768475766</v>
      </c>
      <c r="M148">
        <f t="shared" ca="1" si="35"/>
        <v>109.36447231524237</v>
      </c>
      <c r="N148">
        <f t="shared" ca="1" si="45"/>
        <v>-0.79999999999999716</v>
      </c>
      <c r="O148">
        <f t="shared" ca="1" si="46"/>
        <v>0</v>
      </c>
      <c r="P148">
        <f t="shared" ca="1" si="47"/>
        <v>0.79999999999999716</v>
      </c>
      <c r="Q148">
        <f t="shared" ca="1" si="51"/>
        <v>0.52102655081296245</v>
      </c>
      <c r="R148">
        <f t="shared" ca="1" si="52"/>
        <v>0.50069931151067404</v>
      </c>
      <c r="S148">
        <f t="shared" ca="1" si="49"/>
        <v>1.0405976977299181</v>
      </c>
      <c r="T148">
        <f t="shared" ca="1" si="50"/>
        <v>50.9947501600899</v>
      </c>
      <c r="U148">
        <f>70</f>
        <v>70</v>
      </c>
      <c r="V148">
        <f>30</f>
        <v>30</v>
      </c>
      <c r="W148">
        <f t="shared" ca="1" si="48"/>
        <v>112.68590522927357</v>
      </c>
      <c r="X148">
        <f t="shared" ca="1" si="37"/>
        <v>111.80544624217522</v>
      </c>
      <c r="Y148">
        <f t="shared" ca="1" si="36"/>
        <v>0.91607927175871851</v>
      </c>
      <c r="Z148">
        <f t="shared" ca="1" si="38"/>
        <v>0.88692833704207519</v>
      </c>
      <c r="AA148">
        <f t="shared" ca="1" si="39"/>
        <v>2.9150934716643317E-2</v>
      </c>
      <c r="AB148">
        <f t="shared" ca="1" si="40"/>
        <v>109.14120000000003</v>
      </c>
    </row>
    <row r="149" spans="1:28" x14ac:dyDescent="0.25">
      <c r="A149" s="20">
        <f t="shared" ca="1" si="41"/>
        <v>45922</v>
      </c>
      <c r="B149" vm="433">
        <f ca="1"/>
        <v>45923</v>
      </c>
      <c r="C149" vm="434">
        <f ca="1"/>
        <v>113.95</v>
      </c>
      <c r="D149" vm="435">
        <f ca="1"/>
        <v>25369106</v>
      </c>
      <c r="E149">
        <f t="shared" ca="1" si="42"/>
        <v>2890809628.7000003</v>
      </c>
      <c r="F149">
        <f ca="1">SUM($E$2:E149)/SUM($D$2:D149)</f>
        <v>109.24924435335471</v>
      </c>
      <c r="G149">
        <f ca="1">_xlfn.STDEV.P($C$2:C149)</f>
        <v>4.1520788547113856</v>
      </c>
      <c r="H149">
        <f t="shared" ca="1" si="43"/>
        <v>113.4013232080661</v>
      </c>
      <c r="I149">
        <f t="shared" ca="1" si="44"/>
        <v>105.09716549864332</v>
      </c>
      <c r="J149">
        <f t="shared" ca="1" si="32"/>
        <v>112.62250000000002</v>
      </c>
      <c r="K149">
        <f t="shared" ca="1" si="33"/>
        <v>1.5941599833867317</v>
      </c>
      <c r="L149">
        <f t="shared" ca="1" si="34"/>
        <v>115.81081996677348</v>
      </c>
      <c r="M149">
        <f t="shared" ca="1" si="35"/>
        <v>109.43418003322655</v>
      </c>
      <c r="N149">
        <f t="shared" ca="1" si="45"/>
        <v>1.9300000000000068</v>
      </c>
      <c r="O149">
        <f t="shared" ca="1" si="46"/>
        <v>1.9300000000000068</v>
      </c>
      <c r="P149">
        <f t="shared" ca="1" si="47"/>
        <v>0</v>
      </c>
      <c r="Q149">
        <f t="shared" ca="1" si="51"/>
        <v>0.62166751146917998</v>
      </c>
      <c r="R149">
        <f t="shared" ca="1" si="52"/>
        <v>0.46493507497419728</v>
      </c>
      <c r="S149">
        <f t="shared" ca="1" si="49"/>
        <v>1.3371060712158165</v>
      </c>
      <c r="T149">
        <f t="shared" ca="1" si="50"/>
        <v>57.212040466790761</v>
      </c>
      <c r="U149">
        <f>70</f>
        <v>70</v>
      </c>
      <c r="V149">
        <f>30</f>
        <v>30</v>
      </c>
      <c r="W149">
        <f t="shared" ca="1" si="48"/>
        <v>112.88038134784688</v>
      </c>
      <c r="X149">
        <f t="shared" ca="1" si="37"/>
        <v>111.96430207608816</v>
      </c>
      <c r="Y149">
        <f t="shared" ca="1" si="36"/>
        <v>0.98220822103097305</v>
      </c>
      <c r="Z149">
        <f t="shared" ca="1" si="38"/>
        <v>0.90598431383985478</v>
      </c>
      <c r="AA149">
        <f t="shared" ca="1" si="39"/>
        <v>7.6223907191118268E-2</v>
      </c>
      <c r="AB149">
        <f t="shared" ca="1" si="40"/>
        <v>109.22440000000002</v>
      </c>
    </row>
    <row r="150" spans="1:28" x14ac:dyDescent="0.25">
      <c r="A150" s="20">
        <f t="shared" ca="1" si="41"/>
        <v>45922</v>
      </c>
      <c r="B150" vm="436">
        <f ca="1"/>
        <v>45924</v>
      </c>
      <c r="C150" vm="437">
        <f ca="1"/>
        <v>114.56</v>
      </c>
      <c r="D150" vm="438">
        <f ca="1"/>
        <v>14756050</v>
      </c>
      <c r="E150">
        <f t="shared" ca="1" si="42"/>
        <v>1690453088</v>
      </c>
      <c r="F150">
        <f ca="1">SUM($E$2:E150)/SUM($D$2:D150)</f>
        <v>109.28016491892596</v>
      </c>
      <c r="G150">
        <f ca="1">_xlfn.STDEV.P($C$2:C150)</f>
        <v>4.1591334499456769</v>
      </c>
      <c r="H150">
        <f t="shared" ca="1" si="43"/>
        <v>113.43929836887163</v>
      </c>
      <c r="I150">
        <f t="shared" ca="1" si="44"/>
        <v>105.12103146898029</v>
      </c>
      <c r="J150">
        <f t="shared" ref="J150:J213" ca="1" si="53">AVERAGE(C131:C150)</f>
        <v>112.776</v>
      </c>
      <c r="K150">
        <f t="shared" ref="K150:K213" ca="1" si="54">_xlfn.STDEV.S(C131:C150)</f>
        <v>1.6268419520168853</v>
      </c>
      <c r="L150">
        <f t="shared" ref="L150:L213" ca="1" si="55">J150 + 2*K150</f>
        <v>116.02968390403376</v>
      </c>
      <c r="M150">
        <f t="shared" ref="M150:M213" ca="1" si="56">J150-2*K150</f>
        <v>109.52231609596623</v>
      </c>
      <c r="N150">
        <f t="shared" ca="1" si="45"/>
        <v>0.60999999999999943</v>
      </c>
      <c r="O150">
        <f t="shared" ca="1" si="46"/>
        <v>0.60999999999999943</v>
      </c>
      <c r="P150">
        <f t="shared" ca="1" si="47"/>
        <v>0</v>
      </c>
      <c r="Q150">
        <f t="shared" ca="1" si="51"/>
        <v>0.62083411779280995</v>
      </c>
      <c r="R150">
        <f t="shared" ca="1" si="52"/>
        <v>0.43172542676175463</v>
      </c>
      <c r="S150">
        <f t="shared" ca="1" si="49"/>
        <v>1.4380300054354083</v>
      </c>
      <c r="T150">
        <f t="shared" ca="1" si="50"/>
        <v>58.983277573673263</v>
      </c>
      <c r="U150">
        <f>70</f>
        <v>70</v>
      </c>
      <c r="V150">
        <f>30</f>
        <v>30</v>
      </c>
      <c r="W150">
        <f t="shared" ca="1" si="48"/>
        <v>113.1387842174089</v>
      </c>
      <c r="X150">
        <f t="shared" ca="1" si="37"/>
        <v>112.15657599637792</v>
      </c>
      <c r="Y150">
        <f t="shared" ca="1" si="36"/>
        <v>1.1049906374576182</v>
      </c>
      <c r="Z150">
        <f t="shared" ca="1" si="38"/>
        <v>0.9457855785634075</v>
      </c>
      <c r="AA150">
        <f t="shared" ca="1" si="39"/>
        <v>0.15920505889421066</v>
      </c>
      <c r="AB150">
        <f t="shared" ca="1" si="40"/>
        <v>109.31220000000003</v>
      </c>
    </row>
    <row r="151" spans="1:28" x14ac:dyDescent="0.25">
      <c r="A151" s="20">
        <f t="shared" ca="1" si="41"/>
        <v>45922</v>
      </c>
      <c r="B151" vm="439">
        <f ca="1"/>
        <v>45925</v>
      </c>
      <c r="C151" vm="440">
        <f ca="1"/>
        <v>115.59</v>
      </c>
      <c r="D151" vm="441">
        <f ca="1"/>
        <v>15012553</v>
      </c>
      <c r="E151">
        <f t="shared" ca="1" si="42"/>
        <v>1735301001.27</v>
      </c>
      <c r="F151">
        <f ca="1">SUM($E$2:E151)/SUM($D$2:D151)</f>
        <v>109.31732088999127</v>
      </c>
      <c r="G151">
        <f ca="1">_xlfn.STDEV.P($C$2:C151)</f>
        <v>4.1749553163277513</v>
      </c>
      <c r="H151">
        <f t="shared" ca="1" si="43"/>
        <v>113.49227620631902</v>
      </c>
      <c r="I151">
        <f t="shared" ca="1" si="44"/>
        <v>105.14236557366351</v>
      </c>
      <c r="J151">
        <f t="shared" ca="1" si="53"/>
        <v>112.91800000000001</v>
      </c>
      <c r="K151">
        <f t="shared" ca="1" si="54"/>
        <v>1.7441680266715027</v>
      </c>
      <c r="L151">
        <f t="shared" ca="1" si="55"/>
        <v>116.40633605334301</v>
      </c>
      <c r="M151">
        <f t="shared" ca="1" si="56"/>
        <v>109.429663946657</v>
      </c>
      <c r="N151">
        <f t="shared" ca="1" si="45"/>
        <v>1.0300000000000011</v>
      </c>
      <c r="O151">
        <f t="shared" ca="1" si="46"/>
        <v>1.0300000000000011</v>
      </c>
      <c r="P151">
        <f t="shared" ca="1" si="47"/>
        <v>0</v>
      </c>
      <c r="Q151">
        <f t="shared" ca="1" si="51"/>
        <v>0.6500602522361808</v>
      </c>
      <c r="R151">
        <f t="shared" ca="1" si="52"/>
        <v>0.40088789627877214</v>
      </c>
      <c r="S151">
        <f t="shared" ca="1" si="49"/>
        <v>1.6215512073832667</v>
      </c>
      <c r="T151">
        <f t="shared" ca="1" si="50"/>
        <v>61.85464555551588</v>
      </c>
      <c r="U151">
        <f>70</f>
        <v>70</v>
      </c>
      <c r="V151">
        <f>30</f>
        <v>30</v>
      </c>
      <c r="W151">
        <f t="shared" ca="1" si="48"/>
        <v>113.51589433780754</v>
      </c>
      <c r="X151">
        <f t="shared" ca="1" si="37"/>
        <v>112.41090370034992</v>
      </c>
      <c r="Y151">
        <f t="shared" ca="1" si="36"/>
        <v>1.3186236914960574</v>
      </c>
      <c r="Z151">
        <f t="shared" ca="1" si="38"/>
        <v>1.0203532011499377</v>
      </c>
      <c r="AA151">
        <f t="shared" ca="1" si="39"/>
        <v>0.29827049034611974</v>
      </c>
      <c r="AB151">
        <f t="shared" ca="1" si="40"/>
        <v>109.40600000000002</v>
      </c>
    </row>
    <row r="152" spans="1:28" x14ac:dyDescent="0.25">
      <c r="A152" s="20">
        <f t="shared" ca="1" si="41"/>
        <v>45922</v>
      </c>
      <c r="B152" vm="442">
        <f ca="1"/>
        <v>45926</v>
      </c>
      <c r="C152" vm="443">
        <f ca="1"/>
        <v>117.22</v>
      </c>
      <c r="D152" vm="444">
        <f ca="1"/>
        <v>18568916</v>
      </c>
      <c r="E152">
        <f t="shared" ca="1" si="42"/>
        <v>2176648333.52</v>
      </c>
      <c r="F152">
        <f ca="1">SUM($E$2:E152)/SUM($D$2:D152)</f>
        <v>109.37446417661617</v>
      </c>
      <c r="G152">
        <f ca="1">_xlfn.STDEV.P($C$2:C152)</f>
        <v>4.2077009018611129</v>
      </c>
      <c r="H152">
        <f t="shared" ca="1" si="43"/>
        <v>113.58216507847729</v>
      </c>
      <c r="I152">
        <f t="shared" ca="1" si="44"/>
        <v>105.16676327475506</v>
      </c>
      <c r="J152">
        <f t="shared" ca="1" si="53"/>
        <v>113.11149999999998</v>
      </c>
      <c r="K152">
        <f t="shared" ca="1" si="54"/>
        <v>1.9917204279611884</v>
      </c>
      <c r="L152">
        <f t="shared" ca="1" si="55"/>
        <v>117.09494085592236</v>
      </c>
      <c r="M152">
        <f t="shared" ca="1" si="56"/>
        <v>109.1280591440776</v>
      </c>
      <c r="N152">
        <f t="shared" ca="1" si="45"/>
        <v>1.6299999999999955</v>
      </c>
      <c r="O152">
        <f t="shared" ca="1" si="46"/>
        <v>1.6299999999999955</v>
      </c>
      <c r="P152">
        <f t="shared" ca="1" si="47"/>
        <v>0</v>
      </c>
      <c r="Q152">
        <f t="shared" ca="1" si="51"/>
        <v>0.72005594850502475</v>
      </c>
      <c r="R152">
        <f t="shared" ca="1" si="52"/>
        <v>0.37225304654457414</v>
      </c>
      <c r="S152">
        <f t="shared" ca="1" si="49"/>
        <v>1.9343184835931333</v>
      </c>
      <c r="T152">
        <f t="shared" ca="1" si="50"/>
        <v>65.920536383784778</v>
      </c>
      <c r="U152">
        <f>70</f>
        <v>70</v>
      </c>
      <c r="V152">
        <f>30</f>
        <v>30</v>
      </c>
      <c r="W152">
        <f t="shared" ca="1" si="48"/>
        <v>114.08575674737561</v>
      </c>
      <c r="X152">
        <f t="shared" ca="1" si="37"/>
        <v>112.76713305587955</v>
      </c>
      <c r="Y152">
        <f t="shared" ca="1" si="36"/>
        <v>1.231656725953556</v>
      </c>
      <c r="Z152">
        <f t="shared" ca="1" si="38"/>
        <v>1.0626139061106614</v>
      </c>
      <c r="AA152">
        <f t="shared" ca="1" si="39"/>
        <v>0.1690428198428946</v>
      </c>
      <c r="AB152">
        <f t="shared" ca="1" si="40"/>
        <v>109.5455</v>
      </c>
    </row>
    <row r="153" spans="1:28" x14ac:dyDescent="0.25">
      <c r="A153" s="20">
        <f t="shared" ca="1" si="41"/>
        <v>45929</v>
      </c>
      <c r="B153" vm="445">
        <f ca="1"/>
        <v>45929</v>
      </c>
      <c r="C153" vm="446">
        <f ca="1"/>
        <v>114.22</v>
      </c>
      <c r="D153" vm="447">
        <f ca="1"/>
        <v>19189260</v>
      </c>
      <c r="E153">
        <f t="shared" ca="1" si="42"/>
        <v>2191797277.1999998</v>
      </c>
      <c r="F153">
        <f ca="1">SUM($E$2:E153)/SUM($D$2:D153)</f>
        <v>109.41040360593655</v>
      </c>
      <c r="G153">
        <f ca="1">_xlfn.STDEV.P($C$2:C153)</f>
        <v>4.2106356873130517</v>
      </c>
      <c r="H153">
        <f t="shared" ca="1" si="43"/>
        <v>113.62103929324961</v>
      </c>
      <c r="I153">
        <f t="shared" ca="1" si="44"/>
        <v>105.19976791862349</v>
      </c>
      <c r="J153">
        <f t="shared" ca="1" si="53"/>
        <v>113.10799999999998</v>
      </c>
      <c r="K153">
        <f t="shared" ca="1" si="54"/>
        <v>1.9896008592045222</v>
      </c>
      <c r="L153">
        <f t="shared" ca="1" si="55"/>
        <v>117.08720171840902</v>
      </c>
      <c r="M153">
        <f t="shared" ca="1" si="56"/>
        <v>109.12879828159093</v>
      </c>
      <c r="N153">
        <f t="shared" ca="1" si="45"/>
        <v>-3</v>
      </c>
      <c r="O153">
        <f t="shared" ca="1" si="46"/>
        <v>0</v>
      </c>
      <c r="P153">
        <f t="shared" ca="1" si="47"/>
        <v>3</v>
      </c>
      <c r="Q153">
        <f t="shared" ca="1" si="51"/>
        <v>0.66862338075466587</v>
      </c>
      <c r="R153">
        <f t="shared" ca="1" si="52"/>
        <v>0.55994925750567603</v>
      </c>
      <c r="S153">
        <f t="shared" ca="1" si="49"/>
        <v>1.1940785201378505</v>
      </c>
      <c r="T153">
        <f t="shared" ca="1" si="50"/>
        <v>54.422779730910833</v>
      </c>
      <c r="U153">
        <f>70</f>
        <v>70</v>
      </c>
      <c r="V153">
        <f>30</f>
        <v>30</v>
      </c>
      <c r="W153">
        <f t="shared" ca="1" si="48"/>
        <v>114.10640955547167</v>
      </c>
      <c r="X153">
        <f t="shared" ca="1" si="37"/>
        <v>112.87475282951812</v>
      </c>
      <c r="Y153">
        <f t="shared" ca="1" si="36"/>
        <v>1.032219283138744</v>
      </c>
      <c r="Z153">
        <f t="shared" ca="1" si="38"/>
        <v>1.0565349815162781</v>
      </c>
      <c r="AA153">
        <f t="shared" ca="1" si="39"/>
        <v>-2.4315698377534112E-2</v>
      </c>
      <c r="AB153">
        <f t="shared" ca="1" si="40"/>
        <v>109.64059999999999</v>
      </c>
    </row>
    <row r="154" spans="1:28" x14ac:dyDescent="0.25">
      <c r="A154" s="20">
        <f t="shared" ca="1" si="41"/>
        <v>45929</v>
      </c>
      <c r="B154" vm="448">
        <f ca="1"/>
        <v>45930</v>
      </c>
      <c r="C154" vm="381">
        <f ca="1"/>
        <v>112.75</v>
      </c>
      <c r="D154" vm="449">
        <f ca="1"/>
        <v>18076211</v>
      </c>
      <c r="E154">
        <f t="shared" ca="1" si="42"/>
        <v>2038092790.25</v>
      </c>
      <c r="F154">
        <f ca="1">SUM($E$2:E154)/SUM($D$2:D154)</f>
        <v>109.43357481774056</v>
      </c>
      <c r="G154">
        <f ca="1">_xlfn.STDEV.P($C$2:C154)</f>
        <v>4.2045083179937279</v>
      </c>
      <c r="H154">
        <f t="shared" ca="1" si="43"/>
        <v>113.63808313573429</v>
      </c>
      <c r="I154">
        <f t="shared" ca="1" si="44"/>
        <v>105.22906649974684</v>
      </c>
      <c r="J154">
        <f t="shared" ca="1" si="53"/>
        <v>113.011</v>
      </c>
      <c r="K154">
        <f t="shared" ca="1" si="54"/>
        <v>1.955410577427614</v>
      </c>
      <c r="L154">
        <f t="shared" ca="1" si="55"/>
        <v>116.92182115485522</v>
      </c>
      <c r="M154">
        <f t="shared" ca="1" si="56"/>
        <v>109.10017884514477</v>
      </c>
      <c r="N154">
        <f t="shared" ca="1" si="45"/>
        <v>-1.4699999999999989</v>
      </c>
      <c r="O154">
        <f t="shared" ca="1" si="46"/>
        <v>0</v>
      </c>
      <c r="P154">
        <f t="shared" ca="1" si="47"/>
        <v>1.4699999999999989</v>
      </c>
      <c r="Q154">
        <f t="shared" ca="1" si="51"/>
        <v>0.62086456784361832</v>
      </c>
      <c r="R154">
        <f t="shared" ca="1" si="52"/>
        <v>0.62495288196955634</v>
      </c>
      <c r="S154">
        <f t="shared" ca="1" si="49"/>
        <v>0.99345820422004683</v>
      </c>
      <c r="T154">
        <f t="shared" ca="1" si="50"/>
        <v>49.835918411379168</v>
      </c>
      <c r="U154">
        <f>70</f>
        <v>70</v>
      </c>
      <c r="V154">
        <f>30</f>
        <v>30</v>
      </c>
      <c r="W154">
        <f t="shared" ca="1" si="48"/>
        <v>113.89773116232217</v>
      </c>
      <c r="X154">
        <f t="shared" ca="1" si="37"/>
        <v>112.86551187918343</v>
      </c>
      <c r="Y154">
        <f t="shared" ca="1" si="36"/>
        <v>0.80357491303438167</v>
      </c>
      <c r="Z154">
        <f t="shared" ca="1" si="38"/>
        <v>1.005942967819899</v>
      </c>
      <c r="AA154">
        <f t="shared" ca="1" si="39"/>
        <v>-0.20236805478551734</v>
      </c>
      <c r="AB154">
        <f t="shared" ca="1" si="40"/>
        <v>109.72199999999999</v>
      </c>
    </row>
    <row r="155" spans="1:28" x14ac:dyDescent="0.25">
      <c r="A155" s="20">
        <f t="shared" ca="1" si="41"/>
        <v>45929</v>
      </c>
      <c r="B155" vm="450">
        <f ca="1"/>
        <v>45931</v>
      </c>
      <c r="C155" vm="451">
        <f ca="1"/>
        <v>111.99</v>
      </c>
      <c r="D155" vm="452">
        <f ca="1"/>
        <v>16613992</v>
      </c>
      <c r="E155">
        <f t="shared" ca="1" si="42"/>
        <v>1860600964.0799999</v>
      </c>
      <c r="F155">
        <f ca="1">SUM($E$2:E155)/SUM($D$2:D155)</f>
        <v>109.4497740231119</v>
      </c>
      <c r="G155">
        <f ca="1">_xlfn.STDEV.P($C$2:C155)</f>
        <v>4.1951440235479414</v>
      </c>
      <c r="H155">
        <f t="shared" ca="1" si="43"/>
        <v>113.64491804665984</v>
      </c>
      <c r="I155">
        <f t="shared" ca="1" si="44"/>
        <v>105.25462999956396</v>
      </c>
      <c r="J155">
        <f t="shared" ca="1" si="53"/>
        <v>113.01499999999999</v>
      </c>
      <c r="K155">
        <f t="shared" ca="1" si="54"/>
        <v>1.9531203105206874</v>
      </c>
      <c r="L155">
        <f t="shared" ca="1" si="55"/>
        <v>116.92124062104136</v>
      </c>
      <c r="M155">
        <f t="shared" ca="1" si="56"/>
        <v>109.10875937895861</v>
      </c>
      <c r="N155">
        <f t="shared" ca="1" si="45"/>
        <v>-0.76000000000000512</v>
      </c>
      <c r="O155">
        <f t="shared" ca="1" si="46"/>
        <v>0</v>
      </c>
      <c r="P155">
        <f t="shared" ca="1" si="47"/>
        <v>0.76000000000000512</v>
      </c>
      <c r="Q155">
        <f t="shared" ca="1" si="51"/>
        <v>0.57651709871193124</v>
      </c>
      <c r="R155">
        <f t="shared" ca="1" si="52"/>
        <v>0.63459910468601699</v>
      </c>
      <c r="S155">
        <f t="shared" ca="1" si="49"/>
        <v>0.90847449114693724</v>
      </c>
      <c r="T155">
        <f t="shared" ca="1" si="50"/>
        <v>47.602129101603595</v>
      </c>
      <c r="U155">
        <f>70</f>
        <v>70</v>
      </c>
      <c r="V155">
        <f>30</f>
        <v>30</v>
      </c>
      <c r="W155">
        <f t="shared" ca="1" si="48"/>
        <v>113.60423406042645</v>
      </c>
      <c r="X155">
        <f t="shared" ca="1" si="37"/>
        <v>112.80065914739207</v>
      </c>
      <c r="Y155">
        <f t="shared" ca="1" si="36"/>
        <v>0.55943958132260718</v>
      </c>
      <c r="Z155">
        <f t="shared" ca="1" si="38"/>
        <v>0.91664229052044066</v>
      </c>
      <c r="AA155">
        <f t="shared" ca="1" si="39"/>
        <v>-0.35720270919783348</v>
      </c>
      <c r="AB155">
        <f t="shared" ca="1" si="40"/>
        <v>109.78119999999998</v>
      </c>
    </row>
    <row r="156" spans="1:28" x14ac:dyDescent="0.25">
      <c r="A156" s="20">
        <f t="shared" ca="1" si="41"/>
        <v>45929</v>
      </c>
      <c r="B156" vm="453">
        <f ca="1"/>
        <v>45932</v>
      </c>
      <c r="C156" vm="454">
        <f ca="1"/>
        <v>111.29</v>
      </c>
      <c r="D156" vm="455">
        <f ca="1"/>
        <v>13062563</v>
      </c>
      <c r="E156">
        <f t="shared" ca="1" si="42"/>
        <v>1453732636.27</v>
      </c>
      <c r="F156">
        <f ca="1">SUM($E$2:E156)/SUM($D$2:D156)</f>
        <v>109.4588968165839</v>
      </c>
      <c r="G156">
        <f ca="1">_xlfn.STDEV.P($C$2:C156)</f>
        <v>4.1836788375812226</v>
      </c>
      <c r="H156">
        <f t="shared" ca="1" si="43"/>
        <v>113.64257565416513</v>
      </c>
      <c r="I156">
        <f t="shared" ca="1" si="44"/>
        <v>105.27521797900268</v>
      </c>
      <c r="J156">
        <f t="shared" ca="1" si="53"/>
        <v>112.95949999999998</v>
      </c>
      <c r="K156">
        <f t="shared" ca="1" si="54"/>
        <v>1.9869931660942537</v>
      </c>
      <c r="L156">
        <f t="shared" ca="1" si="55"/>
        <v>116.93348633218848</v>
      </c>
      <c r="M156">
        <f t="shared" ca="1" si="56"/>
        <v>108.98551366781147</v>
      </c>
      <c r="N156">
        <f t="shared" ca="1" si="45"/>
        <v>-0.69999999999998863</v>
      </c>
      <c r="O156">
        <f t="shared" ca="1" si="46"/>
        <v>0</v>
      </c>
      <c r="P156">
        <f t="shared" ca="1" si="47"/>
        <v>0.69999999999998863</v>
      </c>
      <c r="Q156">
        <f t="shared" ca="1" si="51"/>
        <v>0.5353373059467933</v>
      </c>
      <c r="R156">
        <f t="shared" ca="1" si="52"/>
        <v>0.63927059720844348</v>
      </c>
      <c r="S156">
        <f t="shared" ca="1" si="49"/>
        <v>0.83741894009281137</v>
      </c>
      <c r="T156">
        <f t="shared" ca="1" si="50"/>
        <v>45.575830411898977</v>
      </c>
      <c r="U156">
        <f>70</f>
        <v>70</v>
      </c>
      <c r="V156">
        <f>30</f>
        <v>30</v>
      </c>
      <c r="W156">
        <f t="shared" ca="1" si="48"/>
        <v>113.24819805113007</v>
      </c>
      <c r="X156">
        <f t="shared" ca="1" si="37"/>
        <v>112.68875846980747</v>
      </c>
      <c r="Y156">
        <f t="shared" ref="Y156:Y219" ca="1" si="57">W157-X157</f>
        <v>0.51894107834246483</v>
      </c>
      <c r="Z156">
        <f t="shared" ca="1" si="38"/>
        <v>0.83710204808484556</v>
      </c>
      <c r="AA156">
        <f t="shared" ca="1" si="39"/>
        <v>-0.31816096974238073</v>
      </c>
      <c r="AB156">
        <f t="shared" ca="1" si="40"/>
        <v>109.821</v>
      </c>
    </row>
    <row r="157" spans="1:28" x14ac:dyDescent="0.25">
      <c r="A157" s="20">
        <f t="shared" ca="1" si="41"/>
        <v>45929</v>
      </c>
      <c r="B157" vm="456">
        <f ca="1"/>
        <v>45933</v>
      </c>
      <c r="C157" vm="457">
        <f ca="1"/>
        <v>113.26</v>
      </c>
      <c r="D157" vm="458">
        <f ca="1"/>
        <v>12950118</v>
      </c>
      <c r="E157">
        <f t="shared" ca="1" si="42"/>
        <v>1466730364.6800001</v>
      </c>
      <c r="F157">
        <f ca="1">SUM($E$2:E157)/SUM($D$2:D157)</f>
        <v>109.47748694754007</v>
      </c>
      <c r="G157">
        <f ca="1">_xlfn.STDEV.P($C$2:C157)</f>
        <v>4.1801916323696631</v>
      </c>
      <c r="H157">
        <f t="shared" ca="1" si="43"/>
        <v>113.65767857990974</v>
      </c>
      <c r="I157">
        <f t="shared" ca="1" si="44"/>
        <v>105.2972953151704</v>
      </c>
      <c r="J157">
        <f t="shared" ca="1" si="53"/>
        <v>113.16100000000002</v>
      </c>
      <c r="K157">
        <f t="shared" ca="1" si="54"/>
        <v>1.7827208654779725</v>
      </c>
      <c r="L157">
        <f t="shared" ca="1" si="55"/>
        <v>116.72644173095595</v>
      </c>
      <c r="M157">
        <f t="shared" ca="1" si="56"/>
        <v>109.59555826904408</v>
      </c>
      <c r="N157">
        <f t="shared" ca="1" si="45"/>
        <v>1.9699999999999989</v>
      </c>
      <c r="O157">
        <f t="shared" ca="1" si="46"/>
        <v>1.9699999999999989</v>
      </c>
      <c r="P157">
        <f t="shared" ca="1" si="47"/>
        <v>0</v>
      </c>
      <c r="Q157">
        <f t="shared" ca="1" si="51"/>
        <v>0.63781321266487934</v>
      </c>
      <c r="R157">
        <f t="shared" ca="1" si="52"/>
        <v>0.59360841169355461</v>
      </c>
      <c r="S157">
        <f t="shared" ca="1" si="49"/>
        <v>1.0744679490730416</v>
      </c>
      <c r="T157">
        <f t="shared" ca="1" si="50"/>
        <v>51.794868633818062</v>
      </c>
      <c r="U157">
        <f>70</f>
        <v>70</v>
      </c>
      <c r="V157">
        <f>30</f>
        <v>30</v>
      </c>
      <c r="W157">
        <f t="shared" ca="1" si="48"/>
        <v>113.2500137355716</v>
      </c>
      <c r="X157">
        <f t="shared" ref="X157:X220" ca="1" si="58">C157*(2/(26+1)) + X156*(1-(2/(26+1)))</f>
        <v>112.73107265722913</v>
      </c>
      <c r="Y157">
        <f t="shared" ca="1" si="57"/>
        <v>0.55628337853360676</v>
      </c>
      <c r="Z157">
        <f t="shared" ca="1" si="38"/>
        <v>0.78093831417459791</v>
      </c>
      <c r="AA157">
        <f t="shared" ca="1" si="39"/>
        <v>-0.22465493564099115</v>
      </c>
      <c r="AB157">
        <f t="shared" ca="1" si="40"/>
        <v>109.86200000000001</v>
      </c>
    </row>
    <row r="158" spans="1:28" x14ac:dyDescent="0.25">
      <c r="A158" s="20">
        <f t="shared" ca="1" si="41"/>
        <v>45936</v>
      </c>
      <c r="B158" vm="459">
        <f ca="1"/>
        <v>45936</v>
      </c>
      <c r="C158" vm="460">
        <f ca="1"/>
        <v>114.2</v>
      </c>
      <c r="D158" vm="461">
        <f ca="1"/>
        <v>12036830</v>
      </c>
      <c r="E158">
        <f t="shared" ca="1" si="42"/>
        <v>1374605986</v>
      </c>
      <c r="F158">
        <f ca="1">SUM($E$2:E158)/SUM($D$2:D158)</f>
        <v>109.49885744403686</v>
      </c>
      <c r="G158">
        <f ca="1">_xlfn.STDEV.P($C$2:C158)</f>
        <v>4.1823956344095334</v>
      </c>
      <c r="H158">
        <f t="shared" ca="1" si="43"/>
        <v>113.68125307844639</v>
      </c>
      <c r="I158">
        <f t="shared" ca="1" si="44"/>
        <v>105.31646180962733</v>
      </c>
      <c r="J158">
        <f t="shared" ca="1" si="53"/>
        <v>113.37849999999999</v>
      </c>
      <c r="K158">
        <f t="shared" ca="1" si="54"/>
        <v>1.6149703435439053</v>
      </c>
      <c r="L158">
        <f t="shared" ca="1" si="55"/>
        <v>116.60844068708779</v>
      </c>
      <c r="M158">
        <f t="shared" ca="1" si="56"/>
        <v>110.14855931291218</v>
      </c>
      <c r="N158">
        <f t="shared" ca="1" si="45"/>
        <v>0.93999999999999773</v>
      </c>
      <c r="O158">
        <f t="shared" ca="1" si="46"/>
        <v>0.93999999999999773</v>
      </c>
      <c r="P158">
        <f t="shared" ca="1" si="47"/>
        <v>0</v>
      </c>
      <c r="Q158">
        <f t="shared" ca="1" si="51"/>
        <v>0.65939798318881626</v>
      </c>
      <c r="R158">
        <f t="shared" ca="1" si="52"/>
        <v>0.55120781085830073</v>
      </c>
      <c r="S158">
        <f t="shared" ca="1" si="49"/>
        <v>1.1962783730550728</v>
      </c>
      <c r="T158">
        <f t="shared" ca="1" si="50"/>
        <v>54.468431130204252</v>
      </c>
      <c r="U158">
        <f>70</f>
        <v>70</v>
      </c>
      <c r="V158">
        <f>30</f>
        <v>30</v>
      </c>
      <c r="W158">
        <f t="shared" ca="1" si="48"/>
        <v>113.39616546856058</v>
      </c>
      <c r="X158">
        <f t="shared" ca="1" si="58"/>
        <v>112.83988209002698</v>
      </c>
      <c r="Y158">
        <f t="shared" ca="1" si="57"/>
        <v>0.58398707949778839</v>
      </c>
      <c r="Z158">
        <f t="shared" ca="1" si="38"/>
        <v>0.74154806723923605</v>
      </c>
      <c r="AA158">
        <f t="shared" ca="1" si="39"/>
        <v>-0.15756098774144767</v>
      </c>
      <c r="AB158">
        <f t="shared" ca="1" si="40"/>
        <v>109.90940000000001</v>
      </c>
    </row>
    <row r="159" spans="1:28" x14ac:dyDescent="0.25">
      <c r="A159" s="20">
        <f t="shared" ca="1" si="41"/>
        <v>45936</v>
      </c>
      <c r="B159" vm="462">
        <f ca="1"/>
        <v>45937</v>
      </c>
      <c r="C159" vm="463">
        <f ca="1"/>
        <v>114.26</v>
      </c>
      <c r="D159" vm="464">
        <f ca="1"/>
        <v>11945032</v>
      </c>
      <c r="E159">
        <f t="shared" ca="1" si="42"/>
        <v>1364839356.3200002</v>
      </c>
      <c r="F159">
        <f ca="1">SUM($E$2:E159)/SUM($D$2:D159)</f>
        <v>109.52014284762605</v>
      </c>
      <c r="G159">
        <f ca="1">_xlfn.STDEV.P($C$2:C159)</f>
        <v>4.1847839911464595</v>
      </c>
      <c r="H159">
        <f t="shared" ca="1" si="43"/>
        <v>113.70492683877251</v>
      </c>
      <c r="I159">
        <f t="shared" ca="1" si="44"/>
        <v>105.33535885647959</v>
      </c>
      <c r="J159">
        <f t="shared" ca="1" si="53"/>
        <v>113.559</v>
      </c>
      <c r="K159">
        <f t="shared" ca="1" si="54"/>
        <v>1.4909407132835029</v>
      </c>
      <c r="L159">
        <f t="shared" ca="1" si="55"/>
        <v>116.540881426567</v>
      </c>
      <c r="M159">
        <f t="shared" ca="1" si="56"/>
        <v>110.577118573433</v>
      </c>
      <c r="N159">
        <f t="shared" ca="1" si="45"/>
        <v>6.0000000000002274E-2</v>
      </c>
      <c r="O159">
        <f t="shared" ca="1" si="46"/>
        <v>6.0000000000002274E-2</v>
      </c>
      <c r="P159">
        <f t="shared" ca="1" si="47"/>
        <v>0</v>
      </c>
      <c r="Q159">
        <f t="shared" ca="1" si="51"/>
        <v>0.61658384153247237</v>
      </c>
      <c r="R159">
        <f t="shared" ca="1" si="52"/>
        <v>0.51183582436842212</v>
      </c>
      <c r="S159">
        <f t="shared" ca="1" si="49"/>
        <v>1.2046515936888624</v>
      </c>
      <c r="T159">
        <f t="shared" ca="1" si="50"/>
        <v>54.641359076298215</v>
      </c>
      <c r="U159">
        <f>70</f>
        <v>70</v>
      </c>
      <c r="V159">
        <f>30</f>
        <v>30</v>
      </c>
      <c r="W159">
        <f t="shared" ca="1" si="48"/>
        <v>113.52906308878202</v>
      </c>
      <c r="X159">
        <f t="shared" ca="1" si="58"/>
        <v>112.94507600928424</v>
      </c>
      <c r="Y159">
        <f t="shared" ca="1" si="57"/>
        <v>0.57989183575750758</v>
      </c>
      <c r="Z159">
        <f t="shared" ca="1" si="38"/>
        <v>0.7092168209428904</v>
      </c>
      <c r="AA159">
        <f t="shared" ca="1" si="39"/>
        <v>-0.12932498518538282</v>
      </c>
      <c r="AB159">
        <f t="shared" ca="1" si="40"/>
        <v>109.96720000000001</v>
      </c>
    </row>
    <row r="160" spans="1:28" x14ac:dyDescent="0.25">
      <c r="A160" s="20">
        <f t="shared" ca="1" si="41"/>
        <v>45936</v>
      </c>
      <c r="B160" vm="465">
        <f ca="1"/>
        <v>45938</v>
      </c>
      <c r="C160" vm="466">
        <f ca="1"/>
        <v>114.02</v>
      </c>
      <c r="D160" vm="467">
        <f ca="1"/>
        <v>12300968</v>
      </c>
      <c r="E160">
        <f t="shared" ca="1" si="42"/>
        <v>1402556371.3599999</v>
      </c>
      <c r="F160">
        <f ca="1">SUM($E$2:E160)/SUM($D$2:D160)</f>
        <v>109.54076464700539</v>
      </c>
      <c r="G160">
        <f ca="1">_xlfn.STDEV.P($C$2:C160)</f>
        <v>4.1853658094108708</v>
      </c>
      <c r="H160">
        <f t="shared" ca="1" si="43"/>
        <v>113.72613045641626</v>
      </c>
      <c r="I160">
        <f t="shared" ca="1" si="44"/>
        <v>105.35539883759452</v>
      </c>
      <c r="J160">
        <f t="shared" ca="1" si="53"/>
        <v>113.63499999999999</v>
      </c>
      <c r="K160">
        <f t="shared" ca="1" si="54"/>
        <v>1.4727471644944083</v>
      </c>
      <c r="L160">
        <f t="shared" ca="1" si="55"/>
        <v>116.58049432898881</v>
      </c>
      <c r="M160">
        <f t="shared" ca="1" si="56"/>
        <v>110.68950567101118</v>
      </c>
      <c r="N160">
        <f t="shared" ca="1" si="45"/>
        <v>-0.24000000000000909</v>
      </c>
      <c r="O160">
        <f t="shared" ca="1" si="46"/>
        <v>0</v>
      </c>
      <c r="P160">
        <f t="shared" ca="1" si="47"/>
        <v>0.24000000000000909</v>
      </c>
      <c r="Q160">
        <f t="shared" ca="1" si="51"/>
        <v>0.57254213856586722</v>
      </c>
      <c r="R160">
        <f t="shared" ca="1" si="52"/>
        <v>0.49241897977067833</v>
      </c>
      <c r="S160">
        <f t="shared" ca="1" si="49"/>
        <v>1.1627133845094733</v>
      </c>
      <c r="T160">
        <f t="shared" ca="1" si="50"/>
        <v>53.761787985290027</v>
      </c>
      <c r="U160">
        <f>70</f>
        <v>70</v>
      </c>
      <c r="V160">
        <f>30</f>
        <v>30</v>
      </c>
      <c r="W160">
        <f t="shared" ca="1" si="48"/>
        <v>113.60459184435402</v>
      </c>
      <c r="X160">
        <f t="shared" ca="1" si="58"/>
        <v>113.02470000859651</v>
      </c>
      <c r="Y160">
        <f t="shared" ca="1" si="57"/>
        <v>0.48152784894379863</v>
      </c>
      <c r="Z160">
        <f t="shared" ca="1" si="38"/>
        <v>0.66367902654307209</v>
      </c>
      <c r="AA160">
        <f t="shared" ca="1" si="39"/>
        <v>-0.18215117759927346</v>
      </c>
      <c r="AB160">
        <f t="shared" ca="1" si="40"/>
        <v>110.02159999999999</v>
      </c>
    </row>
    <row r="161" spans="1:28" x14ac:dyDescent="0.25">
      <c r="A161" s="20">
        <f t="shared" ca="1" si="41"/>
        <v>45936</v>
      </c>
      <c r="B161" vm="468">
        <f ca="1"/>
        <v>45939</v>
      </c>
      <c r="C161" vm="291">
        <f ca="1"/>
        <v>112.91</v>
      </c>
      <c r="D161" vm="469">
        <f ca="1"/>
        <v>10976215</v>
      </c>
      <c r="E161">
        <f t="shared" ca="1" si="42"/>
        <v>1239324435.6499999</v>
      </c>
      <c r="F161">
        <f ca="1">SUM($E$2:E161)/SUM($D$2:D161)</f>
        <v>109.55448610272907</v>
      </c>
      <c r="G161">
        <f ca="1">_xlfn.STDEV.P($C$2:C161)</f>
        <v>4.1796582078412827</v>
      </c>
      <c r="H161">
        <f t="shared" ca="1" si="43"/>
        <v>113.73414431057036</v>
      </c>
      <c r="I161">
        <f t="shared" ca="1" si="44"/>
        <v>105.37482789488779</v>
      </c>
      <c r="J161">
        <f t="shared" ca="1" si="53"/>
        <v>113.67349999999999</v>
      </c>
      <c r="K161">
        <f t="shared" ca="1" si="54"/>
        <v>1.4413381027072705</v>
      </c>
      <c r="L161">
        <f t="shared" ca="1" si="55"/>
        <v>116.55617620541453</v>
      </c>
      <c r="M161">
        <f t="shared" ca="1" si="56"/>
        <v>110.79082379458545</v>
      </c>
      <c r="N161">
        <f t="shared" ca="1" si="45"/>
        <v>-1.1099999999999994</v>
      </c>
      <c r="O161">
        <f t="shared" ca="1" si="46"/>
        <v>0</v>
      </c>
      <c r="P161">
        <f t="shared" ca="1" si="47"/>
        <v>1.1099999999999994</v>
      </c>
      <c r="Q161">
        <f t="shared" ca="1" si="51"/>
        <v>0.53164627152544808</v>
      </c>
      <c r="R161">
        <f t="shared" ca="1" si="52"/>
        <v>0.53653190978705845</v>
      </c>
      <c r="S161">
        <f t="shared" ca="1" si="49"/>
        <v>0.99089403971601731</v>
      </c>
      <c r="T161">
        <f t="shared" ca="1" si="50"/>
        <v>49.771309770828346</v>
      </c>
      <c r="U161">
        <f>70</f>
        <v>70</v>
      </c>
      <c r="V161">
        <f>30</f>
        <v>30</v>
      </c>
      <c r="W161">
        <f t="shared" ca="1" si="48"/>
        <v>113.49773156060724</v>
      </c>
      <c r="X161">
        <f t="shared" ca="1" si="58"/>
        <v>113.01620371166344</v>
      </c>
      <c r="Y161">
        <f t="shared" ca="1" si="57"/>
        <v>0.22507141655194118</v>
      </c>
      <c r="Z161">
        <f t="shared" ca="1" si="38"/>
        <v>0.57595750454484596</v>
      </c>
      <c r="AA161">
        <f t="shared" ca="1" si="39"/>
        <v>-0.35088608799290477</v>
      </c>
      <c r="AB161">
        <f t="shared" ca="1" si="40"/>
        <v>110.0688</v>
      </c>
    </row>
    <row r="162" spans="1:28" x14ac:dyDescent="0.25">
      <c r="A162" s="20">
        <f t="shared" ca="1" si="41"/>
        <v>45936</v>
      </c>
      <c r="B162" vm="470">
        <f ca="1"/>
        <v>45940</v>
      </c>
      <c r="C162" vm="471">
        <f ca="1"/>
        <v>110.73</v>
      </c>
      <c r="D162" vm="472">
        <f ca="1"/>
        <v>13811577</v>
      </c>
      <c r="E162">
        <f t="shared" ca="1" si="42"/>
        <v>1529355921.21</v>
      </c>
      <c r="F162">
        <f ca="1">SUM($E$2:E162)/SUM($D$2:D162)</f>
        <v>109.56047942141281</v>
      </c>
      <c r="G162">
        <f ca="1">_xlfn.STDEV.P($C$2:C162)</f>
        <v>4.1673305293192735</v>
      </c>
      <c r="H162">
        <f t="shared" ca="1" si="43"/>
        <v>113.72780995073208</v>
      </c>
      <c r="I162">
        <f t="shared" ca="1" si="44"/>
        <v>105.39314889209354</v>
      </c>
      <c r="J162">
        <f t="shared" ca="1" si="53"/>
        <v>113.602</v>
      </c>
      <c r="K162">
        <f t="shared" ca="1" si="54"/>
        <v>1.551619188223438</v>
      </c>
      <c r="L162">
        <f t="shared" ca="1" si="55"/>
        <v>116.70523837644689</v>
      </c>
      <c r="M162">
        <f t="shared" ca="1" si="56"/>
        <v>110.49876162355312</v>
      </c>
      <c r="N162">
        <f t="shared" ca="1" si="45"/>
        <v>-2.1799999999999926</v>
      </c>
      <c r="O162">
        <f t="shared" ca="1" si="46"/>
        <v>0</v>
      </c>
      <c r="P162">
        <f t="shared" ca="1" si="47"/>
        <v>2.1799999999999926</v>
      </c>
      <c r="Q162">
        <f t="shared" ca="1" si="51"/>
        <v>0.49367153784505896</v>
      </c>
      <c r="R162">
        <f t="shared" ca="1" si="52"/>
        <v>0.65392248765941097</v>
      </c>
      <c r="S162">
        <f t="shared" ca="1" si="49"/>
        <v>0.75493892190810064</v>
      </c>
      <c r="T162">
        <f t="shared" ca="1" si="50"/>
        <v>43.017959912090539</v>
      </c>
      <c r="U162">
        <f>70</f>
        <v>70</v>
      </c>
      <c r="V162">
        <f>30</f>
        <v>30</v>
      </c>
      <c r="W162">
        <f t="shared" ca="1" si="48"/>
        <v>113.0719267051292</v>
      </c>
      <c r="X162">
        <f t="shared" ca="1" si="58"/>
        <v>112.84685528857726</v>
      </c>
      <c r="Y162">
        <f t="shared" ca="1" si="57"/>
        <v>0.14203493628421882</v>
      </c>
      <c r="Z162">
        <f t="shared" ca="1" si="38"/>
        <v>0.48917299089272054</v>
      </c>
      <c r="AA162">
        <f t="shared" ca="1" si="39"/>
        <v>-0.34713805460850172</v>
      </c>
      <c r="AB162">
        <f t="shared" ca="1" si="40"/>
        <v>110.11139999999999</v>
      </c>
    </row>
    <row r="163" spans="1:28" x14ac:dyDescent="0.25">
      <c r="A163" s="20">
        <f t="shared" ca="1" si="41"/>
        <v>45943</v>
      </c>
      <c r="B163" vm="473">
        <f ca="1"/>
        <v>45943</v>
      </c>
      <c r="C163" vm="474">
        <f ca="1"/>
        <v>112.24</v>
      </c>
      <c r="D163" vm="475">
        <f ca="1"/>
        <v>10296499</v>
      </c>
      <c r="E163">
        <f t="shared" ca="1" si="42"/>
        <v>1155679047.76</v>
      </c>
      <c r="F163">
        <f ca="1">SUM($E$2:E163)/SUM($D$2:D163)</f>
        <v>109.57062543486924</v>
      </c>
      <c r="G163">
        <f ca="1">_xlfn.STDEV.P($C$2:C163)</f>
        <v>4.1589040488471438</v>
      </c>
      <c r="H163">
        <f t="shared" ca="1" si="43"/>
        <v>113.72952948371639</v>
      </c>
      <c r="I163">
        <f t="shared" ca="1" si="44"/>
        <v>105.41172138602209</v>
      </c>
      <c r="J163">
        <f t="shared" ca="1" si="53"/>
        <v>113.59649999999999</v>
      </c>
      <c r="K163">
        <f t="shared" ca="1" si="54"/>
        <v>1.5564780587494396</v>
      </c>
      <c r="L163">
        <f t="shared" ca="1" si="55"/>
        <v>116.70945611749887</v>
      </c>
      <c r="M163">
        <f t="shared" ca="1" si="56"/>
        <v>110.48354388250111</v>
      </c>
      <c r="N163">
        <f t="shared" ca="1" si="45"/>
        <v>1.5099999999999909</v>
      </c>
      <c r="O163">
        <f t="shared" ca="1" si="46"/>
        <v>1.5099999999999909</v>
      </c>
      <c r="P163">
        <f t="shared" ca="1" si="47"/>
        <v>0</v>
      </c>
      <c r="Q163">
        <f t="shared" ca="1" si="51"/>
        <v>0.56626642799898275</v>
      </c>
      <c r="R163">
        <f t="shared" ca="1" si="52"/>
        <v>0.60721373854088156</v>
      </c>
      <c r="S163">
        <f t="shared" ca="1" si="49"/>
        <v>0.93256524359891113</v>
      </c>
      <c r="T163">
        <f t="shared" ca="1" si="50"/>
        <v>48.255304533069506</v>
      </c>
      <c r="U163">
        <f>70</f>
        <v>70</v>
      </c>
      <c r="V163">
        <f>30</f>
        <v>30</v>
      </c>
      <c r="W163">
        <f t="shared" ca="1" si="48"/>
        <v>112.94393798126316</v>
      </c>
      <c r="X163">
        <f t="shared" ca="1" si="58"/>
        <v>112.80190304497894</v>
      </c>
      <c r="Y163">
        <f t="shared" ca="1" si="57"/>
        <v>7.9347837085464334E-2</v>
      </c>
      <c r="Z163">
        <f t="shared" ca="1" si="38"/>
        <v>0.40720796013126936</v>
      </c>
      <c r="AA163">
        <f t="shared" ca="1" si="39"/>
        <v>-0.32786012304580503</v>
      </c>
      <c r="AB163">
        <f t="shared" ca="1" si="40"/>
        <v>110.18430000000001</v>
      </c>
    </row>
    <row r="164" spans="1:28" x14ac:dyDescent="0.25">
      <c r="A164" s="20">
        <f t="shared" ca="1" si="41"/>
        <v>45943</v>
      </c>
      <c r="B164" vm="476">
        <f ca="1"/>
        <v>45944</v>
      </c>
      <c r="C164" vm="477">
        <f ca="1"/>
        <v>112.29</v>
      </c>
      <c r="D164" vm="478">
        <f ca="1"/>
        <v>11167154</v>
      </c>
      <c r="E164">
        <f t="shared" ca="1" si="42"/>
        <v>1253959722.6600001</v>
      </c>
      <c r="F164">
        <f ca="1">SUM($E$2:E164)/SUM($D$2:D164)</f>
        <v>109.58174737195681</v>
      </c>
      <c r="G164">
        <f ca="1">_xlfn.STDEV.P($C$2:C164)</f>
        <v>4.1506909593221062</v>
      </c>
      <c r="H164">
        <f t="shared" ca="1" si="43"/>
        <v>113.73243833127891</v>
      </c>
      <c r="I164">
        <f t="shared" ca="1" si="44"/>
        <v>105.4310564126347</v>
      </c>
      <c r="J164">
        <f t="shared" ca="1" si="53"/>
        <v>113.477</v>
      </c>
      <c r="K164">
        <f t="shared" ca="1" si="54"/>
        <v>1.5606547209087405</v>
      </c>
      <c r="L164">
        <f t="shared" ca="1" si="55"/>
        <v>116.59830944181749</v>
      </c>
      <c r="M164">
        <f t="shared" ca="1" si="56"/>
        <v>110.35569055818252</v>
      </c>
      <c r="N164">
        <f t="shared" ca="1" si="45"/>
        <v>5.0000000000011369E-2</v>
      </c>
      <c r="O164">
        <f t="shared" ca="1" si="46"/>
        <v>5.0000000000011369E-2</v>
      </c>
      <c r="P164">
        <f t="shared" ca="1" si="47"/>
        <v>0</v>
      </c>
      <c r="Q164">
        <f t="shared" ca="1" si="51"/>
        <v>0.52939025457048483</v>
      </c>
      <c r="R164">
        <f t="shared" ca="1" si="52"/>
        <v>0.56384132864510428</v>
      </c>
      <c r="S164">
        <f t="shared" ca="1" si="49"/>
        <v>0.93889934574784639</v>
      </c>
      <c r="T164">
        <f t="shared" ca="1" si="50"/>
        <v>48.424346926874982</v>
      </c>
      <c r="U164">
        <f>70</f>
        <v>70</v>
      </c>
      <c r="V164">
        <f>30</f>
        <v>30</v>
      </c>
      <c r="W164">
        <f t="shared" ca="1" si="48"/>
        <v>112.84333213799189</v>
      </c>
      <c r="X164">
        <f t="shared" ca="1" si="58"/>
        <v>112.76398430090643</v>
      </c>
      <c r="Y164">
        <f t="shared" ca="1" si="57"/>
        <v>-2.4915250173762615E-2</v>
      </c>
      <c r="Z164">
        <f t="shared" ca="1" si="38"/>
        <v>0.320783318070263</v>
      </c>
      <c r="AA164">
        <f t="shared" ca="1" si="39"/>
        <v>-0.34569856824402562</v>
      </c>
      <c r="AB164">
        <f t="shared" ca="1" si="40"/>
        <v>110.27060000000002</v>
      </c>
    </row>
    <row r="165" spans="1:28" x14ac:dyDescent="0.25">
      <c r="A165" s="20">
        <f t="shared" ca="1" si="41"/>
        <v>45943</v>
      </c>
      <c r="B165" vm="479">
        <f ca="1"/>
        <v>45945</v>
      </c>
      <c r="C165" vm="480">
        <f ca="1"/>
        <v>111.61</v>
      </c>
      <c r="D165" vm="481">
        <f ca="1"/>
        <v>12182935</v>
      </c>
      <c r="E165">
        <f t="shared" ca="1" si="42"/>
        <v>1359737375.3499999</v>
      </c>
      <c r="F165">
        <f ca="1">SUM($E$2:E165)/SUM($D$2:D165)</f>
        <v>109.590757052645</v>
      </c>
      <c r="G165">
        <f ca="1">_xlfn.STDEV.P($C$2:C165)</f>
        <v>4.1403804150596955</v>
      </c>
      <c r="H165">
        <f t="shared" ca="1" si="43"/>
        <v>113.7311374677047</v>
      </c>
      <c r="I165">
        <f t="shared" ca="1" si="44"/>
        <v>105.45037663758531</v>
      </c>
      <c r="J165">
        <f t="shared" ca="1" si="53"/>
        <v>113.29300000000001</v>
      </c>
      <c r="K165">
        <f t="shared" ca="1" si="54"/>
        <v>1.5525669745702813</v>
      </c>
      <c r="L165">
        <f t="shared" ca="1" si="55"/>
        <v>116.39813394914057</v>
      </c>
      <c r="M165">
        <f t="shared" ca="1" si="56"/>
        <v>110.18786605085944</v>
      </c>
      <c r="N165">
        <f t="shared" ca="1" si="45"/>
        <v>-0.68000000000000682</v>
      </c>
      <c r="O165">
        <f t="shared" ca="1" si="46"/>
        <v>0</v>
      </c>
      <c r="P165">
        <f t="shared" ca="1" si="47"/>
        <v>0.68000000000000682</v>
      </c>
      <c r="Q165">
        <f t="shared" ca="1" si="51"/>
        <v>0.49157666495830732</v>
      </c>
      <c r="R165">
        <f t="shared" ca="1" si="52"/>
        <v>0.57213837659902589</v>
      </c>
      <c r="S165">
        <f t="shared" ca="1" si="49"/>
        <v>0.85919191067097578</v>
      </c>
      <c r="T165">
        <f t="shared" ca="1" si="50"/>
        <v>46.213191104133863</v>
      </c>
      <c r="U165">
        <f>70</f>
        <v>70</v>
      </c>
      <c r="V165">
        <f>30</f>
        <v>30</v>
      </c>
      <c r="W165">
        <f t="shared" ca="1" si="48"/>
        <v>112.653588732147</v>
      </c>
      <c r="X165">
        <f t="shared" ca="1" si="58"/>
        <v>112.67850398232076</v>
      </c>
      <c r="Y165">
        <f t="shared" ca="1" si="57"/>
        <v>-0.18369783705580289</v>
      </c>
      <c r="Z165">
        <f t="shared" ca="1" si="38"/>
        <v>0.21988708704504983</v>
      </c>
      <c r="AA165">
        <f t="shared" ca="1" si="39"/>
        <v>-0.40358492410085273</v>
      </c>
      <c r="AB165">
        <f t="shared" ca="1" si="40"/>
        <v>110.35700000000001</v>
      </c>
    </row>
    <row r="166" spans="1:28" x14ac:dyDescent="0.25">
      <c r="A166" s="20">
        <f t="shared" ca="1" si="41"/>
        <v>45943</v>
      </c>
      <c r="B166" vm="482">
        <f ca="1"/>
        <v>45946</v>
      </c>
      <c r="C166" vm="483">
        <f ca="1"/>
        <v>110.64</v>
      </c>
      <c r="D166" vm="484">
        <f ca="1"/>
        <v>11782202</v>
      </c>
      <c r="E166">
        <f t="shared" ca="1" si="42"/>
        <v>1303582829.28</v>
      </c>
      <c r="F166">
        <f ca="1">SUM($E$2:E166)/SUM($D$2:D166)</f>
        <v>109.59524529422838</v>
      </c>
      <c r="G166">
        <f ca="1">_xlfn.STDEV.P($C$2:C166)</f>
        <v>4.1283003188355503</v>
      </c>
      <c r="H166">
        <f t="shared" ca="1" si="43"/>
        <v>113.72354561306393</v>
      </c>
      <c r="I166">
        <f t="shared" ca="1" si="44"/>
        <v>105.46694497539282</v>
      </c>
      <c r="J166">
        <f t="shared" ca="1" si="53"/>
        <v>113.12849999999999</v>
      </c>
      <c r="K166">
        <f t="shared" ca="1" si="54"/>
        <v>1.6525937349002566</v>
      </c>
      <c r="L166">
        <f t="shared" ca="1" si="55"/>
        <v>116.4336874698005</v>
      </c>
      <c r="M166">
        <f t="shared" ca="1" si="56"/>
        <v>109.82331253019947</v>
      </c>
      <c r="N166">
        <f t="shared" ca="1" si="45"/>
        <v>-0.96999999999999886</v>
      </c>
      <c r="O166">
        <f t="shared" ca="1" si="46"/>
        <v>0</v>
      </c>
      <c r="P166">
        <f t="shared" ca="1" si="47"/>
        <v>0.96999999999999886</v>
      </c>
      <c r="Q166">
        <f t="shared" ca="1" si="51"/>
        <v>0.45646404603271395</v>
      </c>
      <c r="R166">
        <f t="shared" ca="1" si="52"/>
        <v>0.60055706398480968</v>
      </c>
      <c r="S166">
        <f t="shared" ca="1" si="49"/>
        <v>0.76006773278793638</v>
      </c>
      <c r="T166">
        <f t="shared" ca="1" si="50"/>
        <v>43.184004719181679</v>
      </c>
      <c r="U166">
        <f>70</f>
        <v>70</v>
      </c>
      <c r="V166">
        <f>30</f>
        <v>30</v>
      </c>
      <c r="W166">
        <f t="shared" ca="1" si="48"/>
        <v>112.34380585027824</v>
      </c>
      <c r="X166">
        <f t="shared" ca="1" si="58"/>
        <v>112.52750368733405</v>
      </c>
      <c r="Y166">
        <f t="shared" ca="1" si="57"/>
        <v>-0.1783713984356865</v>
      </c>
      <c r="Z166">
        <f t="shared" ref="Z166:Z229" ca="1" si="59">Y166*(2/(9+1)) + Z165*(1-(2/(9+1)))</f>
        <v>0.14023538994890258</v>
      </c>
      <c r="AA166">
        <f t="shared" ref="AA166:AA229" ca="1" si="60">Y166-Z166</f>
        <v>-0.31860678838458911</v>
      </c>
      <c r="AB166">
        <f t="shared" ref="AB166:AB229" ca="1" si="61">AVERAGE(C67:C166)</f>
        <v>110.43310000000001</v>
      </c>
    </row>
    <row r="167" spans="1:28" x14ac:dyDescent="0.25">
      <c r="A167" s="20">
        <f t="shared" ca="1" si="41"/>
        <v>45943</v>
      </c>
      <c r="B167" vm="485">
        <f ca="1"/>
        <v>45947</v>
      </c>
      <c r="C167" vm="474">
        <f ca="1"/>
        <v>112.24</v>
      </c>
      <c r="D167" vm="486">
        <f ca="1"/>
        <v>13460069</v>
      </c>
      <c r="E167">
        <f t="shared" ca="1" si="42"/>
        <v>1510758144.5599999</v>
      </c>
      <c r="F167">
        <f ca="1">SUM($E$2:E167)/SUM($D$2:D167)</f>
        <v>109.608106724362</v>
      </c>
      <c r="G167">
        <f ca="1">_xlfn.STDEV.P($C$2:C167)</f>
        <v>4.1200725651827907</v>
      </c>
      <c r="H167">
        <f t="shared" ca="1" si="43"/>
        <v>113.7281792895448</v>
      </c>
      <c r="I167">
        <f t="shared" ca="1" si="44"/>
        <v>105.48803415917921</v>
      </c>
      <c r="J167">
        <f t="shared" ca="1" si="53"/>
        <v>113.09949999999999</v>
      </c>
      <c r="K167">
        <f t="shared" ca="1" si="54"/>
        <v>1.6633462626505897</v>
      </c>
      <c r="L167">
        <f t="shared" ca="1" si="55"/>
        <v>116.42619252530118</v>
      </c>
      <c r="M167">
        <f t="shared" ca="1" si="56"/>
        <v>109.77280747469881</v>
      </c>
      <c r="N167">
        <f t="shared" ca="1" si="45"/>
        <v>1.5999999999999943</v>
      </c>
      <c r="O167">
        <f t="shared" ca="1" si="46"/>
        <v>1.5999999999999943</v>
      </c>
      <c r="P167">
        <f t="shared" ca="1" si="47"/>
        <v>0</v>
      </c>
      <c r="Q167">
        <f t="shared" ca="1" si="51"/>
        <v>0.53814518560180535</v>
      </c>
      <c r="R167">
        <f t="shared" ca="1" si="52"/>
        <v>0.55766013084303756</v>
      </c>
      <c r="S167">
        <f t="shared" ca="1" si="49"/>
        <v>0.96500566534722387</v>
      </c>
      <c r="T167">
        <f t="shared" ca="1" si="50"/>
        <v>49.109561481936176</v>
      </c>
      <c r="U167">
        <f>70</f>
        <v>70</v>
      </c>
      <c r="V167">
        <f>30</f>
        <v>30</v>
      </c>
      <c r="W167">
        <f t="shared" ca="1" si="48"/>
        <v>112.32783571946621</v>
      </c>
      <c r="X167">
        <f t="shared" ca="1" si="58"/>
        <v>112.50620711790189</v>
      </c>
      <c r="Y167">
        <f t="shared" ca="1" si="57"/>
        <v>-0.13547038358021268</v>
      </c>
      <c r="Z167">
        <f t="shared" ca="1" si="59"/>
        <v>8.5094235243079533E-2</v>
      </c>
      <c r="AA167">
        <f t="shared" ca="1" si="60"/>
        <v>-0.2205646188232922</v>
      </c>
      <c r="AB167">
        <f t="shared" ca="1" si="61"/>
        <v>110.52030000000002</v>
      </c>
    </row>
    <row r="168" spans="1:28" x14ac:dyDescent="0.25">
      <c r="A168" s="20">
        <f t="shared" ca="1" si="41"/>
        <v>45950</v>
      </c>
      <c r="B168" vm="487">
        <f ca="1"/>
        <v>45950</v>
      </c>
      <c r="C168" vm="488">
        <f ca="1"/>
        <v>112.7</v>
      </c>
      <c r="D168" vm="489">
        <f ca="1"/>
        <v>9523617</v>
      </c>
      <c r="E168">
        <f t="shared" ca="1" si="42"/>
        <v>1073311635.9</v>
      </c>
      <c r="F168">
        <f ca="1">SUM($E$2:E168)/SUM($D$2:D168)</f>
        <v>109.61870880839487</v>
      </c>
      <c r="G168">
        <f ca="1">_xlfn.STDEV.P($C$2:C168)</f>
        <v>4.1136252342282003</v>
      </c>
      <c r="H168">
        <f t="shared" ca="1" si="43"/>
        <v>113.73233404262307</v>
      </c>
      <c r="I168">
        <f t="shared" ca="1" si="44"/>
        <v>105.50508357416668</v>
      </c>
      <c r="J168">
        <f t="shared" ca="1" si="53"/>
        <v>113.1335</v>
      </c>
      <c r="K168">
        <f t="shared" ca="1" si="54"/>
        <v>1.6469885597020621</v>
      </c>
      <c r="L168">
        <f t="shared" ca="1" si="55"/>
        <v>116.42747711940412</v>
      </c>
      <c r="M168">
        <f t="shared" ca="1" si="56"/>
        <v>109.83952288059588</v>
      </c>
      <c r="N168">
        <f t="shared" ca="1" si="45"/>
        <v>0.46000000000000796</v>
      </c>
      <c r="O168">
        <f t="shared" ca="1" si="46"/>
        <v>0.46000000000000796</v>
      </c>
      <c r="P168">
        <f t="shared" ca="1" si="47"/>
        <v>0</v>
      </c>
      <c r="Q168">
        <f t="shared" ca="1" si="51"/>
        <v>0.53256338663024838</v>
      </c>
      <c r="R168">
        <f t="shared" ca="1" si="52"/>
        <v>0.51782726435424919</v>
      </c>
      <c r="S168">
        <f t="shared" ca="1" si="49"/>
        <v>1.0284576021588505</v>
      </c>
      <c r="T168">
        <f t="shared" ca="1" si="50"/>
        <v>50.701459131523464</v>
      </c>
      <c r="U168">
        <f>70</f>
        <v>70</v>
      </c>
      <c r="V168">
        <f>30</f>
        <v>30</v>
      </c>
      <c r="W168">
        <f t="shared" ca="1" si="48"/>
        <v>112.38509176262525</v>
      </c>
      <c r="X168">
        <f t="shared" ca="1" si="58"/>
        <v>112.52056214620546</v>
      </c>
      <c r="Y168">
        <f t="shared" ca="1" si="57"/>
        <v>-9.9516934521588496E-2</v>
      </c>
      <c r="Z168">
        <f t="shared" ca="1" si="59"/>
        <v>4.8172001290145927E-2</v>
      </c>
      <c r="AA168">
        <f t="shared" ca="1" si="60"/>
        <v>-0.14768893581173442</v>
      </c>
      <c r="AB168">
        <f t="shared" ca="1" si="61"/>
        <v>110.62620000000001</v>
      </c>
    </row>
    <row r="169" spans="1:28" x14ac:dyDescent="0.25">
      <c r="A169" s="20">
        <f t="shared" ca="1" si="41"/>
        <v>45950</v>
      </c>
      <c r="B169" vm="490">
        <f ca="1"/>
        <v>45951</v>
      </c>
      <c r="C169" vm="491">
        <f ca="1"/>
        <v>112.71</v>
      </c>
      <c r="D169" vm="492">
        <f ca="1"/>
        <v>9202349</v>
      </c>
      <c r="E169">
        <f t="shared" ca="1" si="42"/>
        <v>1037196755.79</v>
      </c>
      <c r="F169">
        <f ca="1">SUM($E$2:E169)/SUM($D$2:D169)</f>
        <v>109.62891742429274</v>
      </c>
      <c r="G169">
        <f ca="1">_xlfn.STDEV.P($C$2:C169)</f>
        <v>4.1072157326177852</v>
      </c>
      <c r="H169">
        <f t="shared" ca="1" si="43"/>
        <v>113.73613315691053</v>
      </c>
      <c r="I169">
        <f t="shared" ca="1" si="44"/>
        <v>105.52170169167495</v>
      </c>
      <c r="J169">
        <f t="shared" ca="1" si="53"/>
        <v>113.07149999999999</v>
      </c>
      <c r="K169">
        <f t="shared" ca="1" si="54"/>
        <v>1.6379488938753153</v>
      </c>
      <c r="L169">
        <f t="shared" ca="1" si="55"/>
        <v>116.34739778775062</v>
      </c>
      <c r="M169">
        <f t="shared" ca="1" si="56"/>
        <v>109.79560221224935</v>
      </c>
      <c r="N169">
        <f t="shared" ca="1" si="45"/>
        <v>9.9999999999909051E-3</v>
      </c>
      <c r="O169">
        <f t="shared" ca="1" si="46"/>
        <v>9.9999999999909051E-3</v>
      </c>
      <c r="P169">
        <f t="shared" ca="1" si="47"/>
        <v>0</v>
      </c>
      <c r="Q169">
        <f t="shared" ca="1" si="51"/>
        <v>0.49523743044237284</v>
      </c>
      <c r="R169">
        <f t="shared" ca="1" si="52"/>
        <v>0.48083960261465997</v>
      </c>
      <c r="S169">
        <f t="shared" ca="1" si="49"/>
        <v>1.029943099007282</v>
      </c>
      <c r="T169">
        <f t="shared" ca="1" si="50"/>
        <v>50.737535427025641</v>
      </c>
      <c r="U169">
        <f>70</f>
        <v>70</v>
      </c>
      <c r="V169">
        <f>30</f>
        <v>30</v>
      </c>
      <c r="W169">
        <f t="shared" ca="1" si="48"/>
        <v>112.43507764529829</v>
      </c>
      <c r="X169">
        <f t="shared" ca="1" si="58"/>
        <v>112.53459457981988</v>
      </c>
      <c r="Y169">
        <f t="shared" ca="1" si="57"/>
        <v>8.9329977812340644E-2</v>
      </c>
      <c r="Z169">
        <f t="shared" ca="1" si="59"/>
        <v>5.6403596594584875E-2</v>
      </c>
      <c r="AA169">
        <f t="shared" ca="1" si="60"/>
        <v>3.2926381217755769E-2</v>
      </c>
      <c r="AB169">
        <f t="shared" ca="1" si="61"/>
        <v>110.72640000000001</v>
      </c>
    </row>
    <row r="170" spans="1:28" x14ac:dyDescent="0.25">
      <c r="A170" s="20">
        <f t="shared" ca="1" si="41"/>
        <v>45950</v>
      </c>
      <c r="B170" vm="493">
        <f ca="1"/>
        <v>45952</v>
      </c>
      <c r="C170" vm="494">
        <f ca="1"/>
        <v>114.71</v>
      </c>
      <c r="D170" vm="495">
        <f ca="1"/>
        <v>12938790</v>
      </c>
      <c r="E170">
        <f t="shared" ca="1" si="42"/>
        <v>1484208600.8999999</v>
      </c>
      <c r="F170">
        <f ca="1">SUM($E$2:E170)/SUM($D$2:D170)</f>
        <v>109.6524011119034</v>
      </c>
      <c r="G170">
        <f ca="1">_xlfn.STDEV.P($C$2:C170)</f>
        <v>4.1117825540581219</v>
      </c>
      <c r="H170">
        <f t="shared" ca="1" si="43"/>
        <v>113.76418366596153</v>
      </c>
      <c r="I170">
        <f t="shared" ca="1" si="44"/>
        <v>105.54061855784528</v>
      </c>
      <c r="J170">
        <f t="shared" ca="1" si="53"/>
        <v>113.07899999999999</v>
      </c>
      <c r="K170">
        <f t="shared" ca="1" si="54"/>
        <v>1.6454495466365155</v>
      </c>
      <c r="L170">
        <f t="shared" ca="1" si="55"/>
        <v>116.36989909327302</v>
      </c>
      <c r="M170">
        <f t="shared" ca="1" si="56"/>
        <v>109.78810090672697</v>
      </c>
      <c r="N170">
        <f t="shared" ca="1" si="45"/>
        <v>2</v>
      </c>
      <c r="O170">
        <f t="shared" ca="1" si="46"/>
        <v>2</v>
      </c>
      <c r="P170">
        <f t="shared" ca="1" si="47"/>
        <v>0</v>
      </c>
      <c r="Q170">
        <f t="shared" ca="1" si="51"/>
        <v>0.60272047112506044</v>
      </c>
      <c r="R170">
        <f t="shared" ca="1" si="52"/>
        <v>0.44649391671361283</v>
      </c>
      <c r="S170">
        <f t="shared" ca="1" si="49"/>
        <v>1.3498962663620195</v>
      </c>
      <c r="T170">
        <f t="shared" ca="1" si="50"/>
        <v>57.444930045863472</v>
      </c>
      <c r="U170">
        <f>70</f>
        <v>70</v>
      </c>
      <c r="V170">
        <f>30</f>
        <v>30</v>
      </c>
      <c r="W170">
        <f t="shared" ca="1" si="48"/>
        <v>112.78506569986779</v>
      </c>
      <c r="X170">
        <f t="shared" ca="1" si="58"/>
        <v>112.69573572205545</v>
      </c>
      <c r="Y170">
        <f t="shared" ca="1" si="57"/>
        <v>0.33757949627553785</v>
      </c>
      <c r="Z170">
        <f t="shared" ca="1" si="59"/>
        <v>0.11263877653077548</v>
      </c>
      <c r="AA170">
        <f t="shared" ca="1" si="60"/>
        <v>0.22494071974476237</v>
      </c>
      <c r="AB170">
        <f t="shared" ca="1" si="61"/>
        <v>110.8505</v>
      </c>
    </row>
    <row r="171" spans="1:28" x14ac:dyDescent="0.25">
      <c r="A171" s="20">
        <f t="shared" ca="1" si="41"/>
        <v>45950</v>
      </c>
      <c r="B171" vm="496">
        <f ca="1"/>
        <v>45953</v>
      </c>
      <c r="C171" vm="497">
        <f ca="1"/>
        <v>115.98</v>
      </c>
      <c r="D171" vm="498">
        <f ca="1"/>
        <v>15001088</v>
      </c>
      <c r="E171">
        <f t="shared" ca="1" si="42"/>
        <v>1739826186.24</v>
      </c>
      <c r="F171">
        <f ca="1">SUM($E$2:E171)/SUM($D$2:D171)</f>
        <v>109.68612651467222</v>
      </c>
      <c r="G171">
        <f ca="1">_xlfn.STDEV.P($C$2:C171)</f>
        <v>4.1258968218770429</v>
      </c>
      <c r="H171">
        <f t="shared" ca="1" si="43"/>
        <v>113.81202333654927</v>
      </c>
      <c r="I171">
        <f t="shared" ca="1" si="44"/>
        <v>105.56022969279518</v>
      </c>
      <c r="J171">
        <f t="shared" ca="1" si="53"/>
        <v>113.09850000000002</v>
      </c>
      <c r="K171">
        <f t="shared" ca="1" si="54"/>
        <v>1.6787472616272683</v>
      </c>
      <c r="L171">
        <f t="shared" ca="1" si="55"/>
        <v>116.45599452325455</v>
      </c>
      <c r="M171">
        <f t="shared" ca="1" si="56"/>
        <v>109.74100547674549</v>
      </c>
      <c r="N171">
        <f t="shared" ca="1" si="45"/>
        <v>1.2700000000000102</v>
      </c>
      <c r="O171">
        <f t="shared" ca="1" si="46"/>
        <v>1.2700000000000102</v>
      </c>
      <c r="P171">
        <f t="shared" ca="1" si="47"/>
        <v>0</v>
      </c>
      <c r="Q171">
        <f t="shared" ca="1" si="51"/>
        <v>0.65038329461612832</v>
      </c>
      <c r="R171">
        <f t="shared" ca="1" si="52"/>
        <v>0.41460149409121189</v>
      </c>
      <c r="S171">
        <f t="shared" ca="1" si="49"/>
        <v>1.5686950092684535</v>
      </c>
      <c r="T171">
        <f t="shared" ca="1" si="50"/>
        <v>61.069726207597022</v>
      </c>
      <c r="U171">
        <f>70</f>
        <v>70</v>
      </c>
      <c r="V171">
        <f>30</f>
        <v>30</v>
      </c>
      <c r="W171">
        <f t="shared" ca="1" si="48"/>
        <v>113.27659405373427</v>
      </c>
      <c r="X171">
        <f t="shared" ca="1" si="58"/>
        <v>112.93901455745873</v>
      </c>
      <c r="Y171">
        <f t="shared" ca="1" si="57"/>
        <v>0.48116439539883515</v>
      </c>
      <c r="Z171">
        <f t="shared" ca="1" si="59"/>
        <v>0.18634390030438741</v>
      </c>
      <c r="AA171">
        <f t="shared" ca="1" si="60"/>
        <v>0.29482049509444774</v>
      </c>
      <c r="AB171">
        <f t="shared" ca="1" si="61"/>
        <v>110.97979999999998</v>
      </c>
    </row>
    <row r="172" spans="1:28" x14ac:dyDescent="0.25">
      <c r="A172" s="20">
        <f t="shared" ca="1" si="41"/>
        <v>45950</v>
      </c>
      <c r="B172" vm="499">
        <f ca="1"/>
        <v>45954</v>
      </c>
      <c r="C172" vm="500">
        <f ca="1"/>
        <v>115.39</v>
      </c>
      <c r="D172" vm="501">
        <f ca="1"/>
        <v>9919409</v>
      </c>
      <c r="E172">
        <f t="shared" ca="1" si="42"/>
        <v>1144600604.51</v>
      </c>
      <c r="F172">
        <f ca="1">SUM($E$2:E172)/SUM($D$2:D172)</f>
        <v>109.70615846359642</v>
      </c>
      <c r="G172">
        <f ca="1">_xlfn.STDEV.P($C$2:C172)</f>
        <v>4.1347342524431152</v>
      </c>
      <c r="H172">
        <f t="shared" ca="1" si="43"/>
        <v>113.84089271603953</v>
      </c>
      <c r="I172">
        <f t="shared" ca="1" si="44"/>
        <v>105.57142421115331</v>
      </c>
      <c r="J172">
        <f t="shared" ca="1" si="53"/>
        <v>113.00699999999999</v>
      </c>
      <c r="K172">
        <f t="shared" ca="1" si="54"/>
        <v>1.4804412571221708</v>
      </c>
      <c r="L172">
        <f t="shared" ca="1" si="55"/>
        <v>115.96788251424434</v>
      </c>
      <c r="M172">
        <f t="shared" ca="1" si="56"/>
        <v>110.04611748575564</v>
      </c>
      <c r="N172">
        <f t="shared" ca="1" si="45"/>
        <v>-0.59000000000000341</v>
      </c>
      <c r="O172">
        <f t="shared" ca="1" si="46"/>
        <v>0</v>
      </c>
      <c r="P172">
        <f t="shared" ca="1" si="47"/>
        <v>0.59000000000000341</v>
      </c>
      <c r="Q172">
        <f t="shared" ca="1" si="51"/>
        <v>0.60392734500069056</v>
      </c>
      <c r="R172">
        <f t="shared" ca="1" si="52"/>
        <v>0.42712995879898269</v>
      </c>
      <c r="S172">
        <f t="shared" ca="1" si="49"/>
        <v>1.4139194232566412</v>
      </c>
      <c r="T172">
        <f t="shared" ca="1" si="50"/>
        <v>58.573596518358897</v>
      </c>
      <c r="U172">
        <f>70</f>
        <v>70</v>
      </c>
      <c r="V172">
        <f>30</f>
        <v>30</v>
      </c>
      <c r="W172">
        <f t="shared" ca="1" si="48"/>
        <v>113.60173343008285</v>
      </c>
      <c r="X172">
        <f t="shared" ca="1" si="58"/>
        <v>113.12056903468401</v>
      </c>
      <c r="Y172">
        <f t="shared" ca="1" si="57"/>
        <v>0.63205097567607993</v>
      </c>
      <c r="Z172">
        <f t="shared" ca="1" si="59"/>
        <v>0.27548531537872589</v>
      </c>
      <c r="AA172">
        <f t="shared" ca="1" si="60"/>
        <v>0.35656566029735404</v>
      </c>
      <c r="AB172">
        <f t="shared" ca="1" si="61"/>
        <v>111.09569999999999</v>
      </c>
    </row>
    <row r="173" spans="1:28" x14ac:dyDescent="0.25">
      <c r="A173" s="20">
        <f t="shared" ca="1" si="41"/>
        <v>45957</v>
      </c>
      <c r="B173" vm="502">
        <f ca="1"/>
        <v>45957</v>
      </c>
      <c r="C173" vm="503">
        <f ca="1"/>
        <v>115.94</v>
      </c>
      <c r="D173" vm="504">
        <f ca="1"/>
        <v>10975412</v>
      </c>
      <c r="E173">
        <f t="shared" ca="1" si="42"/>
        <v>1272489267.28</v>
      </c>
      <c r="F173">
        <f ca="1">SUM($E$2:E173)/SUM($D$2:D173)</f>
        <v>109.73028859967532</v>
      </c>
      <c r="G173">
        <f ca="1">_xlfn.STDEV.P($C$2:C173)</f>
        <v>4.1475741474765195</v>
      </c>
      <c r="H173">
        <f t="shared" ca="1" si="43"/>
        <v>113.87786274715184</v>
      </c>
      <c r="I173">
        <f t="shared" ca="1" si="44"/>
        <v>105.5827144521988</v>
      </c>
      <c r="J173">
        <f t="shared" ca="1" si="53"/>
        <v>113.093</v>
      </c>
      <c r="K173">
        <f t="shared" ca="1" si="54"/>
        <v>1.5997634693587475</v>
      </c>
      <c r="L173">
        <f t="shared" ca="1" si="55"/>
        <v>116.2925269387175</v>
      </c>
      <c r="M173">
        <f t="shared" ca="1" si="56"/>
        <v>109.89347306128251</v>
      </c>
      <c r="N173">
        <f t="shared" ca="1" si="45"/>
        <v>0.54999999999999716</v>
      </c>
      <c r="O173">
        <f t="shared" ca="1" si="46"/>
        <v>0.54999999999999716</v>
      </c>
      <c r="P173">
        <f t="shared" ca="1" si="47"/>
        <v>0</v>
      </c>
      <c r="Q173">
        <f t="shared" ca="1" si="51"/>
        <v>0.60007539178635538</v>
      </c>
      <c r="R173">
        <f t="shared" ca="1" si="52"/>
        <v>0.3966206760276268</v>
      </c>
      <c r="S173">
        <f t="shared" ca="1" si="49"/>
        <v>1.5129705233636304</v>
      </c>
      <c r="T173">
        <f t="shared" ca="1" si="50"/>
        <v>60.206457230485448</v>
      </c>
      <c r="U173">
        <f>70</f>
        <v>70</v>
      </c>
      <c r="V173">
        <f>30</f>
        <v>30</v>
      </c>
      <c r="W173">
        <f t="shared" ca="1" si="48"/>
        <v>113.96146674853165</v>
      </c>
      <c r="X173">
        <f t="shared" ca="1" si="58"/>
        <v>113.32941577285557</v>
      </c>
      <c r="Y173">
        <f t="shared" ca="1" si="57"/>
        <v>0.67047150466052585</v>
      </c>
      <c r="Z173">
        <f t="shared" ca="1" si="59"/>
        <v>0.35448255323508593</v>
      </c>
      <c r="AA173">
        <f t="shared" ca="1" si="60"/>
        <v>0.31598895142543992</v>
      </c>
      <c r="AB173">
        <f t="shared" ca="1" si="61"/>
        <v>111.23209999999999</v>
      </c>
    </row>
    <row r="174" spans="1:28" x14ac:dyDescent="0.25">
      <c r="A174" s="20">
        <f t="shared" ca="1" si="41"/>
        <v>45957</v>
      </c>
      <c r="B174" vm="505">
        <f ca="1"/>
        <v>45958</v>
      </c>
      <c r="C174" vm="506">
        <f ca="1"/>
        <v>115.03</v>
      </c>
      <c r="D174" vm="507">
        <f ca="1"/>
        <v>9535211</v>
      </c>
      <c r="E174">
        <f t="shared" ca="1" si="42"/>
        <v>1096835321.3299999</v>
      </c>
      <c r="F174">
        <f ca="1">SUM($E$2:E174)/SUM($D$2:D174)</f>
        <v>109.7480512461333</v>
      </c>
      <c r="G174">
        <f ca="1">_xlfn.STDEV.P($C$2:C174)</f>
        <v>4.1530520348513882</v>
      </c>
      <c r="H174">
        <f t="shared" ca="1" si="43"/>
        <v>113.90110328098469</v>
      </c>
      <c r="I174">
        <f t="shared" ca="1" si="44"/>
        <v>105.59499921128192</v>
      </c>
      <c r="J174">
        <f t="shared" ca="1" si="53"/>
        <v>113.20700000000002</v>
      </c>
      <c r="K174">
        <f t="shared" ca="1" si="54"/>
        <v>1.654340701879373</v>
      </c>
      <c r="L174">
        <f t="shared" ca="1" si="55"/>
        <v>116.51568140375876</v>
      </c>
      <c r="M174">
        <f t="shared" ca="1" si="56"/>
        <v>109.89831859624128</v>
      </c>
      <c r="N174">
        <f t="shared" ca="1" si="45"/>
        <v>-0.90999999999999659</v>
      </c>
      <c r="O174">
        <f t="shared" ca="1" si="46"/>
        <v>0</v>
      </c>
      <c r="P174">
        <f t="shared" ca="1" si="47"/>
        <v>0.90999999999999659</v>
      </c>
      <c r="Q174">
        <f t="shared" ca="1" si="51"/>
        <v>0.55721286380161572</v>
      </c>
      <c r="R174">
        <f t="shared" ca="1" si="52"/>
        <v>0.43329062773993893</v>
      </c>
      <c r="S174">
        <f t="shared" ca="1" si="49"/>
        <v>1.286002576857155</v>
      </c>
      <c r="T174">
        <f t="shared" ca="1" si="50"/>
        <v>56.255517376764232</v>
      </c>
      <c r="U174">
        <f>70</f>
        <v>70</v>
      </c>
      <c r="V174">
        <f>30</f>
        <v>30</v>
      </c>
      <c r="W174">
        <f t="shared" ca="1" si="48"/>
        <v>114.12585647952679</v>
      </c>
      <c r="X174">
        <f t="shared" ca="1" si="58"/>
        <v>113.45538497486626</v>
      </c>
      <c r="Y174">
        <f t="shared" ca="1" si="57"/>
        <v>0.80620871107669245</v>
      </c>
      <c r="Z174">
        <f t="shared" ca="1" si="59"/>
        <v>0.44482778480340723</v>
      </c>
      <c r="AA174">
        <f t="shared" ca="1" si="60"/>
        <v>0.36138092627328522</v>
      </c>
      <c r="AB174">
        <f t="shared" ca="1" si="61"/>
        <v>111.36409999999999</v>
      </c>
    </row>
    <row r="175" spans="1:28" x14ac:dyDescent="0.25">
      <c r="A175" s="20">
        <f t="shared" ca="1" si="41"/>
        <v>45957</v>
      </c>
      <c r="B175" vm="508">
        <f ca="1"/>
        <v>45959</v>
      </c>
      <c r="C175" vm="509">
        <f ca="1"/>
        <v>116.45</v>
      </c>
      <c r="D175" vm="510">
        <f ca="1"/>
        <v>12570572</v>
      </c>
      <c r="E175">
        <f t="shared" ca="1" si="42"/>
        <v>1463843109.4000001</v>
      </c>
      <c r="F175">
        <f ca="1">SUM($E$2:E175)/SUM($D$2:D175)</f>
        <v>109.77753389903741</v>
      </c>
      <c r="G175">
        <f ca="1">_xlfn.STDEV.P($C$2:C175)</f>
        <v>4.1693729396004944</v>
      </c>
      <c r="H175">
        <f t="shared" ca="1" si="43"/>
        <v>113.9469068386379</v>
      </c>
      <c r="I175">
        <f t="shared" ca="1" si="44"/>
        <v>105.60816095943692</v>
      </c>
      <c r="J175">
        <f t="shared" ca="1" si="53"/>
        <v>113.43000000000002</v>
      </c>
      <c r="K175">
        <f t="shared" ca="1" si="54"/>
        <v>1.7776596086457401</v>
      </c>
      <c r="L175">
        <f t="shared" ca="1" si="55"/>
        <v>116.9853192172915</v>
      </c>
      <c r="M175">
        <f t="shared" ca="1" si="56"/>
        <v>109.87468078270854</v>
      </c>
      <c r="N175">
        <f t="shared" ca="1" si="45"/>
        <v>1.4200000000000017</v>
      </c>
      <c r="O175">
        <f t="shared" ca="1" si="46"/>
        <v>1.4200000000000017</v>
      </c>
      <c r="P175">
        <f t="shared" ca="1" si="47"/>
        <v>0</v>
      </c>
      <c r="Q175">
        <f t="shared" ca="1" si="51"/>
        <v>0.6188405163872146</v>
      </c>
      <c r="R175">
        <f t="shared" ca="1" si="52"/>
        <v>0.40234129718708617</v>
      </c>
      <c r="S175">
        <f t="shared" ca="1" si="49"/>
        <v>1.5380984271655755</v>
      </c>
      <c r="T175">
        <f t="shared" ca="1" si="50"/>
        <v>60.600424739368712</v>
      </c>
      <c r="U175">
        <f>70</f>
        <v>70</v>
      </c>
      <c r="V175">
        <f>30</f>
        <v>30</v>
      </c>
      <c r="W175">
        <f t="shared" ca="1" si="48"/>
        <v>114.48341702113805</v>
      </c>
      <c r="X175">
        <f t="shared" ca="1" si="58"/>
        <v>113.67720831006136</v>
      </c>
      <c r="Y175">
        <f t="shared" ca="1" si="57"/>
        <v>0.7629691011625539</v>
      </c>
      <c r="Z175">
        <f t="shared" ca="1" si="59"/>
        <v>0.50845604807523659</v>
      </c>
      <c r="AA175">
        <f t="shared" ca="1" si="60"/>
        <v>0.25451305308731731</v>
      </c>
      <c r="AB175">
        <f t="shared" ca="1" si="61"/>
        <v>111.4859</v>
      </c>
    </row>
    <row r="176" spans="1:28" x14ac:dyDescent="0.25">
      <c r="A176" s="20">
        <f t="shared" ca="1" si="41"/>
        <v>45957</v>
      </c>
      <c r="B176" vm="511">
        <f ca="1"/>
        <v>45960</v>
      </c>
      <c r="C176" vm="390">
        <f ca="1"/>
        <v>114.69</v>
      </c>
      <c r="D176" vm="512">
        <f ca="1"/>
        <v>16172943</v>
      </c>
      <c r="E176">
        <f t="shared" ca="1" si="42"/>
        <v>1854874832.6700001</v>
      </c>
      <c r="F176">
        <f ca="1">SUM($E$2:E176)/SUM($D$2:D176)</f>
        <v>109.80518089559092</v>
      </c>
      <c r="G176">
        <f ca="1">_xlfn.STDEV.P($C$2:C176)</f>
        <v>4.17197450439311</v>
      </c>
      <c r="H176">
        <f t="shared" ca="1" si="43"/>
        <v>113.97715539998403</v>
      </c>
      <c r="I176">
        <f t="shared" ca="1" si="44"/>
        <v>105.63320639119782</v>
      </c>
      <c r="J176">
        <f t="shared" ca="1" si="53"/>
        <v>113.60000000000002</v>
      </c>
      <c r="K176">
        <f t="shared" ca="1" si="54"/>
        <v>1.7240008548050147</v>
      </c>
      <c r="L176">
        <f t="shared" ca="1" si="55"/>
        <v>117.04800170961005</v>
      </c>
      <c r="M176">
        <f t="shared" ca="1" si="56"/>
        <v>110.15199829039</v>
      </c>
      <c r="N176">
        <f t="shared" ca="1" si="45"/>
        <v>-1.7600000000000051</v>
      </c>
      <c r="O176">
        <f t="shared" ca="1" si="46"/>
        <v>0</v>
      </c>
      <c r="P176">
        <f t="shared" ca="1" si="47"/>
        <v>1.7600000000000051</v>
      </c>
      <c r="Q176">
        <f t="shared" ca="1" si="51"/>
        <v>0.57463762235955651</v>
      </c>
      <c r="R176">
        <f t="shared" ca="1" si="52"/>
        <v>0.49931691881658041</v>
      </c>
      <c r="S176">
        <f t="shared" ca="1" si="49"/>
        <v>1.1508474892488962</v>
      </c>
      <c r="T176">
        <f t="shared" ca="1" si="50"/>
        <v>53.506698871094159</v>
      </c>
      <c r="U176">
        <f>70</f>
        <v>70</v>
      </c>
      <c r="V176">
        <f>30</f>
        <v>30</v>
      </c>
      <c r="W176">
        <f t="shared" ca="1" si="48"/>
        <v>114.51519901788603</v>
      </c>
      <c r="X176">
        <f t="shared" ca="1" si="58"/>
        <v>113.75222991672348</v>
      </c>
      <c r="Y176">
        <f t="shared" ca="1" si="57"/>
        <v>0.69407232301146848</v>
      </c>
      <c r="Z176">
        <f t="shared" ca="1" si="59"/>
        <v>0.54557930306248303</v>
      </c>
      <c r="AA176">
        <f t="shared" ca="1" si="60"/>
        <v>0.14849301994898545</v>
      </c>
      <c r="AB176">
        <f t="shared" ca="1" si="61"/>
        <v>111.5831</v>
      </c>
    </row>
    <row r="177" spans="1:28" x14ac:dyDescent="0.25">
      <c r="A177" s="20">
        <f t="shared" ca="1" si="41"/>
        <v>45957</v>
      </c>
      <c r="B177" vm="513">
        <f ca="1"/>
        <v>45961</v>
      </c>
      <c r="C177" vm="514">
        <f ca="1"/>
        <v>114.36</v>
      </c>
      <c r="D177" vm="515">
        <f ca="1"/>
        <v>20213352</v>
      </c>
      <c r="E177">
        <f t="shared" ca="1" si="42"/>
        <v>2311598934.7199998</v>
      </c>
      <c r="F177">
        <f ca="1">SUM($E$2:E177)/SUM($D$2:D177)</f>
        <v>109.83699536668151</v>
      </c>
      <c r="G177">
        <f ca="1">_xlfn.STDEV.P($C$2:C177)</f>
        <v>4.1724047455164346</v>
      </c>
      <c r="H177">
        <f t="shared" ca="1" si="43"/>
        <v>114.00940011219794</v>
      </c>
      <c r="I177">
        <f t="shared" ca="1" si="44"/>
        <v>105.66459062116508</v>
      </c>
      <c r="J177">
        <f t="shared" ca="1" si="53"/>
        <v>113.65500000000002</v>
      </c>
      <c r="K177">
        <f t="shared" ca="1" si="54"/>
        <v>1.7301186451558141</v>
      </c>
      <c r="L177">
        <f t="shared" ca="1" si="55"/>
        <v>117.11523729031164</v>
      </c>
      <c r="M177">
        <f t="shared" ca="1" si="56"/>
        <v>110.19476270968839</v>
      </c>
      <c r="N177">
        <f t="shared" ca="1" si="45"/>
        <v>-0.32999999999999829</v>
      </c>
      <c r="O177">
        <f t="shared" ca="1" si="46"/>
        <v>0</v>
      </c>
      <c r="P177">
        <f t="shared" ca="1" si="47"/>
        <v>0.32999999999999829</v>
      </c>
      <c r="Q177">
        <f t="shared" ca="1" si="51"/>
        <v>0.5335920779053025</v>
      </c>
      <c r="R177">
        <f t="shared" ca="1" si="52"/>
        <v>0.48722285318682451</v>
      </c>
      <c r="S177">
        <f t="shared" ca="1" si="49"/>
        <v>1.0951704634033204</v>
      </c>
      <c r="T177">
        <f t="shared" ca="1" si="50"/>
        <v>52.271186642463668</v>
      </c>
      <c r="U177">
        <f>70</f>
        <v>70</v>
      </c>
      <c r="V177">
        <f>30</f>
        <v>30</v>
      </c>
      <c r="W177">
        <f t="shared" ca="1" si="48"/>
        <v>114.49132224590358</v>
      </c>
      <c r="X177">
        <f t="shared" ca="1" si="58"/>
        <v>113.79724992289211</v>
      </c>
      <c r="Y177">
        <f t="shared" ca="1" si="57"/>
        <v>0.58432046180463715</v>
      </c>
      <c r="Z177">
        <f t="shared" ca="1" si="59"/>
        <v>0.5533275348109139</v>
      </c>
      <c r="AA177">
        <f t="shared" ca="1" si="60"/>
        <v>3.0992926993723247E-2</v>
      </c>
      <c r="AB177">
        <f t="shared" ca="1" si="61"/>
        <v>111.65450000000001</v>
      </c>
    </row>
    <row r="178" spans="1:28" x14ac:dyDescent="0.25">
      <c r="A178" s="20">
        <f t="shared" ca="1" si="41"/>
        <v>45964</v>
      </c>
      <c r="B178" vm="516">
        <f ca="1"/>
        <v>45964</v>
      </c>
      <c r="C178" vm="50">
        <f ca="1"/>
        <v>113.76</v>
      </c>
      <c r="D178" vm="517">
        <f ca="1"/>
        <v>12290304</v>
      </c>
      <c r="E178">
        <f t="shared" ca="1" si="42"/>
        <v>1398144983.04</v>
      </c>
      <c r="F178">
        <f ca="1">SUM($E$2:E178)/SUM($D$2:D178)</f>
        <v>109.85358573993415</v>
      </c>
      <c r="G178">
        <f ca="1">_xlfn.STDEV.P($C$2:C178)</f>
        <v>4.1695122685626131</v>
      </c>
      <c r="H178">
        <f t="shared" ca="1" si="43"/>
        <v>114.02309800849676</v>
      </c>
      <c r="I178">
        <f t="shared" ca="1" si="44"/>
        <v>105.68407347137153</v>
      </c>
      <c r="J178">
        <f t="shared" ca="1" si="53"/>
        <v>113.63300000000001</v>
      </c>
      <c r="K178">
        <f t="shared" ca="1" si="54"/>
        <v>1.7256153745990537</v>
      </c>
      <c r="L178">
        <f t="shared" ca="1" si="55"/>
        <v>117.08423074919811</v>
      </c>
      <c r="M178">
        <f t="shared" ca="1" si="56"/>
        <v>110.18176925080191</v>
      </c>
      <c r="N178">
        <f t="shared" ca="1" si="45"/>
        <v>-0.59999999999999432</v>
      </c>
      <c r="O178">
        <f t="shared" ca="1" si="46"/>
        <v>0</v>
      </c>
      <c r="P178">
        <f t="shared" ca="1" si="47"/>
        <v>0.59999999999999432</v>
      </c>
      <c r="Q178">
        <f t="shared" ca="1" si="51"/>
        <v>0.49547835805492374</v>
      </c>
      <c r="R178">
        <f t="shared" ca="1" si="52"/>
        <v>0.49527836367347949</v>
      </c>
      <c r="S178">
        <f t="shared" ca="1" si="49"/>
        <v>1.0004038019750365</v>
      </c>
      <c r="T178">
        <f t="shared" ca="1" si="50"/>
        <v>50.010093011586903</v>
      </c>
      <c r="U178">
        <f>70</f>
        <v>70</v>
      </c>
      <c r="V178">
        <f>30</f>
        <v>30</v>
      </c>
      <c r="W178">
        <f t="shared" ca="1" si="48"/>
        <v>114.37881113114918</v>
      </c>
      <c r="X178">
        <f t="shared" ca="1" si="58"/>
        <v>113.79449066934454</v>
      </c>
      <c r="Y178">
        <f t="shared" ca="1" si="57"/>
        <v>0.52198700402942677</v>
      </c>
      <c r="Z178">
        <f t="shared" ca="1" si="59"/>
        <v>0.54705942865461654</v>
      </c>
      <c r="AA178">
        <f t="shared" ca="1" si="60"/>
        <v>-2.5072424625189771E-2</v>
      </c>
      <c r="AB178">
        <f t="shared" ca="1" si="61"/>
        <v>111.69900000000001</v>
      </c>
    </row>
    <row r="179" spans="1:28" x14ac:dyDescent="0.25">
      <c r="A179" s="20">
        <f t="shared" ca="1" si="41"/>
        <v>45964</v>
      </c>
      <c r="B179" vm="518">
        <f ca="1"/>
        <v>45965</v>
      </c>
      <c r="C179" vm="519">
        <f ca="1"/>
        <v>114.14</v>
      </c>
      <c r="D179" vm="520">
        <f ca="1"/>
        <v>16860741</v>
      </c>
      <c r="E179">
        <f t="shared" ca="1" si="42"/>
        <v>1924484977.74</v>
      </c>
      <c r="F179">
        <f ca="1">SUM($E$2:E179)/SUM($D$2:D179)</f>
        <v>109.8783105615001</v>
      </c>
      <c r="G179">
        <f ca="1">_xlfn.STDEV.P($C$2:C179)</f>
        <v>4.1684886732589916</v>
      </c>
      <c r="H179">
        <f t="shared" ca="1" si="43"/>
        <v>114.04679923475909</v>
      </c>
      <c r="I179">
        <f t="shared" ca="1" si="44"/>
        <v>105.70982188824111</v>
      </c>
      <c r="J179">
        <f t="shared" ca="1" si="53"/>
        <v>113.62700000000002</v>
      </c>
      <c r="K179">
        <f t="shared" ca="1" si="54"/>
        <v>1.7235278997024193</v>
      </c>
      <c r="L179">
        <f t="shared" ca="1" si="55"/>
        <v>117.07405579940486</v>
      </c>
      <c r="M179">
        <f t="shared" ca="1" si="56"/>
        <v>110.17994420059519</v>
      </c>
      <c r="N179">
        <f t="shared" ca="1" si="45"/>
        <v>0.37999999999999545</v>
      </c>
      <c r="O179">
        <f t="shared" ca="1" si="46"/>
        <v>0.37999999999999545</v>
      </c>
      <c r="P179">
        <f t="shared" ca="1" si="47"/>
        <v>0</v>
      </c>
      <c r="Q179">
        <f t="shared" ca="1" si="51"/>
        <v>0.48722990390814314</v>
      </c>
      <c r="R179">
        <f t="shared" ca="1" si="52"/>
        <v>0.45990133769680241</v>
      </c>
      <c r="S179">
        <f t="shared" ca="1" si="49"/>
        <v>1.0594226717152051</v>
      </c>
      <c r="T179">
        <f t="shared" ca="1" si="50"/>
        <v>51.442702183756047</v>
      </c>
      <c r="U179">
        <f>70</f>
        <v>70</v>
      </c>
      <c r="V179">
        <f>30</f>
        <v>30</v>
      </c>
      <c r="W179">
        <f t="shared" ca="1" si="48"/>
        <v>114.34207095712623</v>
      </c>
      <c r="X179">
        <f t="shared" ca="1" si="58"/>
        <v>113.8200839530968</v>
      </c>
      <c r="Y179">
        <f t="shared" ca="1" si="57"/>
        <v>0.43050652282059332</v>
      </c>
      <c r="Z179">
        <f t="shared" ca="1" si="59"/>
        <v>0.52374884748781192</v>
      </c>
      <c r="AA179">
        <f t="shared" ca="1" si="60"/>
        <v>-9.3242324667218601E-2</v>
      </c>
      <c r="AB179">
        <f t="shared" ca="1" si="61"/>
        <v>111.74310000000001</v>
      </c>
    </row>
    <row r="180" spans="1:28" x14ac:dyDescent="0.25">
      <c r="A180" s="20">
        <f t="shared" ca="1" si="41"/>
        <v>45964</v>
      </c>
      <c r="B180" vm="521">
        <f ca="1"/>
        <v>45966</v>
      </c>
      <c r="C180" vm="522">
        <f ca="1"/>
        <v>113.68</v>
      </c>
      <c r="D180" vm="523">
        <f ca="1"/>
        <v>12400921</v>
      </c>
      <c r="E180">
        <f t="shared" ca="1" si="42"/>
        <v>1409736699.28</v>
      </c>
      <c r="F180">
        <f ca="1">SUM($E$2:E180)/SUM($D$2:D180)</f>
        <v>109.89437088804843</v>
      </c>
      <c r="G180">
        <f ca="1">_xlfn.STDEV.P($C$2:C180)</f>
        <v>4.1650621961629612</v>
      </c>
      <c r="H180">
        <f t="shared" ca="1" si="43"/>
        <v>114.05943308421139</v>
      </c>
      <c r="I180">
        <f t="shared" ca="1" si="44"/>
        <v>105.72930869188546</v>
      </c>
      <c r="J180">
        <f t="shared" ca="1" si="53"/>
        <v>113.60999999999999</v>
      </c>
      <c r="K180">
        <f t="shared" ca="1" si="54"/>
        <v>1.7211226446406245</v>
      </c>
      <c r="L180">
        <f t="shared" ca="1" si="55"/>
        <v>117.05224528928123</v>
      </c>
      <c r="M180">
        <f t="shared" ca="1" si="56"/>
        <v>110.16775471071874</v>
      </c>
      <c r="N180">
        <f t="shared" ca="1" si="45"/>
        <v>-0.45999999999999375</v>
      </c>
      <c r="O180">
        <f t="shared" ca="1" si="46"/>
        <v>0</v>
      </c>
      <c r="P180">
        <f t="shared" ca="1" si="47"/>
        <v>0.45999999999999375</v>
      </c>
      <c r="Q180">
        <f t="shared" ca="1" si="51"/>
        <v>0.45242776791470435</v>
      </c>
      <c r="R180">
        <f t="shared" ca="1" si="52"/>
        <v>0.45990838500417325</v>
      </c>
      <c r="S180">
        <f t="shared" ca="1" si="49"/>
        <v>0.98373454945945149</v>
      </c>
      <c r="T180">
        <f t="shared" ca="1" si="50"/>
        <v>49.590029559524964</v>
      </c>
      <c r="U180">
        <f>70</f>
        <v>70</v>
      </c>
      <c r="V180">
        <f>30</f>
        <v>30</v>
      </c>
      <c r="W180">
        <f t="shared" ca="1" si="48"/>
        <v>114.24021388679911</v>
      </c>
      <c r="X180">
        <f t="shared" ca="1" si="58"/>
        <v>113.80970736397852</v>
      </c>
      <c r="Y180">
        <f t="shared" ca="1" si="57"/>
        <v>0.41934082930573879</v>
      </c>
      <c r="Z180">
        <f t="shared" ca="1" si="59"/>
        <v>0.50286724385139725</v>
      </c>
      <c r="AA180">
        <f t="shared" ca="1" si="60"/>
        <v>-8.3526414545658456E-2</v>
      </c>
      <c r="AB180">
        <f t="shared" ca="1" si="61"/>
        <v>111.75870000000005</v>
      </c>
    </row>
    <row r="181" spans="1:28" x14ac:dyDescent="0.25">
      <c r="A181" s="20">
        <f t="shared" ca="1" si="41"/>
        <v>45964</v>
      </c>
      <c r="B181" vm="524">
        <f ca="1"/>
        <v>45967</v>
      </c>
      <c r="C181" vm="525">
        <f ca="1"/>
        <v>114.5</v>
      </c>
      <c r="D181" vm="526">
        <f ca="1"/>
        <v>14219654</v>
      </c>
      <c r="E181">
        <f t="shared" ca="1" si="42"/>
        <v>1628150383</v>
      </c>
      <c r="F181">
        <f ca="1">SUM($E$2:E181)/SUM($D$2:D181)</f>
        <v>109.91657345045083</v>
      </c>
      <c r="G181">
        <f ca="1">_xlfn.STDEV.P($C$2:C181)</f>
        <v>4.1658259370326967</v>
      </c>
      <c r="H181">
        <f t="shared" ca="1" si="43"/>
        <v>114.08239938748352</v>
      </c>
      <c r="I181">
        <f t="shared" ca="1" si="44"/>
        <v>105.75074751341813</v>
      </c>
      <c r="J181">
        <f t="shared" ca="1" si="53"/>
        <v>113.68950000000002</v>
      </c>
      <c r="K181">
        <f t="shared" ca="1" si="54"/>
        <v>1.7238069100563134</v>
      </c>
      <c r="L181">
        <f t="shared" ca="1" si="55"/>
        <v>117.13711382011265</v>
      </c>
      <c r="M181">
        <f t="shared" ca="1" si="56"/>
        <v>110.2418861798874</v>
      </c>
      <c r="N181">
        <f t="shared" ca="1" si="45"/>
        <v>0.81999999999999318</v>
      </c>
      <c r="O181">
        <f t="shared" ca="1" si="46"/>
        <v>0.81999999999999318</v>
      </c>
      <c r="P181">
        <f t="shared" ca="1" si="47"/>
        <v>0</v>
      </c>
      <c r="Q181">
        <f t="shared" ca="1" si="51"/>
        <v>0.47868292734936785</v>
      </c>
      <c r="R181">
        <f t="shared" ca="1" si="52"/>
        <v>0.4270577860753037</v>
      </c>
      <c r="S181">
        <f t="shared" ca="1" si="49"/>
        <v>1.1208856107003773</v>
      </c>
      <c r="T181">
        <f t="shared" ca="1" si="50"/>
        <v>52.849885210463036</v>
      </c>
      <c r="U181">
        <f>70</f>
        <v>70</v>
      </c>
      <c r="V181">
        <f>30</f>
        <v>30</v>
      </c>
      <c r="W181">
        <f t="shared" ca="1" si="48"/>
        <v>114.2801809811377</v>
      </c>
      <c r="X181">
        <f t="shared" ca="1" si="58"/>
        <v>113.86084015183197</v>
      </c>
      <c r="Y181">
        <f t="shared" ca="1" si="57"/>
        <v>0.62279402294163333</v>
      </c>
      <c r="Z181">
        <f t="shared" ca="1" si="59"/>
        <v>0.52685259966944453</v>
      </c>
      <c r="AA181">
        <f t="shared" ca="1" si="60"/>
        <v>9.5941423272188797E-2</v>
      </c>
      <c r="AB181">
        <f t="shared" ca="1" si="61"/>
        <v>111.77890000000004</v>
      </c>
    </row>
    <row r="182" spans="1:28" x14ac:dyDescent="0.25">
      <c r="A182" s="20">
        <f t="shared" ca="1" si="41"/>
        <v>45964</v>
      </c>
      <c r="B182" vm="527">
        <f ca="1"/>
        <v>45968</v>
      </c>
      <c r="C182" vm="443">
        <f ca="1"/>
        <v>117.22</v>
      </c>
      <c r="D182" vm="528">
        <f ca="1"/>
        <v>17181149</v>
      </c>
      <c r="E182">
        <f t="shared" ca="1" si="42"/>
        <v>2013974285.78</v>
      </c>
      <c r="F182">
        <f ca="1">SUM($E$2:E182)/SUM($D$2:D182)</f>
        <v>109.95886773284793</v>
      </c>
      <c r="G182">
        <f ca="1">_xlfn.STDEV.P($C$2:C182)</f>
        <v>4.1866567709495328</v>
      </c>
      <c r="H182">
        <f t="shared" ca="1" si="43"/>
        <v>114.14552450379747</v>
      </c>
      <c r="I182">
        <f t="shared" ca="1" si="44"/>
        <v>105.77221096189839</v>
      </c>
      <c r="J182">
        <f t="shared" ca="1" si="53"/>
        <v>114.01400000000001</v>
      </c>
      <c r="K182">
        <f t="shared" ca="1" si="54"/>
        <v>1.7480587729490709</v>
      </c>
      <c r="L182">
        <f t="shared" ca="1" si="55"/>
        <v>117.51011754589815</v>
      </c>
      <c r="M182">
        <f t="shared" ca="1" si="56"/>
        <v>110.51788245410187</v>
      </c>
      <c r="N182">
        <f t="shared" ca="1" si="45"/>
        <v>2.7199999999999989</v>
      </c>
      <c r="O182">
        <f t="shared" ca="1" si="46"/>
        <v>2.7199999999999989</v>
      </c>
      <c r="P182">
        <f t="shared" ca="1" si="47"/>
        <v>0</v>
      </c>
      <c r="Q182">
        <f t="shared" ca="1" si="51"/>
        <v>0.63877700396727011</v>
      </c>
      <c r="R182">
        <f t="shared" ca="1" si="52"/>
        <v>0.39655365849849628</v>
      </c>
      <c r="S182">
        <f t="shared" ca="1" si="49"/>
        <v>1.6108211090169335</v>
      </c>
      <c r="T182">
        <f t="shared" ca="1" si="50"/>
        <v>61.697873648013548</v>
      </c>
      <c r="U182">
        <f>70</f>
        <v>70</v>
      </c>
      <c r="V182">
        <f>30</f>
        <v>30</v>
      </c>
      <c r="W182">
        <f t="shared" ca="1" si="48"/>
        <v>114.73246083019345</v>
      </c>
      <c r="X182">
        <f t="shared" ca="1" si="58"/>
        <v>114.10966680725181</v>
      </c>
      <c r="Y182">
        <f t="shared" ca="1" si="57"/>
        <v>0.85486938521543721</v>
      </c>
      <c r="Z182">
        <f t="shared" ca="1" si="59"/>
        <v>0.59245595677864304</v>
      </c>
      <c r="AA182">
        <f t="shared" ca="1" si="60"/>
        <v>0.26241342843679416</v>
      </c>
      <c r="AB182">
        <f t="shared" ca="1" si="61"/>
        <v>111.81110000000002</v>
      </c>
    </row>
    <row r="183" spans="1:28" x14ac:dyDescent="0.25">
      <c r="A183" s="20">
        <f t="shared" ca="1" si="41"/>
        <v>45971</v>
      </c>
      <c r="B183" vm="529">
        <f ca="1"/>
        <v>45971</v>
      </c>
      <c r="C183" vm="530">
        <f ca="1"/>
        <v>118.22</v>
      </c>
      <c r="D183" vm="531">
        <f ca="1"/>
        <v>13047958</v>
      </c>
      <c r="E183">
        <f t="shared" ca="1" si="42"/>
        <v>1542529594.76</v>
      </c>
      <c r="F183">
        <f ca="1">SUM($E$2:E183)/SUM($D$2:D183)</f>
        <v>109.9950402824077</v>
      </c>
      <c r="G183">
        <f ca="1">_xlfn.STDEV.P($C$2:C183)</f>
        <v>4.216498084344205</v>
      </c>
      <c r="H183">
        <f t="shared" ca="1" si="43"/>
        <v>114.21153836675191</v>
      </c>
      <c r="I183">
        <f t="shared" ca="1" si="44"/>
        <v>105.77854219806349</v>
      </c>
      <c r="J183">
        <f t="shared" ca="1" si="53"/>
        <v>114.31299999999999</v>
      </c>
      <c r="K183">
        <f t="shared" ca="1" si="54"/>
        <v>1.9305551424123415</v>
      </c>
      <c r="L183">
        <f t="shared" ca="1" si="55"/>
        <v>118.17411028482468</v>
      </c>
      <c r="M183">
        <f t="shared" ca="1" si="56"/>
        <v>110.4518897151753</v>
      </c>
      <c r="N183">
        <f t="shared" ca="1" si="45"/>
        <v>1</v>
      </c>
      <c r="O183">
        <f t="shared" ca="1" si="46"/>
        <v>1</v>
      </c>
      <c r="P183">
        <f t="shared" ca="1" si="47"/>
        <v>0</v>
      </c>
      <c r="Q183">
        <f t="shared" ca="1" si="51"/>
        <v>0.66457864654103649</v>
      </c>
      <c r="R183">
        <f t="shared" ca="1" si="52"/>
        <v>0.36822839717717509</v>
      </c>
      <c r="S183">
        <f t="shared" ca="1" si="49"/>
        <v>1.8048000959069728</v>
      </c>
      <c r="T183">
        <f t="shared" ca="1" si="50"/>
        <v>64.34683521797885</v>
      </c>
      <c r="U183">
        <f>70</f>
        <v>70</v>
      </c>
      <c r="V183">
        <f>30</f>
        <v>30</v>
      </c>
      <c r="W183">
        <f t="shared" ca="1" si="48"/>
        <v>115.269005317856</v>
      </c>
      <c r="X183">
        <f t="shared" ca="1" si="58"/>
        <v>114.41413593264056</v>
      </c>
      <c r="Y183">
        <f t="shared" ca="1" si="57"/>
        <v>1.1513971546867481</v>
      </c>
      <c r="Z183">
        <f t="shared" ca="1" si="59"/>
        <v>0.70424419636026403</v>
      </c>
      <c r="AA183">
        <f t="shared" ca="1" si="60"/>
        <v>0.44715295832648405</v>
      </c>
      <c r="AB183">
        <f t="shared" ca="1" si="61"/>
        <v>111.86140000000002</v>
      </c>
    </row>
    <row r="184" spans="1:28" x14ac:dyDescent="0.25">
      <c r="A184" s="20">
        <f t="shared" ca="1" si="41"/>
        <v>45971</v>
      </c>
      <c r="B184" vm="532">
        <f ca="1"/>
        <v>45972</v>
      </c>
      <c r="C184" vm="533">
        <f ca="1"/>
        <v>119.78</v>
      </c>
      <c r="D184" vm="534">
        <f ca="1"/>
        <v>16077101</v>
      </c>
      <c r="E184">
        <f t="shared" ca="1" si="42"/>
        <v>1925715157.78</v>
      </c>
      <c r="F184">
        <f ca="1">SUM($E$2:E184)/SUM($D$2:D184)</f>
        <v>110.04754846472136</v>
      </c>
      <c r="G184">
        <f ca="1">_xlfn.STDEV.P($C$2:C184)</f>
        <v>4.2627129100234038</v>
      </c>
      <c r="H184">
        <f t="shared" ca="1" si="43"/>
        <v>114.31026137474477</v>
      </c>
      <c r="I184">
        <f t="shared" ca="1" si="44"/>
        <v>105.78483555469795</v>
      </c>
      <c r="J184">
        <f t="shared" ca="1" si="53"/>
        <v>114.6875</v>
      </c>
      <c r="K184">
        <f t="shared" ca="1" si="54"/>
        <v>2.2219523776222236</v>
      </c>
      <c r="L184">
        <f t="shared" ca="1" si="55"/>
        <v>119.13140475524445</v>
      </c>
      <c r="M184">
        <f t="shared" ca="1" si="56"/>
        <v>110.24359524475555</v>
      </c>
      <c r="N184">
        <f t="shared" ca="1" si="45"/>
        <v>1.5600000000000023</v>
      </c>
      <c r="O184">
        <f t="shared" ca="1" si="46"/>
        <v>1.5600000000000023</v>
      </c>
      <c r="P184">
        <f t="shared" ca="1" si="47"/>
        <v>0</v>
      </c>
      <c r="Q184">
        <f t="shared" ca="1" si="51"/>
        <v>0.7285373146452484</v>
      </c>
      <c r="R184">
        <f t="shared" ca="1" si="52"/>
        <v>0.34192636880737687</v>
      </c>
      <c r="S184">
        <f t="shared" ca="1" si="49"/>
        <v>2.1306847938822395</v>
      </c>
      <c r="T184">
        <f t="shared" ca="1" si="50"/>
        <v>68.058106585686033</v>
      </c>
      <c r="U184">
        <f>70</f>
        <v>70</v>
      </c>
      <c r="V184">
        <f>30</f>
        <v>30</v>
      </c>
      <c r="W184">
        <f t="shared" ca="1" si="48"/>
        <v>115.96300449972431</v>
      </c>
      <c r="X184">
        <f t="shared" ca="1" si="58"/>
        <v>114.81160734503756</v>
      </c>
      <c r="Y184">
        <f t="shared" ca="1" si="57"/>
        <v>1.2381764936778268</v>
      </c>
      <c r="Z184">
        <f t="shared" ca="1" si="59"/>
        <v>0.81103065582377654</v>
      </c>
      <c r="AA184">
        <f t="shared" ca="1" si="60"/>
        <v>0.42714583785405025</v>
      </c>
      <c r="AB184">
        <f t="shared" ca="1" si="61"/>
        <v>111.91220000000001</v>
      </c>
    </row>
    <row r="185" spans="1:28" x14ac:dyDescent="0.25">
      <c r="A185" s="20">
        <f t="shared" ca="1" si="41"/>
        <v>45971</v>
      </c>
      <c r="B185" vm="535">
        <f ca="1"/>
        <v>45973</v>
      </c>
      <c r="C185" vm="536">
        <f ca="1"/>
        <v>118.12</v>
      </c>
      <c r="D185" vm="537">
        <f ca="1"/>
        <v>13790889</v>
      </c>
      <c r="E185">
        <f t="shared" ca="1" si="42"/>
        <v>1628979808.6800001</v>
      </c>
      <c r="F185">
        <f ca="1">SUM($E$2:E185)/SUM($D$2:D185)</f>
        <v>110.08453668097893</v>
      </c>
      <c r="G185">
        <f ca="1">_xlfn.STDEV.P($C$2:C185)</f>
        <v>4.2893633029046754</v>
      </c>
      <c r="H185">
        <f t="shared" ca="1" si="43"/>
        <v>114.3738999838836</v>
      </c>
      <c r="I185">
        <f t="shared" ca="1" si="44"/>
        <v>105.79517337807425</v>
      </c>
      <c r="J185">
        <f t="shared" ca="1" si="53"/>
        <v>115.01300000000001</v>
      </c>
      <c r="K185">
        <f t="shared" ca="1" si="54"/>
        <v>2.2242257079712036</v>
      </c>
      <c r="L185">
        <f t="shared" ca="1" si="55"/>
        <v>119.46145141594241</v>
      </c>
      <c r="M185">
        <f t="shared" ca="1" si="56"/>
        <v>110.5645485840576</v>
      </c>
      <c r="N185">
        <f t="shared" ca="1" si="45"/>
        <v>-1.6599999999999966</v>
      </c>
      <c r="O185">
        <f t="shared" ca="1" si="46"/>
        <v>0</v>
      </c>
      <c r="P185">
        <f t="shared" ca="1" si="47"/>
        <v>1.6599999999999966</v>
      </c>
      <c r="Q185">
        <f t="shared" ca="1" si="51"/>
        <v>0.67649893502773062</v>
      </c>
      <c r="R185">
        <f t="shared" ca="1" si="52"/>
        <v>0.43607448532113541</v>
      </c>
      <c r="S185">
        <f t="shared" ca="1" si="49"/>
        <v>1.5513380346697905</v>
      </c>
      <c r="T185">
        <f t="shared" ca="1" si="50"/>
        <v>60.804880168322107</v>
      </c>
      <c r="U185">
        <f>70</f>
        <v>70</v>
      </c>
      <c r="V185">
        <f>30</f>
        <v>30</v>
      </c>
      <c r="W185">
        <f t="shared" ca="1" si="48"/>
        <v>116.29484996130519</v>
      </c>
      <c r="X185">
        <f t="shared" ca="1" si="58"/>
        <v>115.05667346762736</v>
      </c>
      <c r="Y185">
        <f t="shared" ca="1" si="57"/>
        <v>1.3455030242984236</v>
      </c>
      <c r="Z185">
        <f t="shared" ca="1" si="59"/>
        <v>0.91792512951870608</v>
      </c>
      <c r="AA185">
        <f t="shared" ca="1" si="60"/>
        <v>0.42757789477971753</v>
      </c>
      <c r="AB185">
        <f t="shared" ca="1" si="61"/>
        <v>111.976</v>
      </c>
    </row>
    <row r="186" spans="1:28" x14ac:dyDescent="0.25">
      <c r="A186" s="20">
        <f t="shared" ca="1" si="41"/>
        <v>45971</v>
      </c>
      <c r="B186" vm="538">
        <f ca="1"/>
        <v>45974</v>
      </c>
      <c r="C186" vm="539">
        <f ca="1"/>
        <v>118.79</v>
      </c>
      <c r="D186" vm="540">
        <f ca="1"/>
        <v>17291874</v>
      </c>
      <c r="E186">
        <f t="shared" ca="1" si="42"/>
        <v>2054101712.46</v>
      </c>
      <c r="F186">
        <f ca="1">SUM($E$2:E186)/SUM($D$2:D186)</f>
        <v>110.13426590102441</v>
      </c>
      <c r="G186">
        <f ca="1">_xlfn.STDEV.P($C$2:C186)</f>
        <v>4.3218851451862035</v>
      </c>
      <c r="H186">
        <f t="shared" ca="1" si="43"/>
        <v>114.45615104621061</v>
      </c>
      <c r="I186">
        <f t="shared" ca="1" si="44"/>
        <v>105.81238075583821</v>
      </c>
      <c r="J186">
        <f t="shared" ca="1" si="53"/>
        <v>115.42049999999999</v>
      </c>
      <c r="K186">
        <f t="shared" ca="1" si="54"/>
        <v>2.1252602936556921</v>
      </c>
      <c r="L186">
        <f t="shared" ca="1" si="55"/>
        <v>119.67102058731138</v>
      </c>
      <c r="M186">
        <f t="shared" ca="1" si="56"/>
        <v>111.1699794126886</v>
      </c>
      <c r="N186">
        <f t="shared" ca="1" si="45"/>
        <v>0.67000000000000171</v>
      </c>
      <c r="O186">
        <f t="shared" ca="1" si="46"/>
        <v>0.67000000000000171</v>
      </c>
      <c r="P186">
        <f t="shared" ca="1" si="47"/>
        <v>0</v>
      </c>
      <c r="Q186">
        <f t="shared" ca="1" si="51"/>
        <v>0.67603472538289289</v>
      </c>
      <c r="R186">
        <f t="shared" ca="1" si="52"/>
        <v>0.40492630779819716</v>
      </c>
      <c r="S186">
        <f t="shared" ca="1" si="49"/>
        <v>1.6695253243950943</v>
      </c>
      <c r="T186">
        <f t="shared" ca="1" si="50"/>
        <v>62.540156826322793</v>
      </c>
      <c r="U186">
        <f>70</f>
        <v>70</v>
      </c>
      <c r="V186">
        <f>30</f>
        <v>30</v>
      </c>
      <c r="W186">
        <f t="shared" ca="1" si="48"/>
        <v>116.67871919802747</v>
      </c>
      <c r="X186">
        <f t="shared" ca="1" si="58"/>
        <v>115.33321617372904</v>
      </c>
      <c r="Y186">
        <f t="shared" ca="1" si="57"/>
        <v>1.4541434340519004</v>
      </c>
      <c r="Z186">
        <f t="shared" ca="1" si="59"/>
        <v>1.025168790425345</v>
      </c>
      <c r="AA186">
        <f t="shared" ca="1" si="60"/>
        <v>0.42897464362655535</v>
      </c>
      <c r="AB186">
        <f t="shared" ca="1" si="61"/>
        <v>112.08050000000001</v>
      </c>
    </row>
    <row r="187" spans="1:28" x14ac:dyDescent="0.25">
      <c r="A187" s="20">
        <f t="shared" ca="1" si="41"/>
        <v>45971</v>
      </c>
      <c r="B187" vm="541">
        <f ca="1"/>
        <v>45975</v>
      </c>
      <c r="C187" vm="542">
        <f ca="1"/>
        <v>119.29</v>
      </c>
      <c r="D187" vm="543">
        <f ca="1"/>
        <v>17064267</v>
      </c>
      <c r="E187">
        <f t="shared" ca="1" si="42"/>
        <v>2035596410.4300001</v>
      </c>
      <c r="F187">
        <f ca="1">SUM($E$2:E187)/SUM($D$2:D187)</f>
        <v>110.18558950721729</v>
      </c>
      <c r="G187">
        <f ca="1">_xlfn.STDEV.P($C$2:C187)</f>
        <v>4.3586347470301146</v>
      </c>
      <c r="H187">
        <f t="shared" ca="1" si="43"/>
        <v>114.5442242542474</v>
      </c>
      <c r="I187">
        <f t="shared" ca="1" si="44"/>
        <v>105.82695476018718</v>
      </c>
      <c r="J187">
        <f t="shared" ca="1" si="53"/>
        <v>115.773</v>
      </c>
      <c r="K187">
        <f t="shared" ca="1" si="54"/>
        <v>2.1544350828734187</v>
      </c>
      <c r="L187">
        <f t="shared" ca="1" si="55"/>
        <v>120.08187016574684</v>
      </c>
      <c r="M187">
        <f t="shared" ca="1" si="56"/>
        <v>111.46412983425316</v>
      </c>
      <c r="N187">
        <f t="shared" ca="1" si="45"/>
        <v>0.5</v>
      </c>
      <c r="O187">
        <f t="shared" ca="1" si="46"/>
        <v>0.5</v>
      </c>
      <c r="P187">
        <f t="shared" ca="1" si="47"/>
        <v>0</v>
      </c>
      <c r="Q187">
        <f t="shared" ca="1" si="51"/>
        <v>0.66346081642697197</v>
      </c>
      <c r="R187">
        <f t="shared" ca="1" si="52"/>
        <v>0.37600300009832593</v>
      </c>
      <c r="S187">
        <f t="shared" ca="1" si="49"/>
        <v>1.764509368950447</v>
      </c>
      <c r="T187">
        <f t="shared" ca="1" si="50"/>
        <v>63.827216097312323</v>
      </c>
      <c r="U187">
        <f>70</f>
        <v>70</v>
      </c>
      <c r="V187">
        <f>30</f>
        <v>30</v>
      </c>
      <c r="W187">
        <f t="shared" ca="1" si="48"/>
        <v>117.08045470602323</v>
      </c>
      <c r="X187">
        <f t="shared" ca="1" si="58"/>
        <v>115.62631127197133</v>
      </c>
      <c r="Y187">
        <f t="shared" ca="1" si="57"/>
        <v>1.3942560806217017</v>
      </c>
      <c r="Z187">
        <f t="shared" ca="1" si="59"/>
        <v>1.0989862484646165</v>
      </c>
      <c r="AA187">
        <f t="shared" ca="1" si="60"/>
        <v>0.29526983215708524</v>
      </c>
      <c r="AB187">
        <f t="shared" ca="1" si="61"/>
        <v>112.18970000000003</v>
      </c>
    </row>
    <row r="188" spans="1:28" x14ac:dyDescent="0.25">
      <c r="A188" s="20">
        <f t="shared" ca="1" si="41"/>
        <v>45978</v>
      </c>
      <c r="B188" vm="544">
        <f ca="1"/>
        <v>45978</v>
      </c>
      <c r="C188" vm="545">
        <f ca="1"/>
        <v>117.68</v>
      </c>
      <c r="D188" vm="546">
        <f ca="1"/>
        <v>16034860</v>
      </c>
      <c r="E188">
        <f t="shared" ca="1" si="42"/>
        <v>1886982324.8000002</v>
      </c>
      <c r="F188">
        <f ca="1">SUM($E$2:E188)/SUM($D$2:D188)</f>
        <v>110.22485918863518</v>
      </c>
      <c r="G188">
        <f ca="1">_xlfn.STDEV.P($C$2:C188)</f>
        <v>4.3785553539188751</v>
      </c>
      <c r="H188">
        <f t="shared" ca="1" si="43"/>
        <v>114.60341454255405</v>
      </c>
      <c r="I188">
        <f t="shared" ca="1" si="44"/>
        <v>105.84630383471631</v>
      </c>
      <c r="J188">
        <f t="shared" ca="1" si="53"/>
        <v>116.02200000000001</v>
      </c>
      <c r="K188">
        <f t="shared" ca="1" si="54"/>
        <v>2.0665700033987178</v>
      </c>
      <c r="L188">
        <f t="shared" ca="1" si="55"/>
        <v>120.15514000679744</v>
      </c>
      <c r="M188">
        <f t="shared" ca="1" si="56"/>
        <v>111.88885999320257</v>
      </c>
      <c r="N188">
        <f t="shared" ca="1" si="45"/>
        <v>-1.6099999999999994</v>
      </c>
      <c r="O188">
        <f t="shared" ca="1" si="46"/>
        <v>0</v>
      </c>
      <c r="P188">
        <f t="shared" ca="1" si="47"/>
        <v>1.6099999999999994</v>
      </c>
      <c r="Q188">
        <f t="shared" ca="1" si="51"/>
        <v>0.61607075811075973</v>
      </c>
      <c r="R188">
        <f t="shared" ca="1" si="52"/>
        <v>0.46414564294844546</v>
      </c>
      <c r="S188">
        <f t="shared" ca="1" si="49"/>
        <v>1.3273220754529182</v>
      </c>
      <c r="T188">
        <f t="shared" ca="1" si="50"/>
        <v>57.032161102782013</v>
      </c>
      <c r="U188">
        <f>70</f>
        <v>70</v>
      </c>
      <c r="V188">
        <f>30</f>
        <v>30</v>
      </c>
      <c r="W188">
        <f t="shared" ca="1" si="48"/>
        <v>117.17269244355812</v>
      </c>
      <c r="X188">
        <f t="shared" ca="1" si="58"/>
        <v>115.77843636293642</v>
      </c>
      <c r="Y188">
        <f t="shared" ca="1" si="57"/>
        <v>1.4391391389812753</v>
      </c>
      <c r="Z188">
        <f t="shared" ca="1" si="59"/>
        <v>1.1670168265679484</v>
      </c>
      <c r="AA188">
        <f t="shared" ca="1" si="60"/>
        <v>0.27212231241332696</v>
      </c>
      <c r="AB188">
        <f t="shared" ca="1" si="61"/>
        <v>112.26660000000004</v>
      </c>
    </row>
    <row r="189" spans="1:28" x14ac:dyDescent="0.25">
      <c r="A189" s="20">
        <f t="shared" ca="1" si="41"/>
        <v>45978</v>
      </c>
      <c r="B189" vm="547">
        <f ca="1"/>
        <v>45979</v>
      </c>
      <c r="C189" vm="548">
        <f ca="1"/>
        <v>119.03</v>
      </c>
      <c r="D189" vm="549">
        <f ca="1"/>
        <v>15808518</v>
      </c>
      <c r="E189">
        <f t="shared" ca="1" si="42"/>
        <v>1881687897.54</v>
      </c>
      <c r="F189">
        <f ca="1">SUM($E$2:E189)/SUM($D$2:D189)</f>
        <v>110.27011188335364</v>
      </c>
      <c r="G189">
        <f ca="1">_xlfn.STDEV.P($C$2:C189)</f>
        <v>4.4105507568469742</v>
      </c>
      <c r="H189">
        <f t="shared" ca="1" si="43"/>
        <v>114.68066264020061</v>
      </c>
      <c r="I189">
        <f t="shared" ca="1" si="44"/>
        <v>105.85956112650666</v>
      </c>
      <c r="J189">
        <f t="shared" ca="1" si="53"/>
        <v>116.33800000000001</v>
      </c>
      <c r="K189">
        <f t="shared" ca="1" si="54"/>
        <v>2.0160555547900962</v>
      </c>
      <c r="L189">
        <f t="shared" ca="1" si="55"/>
        <v>120.37011110958019</v>
      </c>
      <c r="M189">
        <f t="shared" ca="1" si="56"/>
        <v>112.30588889041982</v>
      </c>
      <c r="N189">
        <f t="shared" ca="1" si="45"/>
        <v>1.3499999999999943</v>
      </c>
      <c r="O189">
        <f t="shared" ca="1" si="46"/>
        <v>1.3499999999999943</v>
      </c>
      <c r="P189">
        <f t="shared" ca="1" si="47"/>
        <v>0</v>
      </c>
      <c r="Q189">
        <f t="shared" ca="1" si="51"/>
        <v>0.66849427538856221</v>
      </c>
      <c r="R189">
        <f t="shared" ca="1" si="52"/>
        <v>0.43099238273784218</v>
      </c>
      <c r="S189">
        <f t="shared" ca="1" si="49"/>
        <v>1.5510582139341063</v>
      </c>
      <c r="T189">
        <f t="shared" ca="1" si="50"/>
        <v>60.800580929987746</v>
      </c>
      <c r="U189">
        <f>70</f>
        <v>70</v>
      </c>
      <c r="V189">
        <f>30</f>
        <v>30</v>
      </c>
      <c r="W189">
        <f t="shared" ca="1" si="48"/>
        <v>117.45843206762611</v>
      </c>
      <c r="X189">
        <f t="shared" ca="1" si="58"/>
        <v>116.01929292864483</v>
      </c>
      <c r="Y189">
        <f t="shared" ca="1" si="57"/>
        <v>1.3238863882489511</v>
      </c>
      <c r="Z189">
        <f t="shared" ca="1" si="59"/>
        <v>1.198390738904149</v>
      </c>
      <c r="AA189">
        <f t="shared" ca="1" si="60"/>
        <v>0.12549564934480206</v>
      </c>
      <c r="AB189">
        <f t="shared" ca="1" si="61"/>
        <v>112.36310000000005</v>
      </c>
    </row>
    <row r="190" spans="1:28" x14ac:dyDescent="0.25">
      <c r="A190" s="20">
        <f t="shared" ca="1" si="41"/>
        <v>45978</v>
      </c>
      <c r="B190" vm="550">
        <f ca="1"/>
        <v>45980</v>
      </c>
      <c r="C190" vm="551">
        <f ca="1"/>
        <v>117.35</v>
      </c>
      <c r="D190" vm="552">
        <f ca="1"/>
        <v>15919239</v>
      </c>
      <c r="E190">
        <f t="shared" ca="1" si="42"/>
        <v>1868122696.6499999</v>
      </c>
      <c r="F190">
        <f ca="1">SUM($E$2:E190)/SUM($D$2:D190)</f>
        <v>110.30656409239731</v>
      </c>
      <c r="G190">
        <f ca="1">_xlfn.STDEV.P($C$2:C190)</f>
        <v>4.4263214312987174</v>
      </c>
      <c r="H190">
        <f t="shared" ca="1" si="43"/>
        <v>114.73288552369603</v>
      </c>
      <c r="I190">
        <f t="shared" ca="1" si="44"/>
        <v>105.88024266109859</v>
      </c>
      <c r="J190">
        <f t="shared" ca="1" si="53"/>
        <v>116.47</v>
      </c>
      <c r="K190">
        <f t="shared" ca="1" si="54"/>
        <v>1.9901124009515276</v>
      </c>
      <c r="L190">
        <f t="shared" ca="1" si="55"/>
        <v>120.45022480190305</v>
      </c>
      <c r="M190">
        <f t="shared" ca="1" si="56"/>
        <v>112.48977519809695</v>
      </c>
      <c r="N190">
        <f t="shared" ca="1" si="45"/>
        <v>-1.6800000000000068</v>
      </c>
      <c r="O190">
        <f t="shared" ca="1" si="46"/>
        <v>0</v>
      </c>
      <c r="P190">
        <f t="shared" ca="1" si="47"/>
        <v>1.6800000000000068</v>
      </c>
      <c r="Q190">
        <f t="shared" ca="1" si="51"/>
        <v>0.62074468428937923</v>
      </c>
      <c r="R190">
        <f t="shared" ca="1" si="52"/>
        <v>0.52020721254228253</v>
      </c>
      <c r="S190">
        <f t="shared" ca="1" si="49"/>
        <v>1.1932642787779975</v>
      </c>
      <c r="T190">
        <f t="shared" ca="1" si="50"/>
        <v>54.405859354205973</v>
      </c>
      <c r="U190">
        <f>70</f>
        <v>70</v>
      </c>
      <c r="V190">
        <f>30</f>
        <v>30</v>
      </c>
      <c r="W190">
        <f t="shared" ca="1" si="48"/>
        <v>117.44175021106824</v>
      </c>
      <c r="X190">
        <f t="shared" ca="1" si="58"/>
        <v>116.11786382281929</v>
      </c>
      <c r="Y190">
        <f t="shared" ca="1" si="57"/>
        <v>1.1921768383789271</v>
      </c>
      <c r="Z190">
        <f t="shared" ca="1" si="59"/>
        <v>1.1971479587991047</v>
      </c>
      <c r="AA190">
        <f t="shared" ca="1" si="60"/>
        <v>-4.971120420177666E-3</v>
      </c>
      <c r="AB190">
        <f t="shared" ca="1" si="61"/>
        <v>112.45860000000005</v>
      </c>
    </row>
    <row r="191" spans="1:28" x14ac:dyDescent="0.25">
      <c r="A191" s="20">
        <f t="shared" ca="1" si="41"/>
        <v>45978</v>
      </c>
      <c r="B191" vm="553">
        <f ca="1"/>
        <v>45981</v>
      </c>
      <c r="C191" vm="554">
        <f ca="1"/>
        <v>117.02</v>
      </c>
      <c r="D191" vm="555">
        <f ca="1"/>
        <v>14401011</v>
      </c>
      <c r="E191">
        <f t="shared" ca="1" si="42"/>
        <v>1685206307.22</v>
      </c>
      <c r="F191">
        <f ca="1">SUM($E$2:E191)/SUM($D$2:D191)</f>
        <v>110.33768805482171</v>
      </c>
      <c r="G191">
        <f ca="1">_xlfn.STDEV.P($C$2:C191)</f>
        <v>4.4390235596845979</v>
      </c>
      <c r="H191">
        <f t="shared" ca="1" si="43"/>
        <v>114.77671161450631</v>
      </c>
      <c r="I191">
        <f t="shared" ca="1" si="44"/>
        <v>105.89866449513711</v>
      </c>
      <c r="J191">
        <f t="shared" ca="1" si="53"/>
        <v>116.52200000000001</v>
      </c>
      <c r="K191">
        <f t="shared" ca="1" si="54"/>
        <v>1.9902224154998094</v>
      </c>
      <c r="L191">
        <f t="shared" ca="1" si="55"/>
        <v>120.50244483099962</v>
      </c>
      <c r="M191">
        <f t="shared" ca="1" si="56"/>
        <v>112.54155516900039</v>
      </c>
      <c r="N191">
        <f t="shared" ca="1" si="45"/>
        <v>-0.32999999999999829</v>
      </c>
      <c r="O191">
        <f t="shared" ca="1" si="46"/>
        <v>0</v>
      </c>
      <c r="P191">
        <f t="shared" ca="1" si="47"/>
        <v>0.32999999999999829</v>
      </c>
      <c r="Q191">
        <f t="shared" ca="1" si="51"/>
        <v>0.57640577826870931</v>
      </c>
      <c r="R191">
        <f t="shared" ca="1" si="52"/>
        <v>0.50662098307497649</v>
      </c>
      <c r="S191">
        <f t="shared" ca="1" si="49"/>
        <v>1.1377455682355839</v>
      </c>
      <c r="T191">
        <f t="shared" ca="1" si="50"/>
        <v>53.221748422317482</v>
      </c>
      <c r="U191">
        <f>70</f>
        <v>70</v>
      </c>
      <c r="V191">
        <f>30</f>
        <v>30</v>
      </c>
      <c r="W191">
        <f t="shared" ca="1" si="48"/>
        <v>117.3768655632116</v>
      </c>
      <c r="X191">
        <f t="shared" ca="1" si="58"/>
        <v>116.18468872483267</v>
      </c>
      <c r="Y191">
        <f t="shared" ca="1" si="57"/>
        <v>1.0801858595533673</v>
      </c>
      <c r="Z191">
        <f t="shared" ca="1" si="59"/>
        <v>1.1737555389499572</v>
      </c>
      <c r="AA191">
        <f t="shared" ca="1" si="60"/>
        <v>-9.3569679396589889E-2</v>
      </c>
      <c r="AB191">
        <f t="shared" ca="1" si="61"/>
        <v>112.53640000000004</v>
      </c>
    </row>
    <row r="192" spans="1:28" x14ac:dyDescent="0.25">
      <c r="A192" s="20">
        <f t="shared" ca="1" si="41"/>
        <v>45978</v>
      </c>
      <c r="B192" vm="556">
        <f ca="1"/>
        <v>45982</v>
      </c>
      <c r="C192" vm="557">
        <f ca="1"/>
        <v>117.08</v>
      </c>
      <c r="D192" vm="558">
        <f ca="1"/>
        <v>15667596</v>
      </c>
      <c r="E192">
        <f t="shared" ca="1" si="42"/>
        <v>1834362139.6800001</v>
      </c>
      <c r="F192">
        <f ca="1">SUM($E$2:E192)/SUM($D$2:D192)</f>
        <v>110.37152438568236</v>
      </c>
      <c r="G192">
        <f ca="1">_xlfn.STDEV.P($C$2:C192)</f>
        <v>4.4517549506112992</v>
      </c>
      <c r="H192">
        <f t="shared" ca="1" si="43"/>
        <v>114.82327933629367</v>
      </c>
      <c r="I192">
        <f t="shared" ca="1" si="44"/>
        <v>105.91976943507106</v>
      </c>
      <c r="J192">
        <f t="shared" ca="1" si="53"/>
        <v>116.60649999999998</v>
      </c>
      <c r="K192">
        <f t="shared" ca="1" si="54"/>
        <v>1.9754527129376276</v>
      </c>
      <c r="L192">
        <f t="shared" ca="1" si="55"/>
        <v>120.55740542587523</v>
      </c>
      <c r="M192">
        <f t="shared" ca="1" si="56"/>
        <v>112.65559457412473</v>
      </c>
      <c r="N192">
        <f t="shared" ca="1" si="45"/>
        <v>6.0000000000002274E-2</v>
      </c>
      <c r="O192">
        <f t="shared" ca="1" si="46"/>
        <v>6.0000000000002274E-2</v>
      </c>
      <c r="P192">
        <f t="shared" ca="1" si="47"/>
        <v>0</v>
      </c>
      <c r="Q192">
        <f t="shared" ca="1" si="51"/>
        <v>0.53951965124951595</v>
      </c>
      <c r="R192">
        <f t="shared" ca="1" si="52"/>
        <v>0.47043376999819247</v>
      </c>
      <c r="S192">
        <f t="shared" ca="1" si="49"/>
        <v>1.1468557013914815</v>
      </c>
      <c r="T192">
        <f t="shared" ca="1" si="50"/>
        <v>53.420250864934637</v>
      </c>
      <c r="U192">
        <f>70</f>
        <v>70</v>
      </c>
      <c r="V192">
        <f>30</f>
        <v>30</v>
      </c>
      <c r="W192">
        <f t="shared" ca="1" si="48"/>
        <v>117.33119393810213</v>
      </c>
      <c r="X192">
        <f t="shared" ca="1" si="58"/>
        <v>116.25100807854876</v>
      </c>
      <c r="Y192">
        <f t="shared" ca="1" si="57"/>
        <v>0.89158682076349294</v>
      </c>
      <c r="Z192">
        <f t="shared" ca="1" si="59"/>
        <v>1.1173217953126644</v>
      </c>
      <c r="AA192">
        <f t="shared" ca="1" si="60"/>
        <v>-0.22573497454917146</v>
      </c>
      <c r="AB192">
        <f t="shared" ca="1" si="61"/>
        <v>112.59670000000004</v>
      </c>
    </row>
    <row r="193" spans="1:28" x14ac:dyDescent="0.25">
      <c r="A193" s="20">
        <f t="shared" ca="1" si="41"/>
        <v>45985</v>
      </c>
      <c r="B193" vm="559">
        <f ca="1"/>
        <v>45985</v>
      </c>
      <c r="C193" vm="560">
        <f ca="1"/>
        <v>115.97</v>
      </c>
      <c r="D193" vm="561">
        <f ca="1"/>
        <v>18034923</v>
      </c>
      <c r="E193">
        <f t="shared" ca="1" si="42"/>
        <v>2091510020.3099999</v>
      </c>
      <c r="F193">
        <f ca="1">SUM($E$2:E193)/SUM($D$2:D193)</f>
        <v>110.40367983124482</v>
      </c>
      <c r="G193">
        <f ca="1">_xlfn.STDEV.P($C$2:C193)</f>
        <v>4.4565153565609865</v>
      </c>
      <c r="H193">
        <f t="shared" ca="1" si="43"/>
        <v>114.8601951878058</v>
      </c>
      <c r="I193">
        <f t="shared" ca="1" si="44"/>
        <v>105.94716447468383</v>
      </c>
      <c r="J193">
        <f t="shared" ca="1" si="53"/>
        <v>116.60799999999999</v>
      </c>
      <c r="K193">
        <f t="shared" ca="1" si="54"/>
        <v>1.9749313112638949</v>
      </c>
      <c r="L193">
        <f t="shared" ca="1" si="55"/>
        <v>120.55786262252778</v>
      </c>
      <c r="M193">
        <f t="shared" ca="1" si="56"/>
        <v>112.6581373774722</v>
      </c>
      <c r="N193">
        <f t="shared" ca="1" si="45"/>
        <v>-1.1099999999999994</v>
      </c>
      <c r="O193">
        <f t="shared" ca="1" si="46"/>
        <v>0</v>
      </c>
      <c r="P193">
        <f t="shared" ca="1" si="47"/>
        <v>1.1099999999999994</v>
      </c>
      <c r="Q193">
        <f t="shared" ca="1" si="51"/>
        <v>0.50098253330312192</v>
      </c>
      <c r="R193">
        <f t="shared" ca="1" si="52"/>
        <v>0.51611707214117863</v>
      </c>
      <c r="S193">
        <f t="shared" ca="1" si="49"/>
        <v>0.97067615148774455</v>
      </c>
      <c r="T193">
        <f t="shared" ca="1" si="50"/>
        <v>49.255995245841952</v>
      </c>
      <c r="U193">
        <f>70</f>
        <v>70</v>
      </c>
      <c r="V193">
        <f>30</f>
        <v>30</v>
      </c>
      <c r="W193">
        <f t="shared" ca="1" si="48"/>
        <v>117.12177948608642</v>
      </c>
      <c r="X193">
        <f t="shared" ca="1" si="58"/>
        <v>116.23019266532293</v>
      </c>
      <c r="Y193">
        <f t="shared" ca="1" si="57"/>
        <v>0.61719627104761798</v>
      </c>
      <c r="Z193">
        <f t="shared" ca="1" si="59"/>
        <v>1.0172966904596552</v>
      </c>
      <c r="AA193">
        <f t="shared" ca="1" si="60"/>
        <v>-0.40010041941203722</v>
      </c>
      <c r="AB193">
        <f t="shared" ca="1" si="61"/>
        <v>112.63440000000004</v>
      </c>
    </row>
    <row r="194" spans="1:28" x14ac:dyDescent="0.25">
      <c r="A194" s="20">
        <f t="shared" ca="1" si="41"/>
        <v>45985</v>
      </c>
      <c r="B194" vm="562">
        <f ca="1"/>
        <v>45986</v>
      </c>
      <c r="C194" vm="563">
        <f ca="1"/>
        <v>114.51</v>
      </c>
      <c r="D194" vm="564">
        <f ca="1"/>
        <v>14434558</v>
      </c>
      <c r="E194">
        <f t="shared" ca="1" si="42"/>
        <v>1652901236.5800002</v>
      </c>
      <c r="F194">
        <f ca="1">SUM($E$2:E194)/SUM($D$2:D194)</f>
        <v>110.42247018135933</v>
      </c>
      <c r="G194">
        <f ca="1">_xlfn.STDEV.P($C$2:C194)</f>
        <v>4.4533811457843653</v>
      </c>
      <c r="H194">
        <f t="shared" ca="1" si="43"/>
        <v>114.87585132714369</v>
      </c>
      <c r="I194">
        <f t="shared" ca="1" si="44"/>
        <v>105.96908903557497</v>
      </c>
      <c r="J194">
        <f t="shared" ca="1" si="53"/>
        <v>116.58199999999999</v>
      </c>
      <c r="K194">
        <f t="shared" ca="1" si="54"/>
        <v>2.0000621042989222</v>
      </c>
      <c r="L194">
        <f t="shared" ca="1" si="55"/>
        <v>120.58212420859783</v>
      </c>
      <c r="M194">
        <f t="shared" ca="1" si="56"/>
        <v>112.58187579140215</v>
      </c>
      <c r="N194">
        <f t="shared" ca="1" si="45"/>
        <v>-1.4599999999999937</v>
      </c>
      <c r="O194">
        <f t="shared" ca="1" si="46"/>
        <v>0</v>
      </c>
      <c r="P194">
        <f t="shared" ca="1" si="47"/>
        <v>1.4599999999999937</v>
      </c>
      <c r="Q194">
        <f t="shared" ca="1" si="51"/>
        <v>0.46519806663861324</v>
      </c>
      <c r="R194">
        <f t="shared" ca="1" si="52"/>
        <v>0.58353728127395121</v>
      </c>
      <c r="S194">
        <f t="shared" ca="1" si="49"/>
        <v>0.79720367758340072</v>
      </c>
      <c r="T194">
        <f t="shared" ca="1" si="50"/>
        <v>44.358003910572663</v>
      </c>
      <c r="U194">
        <f>70</f>
        <v>70</v>
      </c>
      <c r="V194">
        <f>30</f>
        <v>30</v>
      </c>
      <c r="W194">
        <f t="shared" ca="1" si="48"/>
        <v>116.71996725745774</v>
      </c>
      <c r="X194">
        <f t="shared" ca="1" si="58"/>
        <v>116.10277098641012</v>
      </c>
      <c r="Y194">
        <f t="shared" ca="1" si="57"/>
        <v>0.41592508513294035</v>
      </c>
      <c r="Z194">
        <f t="shared" ca="1" si="59"/>
        <v>0.89702236939431235</v>
      </c>
      <c r="AA194">
        <f t="shared" ca="1" si="60"/>
        <v>-0.48109728426137199</v>
      </c>
      <c r="AB194">
        <f t="shared" ca="1" si="61"/>
        <v>112.66840000000003</v>
      </c>
    </row>
    <row r="195" spans="1:28" x14ac:dyDescent="0.25">
      <c r="A195" s="20">
        <f t="shared" ref="A195:A252" ca="1" si="62">B195 - WEEKDAY(B195, 2) + 1</f>
        <v>45985</v>
      </c>
      <c r="B195" vm="565">
        <f ca="1"/>
        <v>45987</v>
      </c>
      <c r="C195" vm="566">
        <f ca="1"/>
        <v>114.77</v>
      </c>
      <c r="D195" vm="567">
        <f ca="1"/>
        <v>11650597</v>
      </c>
      <c r="E195">
        <f t="shared" ref="E195:E252" ca="1" si="63">C195*D195</f>
        <v>1337139017.6900001</v>
      </c>
      <c r="F195">
        <f ca="1">SUM($E$2:E195)/SUM($D$2:D195)</f>
        <v>110.43846827570911</v>
      </c>
      <c r="G195">
        <f ca="1">_xlfn.STDEV.P($C$2:C195)</f>
        <v>4.4513662264243683</v>
      </c>
      <c r="H195">
        <f t="shared" ref="H195:H252" ca="1" si="64">F195 + G195</f>
        <v>114.88983450213348</v>
      </c>
      <c r="I195">
        <f t="shared" ref="I195:I252" ca="1" si="65">F195 - G195</f>
        <v>105.98710204928474</v>
      </c>
      <c r="J195">
        <f t="shared" ca="1" si="53"/>
        <v>116.498</v>
      </c>
      <c r="K195">
        <f t="shared" ca="1" si="54"/>
        <v>2.0407624993975588</v>
      </c>
      <c r="L195">
        <f t="shared" ca="1" si="55"/>
        <v>120.57952499879512</v>
      </c>
      <c r="M195">
        <f t="shared" ca="1" si="56"/>
        <v>112.41647500120489</v>
      </c>
      <c r="N195">
        <f t="shared" ca="1" si="45"/>
        <v>0.25999999999999091</v>
      </c>
      <c r="O195">
        <f t="shared" ca="1" si="46"/>
        <v>0.25999999999999091</v>
      </c>
      <c r="P195">
        <f t="shared" ca="1" si="47"/>
        <v>0</v>
      </c>
      <c r="Q195">
        <f t="shared" ca="1" si="51"/>
        <v>0.45054106187871168</v>
      </c>
      <c r="R195">
        <f t="shared" ca="1" si="52"/>
        <v>0.54185604689724043</v>
      </c>
      <c r="S195">
        <f t="shared" ca="1" si="49"/>
        <v>0.83147740891439004</v>
      </c>
      <c r="T195">
        <f t="shared" ca="1" si="50"/>
        <v>45.399271913883396</v>
      </c>
      <c r="U195">
        <f>70</f>
        <v>70</v>
      </c>
      <c r="V195">
        <f>30</f>
        <v>30</v>
      </c>
      <c r="W195">
        <f t="shared" ca="1" si="48"/>
        <v>116.41997229477194</v>
      </c>
      <c r="X195">
        <f t="shared" ca="1" si="58"/>
        <v>116.004047209639</v>
      </c>
      <c r="Y195">
        <f t="shared" ca="1" si="57"/>
        <v>0.34523198978517655</v>
      </c>
      <c r="Z195">
        <f t="shared" ca="1" si="59"/>
        <v>0.78666429347248523</v>
      </c>
      <c r="AA195">
        <f t="shared" ca="1" si="60"/>
        <v>-0.44143230368730868</v>
      </c>
      <c r="AB195">
        <f t="shared" ca="1" si="61"/>
        <v>112.67420000000004</v>
      </c>
    </row>
    <row r="196" spans="1:28" x14ac:dyDescent="0.25">
      <c r="A196" s="20">
        <f t="shared" ca="1" si="62"/>
        <v>45985</v>
      </c>
      <c r="B196" vm="568">
        <f ca="1"/>
        <v>45989</v>
      </c>
      <c r="C196" vm="569">
        <f ca="1"/>
        <v>115.92</v>
      </c>
      <c r="D196" vm="570">
        <f ca="1"/>
        <v>7240825</v>
      </c>
      <c r="E196">
        <f t="shared" ca="1" si="63"/>
        <v>839356434</v>
      </c>
      <c r="F196">
        <f ca="1">SUM($E$2:E196)/SUM($D$2:D196)</f>
        <v>110.45097591625031</v>
      </c>
      <c r="G196">
        <f ca="1">_xlfn.STDEV.P($C$2:C196)</f>
        <v>4.4553471760244046</v>
      </c>
      <c r="H196">
        <f t="shared" ca="1" si="64"/>
        <v>114.90632309227472</v>
      </c>
      <c r="I196">
        <f t="shared" ca="1" si="65"/>
        <v>105.99562874022591</v>
      </c>
      <c r="J196">
        <f t="shared" ca="1" si="53"/>
        <v>116.5595</v>
      </c>
      <c r="K196">
        <f t="shared" ca="1" si="54"/>
        <v>2.0015664260510411</v>
      </c>
      <c r="L196">
        <f t="shared" ca="1" si="55"/>
        <v>120.56263285210208</v>
      </c>
      <c r="M196">
        <f t="shared" ca="1" si="56"/>
        <v>112.55636714789792</v>
      </c>
      <c r="N196">
        <f t="shared" ref="N196:N252" ca="1" si="66">C196-C195</f>
        <v>1.1500000000000057</v>
      </c>
      <c r="O196">
        <f t="shared" ref="O196:O252" ca="1" si="67">MAX(N196,0)</f>
        <v>1.1500000000000057</v>
      </c>
      <c r="P196">
        <f t="shared" ref="P196:P252" ca="1" si="68">MAX(-N196,0)</f>
        <v>0</v>
      </c>
      <c r="Q196">
        <f t="shared" ca="1" si="51"/>
        <v>0.50050241460166123</v>
      </c>
      <c r="R196">
        <f t="shared" ca="1" si="52"/>
        <v>0.50315204354743759</v>
      </c>
      <c r="S196">
        <f t="shared" ca="1" si="49"/>
        <v>0.9947339398105286</v>
      </c>
      <c r="T196">
        <f t="shared" ca="1" si="50"/>
        <v>49.868000937759859</v>
      </c>
      <c r="U196">
        <f>70</f>
        <v>70</v>
      </c>
      <c r="V196">
        <f>30</f>
        <v>30</v>
      </c>
      <c r="W196">
        <f t="shared" ca="1" si="48"/>
        <v>116.34305348019164</v>
      </c>
      <c r="X196">
        <f t="shared" ca="1" si="58"/>
        <v>115.99782149040647</v>
      </c>
      <c r="Y196">
        <f t="shared" ca="1" si="57"/>
        <v>0.3425495704695436</v>
      </c>
      <c r="Z196">
        <f t="shared" ca="1" si="59"/>
        <v>0.69784134887189697</v>
      </c>
      <c r="AA196">
        <f t="shared" ca="1" si="60"/>
        <v>-0.35529177840235338</v>
      </c>
      <c r="AB196">
        <f t="shared" ca="1" si="61"/>
        <v>112.69540000000005</v>
      </c>
    </row>
    <row r="197" spans="1:28" x14ac:dyDescent="0.25">
      <c r="A197" s="20">
        <f t="shared" ca="1" si="62"/>
        <v>45992</v>
      </c>
      <c r="B197" vm="571">
        <f ca="1"/>
        <v>45992</v>
      </c>
      <c r="C197" vm="572">
        <f ca="1"/>
        <v>116.63</v>
      </c>
      <c r="D197" vm="573">
        <f ca="1"/>
        <v>12658100</v>
      </c>
      <c r="E197">
        <f t="shared" ca="1" si="63"/>
        <v>1476314203</v>
      </c>
      <c r="F197">
        <f ca="1">SUM($E$2:E197)/SUM($D$2:D197)</f>
        <v>110.47552554359501</v>
      </c>
      <c r="G197">
        <f ca="1">_xlfn.STDEV.P($C$2:C197)</f>
        <v>4.4635804442905549</v>
      </c>
      <c r="H197">
        <f t="shared" ca="1" si="64"/>
        <v>114.93910598788557</v>
      </c>
      <c r="I197">
        <f t="shared" ca="1" si="65"/>
        <v>106.01194509930446</v>
      </c>
      <c r="J197">
        <f t="shared" ca="1" si="53"/>
        <v>116.673</v>
      </c>
      <c r="K197">
        <f t="shared" ca="1" si="54"/>
        <v>1.9334809078583195</v>
      </c>
      <c r="L197">
        <f t="shared" ca="1" si="55"/>
        <v>120.53996181571664</v>
      </c>
      <c r="M197">
        <f t="shared" ca="1" si="56"/>
        <v>112.80603818428337</v>
      </c>
      <c r="N197">
        <f t="shared" ca="1" si="66"/>
        <v>0.70999999999999375</v>
      </c>
      <c r="O197">
        <f t="shared" ca="1" si="67"/>
        <v>0.70999999999999375</v>
      </c>
      <c r="P197">
        <f t="shared" ca="1" si="68"/>
        <v>0</v>
      </c>
      <c r="Q197">
        <f t="shared" ca="1" si="51"/>
        <v>0.51546652784439928</v>
      </c>
      <c r="R197">
        <f t="shared" ca="1" si="52"/>
        <v>0.46721261186547774</v>
      </c>
      <c r="S197">
        <f t="shared" ca="1" si="49"/>
        <v>1.1032804225602006</v>
      </c>
      <c r="T197">
        <f t="shared" ca="1" si="50"/>
        <v>52.455222362467566</v>
      </c>
      <c r="U197">
        <f>70</f>
        <v>70</v>
      </c>
      <c r="V197">
        <f>30</f>
        <v>30</v>
      </c>
      <c r="W197">
        <f t="shared" ca="1" si="48"/>
        <v>116.38719909862368</v>
      </c>
      <c r="X197">
        <f t="shared" ca="1" si="58"/>
        <v>116.04464952815414</v>
      </c>
      <c r="Y197">
        <f t="shared" ca="1" si="57"/>
        <v>0.23682916137077825</v>
      </c>
      <c r="Z197">
        <f t="shared" ca="1" si="59"/>
        <v>0.60563891137167325</v>
      </c>
      <c r="AA197">
        <f t="shared" ca="1" si="60"/>
        <v>-0.368809750000895</v>
      </c>
      <c r="AB197">
        <f t="shared" ca="1" si="61"/>
        <v>112.71240000000006</v>
      </c>
    </row>
    <row r="198" spans="1:28" x14ac:dyDescent="0.25">
      <c r="A198" s="20">
        <f t="shared" ca="1" si="62"/>
        <v>45992</v>
      </c>
      <c r="B198" vm="574">
        <f ca="1"/>
        <v>45993</v>
      </c>
      <c r="C198" vm="575">
        <f ca="1"/>
        <v>115.38</v>
      </c>
      <c r="D198" vm="576">
        <f ca="1"/>
        <v>14607704</v>
      </c>
      <c r="E198">
        <f t="shared" ca="1" si="63"/>
        <v>1685436887.52</v>
      </c>
      <c r="F198">
        <f ca="1">SUM($E$2:E198)/SUM($D$2:D198)</f>
        <v>110.4979098811157</v>
      </c>
      <c r="G198">
        <f ca="1">_xlfn.STDEV.P($C$2:C198)</f>
        <v>4.4641537207949016</v>
      </c>
      <c r="H198">
        <f t="shared" ca="1" si="64"/>
        <v>114.9620636019106</v>
      </c>
      <c r="I198">
        <f t="shared" ca="1" si="65"/>
        <v>106.03375616032081</v>
      </c>
      <c r="J198">
        <f t="shared" ca="1" si="53"/>
        <v>116.75399999999999</v>
      </c>
      <c r="K198">
        <f t="shared" ca="1" si="54"/>
        <v>1.836525323309727</v>
      </c>
      <c r="L198">
        <f t="shared" ca="1" si="55"/>
        <v>120.42705064661945</v>
      </c>
      <c r="M198">
        <f t="shared" ca="1" si="56"/>
        <v>113.08094935338053</v>
      </c>
      <c r="N198">
        <f t="shared" ca="1" si="66"/>
        <v>-1.25</v>
      </c>
      <c r="O198">
        <f t="shared" ca="1" si="67"/>
        <v>0</v>
      </c>
      <c r="P198">
        <f t="shared" ca="1" si="68"/>
        <v>1.25</v>
      </c>
      <c r="Q198">
        <f t="shared" ca="1" si="51"/>
        <v>0.47864749014122793</v>
      </c>
      <c r="R198">
        <f t="shared" ca="1" si="52"/>
        <v>0.52312599673222937</v>
      </c>
      <c r="S198">
        <f t="shared" ca="1" si="49"/>
        <v>0.91497553769294226</v>
      </c>
      <c r="T198">
        <f t="shared" ca="1" si="50"/>
        <v>47.780011790398888</v>
      </c>
      <c r="U198">
        <f>70</f>
        <v>70</v>
      </c>
      <c r="V198">
        <f>30</f>
        <v>30</v>
      </c>
      <c r="W198">
        <f t="shared" ca="1" si="48"/>
        <v>116.23224539114312</v>
      </c>
      <c r="X198">
        <f t="shared" ca="1" si="58"/>
        <v>115.99541622977235</v>
      </c>
      <c r="Y198">
        <f t="shared" ca="1" si="57"/>
        <v>0.34434930624927063</v>
      </c>
      <c r="Z198">
        <f t="shared" ca="1" si="59"/>
        <v>0.55338099034719279</v>
      </c>
      <c r="AA198">
        <f t="shared" ca="1" si="60"/>
        <v>-0.20903168409792217</v>
      </c>
      <c r="AB198">
        <f t="shared" ca="1" si="61"/>
        <v>112.71190000000004</v>
      </c>
    </row>
    <row r="199" spans="1:28" x14ac:dyDescent="0.25">
      <c r="A199" s="20">
        <f t="shared" ca="1" si="62"/>
        <v>45992</v>
      </c>
      <c r="B199" vm="577">
        <f ca="1"/>
        <v>45994</v>
      </c>
      <c r="C199" vm="578">
        <f ca="1"/>
        <v>117.8</v>
      </c>
      <c r="D199" vm="579">
        <f ca="1"/>
        <v>16819130</v>
      </c>
      <c r="E199">
        <f t="shared" ca="1" si="63"/>
        <v>1981293514</v>
      </c>
      <c r="F199">
        <f ca="1">SUM($E$2:E199)/SUM($D$2:D199)</f>
        <v>110.53608182523725</v>
      </c>
      <c r="G199">
        <f ca="1">_xlfn.STDEV.P($C$2:C199)</f>
        <v>4.4802995713519218</v>
      </c>
      <c r="H199">
        <f t="shared" ca="1" si="64"/>
        <v>115.01638139658917</v>
      </c>
      <c r="I199">
        <f t="shared" ca="1" si="65"/>
        <v>106.05578225388533</v>
      </c>
      <c r="J199">
        <f t="shared" ca="1" si="53"/>
        <v>116.93700000000001</v>
      </c>
      <c r="K199">
        <f t="shared" ca="1" si="54"/>
        <v>1.7422764902336985</v>
      </c>
      <c r="L199">
        <f t="shared" ca="1" si="55"/>
        <v>120.42155298046741</v>
      </c>
      <c r="M199">
        <f t="shared" ca="1" si="56"/>
        <v>113.45244701953261</v>
      </c>
      <c r="N199">
        <f t="shared" ca="1" si="66"/>
        <v>2.4200000000000017</v>
      </c>
      <c r="O199">
        <f t="shared" ca="1" si="67"/>
        <v>2.4200000000000017</v>
      </c>
      <c r="P199">
        <f t="shared" ca="1" si="68"/>
        <v>0</v>
      </c>
      <c r="Q199">
        <f t="shared" ca="1" si="51"/>
        <v>0.61731552655971178</v>
      </c>
      <c r="R199">
        <f t="shared" ca="1" si="52"/>
        <v>0.4857598541084987</v>
      </c>
      <c r="S199">
        <f t="shared" ca="1" si="49"/>
        <v>1.2708245058510517</v>
      </c>
      <c r="T199">
        <f t="shared" ca="1" si="50"/>
        <v>55.963131566381286</v>
      </c>
      <c r="U199">
        <f>70</f>
        <v>70</v>
      </c>
      <c r="V199">
        <f>30</f>
        <v>30</v>
      </c>
      <c r="W199">
        <f t="shared" ca="1" si="48"/>
        <v>116.47343840789033</v>
      </c>
      <c r="X199">
        <f t="shared" ca="1" si="58"/>
        <v>116.12908910164106</v>
      </c>
      <c r="Y199">
        <f t="shared" ca="1" si="57"/>
        <v>0.37201495472959323</v>
      </c>
      <c r="Z199">
        <f t="shared" ca="1" si="59"/>
        <v>0.5171077832236729</v>
      </c>
      <c r="AA199">
        <f t="shared" ca="1" si="60"/>
        <v>-0.14509282849407967</v>
      </c>
      <c r="AB199">
        <f t="shared" ca="1" si="61"/>
        <v>112.75070000000005</v>
      </c>
    </row>
    <row r="200" spans="1:28" x14ac:dyDescent="0.25">
      <c r="A200" s="20">
        <f t="shared" ca="1" si="62"/>
        <v>45992</v>
      </c>
      <c r="B200" vm="580">
        <f ca="1"/>
        <v>45995</v>
      </c>
      <c r="C200" vm="581">
        <f ca="1"/>
        <v>117.14</v>
      </c>
      <c r="D200" vm="582">
        <f ca="1"/>
        <v>13686897</v>
      </c>
      <c r="E200">
        <f t="shared" ca="1" si="63"/>
        <v>1603283114.5799999</v>
      </c>
      <c r="F200">
        <f ca="1">SUM($E$2:E200)/SUM($D$2:D200)</f>
        <v>110.56405596055208</v>
      </c>
      <c r="G200">
        <f ca="1">_xlfn.STDEV.P($C$2:C200)</f>
        <v>4.4910932761613234</v>
      </c>
      <c r="H200">
        <f t="shared" ca="1" si="64"/>
        <v>115.0551492367134</v>
      </c>
      <c r="I200">
        <f t="shared" ca="1" si="65"/>
        <v>106.07296268439076</v>
      </c>
      <c r="J200">
        <f t="shared" ca="1" si="53"/>
        <v>117.10999999999999</v>
      </c>
      <c r="K200">
        <f t="shared" ca="1" si="54"/>
        <v>1.5645682101495384</v>
      </c>
      <c r="L200">
        <f t="shared" ca="1" si="55"/>
        <v>120.23913642029906</v>
      </c>
      <c r="M200">
        <f t="shared" ca="1" si="56"/>
        <v>113.98086357970091</v>
      </c>
      <c r="N200">
        <f t="shared" ca="1" si="66"/>
        <v>-0.65999999999999659</v>
      </c>
      <c r="O200">
        <f t="shared" ca="1" si="67"/>
        <v>0</v>
      </c>
      <c r="P200">
        <f t="shared" ca="1" si="68"/>
        <v>0.65999999999999659</v>
      </c>
      <c r="Q200">
        <f t="shared" ca="1" si="51"/>
        <v>0.57322156037687522</v>
      </c>
      <c r="R200">
        <f t="shared" ca="1" si="52"/>
        <v>0.49820557881503424</v>
      </c>
      <c r="S200">
        <f t="shared" ca="1" si="49"/>
        <v>1.1505723435298818</v>
      </c>
      <c r="T200">
        <f t="shared" ca="1" si="50"/>
        <v>53.50075048586222</v>
      </c>
      <c r="U200">
        <f>70</f>
        <v>70</v>
      </c>
      <c r="V200">
        <f>30</f>
        <v>30</v>
      </c>
      <c r="W200">
        <f t="shared" ca="1" si="48"/>
        <v>116.57598634513798</v>
      </c>
      <c r="X200">
        <f t="shared" ca="1" si="58"/>
        <v>116.20397139040838</v>
      </c>
      <c r="Y200">
        <f t="shared" ca="1" si="57"/>
        <v>0.34158758582124449</v>
      </c>
      <c r="Z200">
        <f t="shared" ca="1" si="59"/>
        <v>0.48200374374318722</v>
      </c>
      <c r="AA200">
        <f t="shared" ca="1" si="60"/>
        <v>-0.14041615792194273</v>
      </c>
      <c r="AB200">
        <f t="shared" ca="1" si="61"/>
        <v>112.79300000000003</v>
      </c>
    </row>
    <row r="201" spans="1:28" x14ac:dyDescent="0.25">
      <c r="A201" s="20">
        <f t="shared" ca="1" si="62"/>
        <v>45992</v>
      </c>
      <c r="B201" vm="583">
        <f ca="1"/>
        <v>45996</v>
      </c>
      <c r="C201" vm="584">
        <f ca="1"/>
        <v>116.54</v>
      </c>
      <c r="D201" vm="585">
        <f ca="1"/>
        <v>12516864</v>
      </c>
      <c r="E201">
        <f t="shared" ca="1" si="63"/>
        <v>1458715330.5600002</v>
      </c>
      <c r="F201">
        <f ca="1">SUM($E$2:E201)/SUM($D$2:D201)</f>
        <v>110.58711668212493</v>
      </c>
      <c r="G201">
        <f ca="1">_xlfn.STDEV.P($C$2:C201)</f>
        <v>4.4975834375250887</v>
      </c>
      <c r="H201">
        <f t="shared" ca="1" si="64"/>
        <v>115.08470011965002</v>
      </c>
      <c r="I201">
        <f t="shared" ca="1" si="65"/>
        <v>106.08953324459983</v>
      </c>
      <c r="J201">
        <f t="shared" ca="1" si="53"/>
        <v>117.21199999999999</v>
      </c>
      <c r="K201">
        <f t="shared" ca="1" si="54"/>
        <v>1.447580922199444</v>
      </c>
      <c r="L201">
        <f t="shared" ca="1" si="55"/>
        <v>120.10716184439887</v>
      </c>
      <c r="M201">
        <f t="shared" ca="1" si="56"/>
        <v>114.3168381556011</v>
      </c>
      <c r="N201">
        <f t="shared" ca="1" si="66"/>
        <v>-0.59999999999999432</v>
      </c>
      <c r="O201">
        <f t="shared" ca="1" si="67"/>
        <v>0</v>
      </c>
      <c r="P201">
        <f t="shared" ca="1" si="68"/>
        <v>0.59999999999999432</v>
      </c>
      <c r="Q201">
        <f t="shared" ca="1" si="51"/>
        <v>0.53227716320709839</v>
      </c>
      <c r="R201">
        <f t="shared" ca="1" si="52"/>
        <v>0.50547660889967427</v>
      </c>
      <c r="S201">
        <f t="shared" ca="1" si="49"/>
        <v>1.0530203650091026</v>
      </c>
      <c r="T201">
        <f t="shared" ca="1" si="50"/>
        <v>51.291277132773779</v>
      </c>
      <c r="U201">
        <f>70</f>
        <v>70</v>
      </c>
      <c r="V201">
        <f>30</f>
        <v>30</v>
      </c>
      <c r="W201">
        <f t="shared" ca="1" si="48"/>
        <v>116.57044998434752</v>
      </c>
      <c r="X201">
        <f t="shared" ca="1" si="58"/>
        <v>116.22886239852627</v>
      </c>
      <c r="Y201">
        <f t="shared" ca="1" si="57"/>
        <v>0.26918337843353868</v>
      </c>
      <c r="Z201">
        <f t="shared" ca="1" si="59"/>
        <v>0.43943967068125755</v>
      </c>
      <c r="AA201">
        <f t="shared" ca="1" si="60"/>
        <v>-0.17025629224771888</v>
      </c>
      <c r="AB201">
        <f t="shared" ca="1" si="61"/>
        <v>112.83610000000003</v>
      </c>
    </row>
    <row r="202" spans="1:28" x14ac:dyDescent="0.25">
      <c r="A202" s="20">
        <f t="shared" ca="1" si="62"/>
        <v>45999</v>
      </c>
      <c r="B202" vm="586">
        <f ca="1"/>
        <v>45999</v>
      </c>
      <c r="C202" vm="497">
        <f ca="1"/>
        <v>115.98</v>
      </c>
      <c r="D202" vm="587">
        <f ca="1"/>
        <v>14904164</v>
      </c>
      <c r="E202">
        <f t="shared" ca="1" si="63"/>
        <v>1728584940.72</v>
      </c>
      <c r="F202">
        <f ca="1">SUM($E$2:E202)/SUM($D$2:D202)</f>
        <v>110.61178323726577</v>
      </c>
      <c r="G202">
        <f ca="1">_xlfn.STDEV.P($C$2:C202)</f>
        <v>4.5005316023053243</v>
      </c>
      <c r="H202">
        <f t="shared" ca="1" si="64"/>
        <v>115.1123148395711</v>
      </c>
      <c r="I202">
        <f t="shared" ca="1" si="65"/>
        <v>106.11125163496044</v>
      </c>
      <c r="J202">
        <f t="shared" ca="1" si="53"/>
        <v>117.15000000000002</v>
      </c>
      <c r="K202">
        <f t="shared" ca="1" si="54"/>
        <v>1.4735420984109944</v>
      </c>
      <c r="L202">
        <f t="shared" ca="1" si="55"/>
        <v>120.09708419682201</v>
      </c>
      <c r="M202">
        <f t="shared" ca="1" si="56"/>
        <v>114.20291580317803</v>
      </c>
      <c r="N202">
        <f t="shared" ca="1" si="66"/>
        <v>-0.56000000000000227</v>
      </c>
      <c r="O202">
        <f t="shared" ca="1" si="67"/>
        <v>0</v>
      </c>
      <c r="P202">
        <f t="shared" ca="1" si="68"/>
        <v>0.56000000000000227</v>
      </c>
      <c r="Q202">
        <f t="shared" ca="1" si="51"/>
        <v>0.49425736583516278</v>
      </c>
      <c r="R202">
        <f t="shared" ca="1" si="52"/>
        <v>0.50937113683541202</v>
      </c>
      <c r="S202">
        <f t="shared" ca="1" si="49"/>
        <v>0.97032856809644319</v>
      </c>
      <c r="T202">
        <f t="shared" ca="1" si="50"/>
        <v>49.247043554461001</v>
      </c>
      <c r="U202">
        <f>70</f>
        <v>70</v>
      </c>
      <c r="V202">
        <f>30</f>
        <v>30</v>
      </c>
      <c r="W202">
        <f t="shared" ca="1" si="48"/>
        <v>116.47961152521712</v>
      </c>
      <c r="X202">
        <f t="shared" ca="1" si="58"/>
        <v>116.21042814678358</v>
      </c>
      <c r="Y202">
        <f t="shared" ca="1" si="57"/>
        <v>0.39047143955788499</v>
      </c>
      <c r="Z202">
        <f t="shared" ca="1" si="59"/>
        <v>0.42964602445658306</v>
      </c>
      <c r="AA202">
        <f t="shared" ca="1" si="60"/>
        <v>-3.9174584898698073E-2</v>
      </c>
      <c r="AB202">
        <f t="shared" ca="1" si="61"/>
        <v>112.87930000000001</v>
      </c>
    </row>
    <row r="203" spans="1:28" x14ac:dyDescent="0.25">
      <c r="A203" s="20">
        <f t="shared" ca="1" si="62"/>
        <v>45999</v>
      </c>
      <c r="B203" vm="588">
        <f ca="1"/>
        <v>46000</v>
      </c>
      <c r="C203" vm="589">
        <f ca="1"/>
        <v>118.25</v>
      </c>
      <c r="D203" vm="590">
        <f ca="1"/>
        <v>23790815</v>
      </c>
      <c r="E203">
        <f t="shared" ca="1" si="63"/>
        <v>2813263873.75</v>
      </c>
      <c r="F203">
        <f ca="1">SUM($E$2:E203)/SUM($D$2:D203)</f>
        <v>110.66714652096883</v>
      </c>
      <c r="G203">
        <f ca="1">_xlfn.STDEV.P($C$2:C203)</f>
        <v>4.5186242194699835</v>
      </c>
      <c r="H203">
        <f t="shared" ca="1" si="64"/>
        <v>115.18577074043881</v>
      </c>
      <c r="I203">
        <f t="shared" ca="1" si="65"/>
        <v>106.14852230149884</v>
      </c>
      <c r="J203">
        <f t="shared" ca="1" si="53"/>
        <v>117.15150000000001</v>
      </c>
      <c r="K203">
        <f t="shared" ca="1" si="54"/>
        <v>1.4747034492256055</v>
      </c>
      <c r="L203">
        <f t="shared" ca="1" si="55"/>
        <v>120.10090689845123</v>
      </c>
      <c r="M203">
        <f t="shared" ca="1" si="56"/>
        <v>114.2020931015488</v>
      </c>
      <c r="N203">
        <f t="shared" ca="1" si="66"/>
        <v>2.269999999999996</v>
      </c>
      <c r="O203">
        <f t="shared" ca="1" si="67"/>
        <v>2.269999999999996</v>
      </c>
      <c r="P203">
        <f t="shared" ca="1" si="68"/>
        <v>0</v>
      </c>
      <c r="Q203">
        <f t="shared" ca="1" si="51"/>
        <v>0.62109612541836512</v>
      </c>
      <c r="R203">
        <f t="shared" ca="1" si="52"/>
        <v>0.47298748420431114</v>
      </c>
      <c r="S203">
        <f t="shared" ca="1" si="49"/>
        <v>1.3131343770400425</v>
      </c>
      <c r="T203">
        <f t="shared" ca="1" si="50"/>
        <v>56.768616215041057</v>
      </c>
      <c r="U203">
        <f>70</f>
        <v>70</v>
      </c>
      <c r="V203">
        <f>30</f>
        <v>30</v>
      </c>
      <c r="W203">
        <f t="shared" ca="1" si="48"/>
        <v>116.75197898287603</v>
      </c>
      <c r="X203">
        <f t="shared" ca="1" si="58"/>
        <v>116.36150754331814</v>
      </c>
      <c r="Y203">
        <f t="shared" ca="1" si="57"/>
        <v>0.583953864204517</v>
      </c>
      <c r="Z203">
        <f t="shared" ca="1" si="59"/>
        <v>0.46050759240616984</v>
      </c>
      <c r="AA203">
        <f t="shared" ca="1" si="60"/>
        <v>0.12344627179834716</v>
      </c>
      <c r="AB203">
        <f t="shared" ca="1" si="61"/>
        <v>112.9841</v>
      </c>
    </row>
    <row r="204" spans="1:28" x14ac:dyDescent="0.25">
      <c r="A204" s="20">
        <f t="shared" ca="1" si="62"/>
        <v>45999</v>
      </c>
      <c r="B204" vm="591">
        <f ca="1"/>
        <v>46001</v>
      </c>
      <c r="C204" vm="592">
        <f ca="1"/>
        <v>119.54</v>
      </c>
      <c r="D204" vm="593">
        <f ca="1"/>
        <v>19845192</v>
      </c>
      <c r="E204">
        <f t="shared" ca="1" si="63"/>
        <v>2372294251.6800003</v>
      </c>
      <c r="F204">
        <f ca="1">SUM($E$2:E204)/SUM($D$2:D204)</f>
        <v>110.72047034323373</v>
      </c>
      <c r="G204">
        <f ca="1">_xlfn.STDEV.P($C$2:C204)</f>
        <v>4.547212462899811</v>
      </c>
      <c r="H204">
        <f t="shared" ca="1" si="64"/>
        <v>115.26768280613354</v>
      </c>
      <c r="I204">
        <f t="shared" ca="1" si="65"/>
        <v>106.17325788033392</v>
      </c>
      <c r="J204">
        <f t="shared" ca="1" si="53"/>
        <v>117.13950000000003</v>
      </c>
      <c r="K204">
        <f t="shared" ca="1" si="54"/>
        <v>1.4530058680650892</v>
      </c>
      <c r="L204">
        <f t="shared" ca="1" si="55"/>
        <v>120.04551173613021</v>
      </c>
      <c r="M204">
        <f t="shared" ca="1" si="56"/>
        <v>114.23348826386984</v>
      </c>
      <c r="N204">
        <f t="shared" ca="1" si="66"/>
        <v>1.2900000000000063</v>
      </c>
      <c r="O204">
        <f t="shared" ca="1" si="67"/>
        <v>1.2900000000000063</v>
      </c>
      <c r="P204">
        <f t="shared" ca="1" si="68"/>
        <v>0</v>
      </c>
      <c r="Q204">
        <f t="shared" ca="1" si="51"/>
        <v>0.66887497360276804</v>
      </c>
      <c r="R204">
        <f t="shared" ca="1" si="52"/>
        <v>0.4392026639040032</v>
      </c>
      <c r="S204">
        <f t="shared" ca="1" si="49"/>
        <v>1.5229301381217588</v>
      </c>
      <c r="T204">
        <f t="shared" ca="1" si="50"/>
        <v>60.363547730082288</v>
      </c>
      <c r="U204">
        <f>70</f>
        <v>70</v>
      </c>
      <c r="V204">
        <f>30</f>
        <v>30</v>
      </c>
      <c r="W204">
        <f t="shared" ca="1" si="48"/>
        <v>117.1809052932028</v>
      </c>
      <c r="X204">
        <f t="shared" ca="1" si="58"/>
        <v>116.59695142899828</v>
      </c>
      <c r="Y204">
        <f t="shared" ca="1" si="57"/>
        <v>0.72888791355211424</v>
      </c>
      <c r="Z204">
        <f t="shared" ca="1" si="59"/>
        <v>0.51418365663535881</v>
      </c>
      <c r="AA204">
        <f t="shared" ca="1" si="60"/>
        <v>0.21470425691675543</v>
      </c>
      <c r="AB204">
        <f t="shared" ca="1" si="61"/>
        <v>113.09900000000002</v>
      </c>
    </row>
    <row r="205" spans="1:28" x14ac:dyDescent="0.25">
      <c r="A205" s="20">
        <f t="shared" ca="1" si="62"/>
        <v>45999</v>
      </c>
      <c r="B205" vm="594">
        <f ca="1"/>
        <v>46002</v>
      </c>
      <c r="C205" vm="592">
        <f ca="1"/>
        <v>119.54</v>
      </c>
      <c r="D205" vm="595">
        <f ca="1"/>
        <v>14781787</v>
      </c>
      <c r="E205">
        <f t="shared" ca="1" si="63"/>
        <v>1767014817.98</v>
      </c>
      <c r="F205">
        <f ca="1">SUM($E$2:E205)/SUM($D$2:D205)</f>
        <v>110.75977421023063</v>
      </c>
      <c r="G205">
        <f ca="1">_xlfn.STDEV.P($C$2:C205)</f>
        <v>4.5749608566278539</v>
      </c>
      <c r="H205">
        <f t="shared" ca="1" si="64"/>
        <v>115.33473506685849</v>
      </c>
      <c r="I205">
        <f t="shared" ca="1" si="65"/>
        <v>106.18481335360278</v>
      </c>
      <c r="J205">
        <f t="shared" ca="1" si="53"/>
        <v>117.2105</v>
      </c>
      <c r="K205">
        <f t="shared" ca="1" si="54"/>
        <v>1.5357750486317994</v>
      </c>
      <c r="L205">
        <f t="shared" ca="1" si="55"/>
        <v>120.28205009726359</v>
      </c>
      <c r="M205">
        <f t="shared" ca="1" si="56"/>
        <v>114.1389499027364</v>
      </c>
      <c r="N205">
        <f t="shared" ca="1" si="66"/>
        <v>0</v>
      </c>
      <c r="O205">
        <f t="shared" ca="1" si="67"/>
        <v>0</v>
      </c>
      <c r="P205">
        <f t="shared" ca="1" si="68"/>
        <v>0</v>
      </c>
      <c r="Q205">
        <f t="shared" ca="1" si="51"/>
        <v>0.62109818977399889</v>
      </c>
      <c r="R205">
        <f t="shared" ca="1" si="52"/>
        <v>0.40783104505371731</v>
      </c>
      <c r="S205">
        <f t="shared" ca="1" si="49"/>
        <v>1.5229301381217586</v>
      </c>
      <c r="T205">
        <f t="shared" ca="1" si="50"/>
        <v>60.363547730082281</v>
      </c>
      <c r="U205">
        <f>70</f>
        <v>70</v>
      </c>
      <c r="V205">
        <f>30</f>
        <v>30</v>
      </c>
      <c r="W205">
        <f t="shared" ca="1" si="48"/>
        <v>117.54384294040237</v>
      </c>
      <c r="X205">
        <f t="shared" ca="1" si="58"/>
        <v>116.81495502685026</v>
      </c>
      <c r="Y205">
        <f t="shared" ca="1" si="57"/>
        <v>0.77669791901188034</v>
      </c>
      <c r="Z205">
        <f t="shared" ca="1" si="59"/>
        <v>0.56668650911066321</v>
      </c>
      <c r="AA205">
        <f t="shared" ca="1" si="60"/>
        <v>0.21001140990121714</v>
      </c>
      <c r="AB205">
        <f t="shared" ca="1" si="61"/>
        <v>113.20900000000002</v>
      </c>
    </row>
    <row r="206" spans="1:28" x14ac:dyDescent="0.25">
      <c r="A206" s="20">
        <f t="shared" ca="1" si="62"/>
        <v>45999</v>
      </c>
      <c r="B206" vm="596">
        <f ca="1"/>
        <v>46003</v>
      </c>
      <c r="C206" vm="597">
        <f ca="1"/>
        <v>118.82</v>
      </c>
      <c r="D206" vm="598">
        <f ca="1"/>
        <v>14459538</v>
      </c>
      <c r="E206">
        <f t="shared" ca="1" si="63"/>
        <v>1718082305.1599998</v>
      </c>
      <c r="F206">
        <f ca="1">SUM($E$2:E206)/SUM($D$2:D206)</f>
        <v>110.79475869107065</v>
      </c>
      <c r="G206">
        <f ca="1">_xlfn.STDEV.P($C$2:C206)</f>
        <v>4.5957263944024165</v>
      </c>
      <c r="H206">
        <f t="shared" ca="1" si="64"/>
        <v>115.39048508547307</v>
      </c>
      <c r="I206">
        <f t="shared" ca="1" si="65"/>
        <v>106.19903229666824</v>
      </c>
      <c r="J206">
        <f t="shared" ca="1" si="53"/>
        <v>117.21200000000002</v>
      </c>
      <c r="K206">
        <f t="shared" ca="1" si="54"/>
        <v>1.5374127275188161</v>
      </c>
      <c r="L206">
        <f t="shared" ca="1" si="55"/>
        <v>120.28682545503764</v>
      </c>
      <c r="M206">
        <f t="shared" ca="1" si="56"/>
        <v>114.13717454496239</v>
      </c>
      <c r="N206">
        <f t="shared" ca="1" si="66"/>
        <v>-0.72000000000001307</v>
      </c>
      <c r="O206">
        <f t="shared" ca="1" si="67"/>
        <v>0</v>
      </c>
      <c r="P206">
        <f t="shared" ca="1" si="68"/>
        <v>0.72000000000001307</v>
      </c>
      <c r="Q206">
        <f t="shared" ca="1" si="51"/>
        <v>0.57673403336157036</v>
      </c>
      <c r="R206">
        <f t="shared" ca="1" si="52"/>
        <v>0.4301288275498813</v>
      </c>
      <c r="S206">
        <f t="shared" ca="1" si="49"/>
        <v>1.3408402237227113</v>
      </c>
      <c r="T206">
        <f t="shared" ca="1" si="50"/>
        <v>57.28029662743625</v>
      </c>
      <c r="U206">
        <f>70</f>
        <v>70</v>
      </c>
      <c r="V206">
        <f>30</f>
        <v>30</v>
      </c>
      <c r="W206">
        <f t="shared" ca="1" si="48"/>
        <v>117.74017479572508</v>
      </c>
      <c r="X206">
        <f t="shared" ca="1" si="58"/>
        <v>116.9634768767132</v>
      </c>
      <c r="Y206">
        <f t="shared" ca="1" si="57"/>
        <v>0.72074623760273937</v>
      </c>
      <c r="Z206">
        <f t="shared" ca="1" si="59"/>
        <v>0.59749845480907848</v>
      </c>
      <c r="AA206">
        <f t="shared" ca="1" si="60"/>
        <v>0.12324778279366089</v>
      </c>
      <c r="AB206">
        <f t="shared" ca="1" si="61"/>
        <v>113.29790000000001</v>
      </c>
    </row>
    <row r="207" spans="1:28" x14ac:dyDescent="0.25">
      <c r="A207" s="20">
        <f t="shared" ca="1" si="62"/>
        <v>46006</v>
      </c>
      <c r="B207" vm="599">
        <f ca="1"/>
        <v>46006</v>
      </c>
      <c r="C207" vm="600">
        <f ca="1"/>
        <v>117.76</v>
      </c>
      <c r="D207" vm="601">
        <f ca="1"/>
        <v>16358669</v>
      </c>
      <c r="E207">
        <f t="shared" ca="1" si="63"/>
        <v>1926396861.4400001</v>
      </c>
      <c r="F207">
        <f ca="1">SUM($E$2:E207)/SUM($D$2:D207)</f>
        <v>110.82879406889259</v>
      </c>
      <c r="G207">
        <f ca="1">_xlfn.STDEV.P($C$2:C207)</f>
        <v>4.6079033401941452</v>
      </c>
      <c r="H207">
        <f t="shared" ca="1" si="64"/>
        <v>115.43669740908673</v>
      </c>
      <c r="I207">
        <f t="shared" ca="1" si="65"/>
        <v>106.22089072869845</v>
      </c>
      <c r="J207">
        <f t="shared" ca="1" si="53"/>
        <v>117.13550000000002</v>
      </c>
      <c r="K207">
        <f t="shared" ca="1" si="54"/>
        <v>1.4649285055304888</v>
      </c>
      <c r="L207">
        <f t="shared" ca="1" si="55"/>
        <v>120.065357011061</v>
      </c>
      <c r="M207">
        <f t="shared" ca="1" si="56"/>
        <v>114.20564298893905</v>
      </c>
      <c r="N207">
        <f t="shared" ca="1" si="66"/>
        <v>-1.0599999999999881</v>
      </c>
      <c r="O207">
        <f t="shared" ca="1" si="67"/>
        <v>0</v>
      </c>
      <c r="P207">
        <f t="shared" ca="1" si="68"/>
        <v>1.0599999999999881</v>
      </c>
      <c r="Q207">
        <f t="shared" ca="1" si="51"/>
        <v>0.53553874526431533</v>
      </c>
      <c r="R207">
        <f t="shared" ca="1" si="52"/>
        <v>0.4751196255820318</v>
      </c>
      <c r="S207">
        <f t="shared" ca="1" si="49"/>
        <v>1.1271661207601533</v>
      </c>
      <c r="T207">
        <f t="shared" ca="1" si="50"/>
        <v>52.989097078950984</v>
      </c>
      <c r="U207">
        <f>70</f>
        <v>70</v>
      </c>
      <c r="V207">
        <f>30</f>
        <v>30</v>
      </c>
      <c r="W207">
        <f t="shared" ref="W207:W252" ca="1" si="69">C207*(2/(12+1)) + W206*(1-(2/(12+1)))</f>
        <v>117.74322482715201</v>
      </c>
      <c r="X207">
        <f t="shared" ca="1" si="58"/>
        <v>117.02247858954927</v>
      </c>
      <c r="Y207">
        <f t="shared" ca="1" si="57"/>
        <v>0.42299781213857557</v>
      </c>
      <c r="Z207">
        <f t="shared" ca="1" si="59"/>
        <v>0.56259832627497797</v>
      </c>
      <c r="AA207">
        <f t="shared" ca="1" si="60"/>
        <v>-0.1396005141364024</v>
      </c>
      <c r="AB207">
        <f t="shared" ca="1" si="61"/>
        <v>113.36760000000002</v>
      </c>
    </row>
    <row r="208" spans="1:28" x14ac:dyDescent="0.25">
      <c r="A208" s="20">
        <f t="shared" ca="1" si="62"/>
        <v>46006</v>
      </c>
      <c r="B208" vm="602">
        <f ca="1"/>
        <v>46007</v>
      </c>
      <c r="C208" vm="419">
        <f ca="1"/>
        <v>114.68</v>
      </c>
      <c r="D208" vm="603">
        <f ca="1"/>
        <v>17638716</v>
      </c>
      <c r="E208">
        <f t="shared" ca="1" si="63"/>
        <v>2022807950.8800001</v>
      </c>
      <c r="F208">
        <f ca="1">SUM($E$2:E208)/SUM($D$2:D208)</f>
        <v>110.84897903110728</v>
      </c>
      <c r="G208">
        <f ca="1">_xlfn.STDEV.P($C$2:C208)</f>
        <v>4.6033552723879367</v>
      </c>
      <c r="H208">
        <f t="shared" ca="1" si="64"/>
        <v>115.45233430349521</v>
      </c>
      <c r="I208">
        <f t="shared" ca="1" si="65"/>
        <v>106.24562375871935</v>
      </c>
      <c r="J208">
        <f t="shared" ca="1" si="53"/>
        <v>116.9855</v>
      </c>
      <c r="K208">
        <f t="shared" ca="1" si="54"/>
        <v>1.5569419250231322</v>
      </c>
      <c r="L208">
        <f t="shared" ca="1" si="55"/>
        <v>120.09938385004627</v>
      </c>
      <c r="M208">
        <f t="shared" ca="1" si="56"/>
        <v>113.87161614995374</v>
      </c>
      <c r="N208">
        <f t="shared" ca="1" si="66"/>
        <v>-3.0799999999999983</v>
      </c>
      <c r="O208">
        <f t="shared" ca="1" si="67"/>
        <v>0</v>
      </c>
      <c r="P208">
        <f t="shared" ca="1" si="68"/>
        <v>3.0799999999999983</v>
      </c>
      <c r="Q208">
        <f t="shared" ca="1" si="51"/>
        <v>0.49728597774543565</v>
      </c>
      <c r="R208">
        <f t="shared" ca="1" si="52"/>
        <v>0.66118250946902946</v>
      </c>
      <c r="S208">
        <f t="shared" ref="S208:S252" ca="1" si="70">IF(R208=0,NA(),Q208/R208)</f>
        <v>0.75211605059666065</v>
      </c>
      <c r="T208">
        <f t="shared" ref="T208:T252" ca="1" si="71">100-(100/(1+S208))</f>
        <v>42.926154939368153</v>
      </c>
      <c r="U208">
        <f>70</f>
        <v>70</v>
      </c>
      <c r="V208">
        <f>30</f>
        <v>30</v>
      </c>
      <c r="W208">
        <f t="shared" ca="1" si="69"/>
        <v>117.27195946912863</v>
      </c>
      <c r="X208">
        <f t="shared" ca="1" si="58"/>
        <v>116.84896165699006</v>
      </c>
      <c r="Y208">
        <f t="shared" ca="1" si="57"/>
        <v>0.40267642110950419</v>
      </c>
      <c r="Z208">
        <f t="shared" ca="1" si="59"/>
        <v>0.53061394524188321</v>
      </c>
      <c r="AA208">
        <f t="shared" ca="1" si="60"/>
        <v>-0.12793752413237902</v>
      </c>
      <c r="AB208">
        <f t="shared" ca="1" si="61"/>
        <v>113.41040000000002</v>
      </c>
    </row>
    <row r="209" spans="1:28" x14ac:dyDescent="0.25">
      <c r="A209" s="20">
        <f t="shared" ca="1" si="62"/>
        <v>46006</v>
      </c>
      <c r="B209" vm="604">
        <f ca="1"/>
        <v>46008</v>
      </c>
      <c r="C209" vm="605">
        <f ca="1"/>
        <v>117.41</v>
      </c>
      <c r="D209" vm="606">
        <f ca="1"/>
        <v>18502152</v>
      </c>
      <c r="E209">
        <f t="shared" ca="1" si="63"/>
        <v>2172337666.3200002</v>
      </c>
      <c r="F209">
        <f ca="1">SUM($E$2:E209)/SUM($D$2:D209)</f>
        <v>110.88485278217902</v>
      </c>
      <c r="G209">
        <f ca="1">_xlfn.STDEV.P($C$2:C209)</f>
        <v>4.6126813916061531</v>
      </c>
      <c r="H209">
        <f t="shared" ca="1" si="64"/>
        <v>115.49753417378518</v>
      </c>
      <c r="I209">
        <f t="shared" ca="1" si="65"/>
        <v>106.27217139057286</v>
      </c>
      <c r="J209">
        <f t="shared" ca="1" si="53"/>
        <v>116.90449999999998</v>
      </c>
      <c r="K209">
        <f t="shared" ca="1" si="54"/>
        <v>1.4854787461499268</v>
      </c>
      <c r="L209">
        <f t="shared" ca="1" si="55"/>
        <v>119.87545749229984</v>
      </c>
      <c r="M209">
        <f t="shared" ca="1" si="56"/>
        <v>113.93354250770012</v>
      </c>
      <c r="N209">
        <f t="shared" ca="1" si="66"/>
        <v>2.7299999999999898</v>
      </c>
      <c r="O209">
        <f t="shared" ca="1" si="67"/>
        <v>2.7299999999999898</v>
      </c>
      <c r="P209">
        <f t="shared" ca="1" si="68"/>
        <v>0</v>
      </c>
      <c r="Q209">
        <f t="shared" ref="Q209:Q252" ca="1" si="72">(Q208*13+O209)/14</f>
        <v>0.65676555076361809</v>
      </c>
      <c r="R209">
        <f t="shared" ref="R209:R252" ca="1" si="73">(R208*13+P209)/14</f>
        <v>0.61395518736409882</v>
      </c>
      <c r="S209">
        <f t="shared" ca="1" si="70"/>
        <v>1.0697288080312792</v>
      </c>
      <c r="T209">
        <f t="shared" ca="1" si="71"/>
        <v>51.684491411645496</v>
      </c>
      <c r="U209">
        <f>70</f>
        <v>70</v>
      </c>
      <c r="V209">
        <f>30</f>
        <v>30</v>
      </c>
      <c r="W209">
        <f t="shared" ca="1" si="69"/>
        <v>117.29319647387807</v>
      </c>
      <c r="X209">
        <f t="shared" ca="1" si="58"/>
        <v>116.89052005276857</v>
      </c>
      <c r="Y209">
        <f t="shared" ca="1" si="57"/>
        <v>0.31276448886610808</v>
      </c>
      <c r="Z209">
        <f t="shared" ca="1" si="59"/>
        <v>0.48704405396672823</v>
      </c>
      <c r="AA209">
        <f t="shared" ca="1" si="60"/>
        <v>-0.17427956510062015</v>
      </c>
      <c r="AB209">
        <f t="shared" ca="1" si="61"/>
        <v>113.47010000000002</v>
      </c>
    </row>
    <row r="210" spans="1:28" x14ac:dyDescent="0.25">
      <c r="A210" s="20">
        <f t="shared" ca="1" si="62"/>
        <v>46006</v>
      </c>
      <c r="B210" vm="607">
        <f ca="1"/>
        <v>46009</v>
      </c>
      <c r="C210" vm="584">
        <f ca="1"/>
        <v>116.54</v>
      </c>
      <c r="D210" vm="608">
        <f ca="1"/>
        <v>13705560</v>
      </c>
      <c r="E210">
        <f t="shared" ca="1" si="63"/>
        <v>1597245962.4000001</v>
      </c>
      <c r="F210">
        <f ca="1">SUM($E$2:E210)/SUM($D$2:D210)</f>
        <v>110.90766504568847</v>
      </c>
      <c r="G210">
        <f ca="1">_xlfn.STDEV.P($C$2:C210)</f>
        <v>4.616503932112165</v>
      </c>
      <c r="H210">
        <f t="shared" ca="1" si="64"/>
        <v>115.52416897780064</v>
      </c>
      <c r="I210">
        <f t="shared" ca="1" si="65"/>
        <v>106.29116111357631</v>
      </c>
      <c r="J210">
        <f t="shared" ca="1" si="53"/>
        <v>116.86399999999999</v>
      </c>
      <c r="K210">
        <f t="shared" ca="1" si="54"/>
        <v>1.4837342647593783</v>
      </c>
      <c r="L210">
        <f t="shared" ca="1" si="55"/>
        <v>119.83146852951874</v>
      </c>
      <c r="M210">
        <f t="shared" ca="1" si="56"/>
        <v>113.89653147048124</v>
      </c>
      <c r="N210">
        <f t="shared" ca="1" si="66"/>
        <v>-0.86999999999999034</v>
      </c>
      <c r="O210">
        <f t="shared" ca="1" si="67"/>
        <v>0</v>
      </c>
      <c r="P210">
        <f t="shared" ca="1" si="68"/>
        <v>0.86999999999999034</v>
      </c>
      <c r="Q210">
        <f t="shared" ca="1" si="72"/>
        <v>0.60985372570907403</v>
      </c>
      <c r="R210">
        <f t="shared" ca="1" si="73"/>
        <v>0.63224410255237673</v>
      </c>
      <c r="S210">
        <f t="shared" ca="1" si="70"/>
        <v>0.96458586683068692</v>
      </c>
      <c r="T210">
        <f t="shared" ca="1" si="71"/>
        <v>49.098687062570491</v>
      </c>
      <c r="U210">
        <f>70</f>
        <v>70</v>
      </c>
      <c r="V210">
        <f>30</f>
        <v>30</v>
      </c>
      <c r="W210">
        <f t="shared" ca="1" si="69"/>
        <v>117.17732009328144</v>
      </c>
      <c r="X210">
        <f t="shared" ca="1" si="58"/>
        <v>116.86455560441533</v>
      </c>
      <c r="Y210">
        <f t="shared" ca="1" si="57"/>
        <v>0.25072221159430796</v>
      </c>
      <c r="Z210">
        <f t="shared" ca="1" si="59"/>
        <v>0.43977968549224422</v>
      </c>
      <c r="AA210">
        <f t="shared" ca="1" si="60"/>
        <v>-0.18905747389793626</v>
      </c>
      <c r="AB210">
        <f t="shared" ca="1" si="61"/>
        <v>113.50670000000004</v>
      </c>
    </row>
    <row r="211" spans="1:28" x14ac:dyDescent="0.25">
      <c r="A211" s="20">
        <f t="shared" ca="1" si="62"/>
        <v>46006</v>
      </c>
      <c r="B211" vm="609">
        <f ca="1"/>
        <v>46010</v>
      </c>
      <c r="C211" vm="610">
        <f ca="1"/>
        <v>116.69</v>
      </c>
      <c r="D211" vm="611">
        <f ca="1"/>
        <v>45412814</v>
      </c>
      <c r="E211">
        <f t="shared" ca="1" si="63"/>
        <v>5299221265.6599998</v>
      </c>
      <c r="F211">
        <f ca="1">SUM($E$2:E211)/SUM($D$2:D211)</f>
        <v>110.98393314937523</v>
      </c>
      <c r="G211">
        <f ca="1">_xlfn.STDEV.P($C$2:C211)</f>
        <v>4.6209794104732991</v>
      </c>
      <c r="H211">
        <f t="shared" ca="1" si="64"/>
        <v>115.60491255984853</v>
      </c>
      <c r="I211">
        <f t="shared" ca="1" si="65"/>
        <v>106.36295373890194</v>
      </c>
      <c r="J211">
        <f t="shared" ca="1" si="53"/>
        <v>116.8475</v>
      </c>
      <c r="K211">
        <f t="shared" ca="1" si="54"/>
        <v>1.4837430441463346</v>
      </c>
      <c r="L211">
        <f t="shared" ca="1" si="55"/>
        <v>119.81498608829267</v>
      </c>
      <c r="M211">
        <f t="shared" ca="1" si="56"/>
        <v>113.88001391170732</v>
      </c>
      <c r="N211">
        <f t="shared" ca="1" si="66"/>
        <v>0.14999999999999147</v>
      </c>
      <c r="O211">
        <f t="shared" ca="1" si="67"/>
        <v>0.14999999999999147</v>
      </c>
      <c r="P211">
        <f t="shared" ca="1" si="68"/>
        <v>0</v>
      </c>
      <c r="Q211">
        <f t="shared" ca="1" si="72"/>
        <v>0.57700703101556805</v>
      </c>
      <c r="R211">
        <f t="shared" ca="1" si="73"/>
        <v>0.58708380951292127</v>
      </c>
      <c r="S211">
        <f t="shared" ca="1" si="70"/>
        <v>0.98283587737547473</v>
      </c>
      <c r="T211">
        <f t="shared" ca="1" si="71"/>
        <v>49.567182467788406</v>
      </c>
      <c r="U211">
        <f>70</f>
        <v>70</v>
      </c>
      <c r="V211">
        <f>30</f>
        <v>30</v>
      </c>
      <c r="W211">
        <f t="shared" ca="1" si="69"/>
        <v>117.10234777123813</v>
      </c>
      <c r="X211">
        <f t="shared" ca="1" si="58"/>
        <v>116.85162555964382</v>
      </c>
      <c r="Y211">
        <f t="shared" ca="1" si="57"/>
        <v>0.31572359308684383</v>
      </c>
      <c r="Z211">
        <f t="shared" ca="1" si="59"/>
        <v>0.41496846701116413</v>
      </c>
      <c r="AA211">
        <f t="shared" ca="1" si="60"/>
        <v>-9.9244873924320298E-2</v>
      </c>
      <c r="AB211">
        <f t="shared" ca="1" si="61"/>
        <v>113.55460000000005</v>
      </c>
    </row>
    <row r="212" spans="1:28" x14ac:dyDescent="0.25">
      <c r="A212" s="20">
        <f t="shared" ca="1" si="62"/>
        <v>46013</v>
      </c>
      <c r="B212" vm="612">
        <f ca="1"/>
        <v>46013</v>
      </c>
      <c r="C212" vm="613">
        <f ca="1"/>
        <v>118.15</v>
      </c>
      <c r="D212" vm="614">
        <f ca="1"/>
        <v>11768611</v>
      </c>
      <c r="E212">
        <f t="shared" ca="1" si="63"/>
        <v>1390461389.6500001</v>
      </c>
      <c r="F212">
        <f ca="1">SUM($E$2:E212)/SUM($D$2:D212)</f>
        <v>111.00834414065835</v>
      </c>
      <c r="G212">
        <f ca="1">_xlfn.STDEV.P($C$2:C212)</f>
        <v>4.6344751606169243</v>
      </c>
      <c r="H212">
        <f t="shared" ca="1" si="64"/>
        <v>115.64281930127528</v>
      </c>
      <c r="I212">
        <f t="shared" ca="1" si="65"/>
        <v>106.37386898004142</v>
      </c>
      <c r="J212">
        <f t="shared" ca="1" si="53"/>
        <v>116.901</v>
      </c>
      <c r="K212">
        <f t="shared" ca="1" si="54"/>
        <v>1.5115969248307881</v>
      </c>
      <c r="L212">
        <f t="shared" ca="1" si="55"/>
        <v>119.92419384966158</v>
      </c>
      <c r="M212">
        <f t="shared" ca="1" si="56"/>
        <v>113.87780615033842</v>
      </c>
      <c r="N212">
        <f t="shared" ca="1" si="66"/>
        <v>1.460000000000008</v>
      </c>
      <c r="O212">
        <f t="shared" ca="1" si="67"/>
        <v>1.460000000000008</v>
      </c>
      <c r="P212">
        <f t="shared" ca="1" si="68"/>
        <v>0</v>
      </c>
      <c r="Q212">
        <f t="shared" ca="1" si="72"/>
        <v>0.64007795737159945</v>
      </c>
      <c r="R212">
        <f t="shared" ca="1" si="73"/>
        <v>0.54514925169056971</v>
      </c>
      <c r="S212">
        <f t="shared" ca="1" si="70"/>
        <v>1.1741334238039309</v>
      </c>
      <c r="T212">
        <f t="shared" ca="1" si="71"/>
        <v>54.004662775002593</v>
      </c>
      <c r="U212">
        <f>70</f>
        <v>70</v>
      </c>
      <c r="V212">
        <f>30</f>
        <v>30</v>
      </c>
      <c r="W212">
        <f t="shared" ca="1" si="69"/>
        <v>117.26352503720149</v>
      </c>
      <c r="X212">
        <f t="shared" ca="1" si="58"/>
        <v>116.94780144411465</v>
      </c>
      <c r="Y212">
        <f t="shared" ca="1" si="57"/>
        <v>0.46436315302446474</v>
      </c>
      <c r="Z212">
        <f t="shared" ca="1" si="59"/>
        <v>0.42484740421382428</v>
      </c>
      <c r="AA212">
        <f t="shared" ca="1" si="60"/>
        <v>3.9515748810640461E-2</v>
      </c>
      <c r="AB212">
        <f t="shared" ca="1" si="61"/>
        <v>113.61970000000002</v>
      </c>
    </row>
    <row r="213" spans="1:28" x14ac:dyDescent="0.25">
      <c r="A213" s="20">
        <f t="shared" ca="1" si="62"/>
        <v>46013</v>
      </c>
      <c r="B213" vm="615">
        <f ca="1"/>
        <v>46014</v>
      </c>
      <c r="C213" vm="616">
        <f ca="1"/>
        <v>119.42</v>
      </c>
      <c r="D213" vm="617">
        <f ca="1"/>
        <v>12567630</v>
      </c>
      <c r="E213">
        <f t="shared" ca="1" si="63"/>
        <v>1500826374.5999999</v>
      </c>
      <c r="F213">
        <f ca="1">SUM($E$2:E213)/SUM($D$2:D213)</f>
        <v>111.0388327241474</v>
      </c>
      <c r="G213">
        <f ca="1">_xlfn.STDEV.P($C$2:C213)</f>
        <v>4.6572212985678618</v>
      </c>
      <c r="H213">
        <f t="shared" ca="1" si="64"/>
        <v>115.69605402271526</v>
      </c>
      <c r="I213">
        <f t="shared" ca="1" si="65"/>
        <v>106.38161142557954</v>
      </c>
      <c r="J213">
        <f t="shared" ca="1" si="53"/>
        <v>117.0735</v>
      </c>
      <c r="K213">
        <f t="shared" ca="1" si="54"/>
        <v>1.5943494796179085</v>
      </c>
      <c r="L213">
        <f t="shared" ca="1" si="55"/>
        <v>120.26219895923582</v>
      </c>
      <c r="M213">
        <f t="shared" ca="1" si="56"/>
        <v>113.88480104076417</v>
      </c>
      <c r="N213">
        <f t="shared" ca="1" si="66"/>
        <v>1.269999999999996</v>
      </c>
      <c r="O213">
        <f t="shared" ca="1" si="67"/>
        <v>1.269999999999996</v>
      </c>
      <c r="P213">
        <f t="shared" ca="1" si="68"/>
        <v>0</v>
      </c>
      <c r="Q213">
        <f t="shared" ca="1" si="72"/>
        <v>0.68507238898791356</v>
      </c>
      <c r="R213">
        <f t="shared" ca="1" si="73"/>
        <v>0.50621001942695754</v>
      </c>
      <c r="S213">
        <f t="shared" ca="1" si="70"/>
        <v>1.3533362886879101</v>
      </c>
      <c r="T213">
        <f t="shared" ca="1" si="71"/>
        <v>57.507135516210283</v>
      </c>
      <c r="U213">
        <f>70</f>
        <v>70</v>
      </c>
      <c r="V213">
        <f>30</f>
        <v>30</v>
      </c>
      <c r="W213">
        <f t="shared" ca="1" si="69"/>
        <v>117.59529041609358</v>
      </c>
      <c r="X213">
        <f t="shared" ca="1" si="58"/>
        <v>117.13092726306911</v>
      </c>
      <c r="Y213">
        <f t="shared" ca="1" si="57"/>
        <v>0.55957234496391095</v>
      </c>
      <c r="Z213">
        <f t="shared" ca="1" si="59"/>
        <v>0.45179239236384161</v>
      </c>
      <c r="AA213">
        <f t="shared" ca="1" si="60"/>
        <v>0.10777995260006934</v>
      </c>
      <c r="AB213">
        <f t="shared" ca="1" si="61"/>
        <v>113.71750000000002</v>
      </c>
    </row>
    <row r="214" spans="1:28" x14ac:dyDescent="0.25">
      <c r="A214" s="20">
        <f t="shared" ca="1" si="62"/>
        <v>46013</v>
      </c>
      <c r="B214" vm="618">
        <f ca="1"/>
        <v>46015</v>
      </c>
      <c r="C214" vm="619">
        <f ca="1"/>
        <v>119.22</v>
      </c>
      <c r="D214" vm="620">
        <f ca="1"/>
        <v>6137406</v>
      </c>
      <c r="E214">
        <f t="shared" ca="1" si="63"/>
        <v>731701543.32000005</v>
      </c>
      <c r="F214">
        <f ca="1">SUM($E$2:E214)/SUM($D$2:D214)</f>
        <v>111.05328826829589</v>
      </c>
      <c r="G214">
        <f ca="1">_xlfn.STDEV.P($C$2:C214)</f>
        <v>4.6777301395574913</v>
      </c>
      <c r="H214">
        <f t="shared" ca="1" si="64"/>
        <v>115.73101840785338</v>
      </c>
      <c r="I214">
        <f t="shared" ca="1" si="65"/>
        <v>106.37555812873839</v>
      </c>
      <c r="J214">
        <f t="shared" ref="J214:J252" ca="1" si="74">AVERAGE(C195:C214)</f>
        <v>117.309</v>
      </c>
      <c r="K214">
        <f t="shared" ref="K214:K252" ca="1" si="75">_xlfn.STDEV.S(C195:C214)</f>
        <v>1.5427893399192332</v>
      </c>
      <c r="L214">
        <f t="shared" ref="L214:L252" ca="1" si="76">J214 + 2*K214</f>
        <v>120.39457867983846</v>
      </c>
      <c r="M214">
        <f t="shared" ref="M214:M252" ca="1" si="77">J214-2*K214</f>
        <v>114.22342132016153</v>
      </c>
      <c r="N214">
        <f t="shared" ca="1" si="66"/>
        <v>-0.20000000000000284</v>
      </c>
      <c r="O214">
        <f t="shared" ca="1" si="67"/>
        <v>0</v>
      </c>
      <c r="P214">
        <f t="shared" ca="1" si="68"/>
        <v>0.20000000000000284</v>
      </c>
      <c r="Q214">
        <f t="shared" ca="1" si="72"/>
        <v>0.63613864691734823</v>
      </c>
      <c r="R214">
        <f t="shared" ca="1" si="73"/>
        <v>0.48433787518217508</v>
      </c>
      <c r="S214">
        <f t="shared" ca="1" si="70"/>
        <v>1.313419163591276</v>
      </c>
      <c r="T214">
        <f t="shared" ca="1" si="71"/>
        <v>56.77393808532161</v>
      </c>
      <c r="U214">
        <f>70</f>
        <v>70</v>
      </c>
      <c r="V214">
        <f>30</f>
        <v>30</v>
      </c>
      <c r="W214">
        <f t="shared" ca="1" si="69"/>
        <v>117.84524573669457</v>
      </c>
      <c r="X214">
        <f t="shared" ca="1" si="58"/>
        <v>117.28567339173065</v>
      </c>
      <c r="Y214">
        <f t="shared" ca="1" si="57"/>
        <v>0.61901461961772952</v>
      </c>
      <c r="Z214">
        <f t="shared" ca="1" si="59"/>
        <v>0.48523683781461924</v>
      </c>
      <c r="AA214">
        <f t="shared" ca="1" si="60"/>
        <v>0.13377778180311028</v>
      </c>
      <c r="AB214">
        <f t="shared" ca="1" si="61"/>
        <v>113.836</v>
      </c>
    </row>
    <row r="215" spans="1:28" x14ac:dyDescent="0.25">
      <c r="A215" s="20">
        <f t="shared" ca="1" si="62"/>
        <v>46013</v>
      </c>
      <c r="B215" vm="621">
        <f ca="1"/>
        <v>46017</v>
      </c>
      <c r="C215" vm="622">
        <f ca="1"/>
        <v>119.11</v>
      </c>
      <c r="D215" vm="623">
        <f ca="1"/>
        <v>8066129</v>
      </c>
      <c r="E215">
        <f t="shared" ca="1" si="63"/>
        <v>960756625.18999994</v>
      </c>
      <c r="F215">
        <f ca="1">SUM($E$2:E215)/SUM($D$2:D215)</f>
        <v>111.07195421224596</v>
      </c>
      <c r="G215">
        <f ca="1">_xlfn.STDEV.P($C$2:C215)</f>
        <v>4.6968158253991952</v>
      </c>
      <c r="H215">
        <f t="shared" ca="1" si="64"/>
        <v>115.76877003764515</v>
      </c>
      <c r="I215">
        <f t="shared" ca="1" si="65"/>
        <v>106.37513838684676</v>
      </c>
      <c r="J215">
        <f t="shared" ca="1" si="74"/>
        <v>117.526</v>
      </c>
      <c r="K215">
        <f t="shared" ca="1" si="75"/>
        <v>1.4703934310602937</v>
      </c>
      <c r="L215">
        <f t="shared" ca="1" si="76"/>
        <v>120.46678686212059</v>
      </c>
      <c r="M215">
        <f t="shared" ca="1" si="77"/>
        <v>114.58521313787941</v>
      </c>
      <c r="N215">
        <f t="shared" ca="1" si="66"/>
        <v>-0.10999999999999943</v>
      </c>
      <c r="O215">
        <f t="shared" ca="1" si="67"/>
        <v>0</v>
      </c>
      <c r="P215">
        <f t="shared" ca="1" si="68"/>
        <v>0.10999999999999943</v>
      </c>
      <c r="Q215">
        <f t="shared" ca="1" si="72"/>
        <v>0.59070017213753767</v>
      </c>
      <c r="R215">
        <f t="shared" ca="1" si="73"/>
        <v>0.45759945552630538</v>
      </c>
      <c r="S215">
        <f t="shared" ca="1" si="70"/>
        <v>1.2908672967238286</v>
      </c>
      <c r="T215">
        <f t="shared" ca="1" si="71"/>
        <v>56.348409991704848</v>
      </c>
      <c r="U215">
        <f>70</f>
        <v>70</v>
      </c>
      <c r="V215">
        <f>30</f>
        <v>30</v>
      </c>
      <c r="W215">
        <f t="shared" ca="1" si="69"/>
        <v>118.03982331566463</v>
      </c>
      <c r="X215">
        <f t="shared" ca="1" si="58"/>
        <v>117.4208086960469</v>
      </c>
      <c r="Y215">
        <f t="shared" ca="1" si="57"/>
        <v>0.77180825794060581</v>
      </c>
      <c r="Z215">
        <f t="shared" ca="1" si="59"/>
        <v>0.54255112183981657</v>
      </c>
      <c r="AA215">
        <f t="shared" ca="1" si="60"/>
        <v>0.22925713610078924</v>
      </c>
      <c r="AB215">
        <f t="shared" ca="1" si="61"/>
        <v>113.95469999999999</v>
      </c>
    </row>
    <row r="216" spans="1:28" x14ac:dyDescent="0.25">
      <c r="A216" s="20">
        <f t="shared" ca="1" si="62"/>
        <v>46020</v>
      </c>
      <c r="B216" vm="624">
        <f ca="1"/>
        <v>46020</v>
      </c>
      <c r="C216" vm="625">
        <f ca="1"/>
        <v>120.53</v>
      </c>
      <c r="D216" vm="626">
        <f ca="1"/>
        <v>14782512</v>
      </c>
      <c r="E216">
        <f t="shared" ca="1" si="63"/>
        <v>1781736171.3600001</v>
      </c>
      <c r="F216">
        <f ca="1">SUM($E$2:E216)/SUM($D$2:D216)</f>
        <v>111.11194284276381</v>
      </c>
      <c r="G216">
        <f ca="1">_xlfn.STDEV.P($C$2:C216)</f>
        <v>4.7271359501254135</v>
      </c>
      <c r="H216">
        <f t="shared" ca="1" si="64"/>
        <v>115.83907879288923</v>
      </c>
      <c r="I216">
        <f t="shared" ca="1" si="65"/>
        <v>106.38480689263839</v>
      </c>
      <c r="J216">
        <f t="shared" ca="1" si="74"/>
        <v>117.75650000000003</v>
      </c>
      <c r="K216">
        <f t="shared" ca="1" si="75"/>
        <v>1.563754843486125</v>
      </c>
      <c r="L216">
        <f t="shared" ca="1" si="76"/>
        <v>120.88400968697228</v>
      </c>
      <c r="M216">
        <f t="shared" ca="1" si="77"/>
        <v>114.62899031302778</v>
      </c>
      <c r="N216">
        <f t="shared" ca="1" si="66"/>
        <v>1.4200000000000017</v>
      </c>
      <c r="O216">
        <f t="shared" ca="1" si="67"/>
        <v>1.4200000000000017</v>
      </c>
      <c r="P216">
        <f t="shared" ca="1" si="68"/>
        <v>0</v>
      </c>
      <c r="Q216">
        <f t="shared" ca="1" si="72"/>
        <v>0.6499358741277137</v>
      </c>
      <c r="R216">
        <f t="shared" ca="1" si="73"/>
        <v>0.42491378013156927</v>
      </c>
      <c r="S216">
        <f t="shared" ca="1" si="70"/>
        <v>1.5295711848330009</v>
      </c>
      <c r="T216">
        <f t="shared" ca="1" si="71"/>
        <v>60.46760786982879</v>
      </c>
      <c r="U216">
        <f>70</f>
        <v>70</v>
      </c>
      <c r="V216">
        <f>30</f>
        <v>30</v>
      </c>
      <c r="W216">
        <f t="shared" ca="1" si="69"/>
        <v>118.422927420947</v>
      </c>
      <c r="X216">
        <f t="shared" ca="1" si="58"/>
        <v>117.6511191630064</v>
      </c>
      <c r="Y216">
        <f t="shared" ca="1" si="57"/>
        <v>0.91941799442786021</v>
      </c>
      <c r="Z216">
        <f t="shared" ca="1" si="59"/>
        <v>0.6179244963574253</v>
      </c>
      <c r="AA216">
        <f t="shared" ca="1" si="60"/>
        <v>0.30149349807043491</v>
      </c>
      <c r="AB216">
        <f t="shared" ca="1" si="61"/>
        <v>114.0949</v>
      </c>
    </row>
    <row r="217" spans="1:28" x14ac:dyDescent="0.25">
      <c r="A217" s="20">
        <f t="shared" ca="1" si="62"/>
        <v>46020</v>
      </c>
      <c r="B217" vm="627">
        <f ca="1"/>
        <v>46021</v>
      </c>
      <c r="C217" vm="628">
        <f ca="1"/>
        <v>120.99</v>
      </c>
      <c r="D217" vm="629">
        <f ca="1"/>
        <v>11150486</v>
      </c>
      <c r="E217">
        <f t="shared" ca="1" si="63"/>
        <v>1349097301.1399999</v>
      </c>
      <c r="F217">
        <f ca="1">SUM($E$2:E217)/SUM($D$2:D217)</f>
        <v>111.14334571452932</v>
      </c>
      <c r="G217">
        <f ca="1">_xlfn.STDEV.P($C$2:C217)</f>
        <v>4.7607718305435061</v>
      </c>
      <c r="H217">
        <f t="shared" ca="1" si="64"/>
        <v>115.90411754507282</v>
      </c>
      <c r="I217">
        <f t="shared" ca="1" si="65"/>
        <v>106.38257388398581</v>
      </c>
      <c r="J217">
        <f t="shared" ca="1" si="74"/>
        <v>117.97450000000001</v>
      </c>
      <c r="K217">
        <f t="shared" ca="1" si="75"/>
        <v>1.6967041580664546</v>
      </c>
      <c r="L217">
        <f t="shared" ca="1" si="76"/>
        <v>121.36790831613291</v>
      </c>
      <c r="M217">
        <f t="shared" ca="1" si="77"/>
        <v>114.5810916838671</v>
      </c>
      <c r="N217">
        <f t="shared" ca="1" si="66"/>
        <v>0.45999999999999375</v>
      </c>
      <c r="O217">
        <f t="shared" ca="1" si="67"/>
        <v>0.45999999999999375</v>
      </c>
      <c r="P217">
        <f t="shared" ca="1" si="68"/>
        <v>0</v>
      </c>
      <c r="Q217">
        <f t="shared" ca="1" si="72"/>
        <v>0.63636902597573375</v>
      </c>
      <c r="R217">
        <f t="shared" ca="1" si="73"/>
        <v>0.3945627958364572</v>
      </c>
      <c r="S217">
        <f t="shared" ca="1" si="70"/>
        <v>1.6128459973694609</v>
      </c>
      <c r="T217">
        <f t="shared" ca="1" si="71"/>
        <v>61.727556809441829</v>
      </c>
      <c r="U217">
        <f>70</f>
        <v>70</v>
      </c>
      <c r="V217">
        <f>30</f>
        <v>30</v>
      </c>
      <c r="W217">
        <f t="shared" ca="1" si="69"/>
        <v>118.81786166387823</v>
      </c>
      <c r="X217">
        <f t="shared" ca="1" si="58"/>
        <v>117.89844366945037</v>
      </c>
      <c r="Y217">
        <f t="shared" ca="1" si="57"/>
        <v>0.97273709857681467</v>
      </c>
      <c r="Z217">
        <f t="shared" ca="1" si="59"/>
        <v>0.68888701680130326</v>
      </c>
      <c r="AA217">
        <f t="shared" ca="1" si="60"/>
        <v>0.28385008177551141</v>
      </c>
      <c r="AB217">
        <f t="shared" ca="1" si="61"/>
        <v>114.24529999999999</v>
      </c>
    </row>
    <row r="218" spans="1:28" x14ac:dyDescent="0.25">
      <c r="A218" s="20">
        <f t="shared" ca="1" si="62"/>
        <v>46020</v>
      </c>
      <c r="B218" vm="630">
        <f ca="1"/>
        <v>46022</v>
      </c>
      <c r="C218" vm="631">
        <f ca="1"/>
        <v>120.34</v>
      </c>
      <c r="D218" vm="632">
        <f ca="1"/>
        <v>10559866</v>
      </c>
      <c r="E218">
        <f t="shared" ca="1" si="63"/>
        <v>1270774274.4400001</v>
      </c>
      <c r="F218">
        <f ca="1">SUM($E$2:E218)/SUM($D$2:D218)</f>
        <v>111.17095065097426</v>
      </c>
      <c r="G218">
        <f ca="1">_xlfn.STDEV.P($C$2:C218)</f>
        <v>4.7877303896716317</v>
      </c>
      <c r="H218">
        <f t="shared" ca="1" si="64"/>
        <v>115.9586810406459</v>
      </c>
      <c r="I218">
        <f t="shared" ca="1" si="65"/>
        <v>106.38322026130263</v>
      </c>
      <c r="J218">
        <f t="shared" ca="1" si="74"/>
        <v>118.22250000000001</v>
      </c>
      <c r="K218">
        <f t="shared" ca="1" si="75"/>
        <v>1.6596032341306273</v>
      </c>
      <c r="L218">
        <f t="shared" ca="1" si="76"/>
        <v>121.54170646826127</v>
      </c>
      <c r="M218">
        <f t="shared" ca="1" si="77"/>
        <v>114.90329353173875</v>
      </c>
      <c r="N218">
        <f t="shared" ca="1" si="66"/>
        <v>-0.64999999999999147</v>
      </c>
      <c r="O218">
        <f t="shared" ca="1" si="67"/>
        <v>0</v>
      </c>
      <c r="P218">
        <f t="shared" ca="1" si="68"/>
        <v>0.64999999999999147</v>
      </c>
      <c r="Q218">
        <f t="shared" ca="1" si="72"/>
        <v>0.59091409554889562</v>
      </c>
      <c r="R218">
        <f t="shared" ca="1" si="73"/>
        <v>0.41280831041956684</v>
      </c>
      <c r="S218">
        <f t="shared" ca="1" si="70"/>
        <v>1.4314491269526697</v>
      </c>
      <c r="T218">
        <f t="shared" ca="1" si="71"/>
        <v>58.872263091381306</v>
      </c>
      <c r="U218">
        <f>70</f>
        <v>70</v>
      </c>
      <c r="V218">
        <f>30</f>
        <v>30</v>
      </c>
      <c r="W218">
        <f t="shared" ca="1" si="69"/>
        <v>119.05203679251235</v>
      </c>
      <c r="X218">
        <f t="shared" ca="1" si="58"/>
        <v>118.07929969393554</v>
      </c>
      <c r="Y218">
        <f t="shared" ca="1" si="57"/>
        <v>1.187699506686954</v>
      </c>
      <c r="Z218">
        <f t="shared" ca="1" si="59"/>
        <v>0.78864951477843337</v>
      </c>
      <c r="AA218">
        <f t="shared" ca="1" si="60"/>
        <v>0.39904999190852064</v>
      </c>
      <c r="AB218">
        <f t="shared" ca="1" si="61"/>
        <v>114.38069999999999</v>
      </c>
    </row>
    <row r="219" spans="1:28" x14ac:dyDescent="0.25">
      <c r="A219" s="20">
        <f t="shared" ca="1" si="62"/>
        <v>46020</v>
      </c>
      <c r="B219" vm="633">
        <f ca="1"/>
        <v>46024</v>
      </c>
      <c r="C219" vm="634">
        <f ca="1"/>
        <v>122.65</v>
      </c>
      <c r="D219" vm="635">
        <f ca="1"/>
        <v>14175055</v>
      </c>
      <c r="E219">
        <f t="shared" ca="1" si="63"/>
        <v>1738570495.75</v>
      </c>
      <c r="F219">
        <f ca="1">SUM($E$2:E219)/SUM($D$2:D219)</f>
        <v>111.21701689434661</v>
      </c>
      <c r="G219">
        <f ca="1">_xlfn.STDEV.P($C$2:C219)</f>
        <v>4.8358017316430564</v>
      </c>
      <c r="H219">
        <f t="shared" ca="1" si="64"/>
        <v>116.05281862598967</v>
      </c>
      <c r="I219">
        <f t="shared" ca="1" si="65"/>
        <v>106.38121516270355</v>
      </c>
      <c r="J219">
        <f t="shared" ca="1" si="74"/>
        <v>118.465</v>
      </c>
      <c r="K219">
        <f t="shared" ca="1" si="75"/>
        <v>1.9273584322371866</v>
      </c>
      <c r="L219">
        <f t="shared" ca="1" si="76"/>
        <v>122.31971686447437</v>
      </c>
      <c r="M219">
        <f t="shared" ca="1" si="77"/>
        <v>114.61028313552563</v>
      </c>
      <c r="N219">
        <f t="shared" ca="1" si="66"/>
        <v>2.3100000000000023</v>
      </c>
      <c r="O219">
        <f t="shared" ca="1" si="67"/>
        <v>2.3100000000000023</v>
      </c>
      <c r="P219">
        <f t="shared" ca="1" si="68"/>
        <v>0</v>
      </c>
      <c r="Q219">
        <f t="shared" ca="1" si="72"/>
        <v>0.71370594586683189</v>
      </c>
      <c r="R219">
        <f t="shared" ca="1" si="73"/>
        <v>0.38332200253245491</v>
      </c>
      <c r="S219">
        <f t="shared" ca="1" si="70"/>
        <v>1.8618966329917475</v>
      </c>
      <c r="T219">
        <f t="shared" ca="1" si="71"/>
        <v>65.058137024514835</v>
      </c>
      <c r="U219">
        <f>70</f>
        <v>70</v>
      </c>
      <c r="V219">
        <f>30</f>
        <v>30</v>
      </c>
      <c r="W219">
        <f t="shared" ca="1" si="69"/>
        <v>119.6055695936643</v>
      </c>
      <c r="X219">
        <f t="shared" ca="1" si="58"/>
        <v>118.41787008697735</v>
      </c>
      <c r="Y219">
        <f t="shared" ca="1" si="57"/>
        <v>1.558764646867985</v>
      </c>
      <c r="Z219">
        <f t="shared" ca="1" si="59"/>
        <v>0.94267254119634369</v>
      </c>
      <c r="AA219">
        <f t="shared" ca="1" si="60"/>
        <v>0.6160921056716413</v>
      </c>
      <c r="AB219">
        <f t="shared" ca="1" si="61"/>
        <v>114.54889999999999</v>
      </c>
    </row>
    <row r="220" spans="1:28" x14ac:dyDescent="0.25">
      <c r="A220" s="20">
        <f t="shared" ca="1" si="62"/>
        <v>46027</v>
      </c>
      <c r="B220" vm="636">
        <f ca="1"/>
        <v>46027</v>
      </c>
      <c r="C220" vm="637">
        <f ca="1"/>
        <v>125.36</v>
      </c>
      <c r="D220" vm="638">
        <f ca="1"/>
        <v>30112238</v>
      </c>
      <c r="E220">
        <f t="shared" ca="1" si="63"/>
        <v>3774870155.6799998</v>
      </c>
      <c r="F220">
        <f ca="1">SUM($E$2:E220)/SUM($D$2:D220)</f>
        <v>111.336566873366</v>
      </c>
      <c r="G220">
        <f ca="1">_xlfn.STDEV.P($C$2:C220)</f>
        <v>4.9137604906277659</v>
      </c>
      <c r="H220">
        <f t="shared" ca="1" si="64"/>
        <v>116.25032736399376</v>
      </c>
      <c r="I220">
        <f t="shared" ca="1" si="65"/>
        <v>106.42280638273823</v>
      </c>
      <c r="J220">
        <f t="shared" ca="1" si="74"/>
        <v>118.87600000000002</v>
      </c>
      <c r="K220">
        <f t="shared" ca="1" si="75"/>
        <v>2.4385768066856657</v>
      </c>
      <c r="L220">
        <f t="shared" ca="1" si="76"/>
        <v>123.75315361337135</v>
      </c>
      <c r="M220">
        <f t="shared" ca="1" si="77"/>
        <v>113.99884638662868</v>
      </c>
      <c r="N220">
        <f t="shared" ca="1" si="66"/>
        <v>2.7099999999999937</v>
      </c>
      <c r="O220">
        <f t="shared" ca="1" si="67"/>
        <v>2.7099999999999937</v>
      </c>
      <c r="P220">
        <f t="shared" ca="1" si="68"/>
        <v>0</v>
      </c>
      <c r="Q220">
        <f t="shared" ca="1" si="72"/>
        <v>0.85629837830491495</v>
      </c>
      <c r="R220">
        <f t="shared" ca="1" si="73"/>
        <v>0.35594185949442242</v>
      </c>
      <c r="S220">
        <f t="shared" ca="1" si="70"/>
        <v>2.4057254168453124</v>
      </c>
      <c r="T220">
        <f t="shared" ca="1" si="71"/>
        <v>70.637679859514648</v>
      </c>
      <c r="U220">
        <f>70</f>
        <v>70</v>
      </c>
      <c r="V220">
        <f>30</f>
        <v>30</v>
      </c>
      <c r="W220">
        <f t="shared" ca="1" si="69"/>
        <v>120.49086657925442</v>
      </c>
      <c r="X220">
        <f t="shared" ca="1" si="58"/>
        <v>118.93210193238643</v>
      </c>
      <c r="Y220">
        <f t="shared" ref="Y220:Y254" ca="1" si="78">W221-X221</f>
        <v>1.4879038347947926</v>
      </c>
      <c r="Z220">
        <f t="shared" ca="1" si="59"/>
        <v>1.0517187999160336</v>
      </c>
      <c r="AA220">
        <f t="shared" ca="1" si="60"/>
        <v>0.43618503487875904</v>
      </c>
      <c r="AB220">
        <f t="shared" ca="1" si="61"/>
        <v>114.74119999999999</v>
      </c>
    </row>
    <row r="221" spans="1:28" x14ac:dyDescent="0.25">
      <c r="A221" s="20">
        <f t="shared" ca="1" si="62"/>
        <v>46027</v>
      </c>
      <c r="B221" vm="639">
        <f ca="1"/>
        <v>46028</v>
      </c>
      <c r="C221" vm="640">
        <f ca="1"/>
        <v>121.05</v>
      </c>
      <c r="D221" vm="641">
        <f ca="1"/>
        <v>23328636</v>
      </c>
      <c r="E221">
        <f t="shared" ca="1" si="63"/>
        <v>2823931387.7999997</v>
      </c>
      <c r="F221">
        <f ca="1">SUM($E$2:E221)/SUM($D$2:D221)</f>
        <v>111.39976333435195</v>
      </c>
      <c r="G221">
        <f ca="1">_xlfn.STDEV.P($C$2:C221)</f>
        <v>4.9435039986960643</v>
      </c>
      <c r="H221">
        <f t="shared" ca="1" si="64"/>
        <v>116.343267333048</v>
      </c>
      <c r="I221">
        <f t="shared" ca="1" si="65"/>
        <v>106.45625933565589</v>
      </c>
      <c r="J221">
        <f t="shared" ca="1" si="74"/>
        <v>119.10150000000003</v>
      </c>
      <c r="K221">
        <f t="shared" ca="1" si="75"/>
        <v>2.4196438950695542</v>
      </c>
      <c r="L221">
        <f t="shared" ca="1" si="76"/>
        <v>123.94078779013914</v>
      </c>
      <c r="M221">
        <f t="shared" ca="1" si="77"/>
        <v>114.26221220986092</v>
      </c>
      <c r="N221">
        <f t="shared" ca="1" si="66"/>
        <v>-4.3100000000000023</v>
      </c>
      <c r="O221">
        <f t="shared" ca="1" si="67"/>
        <v>0</v>
      </c>
      <c r="P221">
        <f t="shared" ca="1" si="68"/>
        <v>4.3100000000000023</v>
      </c>
      <c r="Q221">
        <f t="shared" ca="1" si="72"/>
        <v>0.79513420842599236</v>
      </c>
      <c r="R221">
        <f t="shared" ca="1" si="73"/>
        <v>0.63837458381624956</v>
      </c>
      <c r="S221">
        <f t="shared" ca="1" si="70"/>
        <v>1.2455605667641441</v>
      </c>
      <c r="T221">
        <f t="shared" ca="1" si="71"/>
        <v>55.467689680666183</v>
      </c>
      <c r="U221">
        <f>70</f>
        <v>70</v>
      </c>
      <c r="V221">
        <f>30</f>
        <v>30</v>
      </c>
      <c r="W221">
        <f t="shared" ca="1" si="69"/>
        <v>120.57688710552297</v>
      </c>
      <c r="X221">
        <f t="shared" ref="X221:X252" ca="1" si="79">C221*(2/(26+1)) + X220*(1-(2/(26+1)))</f>
        <v>119.08898327072818</v>
      </c>
      <c r="Y221">
        <f t="shared" ca="1" si="78"/>
        <v>1.2112134112639978</v>
      </c>
      <c r="Z221">
        <f t="shared" ca="1" si="59"/>
        <v>1.0836177221856265</v>
      </c>
      <c r="AA221">
        <f t="shared" ca="1" si="60"/>
        <v>0.12759568907837138</v>
      </c>
      <c r="AB221">
        <f t="shared" ca="1" si="61"/>
        <v>114.87569999999999</v>
      </c>
    </row>
    <row r="222" spans="1:28" x14ac:dyDescent="0.25">
      <c r="A222" s="20">
        <f t="shared" ca="1" si="62"/>
        <v>46027</v>
      </c>
      <c r="B222" vm="642">
        <f ca="1"/>
        <v>46029</v>
      </c>
      <c r="C222" vm="643">
        <f ca="1"/>
        <v>118.49</v>
      </c>
      <c r="D222" vm="644">
        <f ca="1"/>
        <v>20352950</v>
      </c>
      <c r="E222">
        <f t="shared" ca="1" si="63"/>
        <v>2411621045.5</v>
      </c>
      <c r="F222">
        <f ca="1">SUM($E$2:E222)/SUM($D$2:D222)</f>
        <v>111.43978181353906</v>
      </c>
      <c r="G222">
        <f ca="1">_xlfn.STDEV.P($C$2:C222)</f>
        <v>4.9535858151527954</v>
      </c>
      <c r="H222">
        <f t="shared" ca="1" si="64"/>
        <v>116.39336762869185</v>
      </c>
      <c r="I222">
        <f t="shared" ca="1" si="65"/>
        <v>106.48619599838626</v>
      </c>
      <c r="J222">
        <f t="shared" ca="1" si="74"/>
        <v>119.227</v>
      </c>
      <c r="K222">
        <f t="shared" ca="1" si="75"/>
        <v>2.3119144493368755</v>
      </c>
      <c r="L222">
        <f t="shared" ca="1" si="76"/>
        <v>123.85082889867375</v>
      </c>
      <c r="M222">
        <f t="shared" ca="1" si="77"/>
        <v>114.60317110132625</v>
      </c>
      <c r="N222">
        <f t="shared" ca="1" si="66"/>
        <v>-2.5600000000000023</v>
      </c>
      <c r="O222">
        <f t="shared" ca="1" si="67"/>
        <v>0</v>
      </c>
      <c r="P222">
        <f t="shared" ca="1" si="68"/>
        <v>2.5600000000000023</v>
      </c>
      <c r="Q222">
        <f t="shared" ca="1" si="72"/>
        <v>0.73833890782413569</v>
      </c>
      <c r="R222">
        <f t="shared" ca="1" si="73"/>
        <v>0.77563354211508906</v>
      </c>
      <c r="S222">
        <f t="shared" ca="1" si="70"/>
        <v>0.95191719766366223</v>
      </c>
      <c r="T222">
        <f t="shared" ca="1" si="71"/>
        <v>48.768318594818204</v>
      </c>
      <c r="U222">
        <f>70</f>
        <v>70</v>
      </c>
      <c r="V222">
        <f>30</f>
        <v>30</v>
      </c>
      <c r="W222">
        <f t="shared" ca="1" si="69"/>
        <v>120.25582755082712</v>
      </c>
      <c r="X222">
        <f t="shared" ca="1" si="79"/>
        <v>119.04461413956312</v>
      </c>
      <c r="Y222">
        <f t="shared" ca="1" si="78"/>
        <v>1.3332227556628027</v>
      </c>
      <c r="Z222">
        <f t="shared" ca="1" si="59"/>
        <v>1.1335387288810617</v>
      </c>
      <c r="AA222">
        <f t="shared" ca="1" si="60"/>
        <v>0.19968402678174102</v>
      </c>
      <c r="AB222">
        <f t="shared" ca="1" si="61"/>
        <v>114.98679999999999</v>
      </c>
    </row>
    <row r="223" spans="1:28" x14ac:dyDescent="0.25">
      <c r="A223" s="20">
        <f t="shared" ca="1" si="62"/>
        <v>46027</v>
      </c>
      <c r="B223" vm="645">
        <f ca="1"/>
        <v>46030</v>
      </c>
      <c r="C223" vm="646">
        <f ca="1"/>
        <v>122.91</v>
      </c>
      <c r="D223" vm="647">
        <f ca="1"/>
        <v>20232721</v>
      </c>
      <c r="E223">
        <f t="shared" ca="1" si="63"/>
        <v>2486803738.1100001</v>
      </c>
      <c r="F223">
        <f ca="1">SUM($E$2:E223)/SUM($D$2:D223)</f>
        <v>111.50378012486226</v>
      </c>
      <c r="G223">
        <f ca="1">_xlfn.STDEV.P($C$2:C223)</f>
        <v>4.9992282206077219</v>
      </c>
      <c r="H223">
        <f t="shared" ca="1" si="64"/>
        <v>116.50300834546998</v>
      </c>
      <c r="I223">
        <f t="shared" ca="1" si="65"/>
        <v>106.50455190425454</v>
      </c>
      <c r="J223">
        <f t="shared" ca="1" si="74"/>
        <v>119.45999999999997</v>
      </c>
      <c r="K223">
        <f t="shared" ca="1" si="75"/>
        <v>2.4395663980564888</v>
      </c>
      <c r="L223">
        <f t="shared" ca="1" si="76"/>
        <v>124.33913279611295</v>
      </c>
      <c r="M223">
        <f t="shared" ca="1" si="77"/>
        <v>114.58086720388698</v>
      </c>
      <c r="N223">
        <f t="shared" ca="1" si="66"/>
        <v>4.4200000000000017</v>
      </c>
      <c r="O223">
        <f t="shared" ca="1" si="67"/>
        <v>4.4200000000000017</v>
      </c>
      <c r="P223">
        <f t="shared" ca="1" si="68"/>
        <v>0</v>
      </c>
      <c r="Q223">
        <f t="shared" ca="1" si="72"/>
        <v>1.0013147001224119</v>
      </c>
      <c r="R223">
        <f t="shared" ca="1" si="73"/>
        <v>0.72023114624972551</v>
      </c>
      <c r="S223">
        <f t="shared" ca="1" si="70"/>
        <v>1.390268534395243</v>
      </c>
      <c r="T223">
        <f t="shared" ca="1" si="71"/>
        <v>58.163696437856174</v>
      </c>
      <c r="U223">
        <f>70</f>
        <v>70</v>
      </c>
      <c r="V223">
        <f>30</f>
        <v>30</v>
      </c>
      <c r="W223">
        <f t="shared" ca="1" si="69"/>
        <v>120.6641617737768</v>
      </c>
      <c r="X223">
        <f t="shared" ca="1" si="79"/>
        <v>119.33093901811399</v>
      </c>
      <c r="Y223">
        <f t="shared" ca="1" si="78"/>
        <v>1.5492332362526042</v>
      </c>
      <c r="Z223">
        <f t="shared" ca="1" si="59"/>
        <v>1.2166776303553701</v>
      </c>
      <c r="AA223">
        <f t="shared" ca="1" si="60"/>
        <v>0.3325556058972341</v>
      </c>
      <c r="AB223">
        <f t="shared" ca="1" si="61"/>
        <v>115.15099999999998</v>
      </c>
    </row>
    <row r="224" spans="1:28" x14ac:dyDescent="0.25">
      <c r="A224" s="20">
        <f t="shared" ca="1" si="62"/>
        <v>46027</v>
      </c>
      <c r="B224" vm="648">
        <f ca="1"/>
        <v>46031</v>
      </c>
      <c r="C224" vm="649">
        <f ca="1"/>
        <v>124.61</v>
      </c>
      <c r="D224" vm="650">
        <f ca="1"/>
        <v>16137674</v>
      </c>
      <c r="E224">
        <f t="shared" ca="1" si="63"/>
        <v>2010915557.1400001</v>
      </c>
      <c r="F224">
        <f ca="1">SUM($E$2:E224)/SUM($D$2:D224)</f>
        <v>111.56184754124278</v>
      </c>
      <c r="G224">
        <f ca="1">_xlfn.STDEV.P($C$2:C224)</f>
        <v>5.0616118520498192</v>
      </c>
      <c r="H224">
        <f t="shared" ca="1" si="64"/>
        <v>116.62345939329261</v>
      </c>
      <c r="I224">
        <f t="shared" ca="1" si="65"/>
        <v>106.50023568919296</v>
      </c>
      <c r="J224">
        <f t="shared" ca="1" si="74"/>
        <v>119.71349999999998</v>
      </c>
      <c r="K224">
        <f t="shared" ca="1" si="75"/>
        <v>2.6980407608797194</v>
      </c>
      <c r="L224">
        <f t="shared" ca="1" si="76"/>
        <v>125.10958152175942</v>
      </c>
      <c r="M224">
        <f t="shared" ca="1" si="77"/>
        <v>114.31741847824054</v>
      </c>
      <c r="N224">
        <f t="shared" ca="1" si="66"/>
        <v>1.7000000000000028</v>
      </c>
      <c r="O224">
        <f t="shared" ca="1" si="67"/>
        <v>1.7000000000000028</v>
      </c>
      <c r="P224">
        <f t="shared" ca="1" si="68"/>
        <v>0</v>
      </c>
      <c r="Q224">
        <f t="shared" ca="1" si="72"/>
        <v>1.0512207929708113</v>
      </c>
      <c r="R224">
        <f t="shared" ca="1" si="73"/>
        <v>0.66878606437474519</v>
      </c>
      <c r="S224">
        <f t="shared" ca="1" si="70"/>
        <v>1.5718341768284423</v>
      </c>
      <c r="T224">
        <f t="shared" ca="1" si="71"/>
        <v>61.117244299428783</v>
      </c>
      <c r="U224">
        <f>70</f>
        <v>70</v>
      </c>
      <c r="V224">
        <f>30</f>
        <v>30</v>
      </c>
      <c r="W224">
        <f t="shared" ca="1" si="69"/>
        <v>121.27121380858037</v>
      </c>
      <c r="X224">
        <f t="shared" ca="1" si="79"/>
        <v>119.72198057232777</v>
      </c>
      <c r="Y224">
        <f t="shared" ca="1" si="78"/>
        <v>1.6545493308884573</v>
      </c>
      <c r="Z224">
        <f t="shared" ca="1" si="59"/>
        <v>1.3042519704619875</v>
      </c>
      <c r="AA224">
        <f t="shared" ca="1" si="60"/>
        <v>0.35029736042646986</v>
      </c>
      <c r="AB224">
        <f t="shared" ca="1" si="61"/>
        <v>115.32989999999999</v>
      </c>
    </row>
    <row r="225" spans="1:28" x14ac:dyDescent="0.25">
      <c r="A225" s="20">
        <f t="shared" ca="1" si="62"/>
        <v>46034</v>
      </c>
      <c r="B225" vm="651">
        <f ca="1"/>
        <v>46034</v>
      </c>
      <c r="C225" vm="652">
        <f ca="1"/>
        <v>124.03</v>
      </c>
      <c r="D225" vm="653">
        <f ca="1"/>
        <v>15314895</v>
      </c>
      <c r="E225">
        <f t="shared" ca="1" si="63"/>
        <v>1899506426.8499999</v>
      </c>
      <c r="F225">
        <f ca="1">SUM($E$2:E225)/SUM($D$2:D225)</f>
        <v>111.6140520510917</v>
      </c>
      <c r="G225">
        <f ca="1">_xlfn.STDEV.P($C$2:C225)</f>
        <v>5.1157401538221796</v>
      </c>
      <c r="H225">
        <f t="shared" ca="1" si="64"/>
        <v>116.72979220491388</v>
      </c>
      <c r="I225">
        <f t="shared" ca="1" si="65"/>
        <v>106.49831189726953</v>
      </c>
      <c r="J225">
        <f t="shared" ca="1" si="74"/>
        <v>119.93799999999999</v>
      </c>
      <c r="K225">
        <f t="shared" ca="1" si="75"/>
        <v>2.8645117155321684</v>
      </c>
      <c r="L225">
        <f t="shared" ca="1" si="76"/>
        <v>125.66702343106432</v>
      </c>
      <c r="M225">
        <f t="shared" ca="1" si="77"/>
        <v>114.20897656893565</v>
      </c>
      <c r="N225">
        <f t="shared" ca="1" si="66"/>
        <v>-0.57999999999999829</v>
      </c>
      <c r="O225">
        <f t="shared" ca="1" si="67"/>
        <v>0</v>
      </c>
      <c r="P225">
        <f t="shared" ca="1" si="68"/>
        <v>0.57999999999999829</v>
      </c>
      <c r="Q225">
        <f t="shared" ca="1" si="72"/>
        <v>0.97613359347289619</v>
      </c>
      <c r="R225">
        <f t="shared" ca="1" si="73"/>
        <v>0.66244420263369186</v>
      </c>
      <c r="S225">
        <f t="shared" ca="1" si="70"/>
        <v>1.4735333022646488</v>
      </c>
      <c r="T225">
        <f t="shared" ca="1" si="71"/>
        <v>59.572001756174139</v>
      </c>
      <c r="U225">
        <f>70</f>
        <v>70</v>
      </c>
      <c r="V225">
        <f>30</f>
        <v>30</v>
      </c>
      <c r="W225">
        <f t="shared" ca="1" si="69"/>
        <v>121.69564245341417</v>
      </c>
      <c r="X225">
        <f t="shared" ca="1" si="79"/>
        <v>120.04109312252571</v>
      </c>
      <c r="Y225">
        <f t="shared" ca="1" si="78"/>
        <v>1.918434597843742</v>
      </c>
      <c r="Z225">
        <f t="shared" ca="1" si="59"/>
        <v>1.4270884959383385</v>
      </c>
      <c r="AA225">
        <f t="shared" ca="1" si="60"/>
        <v>0.49134610190540351</v>
      </c>
      <c r="AB225">
        <f t="shared" ca="1" si="61"/>
        <v>115.49600000000002</v>
      </c>
    </row>
    <row r="226" spans="1:28" x14ac:dyDescent="0.25">
      <c r="A226" s="20">
        <f t="shared" ca="1" si="62"/>
        <v>46034</v>
      </c>
      <c r="B226" vm="654">
        <f ca="1"/>
        <v>46035</v>
      </c>
      <c r="C226" vm="655">
        <f ca="1"/>
        <v>126.54</v>
      </c>
      <c r="D226" vm="656">
        <f ca="1"/>
        <v>21619727</v>
      </c>
      <c r="E226">
        <f t="shared" ca="1" si="63"/>
        <v>2735760254.5799999</v>
      </c>
      <c r="F226">
        <f ca="1">SUM($E$2:E226)/SUM($D$2:D226)</f>
        <v>111.70175709628701</v>
      </c>
      <c r="G226">
        <f ca="1">_xlfn.STDEV.P($C$2:C226)</f>
        <v>5.1970485667763509</v>
      </c>
      <c r="H226">
        <f t="shared" ca="1" si="64"/>
        <v>116.89880566306336</v>
      </c>
      <c r="I226">
        <f t="shared" ca="1" si="65"/>
        <v>106.50470852951067</v>
      </c>
      <c r="J226">
        <f t="shared" ca="1" si="74"/>
        <v>120.324</v>
      </c>
      <c r="K226">
        <f t="shared" ca="1" si="75"/>
        <v>3.205748783538394</v>
      </c>
      <c r="L226">
        <f t="shared" ca="1" si="76"/>
        <v>126.73549756707679</v>
      </c>
      <c r="M226">
        <f t="shared" ca="1" si="77"/>
        <v>113.9125024329232</v>
      </c>
      <c r="N226">
        <f t="shared" ca="1" si="66"/>
        <v>2.5100000000000051</v>
      </c>
      <c r="O226">
        <f t="shared" ca="1" si="67"/>
        <v>2.5100000000000051</v>
      </c>
      <c r="P226">
        <f t="shared" ca="1" si="68"/>
        <v>0</v>
      </c>
      <c r="Q226">
        <f t="shared" ca="1" si="72"/>
        <v>1.085695479653404</v>
      </c>
      <c r="R226">
        <f t="shared" ca="1" si="73"/>
        <v>0.61512675958842811</v>
      </c>
      <c r="S226">
        <f t="shared" ca="1" si="70"/>
        <v>1.7649947148776719</v>
      </c>
      <c r="T226">
        <f t="shared" ca="1" si="71"/>
        <v>63.833565589862559</v>
      </c>
      <c r="U226">
        <f>70</f>
        <v>70</v>
      </c>
      <c r="V226">
        <f>30</f>
        <v>30</v>
      </c>
      <c r="W226">
        <f t="shared" ca="1" si="69"/>
        <v>122.44092822981199</v>
      </c>
      <c r="X226">
        <f t="shared" ca="1" si="79"/>
        <v>120.52249363196825</v>
      </c>
      <c r="Y226">
        <f t="shared" ca="1" si="78"/>
        <v>2.3952856235455187</v>
      </c>
      <c r="Z226">
        <f t="shared" ca="1" si="59"/>
        <v>1.6207279214597747</v>
      </c>
      <c r="AA226">
        <f t="shared" ca="1" si="60"/>
        <v>0.77455770208574393</v>
      </c>
      <c r="AB226">
        <f t="shared" ca="1" si="61"/>
        <v>115.67610000000005</v>
      </c>
    </row>
    <row r="227" spans="1:28" x14ac:dyDescent="0.25">
      <c r="A227" s="20">
        <f t="shared" ca="1" si="62"/>
        <v>46034</v>
      </c>
      <c r="B227" vm="657">
        <f ca="1"/>
        <v>46036</v>
      </c>
      <c r="C227" vm="658">
        <f ca="1"/>
        <v>130.19999999999999</v>
      </c>
      <c r="D227" vm="659">
        <f ca="1"/>
        <v>27593938</v>
      </c>
      <c r="E227">
        <f t="shared" ca="1" si="63"/>
        <v>3592730727.5999999</v>
      </c>
      <c r="F227">
        <f ca="1">SUM($E$2:E227)/SUM($D$2:D227)</f>
        <v>111.8394563758892</v>
      </c>
      <c r="G227">
        <f ca="1">_xlfn.STDEV.P($C$2:C227)</f>
        <v>5.3256546099087778</v>
      </c>
      <c r="H227">
        <f t="shared" ca="1" si="64"/>
        <v>117.16511098579798</v>
      </c>
      <c r="I227">
        <f t="shared" ca="1" si="65"/>
        <v>106.51380176598042</v>
      </c>
      <c r="J227">
        <f t="shared" ca="1" si="74"/>
        <v>120.94599999999998</v>
      </c>
      <c r="K227">
        <f t="shared" ca="1" si="75"/>
        <v>3.8284480846476279</v>
      </c>
      <c r="L227">
        <f t="shared" ca="1" si="76"/>
        <v>128.60289616929524</v>
      </c>
      <c r="M227">
        <f t="shared" ca="1" si="77"/>
        <v>113.28910383070473</v>
      </c>
      <c r="N227">
        <f t="shared" ca="1" si="66"/>
        <v>3.6599999999999824</v>
      </c>
      <c r="O227">
        <f t="shared" ca="1" si="67"/>
        <v>3.6599999999999824</v>
      </c>
      <c r="P227">
        <f t="shared" ca="1" si="68"/>
        <v>0</v>
      </c>
      <c r="Q227">
        <f t="shared" ca="1" si="72"/>
        <v>1.2695743739638738</v>
      </c>
      <c r="R227">
        <f t="shared" ca="1" si="73"/>
        <v>0.57118913390354042</v>
      </c>
      <c r="S227">
        <f t="shared" ca="1" si="70"/>
        <v>2.222686494904984</v>
      </c>
      <c r="T227">
        <f t="shared" ca="1" si="71"/>
        <v>68.969988189016092</v>
      </c>
      <c r="U227">
        <f>70</f>
        <v>70</v>
      </c>
      <c r="V227">
        <f>30</f>
        <v>30</v>
      </c>
      <c r="W227">
        <f t="shared" ca="1" si="69"/>
        <v>123.63463157907168</v>
      </c>
      <c r="X227">
        <f t="shared" ca="1" si="79"/>
        <v>121.23934595552616</v>
      </c>
      <c r="Y227">
        <f t="shared" ca="1" si="78"/>
        <v>2.656234026889706</v>
      </c>
      <c r="Z227">
        <f t="shared" ca="1" si="59"/>
        <v>1.8278291425457609</v>
      </c>
      <c r="AA227">
        <f t="shared" ca="1" si="60"/>
        <v>0.8284048843439451</v>
      </c>
      <c r="AB227">
        <f t="shared" ca="1" si="61"/>
        <v>115.88580000000006</v>
      </c>
    </row>
    <row r="228" spans="1:28" x14ac:dyDescent="0.25">
      <c r="A228" s="20">
        <f t="shared" ca="1" si="62"/>
        <v>46034</v>
      </c>
      <c r="B228" vm="660">
        <f ca="1"/>
        <v>46037</v>
      </c>
      <c r="C228" vm="661">
        <f ca="1"/>
        <v>129.13</v>
      </c>
      <c r="D228" vm="662">
        <f ca="1"/>
        <v>17400039</v>
      </c>
      <c r="E228">
        <f t="shared" ca="1" si="63"/>
        <v>2246867036.0699997</v>
      </c>
      <c r="F228">
        <f ca="1">SUM($E$2:E228)/SUM($D$2:D228)</f>
        <v>111.92023800217294</v>
      </c>
      <c r="G228">
        <f ca="1">_xlfn.STDEV.P($C$2:C228)</f>
        <v>5.433709827000162</v>
      </c>
      <c r="H228">
        <f t="shared" ca="1" si="64"/>
        <v>117.35394782917309</v>
      </c>
      <c r="I228">
        <f t="shared" ca="1" si="65"/>
        <v>106.48652817517278</v>
      </c>
      <c r="J228">
        <f t="shared" ca="1" si="74"/>
        <v>121.66849999999999</v>
      </c>
      <c r="K228">
        <f t="shared" ca="1" si="75"/>
        <v>3.9454054224335944</v>
      </c>
      <c r="L228">
        <f t="shared" ca="1" si="76"/>
        <v>129.55931084486718</v>
      </c>
      <c r="M228">
        <f t="shared" ca="1" si="77"/>
        <v>113.7776891551328</v>
      </c>
      <c r="N228">
        <f t="shared" ca="1" si="66"/>
        <v>-1.0699999999999932</v>
      </c>
      <c r="O228">
        <f t="shared" ca="1" si="67"/>
        <v>0</v>
      </c>
      <c r="P228">
        <f t="shared" ca="1" si="68"/>
        <v>1.0699999999999932</v>
      </c>
      <c r="Q228">
        <f t="shared" ca="1" si="72"/>
        <v>1.1788904901093116</v>
      </c>
      <c r="R228">
        <f t="shared" ca="1" si="73"/>
        <v>0.60681848148185846</v>
      </c>
      <c r="S228">
        <f t="shared" ca="1" si="70"/>
        <v>1.9427399231981959</v>
      </c>
      <c r="T228">
        <f t="shared" ca="1" si="71"/>
        <v>66.018063909868346</v>
      </c>
      <c r="U228">
        <f>70</f>
        <v>70</v>
      </c>
      <c r="V228">
        <f>30</f>
        <v>30</v>
      </c>
      <c r="W228">
        <f t="shared" ca="1" si="69"/>
        <v>124.48007287459912</v>
      </c>
      <c r="X228">
        <f t="shared" ca="1" si="79"/>
        <v>121.82383884770941</v>
      </c>
      <c r="Y228">
        <f t="shared" ca="1" si="78"/>
        <v>2.8910370890324231</v>
      </c>
      <c r="Z228">
        <f t="shared" ca="1" si="59"/>
        <v>2.0404707318430937</v>
      </c>
      <c r="AA228">
        <f t="shared" ca="1" si="60"/>
        <v>0.85056635718932938</v>
      </c>
      <c r="AB228">
        <f t="shared" ca="1" si="61"/>
        <v>116.06430000000006</v>
      </c>
    </row>
    <row r="229" spans="1:28" x14ac:dyDescent="0.25">
      <c r="A229" s="20">
        <f t="shared" ca="1" si="62"/>
        <v>46034</v>
      </c>
      <c r="B229" vm="663">
        <f ca="1"/>
        <v>46038</v>
      </c>
      <c r="C229" vm="664">
        <f ca="1"/>
        <v>129.88999999999999</v>
      </c>
      <c r="D229" vm="665">
        <f ca="1"/>
        <v>16592354</v>
      </c>
      <c r="E229">
        <f t="shared" ca="1" si="63"/>
        <v>2155180861.0599999</v>
      </c>
      <c r="F229">
        <f ca="1">SUM($E$2:E229)/SUM($D$2:D229)</f>
        <v>111.999940788706</v>
      </c>
      <c r="G229">
        <f ca="1">_xlfn.STDEV.P($C$2:C229)</f>
        <v>5.548162803625817</v>
      </c>
      <c r="H229">
        <f t="shared" ca="1" si="64"/>
        <v>117.54810359233181</v>
      </c>
      <c r="I229">
        <f t="shared" ca="1" si="65"/>
        <v>106.45177798508018</v>
      </c>
      <c r="J229">
        <f t="shared" ca="1" si="74"/>
        <v>122.29249999999999</v>
      </c>
      <c r="K229">
        <f t="shared" ca="1" si="75"/>
        <v>4.214192655401753</v>
      </c>
      <c r="L229">
        <f t="shared" ca="1" si="76"/>
        <v>130.72088531080351</v>
      </c>
      <c r="M229">
        <f t="shared" ca="1" si="77"/>
        <v>113.86411468919648</v>
      </c>
      <c r="N229">
        <f t="shared" ca="1" si="66"/>
        <v>0.75999999999999091</v>
      </c>
      <c r="O229">
        <f t="shared" ca="1" si="67"/>
        <v>0.75999999999999091</v>
      </c>
      <c r="P229">
        <f t="shared" ca="1" si="68"/>
        <v>0</v>
      </c>
      <c r="Q229">
        <f t="shared" ca="1" si="72"/>
        <v>1.1489697408157886</v>
      </c>
      <c r="R229">
        <f t="shared" ca="1" si="73"/>
        <v>0.56347430423315426</v>
      </c>
      <c r="S229">
        <f t="shared" ca="1" si="70"/>
        <v>2.0390809876937497</v>
      </c>
      <c r="T229">
        <f t="shared" ca="1" si="71"/>
        <v>67.095315852083814</v>
      </c>
      <c r="U229">
        <f>70</f>
        <v>70</v>
      </c>
      <c r="V229">
        <f>30</f>
        <v>30</v>
      </c>
      <c r="W229">
        <f t="shared" ca="1" si="69"/>
        <v>125.31236935543002</v>
      </c>
      <c r="X229">
        <f t="shared" ca="1" si="79"/>
        <v>122.4213322663976</v>
      </c>
      <c r="Y229">
        <f t="shared" ca="1" si="78"/>
        <v>3.087523395964368</v>
      </c>
      <c r="Z229">
        <f t="shared" ca="1" si="59"/>
        <v>2.2498812646673487</v>
      </c>
      <c r="AA229">
        <f t="shared" ca="1" si="60"/>
        <v>0.83764213129701925</v>
      </c>
      <c r="AB229">
        <f t="shared" ca="1" si="61"/>
        <v>116.24580000000006</v>
      </c>
    </row>
    <row r="230" spans="1:28" x14ac:dyDescent="0.25">
      <c r="A230" s="20">
        <f t="shared" ca="1" si="62"/>
        <v>46041</v>
      </c>
      <c r="B230" vm="666">
        <f ca="1"/>
        <v>46042</v>
      </c>
      <c r="C230" vm="667">
        <f ca="1"/>
        <v>130.46</v>
      </c>
      <c r="D230" vm="668">
        <f ca="1"/>
        <v>16477282</v>
      </c>
      <c r="E230">
        <f t="shared" ca="1" si="63"/>
        <v>2149626209.7200003</v>
      </c>
      <c r="F230">
        <f ca="1">SUM($E$2:E230)/SUM($D$2:D230)</f>
        <v>112.08089382389385</v>
      </c>
      <c r="G230">
        <f ca="1">_xlfn.STDEV.P($C$2:C230)</f>
        <v>5.6661562062125297</v>
      </c>
      <c r="H230">
        <f t="shared" ca="1" si="64"/>
        <v>117.74705003010638</v>
      </c>
      <c r="I230">
        <f t="shared" ca="1" si="65"/>
        <v>106.41473761768131</v>
      </c>
      <c r="J230">
        <f t="shared" ca="1" si="74"/>
        <v>122.9885</v>
      </c>
      <c r="K230">
        <f t="shared" ca="1" si="75"/>
        <v>4.3610564569898216</v>
      </c>
      <c r="L230">
        <f t="shared" ca="1" si="76"/>
        <v>131.71061291397965</v>
      </c>
      <c r="M230">
        <f t="shared" ca="1" si="77"/>
        <v>114.26638708602036</v>
      </c>
      <c r="N230">
        <f t="shared" ca="1" si="66"/>
        <v>0.5700000000000216</v>
      </c>
      <c r="O230">
        <f t="shared" ca="1" si="67"/>
        <v>0.5700000000000216</v>
      </c>
      <c r="P230">
        <f t="shared" ca="1" si="68"/>
        <v>0</v>
      </c>
      <c r="Q230">
        <f t="shared" ca="1" si="72"/>
        <v>1.1076147593289483</v>
      </c>
      <c r="R230">
        <f t="shared" ca="1" si="73"/>
        <v>0.52322613964507181</v>
      </c>
      <c r="S230">
        <f t="shared" ca="1" si="70"/>
        <v>2.1168949244017012</v>
      </c>
      <c r="T230">
        <f t="shared" ca="1" si="71"/>
        <v>67.916788205750834</v>
      </c>
      <c r="U230">
        <f>70</f>
        <v>70</v>
      </c>
      <c r="V230">
        <f>30</f>
        <v>30</v>
      </c>
      <c r="W230">
        <f t="shared" ca="1" si="69"/>
        <v>126.10431253151771</v>
      </c>
      <c r="X230">
        <f t="shared" ca="1" si="79"/>
        <v>123.01678913555334</v>
      </c>
      <c r="Y230">
        <f t="shared" ca="1" si="78"/>
        <v>3.4575622587063464</v>
      </c>
      <c r="Z230">
        <f t="shared" ref="Z230:Z252" ca="1" si="80">Y230*(2/(9+1)) + Z229*(1-(2/(9+1)))</f>
        <v>2.4914174634751483</v>
      </c>
      <c r="AA230">
        <f t="shared" ref="AA230:AA252" ca="1" si="81">Y230-Z230</f>
        <v>0.96614479523119812</v>
      </c>
      <c r="AB230">
        <f t="shared" ref="AB230:AB252" ca="1" si="82">AVERAGE(C131:C230)</f>
        <v>116.43550000000005</v>
      </c>
    </row>
    <row r="231" spans="1:28" x14ac:dyDescent="0.25">
      <c r="A231" s="20">
        <f t="shared" ca="1" si="62"/>
        <v>46041</v>
      </c>
      <c r="B231" vm="669">
        <f ca="1"/>
        <v>46043</v>
      </c>
      <c r="C231" vm="670">
        <f ca="1"/>
        <v>133.61000000000001</v>
      </c>
      <c r="D231" vm="671">
        <f ca="1"/>
        <v>18879887</v>
      </c>
      <c r="E231">
        <f t="shared" ca="1" si="63"/>
        <v>2522541702.0700002</v>
      </c>
      <c r="F231">
        <f ca="1">SUM($E$2:E231)/SUM($D$2:D231)</f>
        <v>112.18853120153629</v>
      </c>
      <c r="G231">
        <f ca="1">_xlfn.STDEV.P($C$2:C231)</f>
        <v>5.8261949602253944</v>
      </c>
      <c r="H231">
        <f t="shared" ca="1" si="64"/>
        <v>118.01472616176169</v>
      </c>
      <c r="I231">
        <f t="shared" ca="1" si="65"/>
        <v>106.3623362413109</v>
      </c>
      <c r="J231">
        <f t="shared" ca="1" si="74"/>
        <v>123.83450000000001</v>
      </c>
      <c r="K231">
        <f t="shared" ca="1" si="75"/>
        <v>4.7026772609921501</v>
      </c>
      <c r="L231">
        <f t="shared" ca="1" si="76"/>
        <v>133.23985452198431</v>
      </c>
      <c r="M231">
        <f t="shared" ca="1" si="77"/>
        <v>114.4291454780157</v>
      </c>
      <c r="N231">
        <f t="shared" ca="1" si="66"/>
        <v>3.1500000000000057</v>
      </c>
      <c r="O231">
        <f t="shared" ca="1" si="67"/>
        <v>3.1500000000000057</v>
      </c>
      <c r="P231">
        <f t="shared" ca="1" si="68"/>
        <v>0</v>
      </c>
      <c r="Q231">
        <f t="shared" ca="1" si="72"/>
        <v>1.2534994193768811</v>
      </c>
      <c r="R231">
        <f t="shared" ca="1" si="73"/>
        <v>0.48585284395613815</v>
      </c>
      <c r="S231">
        <f t="shared" ca="1" si="70"/>
        <v>2.5799981104773457</v>
      </c>
      <c r="T231">
        <f t="shared" ca="1" si="71"/>
        <v>72.06702436313121</v>
      </c>
      <c r="U231">
        <f>70</f>
        <v>70</v>
      </c>
      <c r="V231">
        <f>30</f>
        <v>30</v>
      </c>
      <c r="W231">
        <f t="shared" ca="1" si="69"/>
        <v>127.25903368051499</v>
      </c>
      <c r="X231">
        <f t="shared" ca="1" si="79"/>
        <v>123.80147142180864</v>
      </c>
      <c r="Y231">
        <f t="shared" ca="1" si="78"/>
        <v>3.7104694901001096</v>
      </c>
      <c r="Z231">
        <f t="shared" ca="1" si="80"/>
        <v>2.7352278688001408</v>
      </c>
      <c r="AA231">
        <f t="shared" ca="1" si="81"/>
        <v>0.97524162129996883</v>
      </c>
      <c r="AB231">
        <f t="shared" ca="1" si="82"/>
        <v>116.64410000000005</v>
      </c>
    </row>
    <row r="232" spans="1:28" x14ac:dyDescent="0.25">
      <c r="A232" s="20">
        <f t="shared" ca="1" si="62"/>
        <v>46041</v>
      </c>
      <c r="B232" vm="672">
        <f ca="1"/>
        <v>46044</v>
      </c>
      <c r="C232" vm="673">
        <f ca="1"/>
        <v>133.63999999999999</v>
      </c>
      <c r="D232" vm="674">
        <f ca="1"/>
        <v>16600126</v>
      </c>
      <c r="E232">
        <f t="shared" ca="1" si="63"/>
        <v>2218440838.6399999</v>
      </c>
      <c r="F232">
        <f ca="1">SUM($E$2:E232)/SUM($D$2:D232)</f>
        <v>112.28241728012067</v>
      </c>
      <c r="G232">
        <f ca="1">_xlfn.STDEV.P($C$2:C232)</f>
        <v>5.9796568459404495</v>
      </c>
      <c r="H232">
        <f t="shared" ca="1" si="64"/>
        <v>118.26207412606112</v>
      </c>
      <c r="I232">
        <f t="shared" ca="1" si="65"/>
        <v>106.30276043418021</v>
      </c>
      <c r="J232">
        <f t="shared" ca="1" si="74"/>
        <v>124.60899999999999</v>
      </c>
      <c r="K232">
        <f t="shared" ca="1" si="75"/>
        <v>4.9843205734530525</v>
      </c>
      <c r="L232">
        <f t="shared" ca="1" si="76"/>
        <v>134.5776411469061</v>
      </c>
      <c r="M232">
        <f t="shared" ca="1" si="77"/>
        <v>114.64035885309389</v>
      </c>
      <c r="N232">
        <f t="shared" ca="1" si="66"/>
        <v>2.9999999999972715E-2</v>
      </c>
      <c r="O232">
        <f t="shared" ca="1" si="67"/>
        <v>2.9999999999972715E-2</v>
      </c>
      <c r="P232">
        <f t="shared" ca="1" si="68"/>
        <v>0</v>
      </c>
      <c r="Q232">
        <f t="shared" ca="1" si="72"/>
        <v>1.166106603707102</v>
      </c>
      <c r="R232">
        <f t="shared" ca="1" si="73"/>
        <v>0.45114906938784255</v>
      </c>
      <c r="S232">
        <f t="shared" ca="1" si="70"/>
        <v>2.584747886744784</v>
      </c>
      <c r="T232">
        <f t="shared" ca="1" si="71"/>
        <v>72.104035441441496</v>
      </c>
      <c r="U232">
        <f>70</f>
        <v>70</v>
      </c>
      <c r="V232">
        <f>30</f>
        <v>30</v>
      </c>
      <c r="W232">
        <f t="shared" ca="1" si="69"/>
        <v>128.24072080658959</v>
      </c>
      <c r="X232">
        <f t="shared" ca="1" si="79"/>
        <v>124.53025131648948</v>
      </c>
      <c r="Y232">
        <f t="shared" ca="1" si="78"/>
        <v>3.9724284948661932</v>
      </c>
      <c r="Z232">
        <f t="shared" ca="1" si="80"/>
        <v>2.9826679940133514</v>
      </c>
      <c r="AA232">
        <f t="shared" ca="1" si="81"/>
        <v>0.98976050085284184</v>
      </c>
      <c r="AB232">
        <f t="shared" ca="1" si="82"/>
        <v>116.84700000000002</v>
      </c>
    </row>
    <row r="233" spans="1:28" x14ac:dyDescent="0.25">
      <c r="A233" s="20">
        <f t="shared" ca="1" si="62"/>
        <v>46041</v>
      </c>
      <c r="B233" vm="675">
        <f ca="1"/>
        <v>46045</v>
      </c>
      <c r="C233" vm="676">
        <f ca="1"/>
        <v>134.97</v>
      </c>
      <c r="D233" vm="677">
        <f ca="1"/>
        <v>17758214</v>
      </c>
      <c r="E233">
        <f t="shared" ca="1" si="63"/>
        <v>2396826143.5799999</v>
      </c>
      <c r="F233">
        <f ca="1">SUM($E$2:E233)/SUM($D$2:D233)</f>
        <v>112.3881456820606</v>
      </c>
      <c r="G233">
        <f ca="1">_xlfn.STDEV.P($C$2:C233)</f>
        <v>6.1469920575456367</v>
      </c>
      <c r="H233">
        <f t="shared" ca="1" si="64"/>
        <v>118.53513773960623</v>
      </c>
      <c r="I233">
        <f t="shared" ca="1" si="65"/>
        <v>106.24115362451496</v>
      </c>
      <c r="J233">
        <f t="shared" ca="1" si="74"/>
        <v>125.38649999999998</v>
      </c>
      <c r="K233">
        <f t="shared" ca="1" si="75"/>
        <v>5.3329169217921297</v>
      </c>
      <c r="L233">
        <f t="shared" ca="1" si="76"/>
        <v>136.05233384358425</v>
      </c>
      <c r="M233">
        <f t="shared" ca="1" si="77"/>
        <v>114.72066615641572</v>
      </c>
      <c r="N233">
        <f t="shared" ca="1" si="66"/>
        <v>1.3300000000000125</v>
      </c>
      <c r="O233">
        <f t="shared" ca="1" si="67"/>
        <v>1.3300000000000125</v>
      </c>
      <c r="P233">
        <f t="shared" ca="1" si="68"/>
        <v>0</v>
      </c>
      <c r="Q233">
        <f t="shared" ca="1" si="72"/>
        <v>1.1778132748708814</v>
      </c>
      <c r="R233">
        <f t="shared" ca="1" si="73"/>
        <v>0.41892413586013955</v>
      </c>
      <c r="S233">
        <f t="shared" ca="1" si="70"/>
        <v>2.8115192562313998</v>
      </c>
      <c r="T233">
        <f t="shared" ca="1" si="71"/>
        <v>73.763742676490125</v>
      </c>
      <c r="U233">
        <f>70</f>
        <v>70</v>
      </c>
      <c r="V233">
        <f>30</f>
        <v>30</v>
      </c>
      <c r="W233">
        <f t="shared" ca="1" si="69"/>
        <v>129.27599452865275</v>
      </c>
      <c r="X233">
        <f t="shared" ca="1" si="79"/>
        <v>125.30356603378655</v>
      </c>
      <c r="Y233">
        <f t="shared" ca="1" si="78"/>
        <v>4.122026820596119</v>
      </c>
      <c r="Z233">
        <f t="shared" ca="1" si="80"/>
        <v>3.210539759329905</v>
      </c>
      <c r="AA233">
        <f t="shared" ca="1" si="81"/>
        <v>0.91148706126621404</v>
      </c>
      <c r="AB233">
        <f t="shared" ca="1" si="82"/>
        <v>117.05380000000001</v>
      </c>
    </row>
    <row r="234" spans="1:28" x14ac:dyDescent="0.25">
      <c r="A234" s="20">
        <f t="shared" ca="1" si="62"/>
        <v>46048</v>
      </c>
      <c r="B234" vm="678">
        <f ca="1"/>
        <v>46048</v>
      </c>
      <c r="C234" vm="679">
        <f ca="1"/>
        <v>134.84</v>
      </c>
      <c r="D234" vm="680">
        <f ca="1"/>
        <v>16056066</v>
      </c>
      <c r="E234">
        <f t="shared" ca="1" si="63"/>
        <v>2164999939.4400001</v>
      </c>
      <c r="F234">
        <f ca="1">SUM($E$2:E234)/SUM($D$2:D234)</f>
        <v>112.48234970736472</v>
      </c>
      <c r="G234">
        <f ca="1">_xlfn.STDEV.P($C$2:C234)</f>
        <v>6.3050588827224923</v>
      </c>
      <c r="H234">
        <f t="shared" ca="1" si="64"/>
        <v>118.78740859008721</v>
      </c>
      <c r="I234">
        <f t="shared" ca="1" si="65"/>
        <v>106.17729082464223</v>
      </c>
      <c r="J234">
        <f t="shared" ca="1" si="74"/>
        <v>126.16749999999999</v>
      </c>
      <c r="K234">
        <f t="shared" ca="1" si="75"/>
        <v>5.5226984965875632</v>
      </c>
      <c r="L234">
        <f t="shared" ca="1" si="76"/>
        <v>137.21289699317512</v>
      </c>
      <c r="M234">
        <f t="shared" ca="1" si="77"/>
        <v>115.12210300682486</v>
      </c>
      <c r="N234">
        <f t="shared" ca="1" si="66"/>
        <v>-0.12999999999999545</v>
      </c>
      <c r="O234">
        <f t="shared" ca="1" si="67"/>
        <v>0</v>
      </c>
      <c r="P234">
        <f t="shared" ca="1" si="68"/>
        <v>0.12999999999999545</v>
      </c>
      <c r="Q234">
        <f t="shared" ca="1" si="72"/>
        <v>1.0936837552372469</v>
      </c>
      <c r="R234">
        <f t="shared" ca="1" si="73"/>
        <v>0.39828669758441493</v>
      </c>
      <c r="S234">
        <f t="shared" ca="1" si="70"/>
        <v>2.7459710853271617</v>
      </c>
      <c r="T234">
        <f t="shared" ca="1" si="71"/>
        <v>73.304652459359204</v>
      </c>
      <c r="U234">
        <f>70</f>
        <v>70</v>
      </c>
      <c r="V234">
        <f>30</f>
        <v>30</v>
      </c>
      <c r="W234">
        <f t="shared" ca="1" si="69"/>
        <v>130.13199537039847</v>
      </c>
      <c r="X234">
        <f t="shared" ca="1" si="79"/>
        <v>126.00996854980235</v>
      </c>
      <c r="Y234">
        <f t="shared" ca="1" si="78"/>
        <v>4.3510052601782974</v>
      </c>
      <c r="Z234">
        <f t="shared" ca="1" si="80"/>
        <v>3.4386328594995836</v>
      </c>
      <c r="AA234">
        <f t="shared" ca="1" si="81"/>
        <v>0.91237240067871372</v>
      </c>
      <c r="AB234">
        <f t="shared" ca="1" si="82"/>
        <v>117.25530000000002</v>
      </c>
    </row>
    <row r="235" spans="1:28" x14ac:dyDescent="0.25">
      <c r="A235" s="20">
        <f t="shared" ca="1" si="62"/>
        <v>46048</v>
      </c>
      <c r="B235" vm="681">
        <f ca="1"/>
        <v>46049</v>
      </c>
      <c r="C235" vm="682">
        <f ca="1"/>
        <v>136.83000000000001</v>
      </c>
      <c r="D235" vm="683">
        <f ca="1"/>
        <v>14517025</v>
      </c>
      <c r="E235">
        <f t="shared" ca="1" si="63"/>
        <v>1986364530.7500002</v>
      </c>
      <c r="F235">
        <f ca="1">SUM($E$2:E235)/SUM($D$2:D235)</f>
        <v>112.57436676499913</v>
      </c>
      <c r="G235">
        <f ca="1">_xlfn.STDEV.P($C$2:C235)</f>
        <v>6.4869436638611235</v>
      </c>
      <c r="H235">
        <f t="shared" ca="1" si="64"/>
        <v>119.06131042886025</v>
      </c>
      <c r="I235">
        <f t="shared" ca="1" si="65"/>
        <v>106.087423101138</v>
      </c>
      <c r="J235">
        <f t="shared" ca="1" si="74"/>
        <v>127.05349999999999</v>
      </c>
      <c r="K235">
        <f t="shared" ca="1" si="75"/>
        <v>5.7476972734625154</v>
      </c>
      <c r="L235">
        <f t="shared" ca="1" si="76"/>
        <v>138.54889454692503</v>
      </c>
      <c r="M235">
        <f t="shared" ca="1" si="77"/>
        <v>115.55810545307496</v>
      </c>
      <c r="N235">
        <f t="shared" ca="1" si="66"/>
        <v>1.9900000000000091</v>
      </c>
      <c r="O235">
        <f t="shared" ca="1" si="67"/>
        <v>1.9900000000000091</v>
      </c>
      <c r="P235">
        <f t="shared" ca="1" si="68"/>
        <v>0</v>
      </c>
      <c r="Q235">
        <f t="shared" ca="1" si="72"/>
        <v>1.1577063441488729</v>
      </c>
      <c r="R235">
        <f t="shared" ca="1" si="73"/>
        <v>0.36983764775695677</v>
      </c>
      <c r="S235">
        <f t="shared" ca="1" si="70"/>
        <v>3.1303096133405903</v>
      </c>
      <c r="T235">
        <f t="shared" ca="1" si="71"/>
        <v>75.78873998283143</v>
      </c>
      <c r="U235">
        <f>70</f>
        <v>70</v>
      </c>
      <c r="V235">
        <f>30</f>
        <v>30</v>
      </c>
      <c r="W235">
        <f t="shared" ca="1" si="69"/>
        <v>131.1624576211064</v>
      </c>
      <c r="X235">
        <f t="shared" ca="1" si="79"/>
        <v>126.8114523609281</v>
      </c>
      <c r="Y235">
        <f t="shared" ca="1" si="78"/>
        <v>4.5406492768289581</v>
      </c>
      <c r="Z235">
        <f t="shared" ca="1" si="80"/>
        <v>3.659036142965459</v>
      </c>
      <c r="AA235">
        <f t="shared" ca="1" si="81"/>
        <v>0.88161313386349915</v>
      </c>
      <c r="AB235">
        <f t="shared" ca="1" si="82"/>
        <v>117.50450000000001</v>
      </c>
    </row>
    <row r="236" spans="1:28" x14ac:dyDescent="0.25">
      <c r="A236" s="20">
        <f t="shared" ca="1" si="62"/>
        <v>46048</v>
      </c>
      <c r="B236" vm="684">
        <f ca="1"/>
        <v>46050</v>
      </c>
      <c r="C236" vm="685">
        <f ca="1"/>
        <v>137.58000000000001</v>
      </c>
      <c r="D236" vm="686">
        <f ca="1"/>
        <v>15637279</v>
      </c>
      <c r="E236">
        <f t="shared" ca="1" si="63"/>
        <v>2151376844.8200002</v>
      </c>
      <c r="F236">
        <f ca="1">SUM($E$2:E236)/SUM($D$2:D236)</f>
        <v>112.67575050437058</v>
      </c>
      <c r="G236">
        <f ca="1">_xlfn.STDEV.P($C$2:C236)</f>
        <v>6.6724677614857768</v>
      </c>
      <c r="H236">
        <f t="shared" ca="1" si="64"/>
        <v>119.34821826585636</v>
      </c>
      <c r="I236">
        <f t="shared" ca="1" si="65"/>
        <v>106.00328274288481</v>
      </c>
      <c r="J236">
        <f t="shared" ca="1" si="74"/>
        <v>127.90599999999999</v>
      </c>
      <c r="K236">
        <f t="shared" ca="1" si="75"/>
        <v>5.9885877431907737</v>
      </c>
      <c r="L236">
        <f t="shared" ca="1" si="76"/>
        <v>139.88317548638153</v>
      </c>
      <c r="M236">
        <f t="shared" ca="1" si="77"/>
        <v>115.92882451361845</v>
      </c>
      <c r="N236">
        <f t="shared" ca="1" si="66"/>
        <v>0.75</v>
      </c>
      <c r="O236">
        <f t="shared" ca="1" si="67"/>
        <v>0.75</v>
      </c>
      <c r="P236">
        <f t="shared" ca="1" si="68"/>
        <v>0</v>
      </c>
      <c r="Q236">
        <f t="shared" ca="1" si="72"/>
        <v>1.1285844624239534</v>
      </c>
      <c r="R236">
        <f t="shared" ca="1" si="73"/>
        <v>0.34342067291717415</v>
      </c>
      <c r="S236">
        <f t="shared" ca="1" si="70"/>
        <v>3.2863032176753793</v>
      </c>
      <c r="T236">
        <f t="shared" ca="1" si="71"/>
        <v>76.669872633454588</v>
      </c>
      <c r="U236">
        <f>70</f>
        <v>70</v>
      </c>
      <c r="V236">
        <f>30</f>
        <v>30</v>
      </c>
      <c r="W236">
        <f t="shared" ca="1" si="69"/>
        <v>132.14977183324388</v>
      </c>
      <c r="X236">
        <f t="shared" ca="1" si="79"/>
        <v>127.60912255641492</v>
      </c>
      <c r="Y236">
        <f t="shared" ca="1" si="78"/>
        <v>4.8712176741839812</v>
      </c>
      <c r="Z236">
        <f t="shared" ca="1" si="80"/>
        <v>3.9014724492091637</v>
      </c>
      <c r="AA236">
        <f t="shared" ca="1" si="81"/>
        <v>0.96974522497481752</v>
      </c>
      <c r="AB236">
        <f t="shared" ca="1" si="82"/>
        <v>117.75630000000001</v>
      </c>
    </row>
    <row r="237" spans="1:28" x14ac:dyDescent="0.25">
      <c r="A237" s="20">
        <f t="shared" ca="1" si="62"/>
        <v>46048</v>
      </c>
      <c r="B237" vm="687">
        <f ca="1"/>
        <v>46051</v>
      </c>
      <c r="C237" vm="688">
        <f ca="1"/>
        <v>140.51</v>
      </c>
      <c r="D237" vm="689">
        <f ca="1"/>
        <v>35760620</v>
      </c>
      <c r="E237">
        <f t="shared" ca="1" si="63"/>
        <v>5024724716.1999998</v>
      </c>
      <c r="F237">
        <f ca="1">SUM($E$2:E237)/SUM($D$2:D237)</f>
        <v>112.93145925253039</v>
      </c>
      <c r="G237">
        <f ca="1">_xlfn.STDEV.P($C$2:C237)</f>
        <v>6.8970208149464129</v>
      </c>
      <c r="H237">
        <f t="shared" ca="1" si="64"/>
        <v>119.8284800674768</v>
      </c>
      <c r="I237">
        <f t="shared" ca="1" si="65"/>
        <v>106.03443843758397</v>
      </c>
      <c r="J237">
        <f t="shared" ca="1" si="74"/>
        <v>128.88199999999998</v>
      </c>
      <c r="K237">
        <f t="shared" ca="1" si="75"/>
        <v>6.3799798712766131</v>
      </c>
      <c r="L237">
        <f t="shared" ca="1" si="76"/>
        <v>141.64195974255321</v>
      </c>
      <c r="M237">
        <f t="shared" ca="1" si="77"/>
        <v>116.12204025744676</v>
      </c>
      <c r="N237">
        <f t="shared" ca="1" si="66"/>
        <v>2.9299999999999784</v>
      </c>
      <c r="O237">
        <f t="shared" ca="1" si="67"/>
        <v>2.9299999999999784</v>
      </c>
      <c r="P237">
        <f t="shared" ca="1" si="68"/>
        <v>0</v>
      </c>
      <c r="Q237">
        <f t="shared" ca="1" si="72"/>
        <v>1.2572570008222408</v>
      </c>
      <c r="R237">
        <f t="shared" ca="1" si="73"/>
        <v>0.3188906248516617</v>
      </c>
      <c r="S237">
        <f t="shared" ca="1" si="70"/>
        <v>3.9425963099638905</v>
      </c>
      <c r="T237">
        <f t="shared" ca="1" si="71"/>
        <v>79.767718476540807</v>
      </c>
      <c r="U237">
        <f>70</f>
        <v>70</v>
      </c>
      <c r="V237">
        <f>30</f>
        <v>30</v>
      </c>
      <c r="W237">
        <f t="shared" ca="1" si="69"/>
        <v>133.43596078197558</v>
      </c>
      <c r="X237">
        <f t="shared" ca="1" si="79"/>
        <v>128.5647431077916</v>
      </c>
      <c r="Y237">
        <f t="shared" ca="1" si="78"/>
        <v>5.1456947071637273</v>
      </c>
      <c r="Z237">
        <f t="shared" ca="1" si="80"/>
        <v>4.1503169008000764</v>
      </c>
      <c r="AA237">
        <f t="shared" ca="1" si="81"/>
        <v>0.99537780636365092</v>
      </c>
      <c r="AB237">
        <f t="shared" ca="1" si="82"/>
        <v>118.06910000000003</v>
      </c>
    </row>
    <row r="238" spans="1:28" x14ac:dyDescent="0.25">
      <c r="A238" s="20">
        <f t="shared" ca="1" si="62"/>
        <v>46048</v>
      </c>
      <c r="B238" vm="690">
        <f ca="1"/>
        <v>46052</v>
      </c>
      <c r="C238" vm="691">
        <f ca="1"/>
        <v>141.4</v>
      </c>
      <c r="D238" vm="692">
        <f ca="1"/>
        <v>29657667</v>
      </c>
      <c r="E238">
        <f t="shared" ca="1" si="63"/>
        <v>4193594113.8000002</v>
      </c>
      <c r="F238">
        <f ca="1">SUM($E$2:E238)/SUM($D$2:D238)</f>
        <v>113.14672100578431</v>
      </c>
      <c r="G238">
        <f ca="1">_xlfn.STDEV.P($C$2:C238)</f>
        <v>7.1254909727445019</v>
      </c>
      <c r="H238">
        <f t="shared" ca="1" si="64"/>
        <v>120.27221197852882</v>
      </c>
      <c r="I238">
        <f t="shared" ca="1" si="65"/>
        <v>106.02123003303981</v>
      </c>
      <c r="J238">
        <f t="shared" ca="1" si="74"/>
        <v>129.93499999999997</v>
      </c>
      <c r="K238">
        <f t="shared" ca="1" si="75"/>
        <v>6.6290314446936254</v>
      </c>
      <c r="L238">
        <f t="shared" ca="1" si="76"/>
        <v>143.19306288938722</v>
      </c>
      <c r="M238">
        <f t="shared" ca="1" si="77"/>
        <v>116.67693711061273</v>
      </c>
      <c r="N238">
        <f t="shared" ca="1" si="66"/>
        <v>0.89000000000001478</v>
      </c>
      <c r="O238">
        <f t="shared" ca="1" si="67"/>
        <v>0.89000000000001478</v>
      </c>
      <c r="P238">
        <f t="shared" ca="1" si="68"/>
        <v>0</v>
      </c>
      <c r="Q238">
        <f t="shared" ca="1" si="72"/>
        <v>1.2310243579063676</v>
      </c>
      <c r="R238">
        <f t="shared" ca="1" si="73"/>
        <v>0.29611272307654302</v>
      </c>
      <c r="S238">
        <f t="shared" ca="1" si="70"/>
        <v>4.1572828925292633</v>
      </c>
      <c r="T238">
        <f t="shared" ca="1" si="71"/>
        <v>80.609944793825832</v>
      </c>
      <c r="U238">
        <f>70</f>
        <v>70</v>
      </c>
      <c r="V238">
        <f>30</f>
        <v>30</v>
      </c>
      <c r="W238">
        <f t="shared" ca="1" si="69"/>
        <v>134.66119758474855</v>
      </c>
      <c r="X238">
        <f t="shared" ca="1" si="79"/>
        <v>129.51550287758482</v>
      </c>
      <c r="Y238">
        <f t="shared" ca="1" si="78"/>
        <v>5.062784180784206</v>
      </c>
      <c r="Z238">
        <f t="shared" ca="1" si="80"/>
        <v>4.3328103567969025</v>
      </c>
      <c r="AA238">
        <f t="shared" ca="1" si="81"/>
        <v>0.72997382398730348</v>
      </c>
      <c r="AB238">
        <f t="shared" ca="1" si="82"/>
        <v>118.38460000000001</v>
      </c>
    </row>
    <row r="239" spans="1:28" x14ac:dyDescent="0.25">
      <c r="A239" s="20">
        <f t="shared" ca="1" si="62"/>
        <v>46055</v>
      </c>
      <c r="B239" vm="693">
        <f ca="1"/>
        <v>46055</v>
      </c>
      <c r="C239" vm="694">
        <f ca="1"/>
        <v>138.4</v>
      </c>
      <c r="D239" vm="695">
        <f ca="1"/>
        <v>27735570</v>
      </c>
      <c r="E239">
        <f t="shared" ca="1" si="63"/>
        <v>3838602888</v>
      </c>
      <c r="F239">
        <f ca="1">SUM($E$2:E239)/SUM($D$2:D239)</f>
        <v>113.32404165694074</v>
      </c>
      <c r="G239">
        <f ca="1">_xlfn.STDEV.P($C$2:C239)</f>
        <v>7.2970549975723911</v>
      </c>
      <c r="H239">
        <f t="shared" ca="1" si="64"/>
        <v>120.62109665451312</v>
      </c>
      <c r="I239">
        <f t="shared" ca="1" si="65"/>
        <v>106.02698665936835</v>
      </c>
      <c r="J239">
        <f t="shared" ca="1" si="74"/>
        <v>130.7225</v>
      </c>
      <c r="K239">
        <f t="shared" ca="1" si="75"/>
        <v>6.6535268645164525</v>
      </c>
      <c r="L239">
        <f t="shared" ca="1" si="76"/>
        <v>144.0295537290329</v>
      </c>
      <c r="M239">
        <f t="shared" ca="1" si="77"/>
        <v>117.4154462709671</v>
      </c>
      <c r="N239">
        <f t="shared" ca="1" si="66"/>
        <v>-3</v>
      </c>
      <c r="O239">
        <f t="shared" ca="1" si="67"/>
        <v>0</v>
      </c>
      <c r="P239">
        <f t="shared" ca="1" si="68"/>
        <v>3</v>
      </c>
      <c r="Q239">
        <f t="shared" ca="1" si="72"/>
        <v>1.1430940466273414</v>
      </c>
      <c r="R239">
        <f t="shared" ca="1" si="73"/>
        <v>0.48924752857107567</v>
      </c>
      <c r="S239">
        <f t="shared" ca="1" si="70"/>
        <v>2.3364329503430037</v>
      </c>
      <c r="T239">
        <f t="shared" ca="1" si="71"/>
        <v>70.027870636597257</v>
      </c>
      <c r="U239">
        <f>70</f>
        <v>70</v>
      </c>
      <c r="V239">
        <f>30</f>
        <v>30</v>
      </c>
      <c r="W239">
        <f t="shared" ca="1" si="69"/>
        <v>135.2363979563257</v>
      </c>
      <c r="X239">
        <f t="shared" ca="1" si="79"/>
        <v>130.1736137755415</v>
      </c>
      <c r="Y239">
        <f t="shared" ca="1" si="78"/>
        <v>5.3653154301360075</v>
      </c>
      <c r="Z239">
        <f t="shared" ca="1" si="80"/>
        <v>4.5393113714647235</v>
      </c>
      <c r="AA239">
        <f t="shared" ca="1" si="81"/>
        <v>0.82600405867128401</v>
      </c>
      <c r="AB239">
        <f t="shared" ca="1" si="82"/>
        <v>118.66210000000001</v>
      </c>
    </row>
    <row r="240" spans="1:28" x14ac:dyDescent="0.25">
      <c r="A240" s="20">
        <f t="shared" ca="1" si="62"/>
        <v>46055</v>
      </c>
      <c r="B240" vm="696">
        <f ca="1"/>
        <v>46056</v>
      </c>
      <c r="C240" vm="697">
        <f ca="1"/>
        <v>143.72999999999999</v>
      </c>
      <c r="D240" vm="698">
        <f ca="1"/>
        <v>37577844</v>
      </c>
      <c r="E240">
        <f t="shared" ca="1" si="63"/>
        <v>5401063518.1199999</v>
      </c>
      <c r="F240">
        <f ca="1">SUM($E$2:E240)/SUM($D$2:D240)</f>
        <v>113.61058010690944</v>
      </c>
      <c r="G240">
        <f ca="1">_xlfn.STDEV.P($C$2:C240)</f>
        <v>7.5443796211437757</v>
      </c>
      <c r="H240">
        <f t="shared" ca="1" si="64"/>
        <v>121.15495972805321</v>
      </c>
      <c r="I240">
        <f t="shared" ca="1" si="65"/>
        <v>106.06620048576566</v>
      </c>
      <c r="J240">
        <f t="shared" ca="1" si="74"/>
        <v>131.64100000000002</v>
      </c>
      <c r="K240">
        <f t="shared" ca="1" si="75"/>
        <v>7.1255093262092331</v>
      </c>
      <c r="L240">
        <f t="shared" ca="1" si="76"/>
        <v>145.89201865241847</v>
      </c>
      <c r="M240">
        <f t="shared" ca="1" si="77"/>
        <v>117.38998134758155</v>
      </c>
      <c r="N240">
        <f t="shared" ca="1" si="66"/>
        <v>5.3299999999999841</v>
      </c>
      <c r="O240">
        <f t="shared" ca="1" si="67"/>
        <v>5.3299999999999841</v>
      </c>
      <c r="P240">
        <f t="shared" ca="1" si="68"/>
        <v>0</v>
      </c>
      <c r="Q240">
        <f t="shared" ca="1" si="72"/>
        <v>1.4421587575825303</v>
      </c>
      <c r="R240">
        <f t="shared" ca="1" si="73"/>
        <v>0.45430127653028457</v>
      </c>
      <c r="S240">
        <f t="shared" ca="1" si="70"/>
        <v>3.1744545571101721</v>
      </c>
      <c r="T240">
        <f t="shared" ca="1" si="71"/>
        <v>76.044774561104219</v>
      </c>
      <c r="U240">
        <f>70</f>
        <v>70</v>
      </c>
      <c r="V240">
        <f>30</f>
        <v>30</v>
      </c>
      <c r="W240">
        <f t="shared" ca="1" si="69"/>
        <v>136.54310596304481</v>
      </c>
      <c r="X240">
        <f t="shared" ca="1" si="79"/>
        <v>131.1777905329088</v>
      </c>
      <c r="Y240">
        <f t="shared" ca="1" si="78"/>
        <v>5.8491183698830298</v>
      </c>
      <c r="Z240">
        <f t="shared" ca="1" si="80"/>
        <v>4.8012727711483851</v>
      </c>
      <c r="AA240">
        <f t="shared" ca="1" si="81"/>
        <v>1.0478455987346447</v>
      </c>
      <c r="AB240">
        <f t="shared" ca="1" si="82"/>
        <v>118.9744</v>
      </c>
    </row>
    <row r="241" spans="1:28" x14ac:dyDescent="0.25">
      <c r="A241" s="20">
        <f t="shared" ca="1" si="62"/>
        <v>46055</v>
      </c>
      <c r="B241" vm="699">
        <f ca="1"/>
        <v>46057</v>
      </c>
      <c r="C241" vm="700">
        <f ca="1"/>
        <v>147.59</v>
      </c>
      <c r="D241" vm="701">
        <f ca="1"/>
        <v>29426241</v>
      </c>
      <c r="E241">
        <f t="shared" ca="1" si="63"/>
        <v>4343018909.1900005</v>
      </c>
      <c r="F241">
        <f ca="1">SUM($E$2:E241)/SUM($D$2:D241)</f>
        <v>113.8594944882976</v>
      </c>
      <c r="G241">
        <f ca="1">_xlfn.STDEV.P($C$2:C241)</f>
        <v>7.8461670773413674</v>
      </c>
      <c r="H241">
        <f t="shared" ca="1" si="64"/>
        <v>121.70566156563896</v>
      </c>
      <c r="I241">
        <f t="shared" ca="1" si="65"/>
        <v>106.01332741095624</v>
      </c>
      <c r="J241">
        <f t="shared" ca="1" si="74"/>
        <v>132.96800000000002</v>
      </c>
      <c r="K241">
        <f t="shared" ca="1" si="75"/>
        <v>7.5102299355086695</v>
      </c>
      <c r="L241">
        <f t="shared" ca="1" si="76"/>
        <v>147.98845987101737</v>
      </c>
      <c r="M241">
        <f t="shared" ca="1" si="77"/>
        <v>117.94754012898268</v>
      </c>
      <c r="N241">
        <f t="shared" ca="1" si="66"/>
        <v>3.8600000000000136</v>
      </c>
      <c r="O241">
        <f t="shared" ca="1" si="67"/>
        <v>3.8600000000000136</v>
      </c>
      <c r="P241">
        <f t="shared" ca="1" si="68"/>
        <v>0</v>
      </c>
      <c r="Q241">
        <f t="shared" ca="1" si="72"/>
        <v>1.6148617034694934</v>
      </c>
      <c r="R241">
        <f t="shared" ca="1" si="73"/>
        <v>0.42185118534954996</v>
      </c>
      <c r="S241">
        <f t="shared" ca="1" si="70"/>
        <v>3.8280364250521268</v>
      </c>
      <c r="T241">
        <f t="shared" ca="1" si="71"/>
        <v>79.287645908984558</v>
      </c>
      <c r="U241">
        <f>70</f>
        <v>70</v>
      </c>
      <c r="V241">
        <f>30</f>
        <v>30</v>
      </c>
      <c r="W241">
        <f t="shared" ca="1" si="69"/>
        <v>138.24262812257638</v>
      </c>
      <c r="X241">
        <f t="shared" ca="1" si="79"/>
        <v>132.39350975269335</v>
      </c>
      <c r="Y241">
        <f t="shared" ca="1" si="78"/>
        <v>6.041053797093582</v>
      </c>
      <c r="Z241">
        <f t="shared" ca="1" si="80"/>
        <v>5.0492289763374245</v>
      </c>
      <c r="AA241">
        <f t="shared" ca="1" si="81"/>
        <v>0.99182482075615752</v>
      </c>
      <c r="AB241">
        <f t="shared" ca="1" si="82"/>
        <v>119.32889999999999</v>
      </c>
    </row>
    <row r="242" spans="1:28" x14ac:dyDescent="0.25">
      <c r="A242" s="20">
        <f t="shared" ca="1" si="62"/>
        <v>46055</v>
      </c>
      <c r="B242" vm="702">
        <f ca="1"/>
        <v>46058</v>
      </c>
      <c r="C242" vm="703">
        <f ca="1"/>
        <v>146.08000000000001</v>
      </c>
      <c r="D242" vm="704">
        <f ca="1"/>
        <v>18431739</v>
      </c>
      <c r="E242">
        <f t="shared" ca="1" si="63"/>
        <v>2692508433.1200004</v>
      </c>
      <c r="F242">
        <f ca="1">SUM($E$2:E242)/SUM($D$2:D242)</f>
        <v>114.00666124702921</v>
      </c>
      <c r="G242">
        <f ca="1">_xlfn.STDEV.P($C$2:C242)</f>
        <v>8.1062496641607531</v>
      </c>
      <c r="H242">
        <f t="shared" ca="1" si="64"/>
        <v>122.11291091118997</v>
      </c>
      <c r="I242">
        <f t="shared" ca="1" si="65"/>
        <v>105.90041158286846</v>
      </c>
      <c r="J242">
        <f t="shared" ca="1" si="74"/>
        <v>134.3475</v>
      </c>
      <c r="K242">
        <f t="shared" ca="1" si="75"/>
        <v>7.2399446603002806</v>
      </c>
      <c r="L242">
        <f t="shared" ca="1" si="76"/>
        <v>148.82738932060056</v>
      </c>
      <c r="M242">
        <f t="shared" ca="1" si="77"/>
        <v>119.86761067939943</v>
      </c>
      <c r="N242">
        <f t="shared" ca="1" si="66"/>
        <v>-1.5099999999999909</v>
      </c>
      <c r="O242">
        <f t="shared" ca="1" si="67"/>
        <v>0</v>
      </c>
      <c r="P242">
        <f t="shared" ca="1" si="68"/>
        <v>1.5099999999999909</v>
      </c>
      <c r="Q242">
        <f t="shared" ca="1" si="72"/>
        <v>1.499514438935958</v>
      </c>
      <c r="R242">
        <f t="shared" ca="1" si="73"/>
        <v>0.49957610068172437</v>
      </c>
      <c r="S242">
        <f t="shared" ca="1" si="70"/>
        <v>3.0015736078841884</v>
      </c>
      <c r="T242">
        <f t="shared" ca="1" si="71"/>
        <v>75.009831181669924</v>
      </c>
      <c r="U242">
        <f>70</f>
        <v>70</v>
      </c>
      <c r="V242">
        <f>30</f>
        <v>30</v>
      </c>
      <c r="W242">
        <f t="shared" ca="1" si="69"/>
        <v>139.44837764218002</v>
      </c>
      <c r="X242">
        <f t="shared" ca="1" si="79"/>
        <v>133.40732384508644</v>
      </c>
      <c r="Y242">
        <f t="shared" ca="1" si="78"/>
        <v>6.3595097153116171</v>
      </c>
      <c r="Z242">
        <f t="shared" ca="1" si="80"/>
        <v>5.3112851241322634</v>
      </c>
      <c r="AA242">
        <f t="shared" ca="1" si="81"/>
        <v>1.0482245911793537</v>
      </c>
      <c r="AB242">
        <f t="shared" ca="1" si="82"/>
        <v>119.6681</v>
      </c>
    </row>
    <row r="243" spans="1:28" x14ac:dyDescent="0.25">
      <c r="A243" s="20">
        <f t="shared" ca="1" si="62"/>
        <v>46055</v>
      </c>
      <c r="B243" vm="705">
        <f ca="1"/>
        <v>46059</v>
      </c>
      <c r="C243" vm="706">
        <f ca="1"/>
        <v>149.05000000000001</v>
      </c>
      <c r="D243" vm="707">
        <f ca="1"/>
        <v>17216025</v>
      </c>
      <c r="E243">
        <f t="shared" ca="1" si="63"/>
        <v>2566048526.25</v>
      </c>
      <c r="F243">
        <f ca="1">SUM($E$2:E243)/SUM($D$2:D243)</f>
        <v>114.1555289772506</v>
      </c>
      <c r="G243">
        <f ca="1">_xlfn.STDEV.P($C$2:C243)</f>
        <v>8.4036137238876485</v>
      </c>
      <c r="H243">
        <f t="shared" ca="1" si="64"/>
        <v>122.55914270113824</v>
      </c>
      <c r="I243">
        <f t="shared" ca="1" si="65"/>
        <v>105.75191525336295</v>
      </c>
      <c r="J243">
        <f t="shared" ca="1" si="74"/>
        <v>135.65450000000001</v>
      </c>
      <c r="K243">
        <f t="shared" ca="1" si="75"/>
        <v>7.4236510204672372</v>
      </c>
      <c r="L243">
        <f t="shared" ca="1" si="76"/>
        <v>150.50180204093448</v>
      </c>
      <c r="M243">
        <f t="shared" ca="1" si="77"/>
        <v>120.80719795906553</v>
      </c>
      <c r="N243">
        <f t="shared" ca="1" si="66"/>
        <v>2.9699999999999989</v>
      </c>
      <c r="O243">
        <f t="shared" ca="1" si="67"/>
        <v>2.9699999999999989</v>
      </c>
      <c r="P243">
        <f t="shared" ca="1" si="68"/>
        <v>0</v>
      </c>
      <c r="Q243">
        <f t="shared" ca="1" si="72"/>
        <v>1.6045491218691037</v>
      </c>
      <c r="R243">
        <f t="shared" ca="1" si="73"/>
        <v>0.46389209349017263</v>
      </c>
      <c r="S243">
        <f t="shared" ca="1" si="70"/>
        <v>3.4588843922667447</v>
      </c>
      <c r="T243">
        <f t="shared" ca="1" si="71"/>
        <v>77.572865496707038</v>
      </c>
      <c r="U243">
        <f>70</f>
        <v>70</v>
      </c>
      <c r="V243">
        <f>30</f>
        <v>30</v>
      </c>
      <c r="W243">
        <f t="shared" ca="1" si="69"/>
        <v>140.92555031261386</v>
      </c>
      <c r="X243">
        <f t="shared" ca="1" si="79"/>
        <v>134.56604059730225</v>
      </c>
      <c r="Y243">
        <f t="shared" ca="1" si="78"/>
        <v>6.7088468624589552</v>
      </c>
      <c r="Z243">
        <f t="shared" ca="1" si="80"/>
        <v>5.5907974717976021</v>
      </c>
      <c r="AA243">
        <f t="shared" ca="1" si="81"/>
        <v>1.1180493906613531</v>
      </c>
      <c r="AB243">
        <f t="shared" ca="1" si="82"/>
        <v>120.0351</v>
      </c>
    </row>
    <row r="244" spans="1:28" x14ac:dyDescent="0.25">
      <c r="A244" s="20">
        <f t="shared" ca="1" si="62"/>
        <v>46062</v>
      </c>
      <c r="B244" vm="708">
        <f ca="1"/>
        <v>46062</v>
      </c>
      <c r="C244" vm="709">
        <f ca="1"/>
        <v>151.21</v>
      </c>
      <c r="D244" vm="710">
        <f ca="1"/>
        <v>21297302</v>
      </c>
      <c r="E244">
        <f t="shared" ca="1" si="63"/>
        <v>3220365035.4200001</v>
      </c>
      <c r="F244">
        <f ca="1">SUM($E$2:E244)/SUM($D$2:D244)</f>
        <v>114.34923855609509</v>
      </c>
      <c r="G244">
        <f ca="1">_xlfn.STDEV.P($C$2:C244)</f>
        <v>8.7230738428042418</v>
      </c>
      <c r="H244">
        <f t="shared" ca="1" si="64"/>
        <v>123.07231239889933</v>
      </c>
      <c r="I244">
        <f t="shared" ca="1" si="65"/>
        <v>105.62616471329085</v>
      </c>
      <c r="J244">
        <f t="shared" ca="1" si="74"/>
        <v>136.9845</v>
      </c>
      <c r="K244">
        <f t="shared" ca="1" si="75"/>
        <v>7.7177713411116455</v>
      </c>
      <c r="L244">
        <f t="shared" ca="1" si="76"/>
        <v>152.42004268222328</v>
      </c>
      <c r="M244">
        <f t="shared" ca="1" si="77"/>
        <v>121.54895731777671</v>
      </c>
      <c r="N244">
        <f t="shared" ca="1" si="66"/>
        <v>2.1599999999999966</v>
      </c>
      <c r="O244">
        <f t="shared" ca="1" si="67"/>
        <v>2.1599999999999966</v>
      </c>
      <c r="P244">
        <f t="shared" ca="1" si="68"/>
        <v>0</v>
      </c>
      <c r="Q244">
        <f t="shared" ca="1" si="72"/>
        <v>1.644224184592739</v>
      </c>
      <c r="R244">
        <f t="shared" ca="1" si="73"/>
        <v>0.43075694395516029</v>
      </c>
      <c r="S244">
        <f t="shared" ca="1" si="70"/>
        <v>3.8170578737411947</v>
      </c>
      <c r="T244">
        <f t="shared" ca="1" si="71"/>
        <v>79.240440405517816</v>
      </c>
      <c r="U244">
        <f>70</f>
        <v>70</v>
      </c>
      <c r="V244">
        <f>30</f>
        <v>30</v>
      </c>
      <c r="W244">
        <f t="shared" ca="1" si="69"/>
        <v>142.50777334144252</v>
      </c>
      <c r="X244">
        <f t="shared" ca="1" si="79"/>
        <v>135.79892647898356</v>
      </c>
      <c r="Y244">
        <f t="shared" ca="1" si="78"/>
        <v>6.9364033525320963</v>
      </c>
      <c r="Z244">
        <f t="shared" ca="1" si="80"/>
        <v>5.859918647944502</v>
      </c>
      <c r="AA244">
        <f t="shared" ca="1" si="81"/>
        <v>1.0764847045875943</v>
      </c>
      <c r="AB244">
        <f t="shared" ca="1" si="82"/>
        <v>120.40039999999999</v>
      </c>
    </row>
    <row r="245" spans="1:28" x14ac:dyDescent="0.25">
      <c r="A245" s="20">
        <f t="shared" ca="1" si="62"/>
        <v>46062</v>
      </c>
      <c r="B245" vm="711">
        <f ca="1"/>
        <v>46063</v>
      </c>
      <c r="C245" vm="712">
        <f ca="1"/>
        <v>151.59</v>
      </c>
      <c r="D245" vm="713">
        <f ca="1"/>
        <v>15800255</v>
      </c>
      <c r="E245">
        <f t="shared" ca="1" si="63"/>
        <v>2395160655.4500003</v>
      </c>
      <c r="F245">
        <f ca="1">SUM($E$2:E245)/SUM($D$2:D245)</f>
        <v>114.49311425236019</v>
      </c>
      <c r="G245">
        <f ca="1">_xlfn.STDEV.P($C$2:C245)</f>
        <v>9.0325993549417056</v>
      </c>
      <c r="H245">
        <f t="shared" ca="1" si="64"/>
        <v>123.5257136073019</v>
      </c>
      <c r="I245">
        <f t="shared" ca="1" si="65"/>
        <v>105.46051489741848</v>
      </c>
      <c r="J245">
        <f t="shared" ca="1" si="74"/>
        <v>138.36250000000001</v>
      </c>
      <c r="K245">
        <f t="shared" ca="1" si="75"/>
        <v>7.743383508382804</v>
      </c>
      <c r="L245">
        <f t="shared" ca="1" si="76"/>
        <v>153.84926701676562</v>
      </c>
      <c r="M245">
        <f t="shared" ca="1" si="77"/>
        <v>122.8757329832344</v>
      </c>
      <c r="N245">
        <f t="shared" ca="1" si="66"/>
        <v>0.37999999999999545</v>
      </c>
      <c r="O245">
        <f t="shared" ca="1" si="67"/>
        <v>0.37999999999999545</v>
      </c>
      <c r="P245">
        <f t="shared" ca="1" si="68"/>
        <v>0</v>
      </c>
      <c r="Q245">
        <f t="shared" ca="1" si="72"/>
        <v>1.5539224571218286</v>
      </c>
      <c r="R245">
        <f t="shared" ca="1" si="73"/>
        <v>0.39998859081550597</v>
      </c>
      <c r="S245">
        <f t="shared" ca="1" si="70"/>
        <v>3.8849169521401992</v>
      </c>
      <c r="T245">
        <f t="shared" ca="1" si="71"/>
        <v>79.528822909427845</v>
      </c>
      <c r="U245">
        <f>70</f>
        <v>70</v>
      </c>
      <c r="V245">
        <f>30</f>
        <v>30</v>
      </c>
      <c r="W245">
        <f t="shared" ca="1" si="69"/>
        <v>143.9050389812206</v>
      </c>
      <c r="X245">
        <f t="shared" ca="1" si="79"/>
        <v>136.9686356286885</v>
      </c>
      <c r="Y245">
        <f t="shared" ca="1" si="78"/>
        <v>7.3523361769195503</v>
      </c>
      <c r="Z245">
        <f t="shared" ca="1" si="80"/>
        <v>6.1584021537395115</v>
      </c>
      <c r="AA245">
        <f t="shared" ca="1" si="81"/>
        <v>1.1939340231800388</v>
      </c>
      <c r="AB245">
        <f t="shared" ca="1" si="82"/>
        <v>120.76339999999999</v>
      </c>
    </row>
    <row r="246" spans="1:28" x14ac:dyDescent="0.25">
      <c r="A246" s="20">
        <f t="shared" ca="1" si="62"/>
        <v>46062</v>
      </c>
      <c r="B246" vm="714">
        <f ca="1"/>
        <v>46064</v>
      </c>
      <c r="C246" vm="715">
        <f ca="1"/>
        <v>155.56</v>
      </c>
      <c r="D246" vm="716">
        <f ca="1"/>
        <v>23091488</v>
      </c>
      <c r="E246">
        <f t="shared" ca="1" si="63"/>
        <v>3592111873.2800002</v>
      </c>
      <c r="F246">
        <f ca="1">SUM($E$2:E246)/SUM($D$2:D246)</f>
        <v>114.72368449683603</v>
      </c>
      <c r="G246">
        <f ca="1">_xlfn.STDEV.P($C$2:C246)</f>
        <v>9.3951144538087785</v>
      </c>
      <c r="H246">
        <f t="shared" ca="1" si="64"/>
        <v>124.1187989506448</v>
      </c>
      <c r="I246">
        <f t="shared" ca="1" si="65"/>
        <v>105.32857004302726</v>
      </c>
      <c r="J246">
        <f t="shared" ca="1" si="74"/>
        <v>139.81350000000003</v>
      </c>
      <c r="K246">
        <f t="shared" ca="1" si="75"/>
        <v>8.121168748530307</v>
      </c>
      <c r="L246">
        <f t="shared" ca="1" si="76"/>
        <v>156.05583749706065</v>
      </c>
      <c r="M246">
        <f t="shared" ca="1" si="77"/>
        <v>123.57116250293942</v>
      </c>
      <c r="N246">
        <f t="shared" ca="1" si="66"/>
        <v>3.9699999999999989</v>
      </c>
      <c r="O246">
        <f t="shared" ca="1" si="67"/>
        <v>3.9699999999999989</v>
      </c>
      <c r="P246">
        <f t="shared" ca="1" si="68"/>
        <v>0</v>
      </c>
      <c r="Q246">
        <f t="shared" ca="1" si="72"/>
        <v>1.7264994244702694</v>
      </c>
      <c r="R246">
        <f t="shared" ca="1" si="73"/>
        <v>0.37141797718582698</v>
      </c>
      <c r="S246">
        <f t="shared" ca="1" si="70"/>
        <v>4.6484002674067426</v>
      </c>
      <c r="T246">
        <f t="shared" ca="1" si="71"/>
        <v>82.295872235359241</v>
      </c>
      <c r="U246">
        <f>70</f>
        <v>70</v>
      </c>
      <c r="V246">
        <f>30</f>
        <v>30</v>
      </c>
      <c r="W246">
        <f t="shared" ca="1" si="69"/>
        <v>145.69810990718668</v>
      </c>
      <c r="X246">
        <f t="shared" ca="1" si="79"/>
        <v>138.34577373026713</v>
      </c>
      <c r="Y246">
        <f t="shared" ca="1" si="78"/>
        <v>7.1453053564034974</v>
      </c>
      <c r="Z246">
        <f t="shared" ca="1" si="80"/>
        <v>6.3557827942723089</v>
      </c>
      <c r="AA246">
        <f t="shared" ca="1" si="81"/>
        <v>0.78952256213118854</v>
      </c>
      <c r="AB246">
        <f t="shared" ca="1" si="82"/>
        <v>121.17969999999997</v>
      </c>
    </row>
    <row r="247" spans="1:28" x14ac:dyDescent="0.25">
      <c r="A247" s="20">
        <f t="shared" ca="1" si="62"/>
        <v>46062</v>
      </c>
      <c r="B247" vm="717">
        <f ca="1"/>
        <v>46065</v>
      </c>
      <c r="C247" vm="718">
        <f ca="1"/>
        <v>149.93</v>
      </c>
      <c r="D247" vm="719">
        <f ca="1"/>
        <v>30652471</v>
      </c>
      <c r="E247">
        <f t="shared" ca="1" si="63"/>
        <v>4595724977.0299997</v>
      </c>
      <c r="F247">
        <f ca="1">SUM($E$2:E247)/SUM($D$2:D247)</f>
        <v>114.98413241350218</v>
      </c>
      <c r="G247">
        <f ca="1">_xlfn.STDEV.P($C$2:C247)</f>
        <v>9.6477948075893991</v>
      </c>
      <c r="H247">
        <f t="shared" ca="1" si="64"/>
        <v>124.63192722109159</v>
      </c>
      <c r="I247">
        <f t="shared" ca="1" si="65"/>
        <v>105.33633760591277</v>
      </c>
      <c r="J247">
        <f t="shared" ca="1" si="74"/>
        <v>140.80000000000001</v>
      </c>
      <c r="K247">
        <f t="shared" ca="1" si="75"/>
        <v>8.0901980978933974</v>
      </c>
      <c r="L247">
        <f t="shared" ca="1" si="76"/>
        <v>156.9803961957868</v>
      </c>
      <c r="M247">
        <f t="shared" ca="1" si="77"/>
        <v>124.61960380421321</v>
      </c>
      <c r="N247">
        <f t="shared" ca="1" si="66"/>
        <v>-5.6299999999999955</v>
      </c>
      <c r="O247">
        <f t="shared" ca="1" si="67"/>
        <v>0</v>
      </c>
      <c r="P247">
        <f t="shared" ca="1" si="68"/>
        <v>5.6299999999999955</v>
      </c>
      <c r="Q247">
        <f t="shared" ca="1" si="72"/>
        <v>1.6031780370081072</v>
      </c>
      <c r="R247">
        <f t="shared" ca="1" si="73"/>
        <v>0.74703097881541047</v>
      </c>
      <c r="S247">
        <f t="shared" ca="1" si="70"/>
        <v>2.1460663379051761</v>
      </c>
      <c r="T247">
        <f t="shared" ca="1" si="71"/>
        <v>68.214274824673439</v>
      </c>
      <c r="U247">
        <f>70</f>
        <v>70</v>
      </c>
      <c r="V247">
        <f>30</f>
        <v>30</v>
      </c>
      <c r="W247">
        <f t="shared" ca="1" si="69"/>
        <v>146.34916992146566</v>
      </c>
      <c r="X247">
        <f t="shared" ca="1" si="79"/>
        <v>139.20386456506216</v>
      </c>
      <c r="Y247">
        <f t="shared" ca="1" si="78"/>
        <v>6.7836110627638107</v>
      </c>
      <c r="Z247">
        <f t="shared" ca="1" si="80"/>
        <v>6.4413484479706096</v>
      </c>
      <c r="AA247">
        <f t="shared" ca="1" si="81"/>
        <v>0.34226261479320108</v>
      </c>
      <c r="AB247">
        <f t="shared" ca="1" si="82"/>
        <v>121.55079999999997</v>
      </c>
    </row>
    <row r="248" spans="1:28" x14ac:dyDescent="0.25">
      <c r="A248" s="20">
        <f t="shared" ca="1" si="62"/>
        <v>46062</v>
      </c>
      <c r="B248" vm="720">
        <f ca="1"/>
        <v>46066</v>
      </c>
      <c r="C248" vm="721">
        <f ca="1"/>
        <v>148.44999999999999</v>
      </c>
      <c r="D248" vm="722">
        <f ca="1"/>
        <v>20166031</v>
      </c>
      <c r="E248">
        <f t="shared" ca="1" si="63"/>
        <v>2993647301.9499998</v>
      </c>
      <c r="F248">
        <f ca="1">SUM($E$2:E248)/SUM($D$2:D248)</f>
        <v>115.1462196378241</v>
      </c>
      <c r="G248">
        <f ca="1">_xlfn.STDEV.P($C$2:C248)</f>
        <v>9.8688948412373847</v>
      </c>
      <c r="H248">
        <f t="shared" ca="1" si="64"/>
        <v>125.01511447906148</v>
      </c>
      <c r="I248">
        <f t="shared" ca="1" si="65"/>
        <v>105.27732479658673</v>
      </c>
      <c r="J248">
        <f t="shared" ca="1" si="74"/>
        <v>141.76600000000002</v>
      </c>
      <c r="K248">
        <f t="shared" ca="1" si="75"/>
        <v>7.7705424859732801</v>
      </c>
      <c r="L248">
        <f t="shared" ca="1" si="76"/>
        <v>157.30708497194658</v>
      </c>
      <c r="M248">
        <f t="shared" ca="1" si="77"/>
        <v>126.22491502805346</v>
      </c>
      <c r="N248">
        <f t="shared" ca="1" si="66"/>
        <v>-1.4800000000000182</v>
      </c>
      <c r="O248">
        <f t="shared" ca="1" si="67"/>
        <v>0</v>
      </c>
      <c r="P248">
        <f t="shared" ca="1" si="68"/>
        <v>1.4800000000000182</v>
      </c>
      <c r="Q248">
        <f t="shared" ca="1" si="72"/>
        <v>1.4886653200789566</v>
      </c>
      <c r="R248">
        <f t="shared" ca="1" si="73"/>
        <v>0.79938590890002537</v>
      </c>
      <c r="S248">
        <f t="shared" ca="1" si="70"/>
        <v>1.8622611475944035</v>
      </c>
      <c r="T248">
        <f t="shared" ca="1" si="71"/>
        <v>65.062586939683925</v>
      </c>
      <c r="U248">
        <f>70</f>
        <v>70</v>
      </c>
      <c r="V248">
        <f>30</f>
        <v>30</v>
      </c>
      <c r="W248">
        <f t="shared" ca="1" si="69"/>
        <v>146.67237454893248</v>
      </c>
      <c r="X248">
        <f t="shared" ca="1" si="79"/>
        <v>139.88876348616867</v>
      </c>
      <c r="Y248">
        <f t="shared" ca="1" si="78"/>
        <v>6.2426413334134736</v>
      </c>
      <c r="Z248">
        <f t="shared" ca="1" si="80"/>
        <v>6.4016070250591826</v>
      </c>
      <c r="AA248">
        <f t="shared" ca="1" si="81"/>
        <v>-0.15896569164570895</v>
      </c>
      <c r="AB248">
        <f t="shared" ca="1" si="82"/>
        <v>121.91509999999998</v>
      </c>
    </row>
    <row r="249" spans="1:28" x14ac:dyDescent="0.25">
      <c r="A249" s="20">
        <f t="shared" ca="1" si="62"/>
        <v>46069</v>
      </c>
      <c r="B249" vm="723">
        <f ca="1"/>
        <v>46070</v>
      </c>
      <c r="C249" vm="724">
        <f ca="1"/>
        <v>146.19</v>
      </c>
      <c r="D249" vm="725">
        <f ca="1"/>
        <v>19766567</v>
      </c>
      <c r="E249">
        <f t="shared" ca="1" si="63"/>
        <v>2889674429.73</v>
      </c>
      <c r="F249">
        <f ca="1">SUM($E$2:E249)/SUM($D$2:D249)</f>
        <v>115.29290109587707</v>
      </c>
      <c r="G249">
        <f ca="1">_xlfn.STDEV.P($C$2:C249)</f>
        <v>10.051942463423739</v>
      </c>
      <c r="H249">
        <f t="shared" ca="1" si="64"/>
        <v>125.34484355930081</v>
      </c>
      <c r="I249">
        <f t="shared" ca="1" si="65"/>
        <v>105.24095863245333</v>
      </c>
      <c r="J249">
        <f t="shared" ca="1" si="74"/>
        <v>142.58099999999999</v>
      </c>
      <c r="K249">
        <f t="shared" ca="1" si="75"/>
        <v>7.2999393652853106</v>
      </c>
      <c r="L249">
        <f t="shared" ca="1" si="76"/>
        <v>157.18087873057061</v>
      </c>
      <c r="M249">
        <f t="shared" ca="1" si="77"/>
        <v>127.98112126942937</v>
      </c>
      <c r="N249">
        <f t="shared" ca="1" si="66"/>
        <v>-2.2599999999999909</v>
      </c>
      <c r="O249">
        <f t="shared" ca="1" si="67"/>
        <v>0</v>
      </c>
      <c r="P249">
        <f t="shared" ca="1" si="68"/>
        <v>2.2599999999999909</v>
      </c>
      <c r="Q249">
        <f t="shared" ca="1" si="72"/>
        <v>1.3823320829304595</v>
      </c>
      <c r="R249">
        <f t="shared" ca="1" si="73"/>
        <v>0.90371548683573721</v>
      </c>
      <c r="S249">
        <f t="shared" ca="1" si="70"/>
        <v>1.529609819757042</v>
      </c>
      <c r="T249">
        <f t="shared" ca="1" si="71"/>
        <v>60.468211651074093</v>
      </c>
      <c r="U249">
        <f>70</f>
        <v>70</v>
      </c>
      <c r="V249">
        <f>30</f>
        <v>30</v>
      </c>
      <c r="W249">
        <f t="shared" ca="1" si="69"/>
        <v>146.59816307986594</v>
      </c>
      <c r="X249">
        <f t="shared" ca="1" si="79"/>
        <v>140.35552174645247</v>
      </c>
      <c r="Y249">
        <f t="shared" ca="1" si="78"/>
        <v>6.1058400772738821</v>
      </c>
      <c r="Z249">
        <f t="shared" ca="1" si="80"/>
        <v>6.3424536355021228</v>
      </c>
      <c r="AA249">
        <f t="shared" ca="1" si="81"/>
        <v>-0.23661355822824071</v>
      </c>
      <c r="AB249">
        <f t="shared" ca="1" si="82"/>
        <v>122.23749999999998</v>
      </c>
    </row>
    <row r="250" spans="1:28" x14ac:dyDescent="0.25">
      <c r="A250" s="20">
        <f t="shared" ca="1" si="62"/>
        <v>46069</v>
      </c>
      <c r="B250" vm="726">
        <f ca="1"/>
        <v>46071</v>
      </c>
      <c r="C250" vm="727">
        <f ca="1"/>
        <v>150.68</v>
      </c>
      <c r="D250" vm="728">
        <f ca="1"/>
        <v>19849670</v>
      </c>
      <c r="E250">
        <f t="shared" ca="1" si="63"/>
        <v>2990948275.5999999</v>
      </c>
      <c r="F250">
        <f ca="1">SUM($E$2:E250)/SUM($D$2:D250)</f>
        <v>115.4600147088299</v>
      </c>
      <c r="G250">
        <f ca="1">_xlfn.STDEV.P($C$2:C250)</f>
        <v>10.287934634569599</v>
      </c>
      <c r="H250">
        <f t="shared" ca="1" si="64"/>
        <v>125.7479493433995</v>
      </c>
      <c r="I250">
        <f t="shared" ca="1" si="65"/>
        <v>105.17208007426031</v>
      </c>
      <c r="J250">
        <f t="shared" ca="1" si="74"/>
        <v>143.59199999999998</v>
      </c>
      <c r="K250">
        <f t="shared" ca="1" si="75"/>
        <v>6.9233621281783853</v>
      </c>
      <c r="L250">
        <f t="shared" ca="1" si="76"/>
        <v>157.43872425635675</v>
      </c>
      <c r="M250">
        <f t="shared" ca="1" si="77"/>
        <v>129.74527574364322</v>
      </c>
      <c r="N250">
        <f t="shared" ca="1" si="66"/>
        <v>4.4900000000000091</v>
      </c>
      <c r="O250">
        <f t="shared" ca="1" si="67"/>
        <v>4.4900000000000091</v>
      </c>
      <c r="P250">
        <f t="shared" ca="1" si="68"/>
        <v>0</v>
      </c>
      <c r="Q250">
        <f t="shared" ca="1" si="72"/>
        <v>1.6043083627211416</v>
      </c>
      <c r="R250">
        <f t="shared" ca="1" si="73"/>
        <v>0.83916438063318455</v>
      </c>
      <c r="S250">
        <f t="shared" ca="1" si="70"/>
        <v>1.9117927306573999</v>
      </c>
      <c r="T250">
        <f t="shared" ca="1" si="71"/>
        <v>65.656896197614017</v>
      </c>
      <c r="U250">
        <f>70</f>
        <v>70</v>
      </c>
      <c r="V250">
        <f>30</f>
        <v>30</v>
      </c>
      <c r="W250">
        <f t="shared" ca="1" si="69"/>
        <v>147.22613799065579</v>
      </c>
      <c r="X250">
        <f t="shared" ca="1" si="79"/>
        <v>141.1202979133819</v>
      </c>
      <c r="Y250">
        <f t="shared" ca="1" si="78"/>
        <v>5.9522112859705203</v>
      </c>
      <c r="Z250">
        <f t="shared" ca="1" si="80"/>
        <v>6.2644051655958028</v>
      </c>
      <c r="AA250">
        <f t="shared" ca="1" si="81"/>
        <v>-0.31219387962528256</v>
      </c>
      <c r="AB250">
        <f t="shared" ca="1" si="82"/>
        <v>122.59869999999999</v>
      </c>
    </row>
    <row r="251" spans="1:28" x14ac:dyDescent="0.25">
      <c r="A251" s="20">
        <f t="shared" ca="1" si="62"/>
        <v>46069</v>
      </c>
      <c r="B251" vm="729">
        <f ca="1"/>
        <v>46072</v>
      </c>
      <c r="C251" vm="730">
        <f ca="1"/>
        <v>150.97</v>
      </c>
      <c r="D251" vm="731">
        <f ca="1"/>
        <v>20305026</v>
      </c>
      <c r="E251">
        <f t="shared" ca="1" si="63"/>
        <v>3065449775.2199998</v>
      </c>
      <c r="F251">
        <f ca="1">SUM($E$2:E251)/SUM($D$2:D251)</f>
        <v>115.63073089139083</v>
      </c>
      <c r="G251">
        <f ca="1">_xlfn.STDEV.P($C$2:C251)</f>
        <v>10.518798988553781</v>
      </c>
      <c r="H251">
        <f t="shared" ca="1" si="64"/>
        <v>126.14952987994461</v>
      </c>
      <c r="I251">
        <f t="shared" ca="1" si="65"/>
        <v>105.11193190283704</v>
      </c>
      <c r="J251">
        <f t="shared" ca="1" si="74"/>
        <v>144.45999999999998</v>
      </c>
      <c r="K251">
        <f t="shared" ca="1" si="75"/>
        <v>6.6903386744579221</v>
      </c>
      <c r="L251">
        <f t="shared" ca="1" si="76"/>
        <v>157.84067734891582</v>
      </c>
      <c r="M251">
        <f t="shared" ca="1" si="77"/>
        <v>131.07932265108414</v>
      </c>
      <c r="N251">
        <f t="shared" ca="1" si="66"/>
        <v>0.28999999999999204</v>
      </c>
      <c r="O251">
        <f t="shared" ca="1" si="67"/>
        <v>0.28999999999999204</v>
      </c>
      <c r="P251">
        <f t="shared" ca="1" si="68"/>
        <v>0</v>
      </c>
      <c r="Q251">
        <f t="shared" ca="1" si="72"/>
        <v>1.5104291939553451</v>
      </c>
      <c r="R251">
        <f t="shared" ca="1" si="73"/>
        <v>0.77922406773081421</v>
      </c>
      <c r="S251">
        <f t="shared" ca="1" si="70"/>
        <v>1.9383759518027726</v>
      </c>
      <c r="T251">
        <f t="shared" ca="1" si="71"/>
        <v>65.96759514770487</v>
      </c>
      <c r="U251">
        <f>70</f>
        <v>70</v>
      </c>
      <c r="V251">
        <f>30</f>
        <v>30</v>
      </c>
      <c r="W251">
        <f t="shared" ca="1" si="69"/>
        <v>147.80211676132413</v>
      </c>
      <c r="X251">
        <f t="shared" ca="1" si="79"/>
        <v>141.84990547535361</v>
      </c>
      <c r="Y251">
        <f t="shared" ca="1" si="78"/>
        <v>5.4696564063343089</v>
      </c>
      <c r="Z251">
        <f t="shared" ca="1" si="80"/>
        <v>6.1054554137435044</v>
      </c>
      <c r="AA251">
        <f t="shared" ca="1" si="81"/>
        <v>-0.63579900740919548</v>
      </c>
      <c r="AB251">
        <f t="shared" ca="1" si="82"/>
        <v>122.95249999999999</v>
      </c>
    </row>
    <row r="252" spans="1:28" x14ac:dyDescent="0.25">
      <c r="A252" s="20">
        <f t="shared" ca="1" si="62"/>
        <v>46069</v>
      </c>
      <c r="B252" vm="732">
        <f ca="1"/>
        <v>46073</v>
      </c>
      <c r="C252" vm="733">
        <f ca="1"/>
        <v>147.28</v>
      </c>
      <c r="D252" vm="734">
        <f ca="1"/>
        <v>25908581</v>
      </c>
      <c r="E252">
        <f t="shared" ca="1" si="63"/>
        <v>3815815809.6799998</v>
      </c>
      <c r="F252">
        <f ca="1">SUM($E$2:E252)/SUM($D$2:D252)</f>
        <v>115.8236929887061</v>
      </c>
      <c r="G252">
        <f ca="1">_xlfn.STDEV.P($C$2:C252)</f>
        <v>10.694224416444229</v>
      </c>
      <c r="H252">
        <f t="shared" ca="1" si="64"/>
        <v>126.51791740515033</v>
      </c>
      <c r="I252">
        <f t="shared" ca="1" si="65"/>
        <v>105.12946857226187</v>
      </c>
      <c r="J252">
        <f t="shared" ca="1" si="74"/>
        <v>145.14199999999997</v>
      </c>
      <c r="K252">
        <f t="shared" ca="1" si="75"/>
        <v>6.2070822029101729</v>
      </c>
      <c r="L252">
        <f t="shared" ca="1" si="76"/>
        <v>157.55616440582031</v>
      </c>
      <c r="M252">
        <f t="shared" ca="1" si="77"/>
        <v>132.72783559417962</v>
      </c>
      <c r="N252">
        <f t="shared" ca="1" si="66"/>
        <v>-3.6899999999999977</v>
      </c>
      <c r="O252">
        <f t="shared" ca="1" si="67"/>
        <v>0</v>
      </c>
      <c r="P252">
        <f t="shared" ca="1" si="68"/>
        <v>3.6899999999999977</v>
      </c>
      <c r="Q252">
        <f t="shared" ca="1" si="72"/>
        <v>1.4025413943871061</v>
      </c>
      <c r="R252">
        <f t="shared" ca="1" si="73"/>
        <v>0.98713663432147025</v>
      </c>
      <c r="S252">
        <f t="shared" ca="1" si="70"/>
        <v>1.4208178945270058</v>
      </c>
      <c r="T252">
        <f t="shared" ca="1" si="71"/>
        <v>58.691647056112572</v>
      </c>
      <c r="U252">
        <f>70</f>
        <v>70</v>
      </c>
      <c r="V252">
        <f>30</f>
        <v>30</v>
      </c>
      <c r="W252">
        <f t="shared" ca="1" si="69"/>
        <v>147.7217911057358</v>
      </c>
      <c r="X252">
        <f t="shared" ca="1" si="79"/>
        <v>142.25213469940149</v>
      </c>
      <c r="Y252">
        <f t="shared" si="78"/>
        <v>0</v>
      </c>
      <c r="Z252">
        <f t="shared" ca="1" si="80"/>
        <v>4.8843643309948037</v>
      </c>
      <c r="AA252">
        <f t="shared" ca="1" si="81"/>
        <v>-4.8843643309948037</v>
      </c>
      <c r="AB252">
        <f t="shared" ca="1" si="82"/>
        <v>123.25309999999999</v>
      </c>
    </row>
    <row r="253" spans="1:28" x14ac:dyDescent="0.25">
      <c r="Y253">
        <f t="shared" si="78"/>
        <v>0</v>
      </c>
    </row>
    <row r="254" spans="1:28" x14ac:dyDescent="0.25">
      <c r="Y254">
        <f t="shared" si="78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B7FF-9557-4112-9A1A-887C5D45B0C9}">
  <dimension ref="A1:E61"/>
  <sheetViews>
    <sheetView workbookViewId="0">
      <selection activeCell="P12" sqref="P12"/>
    </sheetView>
  </sheetViews>
  <sheetFormatPr defaultRowHeight="15" x14ac:dyDescent="0.25"/>
  <cols>
    <col min="1" max="2" width="10.42578125" bestFit="1" customWidth="1"/>
    <col min="3" max="3" width="13.5703125" bestFit="1" customWidth="1"/>
    <col min="5" max="5" width="15.7109375" bestFit="1" customWidth="1"/>
  </cols>
  <sheetData>
    <row r="1" spans="1:5" x14ac:dyDescent="0.25">
      <c r="A1" t="s">
        <v>45</v>
      </c>
      <c r="B1" t="s">
        <v>48</v>
      </c>
      <c r="C1" t="s">
        <v>49</v>
      </c>
      <c r="D1" t="s">
        <v>50</v>
      </c>
      <c r="E1" t="s">
        <v>51</v>
      </c>
    </row>
    <row r="2" spans="1:5" x14ac:dyDescent="0.25">
      <c r="A2" s="24">
        <v>45705</v>
      </c>
      <c r="B2">
        <v>110.69</v>
      </c>
    </row>
    <row r="3" spans="1:5" x14ac:dyDescent="0.25">
      <c r="A3" s="24">
        <v>45712</v>
      </c>
      <c r="B3">
        <v>110.38800000000001</v>
      </c>
    </row>
    <row r="4" spans="1:5" x14ac:dyDescent="0.25">
      <c r="A4" s="24">
        <v>45719</v>
      </c>
      <c r="B4">
        <v>107.476</v>
      </c>
    </row>
    <row r="5" spans="1:5" x14ac:dyDescent="0.25">
      <c r="A5" s="24">
        <v>45726</v>
      </c>
      <c r="B5">
        <v>110.13200000000001</v>
      </c>
    </row>
    <row r="6" spans="1:5" x14ac:dyDescent="0.25">
      <c r="A6" s="24">
        <v>45733</v>
      </c>
      <c r="B6">
        <v>114.842</v>
      </c>
    </row>
    <row r="7" spans="1:5" x14ac:dyDescent="0.25">
      <c r="A7" s="24">
        <v>45740</v>
      </c>
      <c r="B7">
        <v>117.256</v>
      </c>
    </row>
    <row r="8" spans="1:5" x14ac:dyDescent="0.25">
      <c r="A8" s="24">
        <v>45747</v>
      </c>
      <c r="B8">
        <v>114.682</v>
      </c>
    </row>
    <row r="9" spans="1:5" x14ac:dyDescent="0.25">
      <c r="A9" s="24">
        <v>45754</v>
      </c>
      <c r="B9">
        <v>102.51600000000001</v>
      </c>
    </row>
    <row r="10" spans="1:5" x14ac:dyDescent="0.25">
      <c r="A10" s="24">
        <v>45761</v>
      </c>
      <c r="B10">
        <v>104.4</v>
      </c>
    </row>
    <row r="11" spans="1:5" x14ac:dyDescent="0.25">
      <c r="A11" s="24">
        <v>45768</v>
      </c>
      <c r="B11">
        <v>107.64399999999999</v>
      </c>
    </row>
    <row r="12" spans="1:5" x14ac:dyDescent="0.25">
      <c r="A12" s="24">
        <v>45775</v>
      </c>
      <c r="B12">
        <v>106.922</v>
      </c>
    </row>
    <row r="13" spans="1:5" x14ac:dyDescent="0.25">
      <c r="A13" s="24">
        <v>45782</v>
      </c>
      <c r="B13">
        <v>105.194</v>
      </c>
    </row>
    <row r="14" spans="1:5" x14ac:dyDescent="0.25">
      <c r="A14" s="24">
        <v>45789</v>
      </c>
      <c r="B14">
        <v>108.774</v>
      </c>
    </row>
    <row r="15" spans="1:5" x14ac:dyDescent="0.25">
      <c r="A15" s="24">
        <v>45796</v>
      </c>
      <c r="B15">
        <v>104.21599999999999</v>
      </c>
    </row>
    <row r="16" spans="1:5" x14ac:dyDescent="0.25">
      <c r="A16" s="24">
        <v>45803</v>
      </c>
      <c r="B16">
        <v>102.655</v>
      </c>
    </row>
    <row r="17" spans="1:2" x14ac:dyDescent="0.25">
      <c r="A17" s="24">
        <v>45810</v>
      </c>
      <c r="B17">
        <v>103.05</v>
      </c>
    </row>
    <row r="18" spans="1:2" x14ac:dyDescent="0.25">
      <c r="A18" s="24">
        <v>45817</v>
      </c>
      <c r="B18">
        <v>108.67</v>
      </c>
    </row>
    <row r="19" spans="1:2" x14ac:dyDescent="0.25">
      <c r="A19" s="24">
        <v>45824</v>
      </c>
      <c r="B19">
        <v>113.5925</v>
      </c>
    </row>
    <row r="20" spans="1:2" x14ac:dyDescent="0.25">
      <c r="A20" s="24">
        <v>45831</v>
      </c>
      <c r="B20">
        <v>109.56399999999999</v>
      </c>
    </row>
    <row r="21" spans="1:2" x14ac:dyDescent="0.25">
      <c r="A21" s="24">
        <v>45838</v>
      </c>
      <c r="B21">
        <v>110.07249999999999</v>
      </c>
    </row>
    <row r="22" spans="1:2" x14ac:dyDescent="0.25">
      <c r="A22" s="24">
        <v>45845</v>
      </c>
      <c r="B22">
        <v>113.892</v>
      </c>
    </row>
    <row r="23" spans="1:2" x14ac:dyDescent="0.25">
      <c r="A23" s="24">
        <v>45852</v>
      </c>
      <c r="B23">
        <v>111.69799999999999</v>
      </c>
    </row>
    <row r="24" spans="1:2" x14ac:dyDescent="0.25">
      <c r="A24" s="24">
        <v>45859</v>
      </c>
      <c r="B24">
        <v>109.542</v>
      </c>
    </row>
    <row r="25" spans="1:2" x14ac:dyDescent="0.25">
      <c r="A25" s="24">
        <v>45866</v>
      </c>
      <c r="B25">
        <v>111.5</v>
      </c>
    </row>
    <row r="26" spans="1:2" x14ac:dyDescent="0.25">
      <c r="A26" s="24">
        <v>45873</v>
      </c>
      <c r="B26">
        <v>106.774</v>
      </c>
    </row>
    <row r="27" spans="1:2" x14ac:dyDescent="0.25">
      <c r="A27" s="24">
        <v>45880</v>
      </c>
      <c r="B27">
        <v>106.68599999999999</v>
      </c>
    </row>
    <row r="28" spans="1:2" x14ac:dyDescent="0.25">
      <c r="A28" s="24">
        <v>45887</v>
      </c>
      <c r="B28">
        <v>108.636</v>
      </c>
    </row>
    <row r="29" spans="1:2" x14ac:dyDescent="0.25">
      <c r="A29" s="24">
        <v>45894</v>
      </c>
      <c r="B29">
        <v>112.724</v>
      </c>
    </row>
    <row r="30" spans="1:2" x14ac:dyDescent="0.25">
      <c r="A30" s="24">
        <v>45901</v>
      </c>
      <c r="B30">
        <v>112.0575</v>
      </c>
    </row>
    <row r="31" spans="1:2" x14ac:dyDescent="0.25">
      <c r="A31" s="24">
        <v>45908</v>
      </c>
      <c r="B31">
        <v>111.46</v>
      </c>
    </row>
    <row r="32" spans="1:2" x14ac:dyDescent="0.25">
      <c r="A32" s="24">
        <v>45915</v>
      </c>
      <c r="B32">
        <v>113.81400000000001</v>
      </c>
    </row>
    <row r="33" spans="1:2" x14ac:dyDescent="0.25">
      <c r="A33" s="24">
        <v>45922</v>
      </c>
      <c r="B33">
        <v>114.66800000000001</v>
      </c>
    </row>
    <row r="34" spans="1:2" x14ac:dyDescent="0.25">
      <c r="A34" s="24">
        <v>45929</v>
      </c>
      <c r="B34">
        <v>112.702</v>
      </c>
    </row>
    <row r="35" spans="1:2" x14ac:dyDescent="0.25">
      <c r="A35" s="24">
        <v>45936</v>
      </c>
      <c r="B35">
        <v>113.224</v>
      </c>
    </row>
    <row r="36" spans="1:2" x14ac:dyDescent="0.25">
      <c r="A36" s="24">
        <v>45943</v>
      </c>
      <c r="B36">
        <v>111.804</v>
      </c>
    </row>
    <row r="37" spans="1:2" x14ac:dyDescent="0.25">
      <c r="A37" s="24">
        <v>45950</v>
      </c>
      <c r="B37">
        <v>114.298</v>
      </c>
    </row>
    <row r="38" spans="1:2" x14ac:dyDescent="0.25">
      <c r="A38" s="24">
        <v>45957</v>
      </c>
      <c r="B38">
        <v>115.294</v>
      </c>
    </row>
    <row r="39" spans="1:2" x14ac:dyDescent="0.25">
      <c r="A39" s="24">
        <v>45964</v>
      </c>
      <c r="B39">
        <v>114.66</v>
      </c>
    </row>
    <row r="40" spans="1:2" x14ac:dyDescent="0.25">
      <c r="A40" s="24">
        <v>45971</v>
      </c>
      <c r="B40">
        <v>118.84</v>
      </c>
    </row>
    <row r="41" spans="1:2" x14ac:dyDescent="0.25">
      <c r="A41" s="24">
        <v>45978</v>
      </c>
      <c r="B41">
        <v>117.63200000000001</v>
      </c>
    </row>
    <row r="42" spans="1:2" x14ac:dyDescent="0.25">
      <c r="A42" s="24">
        <v>45985</v>
      </c>
      <c r="B42">
        <v>115.2925</v>
      </c>
    </row>
    <row r="43" spans="1:2" x14ac:dyDescent="0.25">
      <c r="A43" s="24">
        <v>45992</v>
      </c>
      <c r="B43">
        <v>116.69799999999999</v>
      </c>
    </row>
    <row r="44" spans="1:2" x14ac:dyDescent="0.25">
      <c r="A44" s="24">
        <v>45999</v>
      </c>
      <c r="B44">
        <v>118.426</v>
      </c>
    </row>
    <row r="45" spans="1:2" x14ac:dyDescent="0.25">
      <c r="A45" s="24">
        <v>46006</v>
      </c>
      <c r="B45">
        <v>116.616</v>
      </c>
    </row>
    <row r="46" spans="1:2" x14ac:dyDescent="0.25">
      <c r="A46" s="24">
        <v>46013</v>
      </c>
      <c r="B46">
        <v>118.97499999999999</v>
      </c>
    </row>
    <row r="47" spans="1:2" x14ac:dyDescent="0.25">
      <c r="A47" s="24">
        <v>46020</v>
      </c>
      <c r="B47">
        <v>121.1275</v>
      </c>
    </row>
    <row r="48" spans="1:2" x14ac:dyDescent="0.25">
      <c r="A48" s="24">
        <v>46027</v>
      </c>
      <c r="B48">
        <v>122.48399999999999</v>
      </c>
    </row>
    <row r="49" spans="1:5" x14ac:dyDescent="0.25">
      <c r="A49" s="24">
        <v>46034</v>
      </c>
      <c r="B49">
        <v>127.958</v>
      </c>
    </row>
    <row r="50" spans="1:5" x14ac:dyDescent="0.25">
      <c r="A50" s="24">
        <v>46041</v>
      </c>
      <c r="B50">
        <v>133.17000000000002</v>
      </c>
    </row>
    <row r="51" spans="1:5" x14ac:dyDescent="0.25">
      <c r="A51" s="24">
        <v>46048</v>
      </c>
      <c r="B51">
        <v>138.232</v>
      </c>
    </row>
    <row r="52" spans="1:5" x14ac:dyDescent="0.25">
      <c r="A52" s="24">
        <v>46055</v>
      </c>
      <c r="B52">
        <v>144.97</v>
      </c>
    </row>
    <row r="53" spans="1:5" x14ac:dyDescent="0.25">
      <c r="A53" s="24">
        <v>46062</v>
      </c>
      <c r="B53">
        <v>151.34800000000001</v>
      </c>
    </row>
    <row r="54" spans="1:5" ht="15.75" thickBot="1" x14ac:dyDescent="0.3">
      <c r="A54" s="24">
        <v>46069</v>
      </c>
      <c r="B54">
        <v>148.78</v>
      </c>
    </row>
    <row r="55" spans="1:5" ht="15.75" thickBot="1" x14ac:dyDescent="0.3">
      <c r="A55" s="24">
        <v>46076</v>
      </c>
      <c r="C55">
        <f>_xlfn.FORECAST.ETS(Forecast[[#This Row],[Week]],B2:B54,A2:A54,1,1,1)</f>
        <v>149.28081119980649</v>
      </c>
      <c r="D55">
        <v>149.80829893085701</v>
      </c>
      <c r="E55" s="25">
        <v>156.62688600000001</v>
      </c>
    </row>
    <row r="56" spans="1:5" ht="15.75" thickBot="1" x14ac:dyDescent="0.3">
      <c r="A56" s="24">
        <v>46083</v>
      </c>
      <c r="C56">
        <f>_xlfn.FORECAST.ETS(Forecast[[#This Row],[Week]],B3:B55,A3:A55,1,1,1)</f>
        <v>149.82072163408179</v>
      </c>
      <c r="D56">
        <v>149.100816293581</v>
      </c>
      <c r="E56" s="26">
        <v>164.80873199999999</v>
      </c>
    </row>
    <row r="57" spans="1:5" ht="15.75" thickBot="1" x14ac:dyDescent="0.3">
      <c r="A57" s="24">
        <v>46090</v>
      </c>
      <c r="C57">
        <f>_xlfn.FORECAST.ETS(Forecast[[#This Row],[Week]],B4:B56,A4:A56,1,1,1)</f>
        <v>150.40110226244343</v>
      </c>
      <c r="D57">
        <v>151.15078478392999</v>
      </c>
      <c r="E57" s="25">
        <v>162.58916199999999</v>
      </c>
    </row>
    <row r="58" spans="1:5" ht="15.75" thickBot="1" x14ac:dyDescent="0.3">
      <c r="A58" s="24">
        <v>46097</v>
      </c>
      <c r="C58">
        <f>_xlfn.FORECAST.ETS(Forecast[[#This Row],[Week]],B5:B57,A5:A57,1,1,1)</f>
        <v>150.99767212484994</v>
      </c>
      <c r="D58">
        <v>153.81218962590799</v>
      </c>
      <c r="E58" s="26">
        <v>171.607551</v>
      </c>
    </row>
    <row r="59" spans="1:5" ht="15.75" thickBot="1" x14ac:dyDescent="0.3">
      <c r="A59" s="24">
        <v>46104</v>
      </c>
      <c r="C59">
        <f>_xlfn.FORECAST.ETS(Forecast[[#This Row],[Week]],B6:B58,A6:A58,1,1,1)</f>
        <v>151.65810994897956</v>
      </c>
      <c r="D59">
        <v>155.65980851579701</v>
      </c>
      <c r="E59" s="25">
        <v>176.352135</v>
      </c>
    </row>
    <row r="60" spans="1:5" ht="15.75" thickBot="1" x14ac:dyDescent="0.3">
      <c r="A60" s="24">
        <v>46111</v>
      </c>
      <c r="C60">
        <f>_xlfn.FORECAST.ETS(Forecast[[#This Row],[Week]],B7:B59,A7:A59,1,1,1)</f>
        <v>152.44350949848024</v>
      </c>
      <c r="D60">
        <v>159.32452098769301</v>
      </c>
      <c r="E60" s="26">
        <v>179.57708500000001</v>
      </c>
    </row>
    <row r="61" spans="1:5" ht="15.75" thickBot="1" x14ac:dyDescent="0.3">
      <c r="A61" s="24">
        <v>46118</v>
      </c>
      <c r="C61">
        <f>_xlfn.FORECAST.ETS(Forecast[[#This Row],[Week]],B8:B60,A8:A60,1,1,1)</f>
        <v>153.36647074468084</v>
      </c>
      <c r="D61">
        <v>163.19842652328899</v>
      </c>
      <c r="E61" s="25">
        <v>179.93316200000001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B0E14-1AB9-4DE8-929C-6B298A1A0CDC}">
  <dimension ref="A1:B252"/>
  <sheetViews>
    <sheetView workbookViewId="0">
      <selection sqref="A1:B252"/>
    </sheetView>
  </sheetViews>
  <sheetFormatPr defaultRowHeight="15" x14ac:dyDescent="0.25"/>
  <cols>
    <col min="1" max="1" width="13.140625" style="20" customWidth="1"/>
    <col min="2" max="2" width="10.5703125" bestFit="1" customWidth="1"/>
  </cols>
  <sheetData>
    <row r="1" spans="1:2" x14ac:dyDescent="0.25">
      <c r="A1" s="19" t="s">
        <v>45</v>
      </c>
      <c r="B1" s="4" t="s">
        <v>43</v>
      </c>
    </row>
    <row r="2" spans="1:2" x14ac:dyDescent="0.25">
      <c r="A2" s="20">
        <v>45705</v>
      </c>
      <c r="B2" vm="2">
        <v>110.69</v>
      </c>
    </row>
    <row r="3" spans="1:2" x14ac:dyDescent="0.25">
      <c r="A3" s="20">
        <v>45712</v>
      </c>
      <c r="B3" vm="5">
        <v>111.27</v>
      </c>
    </row>
    <row r="4" spans="1:2" x14ac:dyDescent="0.25">
      <c r="A4" s="20">
        <v>45712</v>
      </c>
      <c r="B4" vm="8">
        <v>109.73</v>
      </c>
    </row>
    <row r="5" spans="1:2" x14ac:dyDescent="0.25">
      <c r="A5" s="20">
        <v>45712</v>
      </c>
      <c r="B5" vm="11">
        <v>109.46</v>
      </c>
    </row>
    <row r="6" spans="1:2" x14ac:dyDescent="0.25">
      <c r="A6" s="20">
        <v>45712</v>
      </c>
      <c r="B6" vm="14">
        <v>110.15</v>
      </c>
    </row>
    <row r="7" spans="1:2" x14ac:dyDescent="0.25">
      <c r="A7" s="20">
        <v>45712</v>
      </c>
      <c r="B7" vm="17">
        <v>111.33</v>
      </c>
    </row>
    <row r="8" spans="1:2" x14ac:dyDescent="0.25">
      <c r="A8" s="20">
        <v>45719</v>
      </c>
      <c r="B8" vm="20">
        <v>107.76</v>
      </c>
    </row>
    <row r="9" spans="1:2" x14ac:dyDescent="0.25">
      <c r="A9" s="20">
        <v>45719</v>
      </c>
      <c r="B9" vm="23">
        <v>107.54</v>
      </c>
    </row>
    <row r="10" spans="1:2" x14ac:dyDescent="0.25">
      <c r="A10" s="20">
        <v>45719</v>
      </c>
      <c r="B10" vm="26">
        <v>105.44</v>
      </c>
    </row>
    <row r="11" spans="1:2" x14ac:dyDescent="0.25">
      <c r="A11" s="20">
        <v>45719</v>
      </c>
      <c r="B11" vm="29">
        <v>107.62</v>
      </c>
    </row>
    <row r="12" spans="1:2" x14ac:dyDescent="0.25">
      <c r="A12" s="20">
        <v>45719</v>
      </c>
      <c r="B12" vm="32">
        <v>109.02</v>
      </c>
    </row>
    <row r="13" spans="1:2" x14ac:dyDescent="0.25">
      <c r="A13" s="20">
        <v>45726</v>
      </c>
      <c r="B13" vm="35">
        <v>111.8</v>
      </c>
    </row>
    <row r="14" spans="1:2" x14ac:dyDescent="0.25">
      <c r="A14" s="20">
        <v>45726</v>
      </c>
      <c r="B14" vm="38">
        <v>109.16</v>
      </c>
    </row>
    <row r="15" spans="1:2" x14ac:dyDescent="0.25">
      <c r="A15" s="20">
        <v>45726</v>
      </c>
      <c r="B15" vm="41">
        <v>109.13</v>
      </c>
    </row>
    <row r="16" spans="1:2" x14ac:dyDescent="0.25">
      <c r="A16" s="20">
        <v>45726</v>
      </c>
      <c r="B16" vm="44">
        <v>108.67</v>
      </c>
    </row>
    <row r="17" spans="1:2" x14ac:dyDescent="0.25">
      <c r="A17" s="20">
        <v>45726</v>
      </c>
      <c r="B17" vm="47">
        <v>111.9</v>
      </c>
    </row>
    <row r="18" spans="1:2" x14ac:dyDescent="0.25">
      <c r="A18" s="20">
        <v>45733</v>
      </c>
      <c r="B18" vm="50">
        <v>113.76</v>
      </c>
    </row>
    <row r="19" spans="1:2" x14ac:dyDescent="0.25">
      <c r="A19" s="20">
        <v>45733</v>
      </c>
      <c r="B19" vm="53">
        <v>113.64</v>
      </c>
    </row>
    <row r="20" spans="1:2" x14ac:dyDescent="0.25">
      <c r="A20" s="20">
        <v>45733</v>
      </c>
      <c r="B20" vm="56">
        <v>115.41</v>
      </c>
    </row>
    <row r="21" spans="1:2" x14ac:dyDescent="0.25">
      <c r="A21" s="20">
        <v>45733</v>
      </c>
      <c r="B21" vm="59">
        <v>115.9</v>
      </c>
    </row>
    <row r="22" spans="1:2" x14ac:dyDescent="0.25">
      <c r="A22" s="20">
        <v>45733</v>
      </c>
      <c r="B22" vm="62">
        <v>115.5</v>
      </c>
    </row>
    <row r="23" spans="1:2" x14ac:dyDescent="0.25">
      <c r="A23" s="20">
        <v>45740</v>
      </c>
      <c r="B23" vm="65">
        <v>115.8</v>
      </c>
    </row>
    <row r="24" spans="1:2" x14ac:dyDescent="0.25">
      <c r="A24" s="20">
        <v>45740</v>
      </c>
      <c r="B24" vm="68">
        <v>116.59</v>
      </c>
    </row>
    <row r="25" spans="1:2" x14ac:dyDescent="0.25">
      <c r="A25" s="20">
        <v>45740</v>
      </c>
      <c r="B25" vm="71">
        <v>118.27</v>
      </c>
    </row>
    <row r="26" spans="1:2" x14ac:dyDescent="0.25">
      <c r="A26" s="20">
        <v>45740</v>
      </c>
      <c r="B26" vm="74">
        <v>117.89</v>
      </c>
    </row>
    <row r="27" spans="1:2" x14ac:dyDescent="0.25">
      <c r="A27" s="20">
        <v>45740</v>
      </c>
      <c r="B27" vm="77">
        <v>117.73</v>
      </c>
    </row>
    <row r="28" spans="1:2" x14ac:dyDescent="0.25">
      <c r="A28" s="20">
        <v>45747</v>
      </c>
      <c r="B28" vm="80">
        <v>118.93</v>
      </c>
    </row>
    <row r="29" spans="1:2" x14ac:dyDescent="0.25">
      <c r="A29" s="20">
        <v>45747</v>
      </c>
      <c r="B29" vm="83">
        <v>119.04</v>
      </c>
    </row>
    <row r="30" spans="1:2" x14ac:dyDescent="0.25">
      <c r="A30" s="20">
        <v>45747</v>
      </c>
      <c r="B30" vm="86">
        <v>118.67</v>
      </c>
    </row>
    <row r="31" spans="1:2" x14ac:dyDescent="0.25">
      <c r="A31" s="20">
        <v>45747</v>
      </c>
      <c r="B31" vm="89">
        <v>112.43</v>
      </c>
    </row>
    <row r="32" spans="1:2" x14ac:dyDescent="0.25">
      <c r="A32" s="20">
        <v>45747</v>
      </c>
      <c r="B32" vm="92">
        <v>104.34</v>
      </c>
    </row>
    <row r="33" spans="1:2" x14ac:dyDescent="0.25">
      <c r="A33" s="20">
        <v>45754</v>
      </c>
      <c r="B33" vm="95">
        <v>102.94</v>
      </c>
    </row>
    <row r="34" spans="1:2" x14ac:dyDescent="0.25">
      <c r="A34" s="20">
        <v>45754</v>
      </c>
      <c r="B34" vm="98">
        <v>100.77</v>
      </c>
    </row>
    <row r="35" spans="1:2" x14ac:dyDescent="0.25">
      <c r="A35" s="20">
        <v>45754</v>
      </c>
      <c r="B35" vm="101">
        <v>105.8</v>
      </c>
    </row>
    <row r="36" spans="1:2" x14ac:dyDescent="0.25">
      <c r="A36" s="20">
        <v>45754</v>
      </c>
      <c r="B36" vm="104">
        <v>99.93</v>
      </c>
    </row>
    <row r="37" spans="1:2" x14ac:dyDescent="0.25">
      <c r="A37" s="20">
        <v>45754</v>
      </c>
      <c r="B37" vm="107">
        <v>103.14</v>
      </c>
    </row>
    <row r="38" spans="1:2" x14ac:dyDescent="0.25">
      <c r="A38" s="20">
        <v>45761</v>
      </c>
      <c r="B38" vm="110">
        <v>103.39</v>
      </c>
    </row>
    <row r="39" spans="1:2" x14ac:dyDescent="0.25">
      <c r="A39" s="20">
        <v>45761</v>
      </c>
      <c r="B39" vm="113">
        <v>103.1</v>
      </c>
    </row>
    <row r="40" spans="1:2" x14ac:dyDescent="0.25">
      <c r="A40" s="20">
        <v>45761</v>
      </c>
      <c r="B40" vm="116">
        <v>104.19</v>
      </c>
    </row>
    <row r="41" spans="1:2" x14ac:dyDescent="0.25">
      <c r="A41" s="20">
        <v>45761</v>
      </c>
      <c r="B41" vm="119">
        <v>106.92</v>
      </c>
    </row>
    <row r="42" spans="1:2" x14ac:dyDescent="0.25">
      <c r="A42" s="20">
        <v>45768</v>
      </c>
      <c r="B42" vm="122">
        <v>105.35</v>
      </c>
    </row>
    <row r="43" spans="1:2" x14ac:dyDescent="0.25">
      <c r="A43" s="20">
        <v>45768</v>
      </c>
      <c r="B43" vm="125">
        <v>108.3</v>
      </c>
    </row>
    <row r="44" spans="1:2" x14ac:dyDescent="0.25">
      <c r="A44" s="20">
        <v>45768</v>
      </c>
      <c r="B44" vm="128">
        <v>107.37</v>
      </c>
    </row>
    <row r="45" spans="1:2" x14ac:dyDescent="0.25">
      <c r="A45" s="20">
        <v>45768</v>
      </c>
      <c r="B45" vm="131">
        <v>108.63</v>
      </c>
    </row>
    <row r="46" spans="1:2" x14ac:dyDescent="0.25">
      <c r="A46" s="20">
        <v>45768</v>
      </c>
      <c r="B46" vm="134">
        <v>108.57</v>
      </c>
    </row>
    <row r="47" spans="1:2" x14ac:dyDescent="0.25">
      <c r="A47" s="20">
        <v>45775</v>
      </c>
      <c r="B47" vm="131">
        <v>108.63</v>
      </c>
    </row>
    <row r="48" spans="1:2" x14ac:dyDescent="0.25">
      <c r="A48" s="20">
        <v>45775</v>
      </c>
      <c r="B48" vm="139">
        <v>108.36</v>
      </c>
    </row>
    <row r="49" spans="1:2" x14ac:dyDescent="0.25">
      <c r="A49" s="20">
        <v>45775</v>
      </c>
      <c r="B49" vm="142">
        <v>105.63</v>
      </c>
    </row>
    <row r="50" spans="1:2" x14ac:dyDescent="0.25">
      <c r="A50" s="20">
        <v>45775</v>
      </c>
      <c r="B50" vm="145">
        <v>105.78</v>
      </c>
    </row>
    <row r="51" spans="1:2" x14ac:dyDescent="0.25">
      <c r="A51" s="20">
        <v>45775</v>
      </c>
      <c r="B51" vm="148">
        <v>106.21</v>
      </c>
    </row>
    <row r="52" spans="1:2" x14ac:dyDescent="0.25">
      <c r="A52" s="20">
        <v>45782</v>
      </c>
      <c r="B52" vm="151">
        <v>103.27</v>
      </c>
    </row>
    <row r="53" spans="1:2" x14ac:dyDescent="0.25">
      <c r="A53" s="20">
        <v>45782</v>
      </c>
      <c r="B53" vm="154">
        <v>104.71</v>
      </c>
    </row>
    <row r="54" spans="1:2" x14ac:dyDescent="0.25">
      <c r="A54" s="20">
        <v>45782</v>
      </c>
      <c r="B54" vm="157">
        <v>104.61</v>
      </c>
    </row>
    <row r="55" spans="1:2" x14ac:dyDescent="0.25">
      <c r="A55" s="20">
        <v>45782</v>
      </c>
      <c r="B55" vm="160">
        <v>106.07</v>
      </c>
    </row>
    <row r="56" spans="1:2" x14ac:dyDescent="0.25">
      <c r="A56" s="20">
        <v>45782</v>
      </c>
      <c r="B56" vm="163">
        <v>107.31</v>
      </c>
    </row>
    <row r="57" spans="1:2" x14ac:dyDescent="0.25">
      <c r="A57" s="20">
        <v>45789</v>
      </c>
      <c r="B57" vm="38">
        <v>109.16</v>
      </c>
    </row>
    <row r="58" spans="1:2" x14ac:dyDescent="0.25">
      <c r="A58" s="20">
        <v>45789</v>
      </c>
      <c r="B58" vm="11">
        <v>109.46</v>
      </c>
    </row>
    <row r="59" spans="1:2" x14ac:dyDescent="0.25">
      <c r="A59" s="20">
        <v>45789</v>
      </c>
      <c r="B59" vm="170">
        <v>108.48</v>
      </c>
    </row>
    <row r="60" spans="1:2" x14ac:dyDescent="0.25">
      <c r="A60" s="20">
        <v>45789</v>
      </c>
      <c r="B60" vm="173">
        <v>108.58</v>
      </c>
    </row>
    <row r="61" spans="1:2" x14ac:dyDescent="0.25">
      <c r="A61" s="20">
        <v>45789</v>
      </c>
      <c r="B61" vm="176">
        <v>108.19</v>
      </c>
    </row>
    <row r="62" spans="1:2" x14ac:dyDescent="0.25">
      <c r="A62" s="20">
        <v>45796</v>
      </c>
      <c r="B62" vm="179">
        <v>106.47</v>
      </c>
    </row>
    <row r="63" spans="1:2" x14ac:dyDescent="0.25">
      <c r="A63" s="20">
        <v>45796</v>
      </c>
      <c r="B63" vm="182">
        <v>104.95</v>
      </c>
    </row>
    <row r="64" spans="1:2" x14ac:dyDescent="0.25">
      <c r="A64" s="20">
        <v>45796</v>
      </c>
      <c r="B64" vm="185">
        <v>103.66</v>
      </c>
    </row>
    <row r="65" spans="1:2" x14ac:dyDescent="0.25">
      <c r="A65" s="20">
        <v>45796</v>
      </c>
      <c r="B65" vm="188">
        <v>102.97</v>
      </c>
    </row>
    <row r="66" spans="1:2" x14ac:dyDescent="0.25">
      <c r="A66" s="20">
        <v>45796</v>
      </c>
      <c r="B66" vm="191">
        <v>103.03</v>
      </c>
    </row>
    <row r="67" spans="1:2" x14ac:dyDescent="0.25">
      <c r="A67" s="20">
        <v>45803</v>
      </c>
      <c r="B67" vm="194">
        <v>103.52</v>
      </c>
    </row>
    <row r="68" spans="1:2" x14ac:dyDescent="0.25">
      <c r="A68" s="20">
        <v>45803</v>
      </c>
      <c r="B68" vm="197">
        <v>102.11</v>
      </c>
    </row>
    <row r="69" spans="1:2" x14ac:dyDescent="0.25">
      <c r="A69" s="20">
        <v>45803</v>
      </c>
      <c r="B69" vm="200">
        <v>102.69</v>
      </c>
    </row>
    <row r="70" spans="1:2" x14ac:dyDescent="0.25">
      <c r="A70" s="20">
        <v>45803</v>
      </c>
      <c r="B70" vm="203">
        <v>102.3</v>
      </c>
    </row>
    <row r="71" spans="1:2" x14ac:dyDescent="0.25">
      <c r="A71" s="20">
        <v>45810</v>
      </c>
      <c r="B71" vm="206">
        <v>103.05</v>
      </c>
    </row>
    <row r="72" spans="1:2" x14ac:dyDescent="0.25">
      <c r="A72" s="20">
        <v>45810</v>
      </c>
      <c r="B72" vm="209">
        <v>103.8</v>
      </c>
    </row>
    <row r="73" spans="1:2" x14ac:dyDescent="0.25">
      <c r="A73" s="20">
        <v>45810</v>
      </c>
      <c r="B73" vm="203">
        <v>102.3</v>
      </c>
    </row>
    <row r="74" spans="1:2" x14ac:dyDescent="0.25">
      <c r="A74" s="20">
        <v>45810</v>
      </c>
      <c r="B74" vm="214">
        <v>101.83</v>
      </c>
    </row>
    <row r="75" spans="1:2" x14ac:dyDescent="0.25">
      <c r="A75" s="20">
        <v>45810</v>
      </c>
      <c r="B75" vm="217">
        <v>104.27</v>
      </c>
    </row>
    <row r="76" spans="1:2" x14ac:dyDescent="0.25">
      <c r="A76" s="20">
        <v>45817</v>
      </c>
      <c r="B76" vm="220">
        <v>104.97</v>
      </c>
    </row>
    <row r="77" spans="1:2" x14ac:dyDescent="0.25">
      <c r="A77" s="20">
        <v>45817</v>
      </c>
      <c r="B77" vm="223">
        <v>107.22</v>
      </c>
    </row>
    <row r="78" spans="1:2" x14ac:dyDescent="0.25">
      <c r="A78" s="20">
        <v>45817</v>
      </c>
      <c r="B78" vm="226">
        <v>109.31</v>
      </c>
    </row>
    <row r="79" spans="1:2" x14ac:dyDescent="0.25">
      <c r="A79" s="20">
        <v>45817</v>
      </c>
      <c r="B79" vm="8">
        <v>109.73</v>
      </c>
    </row>
    <row r="80" spans="1:2" x14ac:dyDescent="0.25">
      <c r="A80" s="20">
        <v>45817</v>
      </c>
      <c r="B80" vm="231">
        <v>112.12</v>
      </c>
    </row>
    <row r="81" spans="1:2" x14ac:dyDescent="0.25">
      <c r="A81" s="20">
        <v>45824</v>
      </c>
      <c r="B81" vm="234">
        <v>112.48</v>
      </c>
    </row>
    <row r="82" spans="1:2" x14ac:dyDescent="0.25">
      <c r="A82" s="20">
        <v>45824</v>
      </c>
      <c r="B82" vm="237">
        <v>114</v>
      </c>
    </row>
    <row r="83" spans="1:2" x14ac:dyDescent="0.25">
      <c r="A83" s="20">
        <v>45824</v>
      </c>
      <c r="B83" vm="240">
        <v>113.19</v>
      </c>
    </row>
    <row r="84" spans="1:2" x14ac:dyDescent="0.25">
      <c r="A84" s="20">
        <v>45824</v>
      </c>
      <c r="B84" vm="243">
        <v>114.7</v>
      </c>
    </row>
    <row r="85" spans="1:2" x14ac:dyDescent="0.25">
      <c r="A85" s="20">
        <v>45831</v>
      </c>
      <c r="B85" vm="246">
        <v>111.74</v>
      </c>
    </row>
    <row r="86" spans="1:2" x14ac:dyDescent="0.25">
      <c r="A86" s="20">
        <v>45831</v>
      </c>
      <c r="B86" vm="249">
        <v>108.34</v>
      </c>
    </row>
    <row r="87" spans="1:2" x14ac:dyDescent="0.25">
      <c r="A87" s="20">
        <v>45831</v>
      </c>
      <c r="B87" vm="252">
        <v>108.37</v>
      </c>
    </row>
    <row r="88" spans="1:2" x14ac:dyDescent="0.25">
      <c r="A88" s="20">
        <v>45831</v>
      </c>
      <c r="B88" vm="255">
        <v>109.99</v>
      </c>
    </row>
    <row r="89" spans="1:2" x14ac:dyDescent="0.25">
      <c r="A89" s="20">
        <v>45831</v>
      </c>
      <c r="B89" vm="258">
        <v>109.38</v>
      </c>
    </row>
    <row r="90" spans="1:2" x14ac:dyDescent="0.25">
      <c r="A90" s="20">
        <v>45838</v>
      </c>
      <c r="B90" vm="261">
        <v>107.8</v>
      </c>
    </row>
    <row r="91" spans="1:2" x14ac:dyDescent="0.25">
      <c r="A91" s="20">
        <v>45838</v>
      </c>
      <c r="B91" vm="264">
        <v>109.24</v>
      </c>
    </row>
    <row r="92" spans="1:2" x14ac:dyDescent="0.25">
      <c r="A92" s="20">
        <v>45838</v>
      </c>
      <c r="B92" vm="267">
        <v>111.05</v>
      </c>
    </row>
    <row r="93" spans="1:2" x14ac:dyDescent="0.25">
      <c r="A93" s="20">
        <v>45838</v>
      </c>
      <c r="B93" vm="270">
        <v>112.2</v>
      </c>
    </row>
    <row r="94" spans="1:2" x14ac:dyDescent="0.25">
      <c r="A94" s="20">
        <v>45845</v>
      </c>
      <c r="B94" vm="273">
        <v>111.11</v>
      </c>
    </row>
    <row r="95" spans="1:2" x14ac:dyDescent="0.25">
      <c r="A95" s="20">
        <v>45845</v>
      </c>
      <c r="B95" vm="276">
        <v>114.19</v>
      </c>
    </row>
    <row r="96" spans="1:2" x14ac:dyDescent="0.25">
      <c r="A96" s="20">
        <v>45845</v>
      </c>
      <c r="B96" vm="279">
        <v>113.8</v>
      </c>
    </row>
    <row r="97" spans="1:2" x14ac:dyDescent="0.25">
      <c r="A97" s="20">
        <v>45845</v>
      </c>
      <c r="B97" vm="282">
        <v>114.93</v>
      </c>
    </row>
    <row r="98" spans="1:2" x14ac:dyDescent="0.25">
      <c r="A98" s="20">
        <v>45845</v>
      </c>
      <c r="B98" vm="285">
        <v>115.43</v>
      </c>
    </row>
    <row r="99" spans="1:2" x14ac:dyDescent="0.25">
      <c r="A99" s="20">
        <v>45852</v>
      </c>
      <c r="B99" vm="288">
        <v>113.92</v>
      </c>
    </row>
    <row r="100" spans="1:2" x14ac:dyDescent="0.25">
      <c r="A100" s="20">
        <v>45852</v>
      </c>
      <c r="B100" vm="291">
        <v>112.91</v>
      </c>
    </row>
    <row r="101" spans="1:2" x14ac:dyDescent="0.25">
      <c r="A101" s="20">
        <v>45852</v>
      </c>
      <c r="B101" vm="294">
        <v>112.23</v>
      </c>
    </row>
    <row r="102" spans="1:2" x14ac:dyDescent="0.25">
      <c r="A102" s="20">
        <v>45852</v>
      </c>
      <c r="B102" vm="297">
        <v>111.66</v>
      </c>
    </row>
    <row r="103" spans="1:2" x14ac:dyDescent="0.25">
      <c r="A103" s="20">
        <v>45852</v>
      </c>
      <c r="B103" vm="300">
        <v>107.77</v>
      </c>
    </row>
    <row r="104" spans="1:2" x14ac:dyDescent="0.25">
      <c r="A104" s="20">
        <v>45859</v>
      </c>
      <c r="B104" vm="303">
        <v>108.05</v>
      </c>
    </row>
    <row r="105" spans="1:2" x14ac:dyDescent="0.25">
      <c r="A105" s="20">
        <v>45859</v>
      </c>
      <c r="B105" vm="306">
        <v>108.54</v>
      </c>
    </row>
    <row r="106" spans="1:2" x14ac:dyDescent="0.25">
      <c r="A106" s="20">
        <v>45859</v>
      </c>
      <c r="B106" vm="309">
        <v>109.93</v>
      </c>
    </row>
    <row r="107" spans="1:2" x14ac:dyDescent="0.25">
      <c r="A107" s="20">
        <v>45859</v>
      </c>
      <c r="B107" vm="312">
        <v>110.79</v>
      </c>
    </row>
    <row r="108" spans="1:2" x14ac:dyDescent="0.25">
      <c r="A108" s="20">
        <v>45859</v>
      </c>
      <c r="B108" vm="315">
        <v>110.4</v>
      </c>
    </row>
    <row r="109" spans="1:2" x14ac:dyDescent="0.25">
      <c r="A109" s="20">
        <v>45866</v>
      </c>
      <c r="B109" vm="318">
        <v>111.44</v>
      </c>
    </row>
    <row r="110" spans="1:2" x14ac:dyDescent="0.25">
      <c r="A110" s="20">
        <v>45866</v>
      </c>
      <c r="B110" vm="321">
        <v>112.88</v>
      </c>
    </row>
    <row r="111" spans="1:2" x14ac:dyDescent="0.25">
      <c r="A111" s="20">
        <v>45866</v>
      </c>
      <c r="B111" vm="47">
        <v>111.9</v>
      </c>
    </row>
    <row r="112" spans="1:2" x14ac:dyDescent="0.25">
      <c r="A112" s="20">
        <v>45866</v>
      </c>
      <c r="B112" vm="326">
        <v>111.64</v>
      </c>
    </row>
    <row r="113" spans="1:2" x14ac:dyDescent="0.25">
      <c r="A113" s="20">
        <v>45866</v>
      </c>
      <c r="B113" vm="329">
        <v>109.64</v>
      </c>
    </row>
    <row r="114" spans="1:2" x14ac:dyDescent="0.25">
      <c r="A114" s="20">
        <v>45873</v>
      </c>
      <c r="B114" vm="128">
        <v>107.37</v>
      </c>
    </row>
    <row r="115" spans="1:2" x14ac:dyDescent="0.25">
      <c r="A115" s="20">
        <v>45873</v>
      </c>
      <c r="B115" vm="334">
        <v>107.24</v>
      </c>
    </row>
    <row r="116" spans="1:2" x14ac:dyDescent="0.25">
      <c r="A116" s="20">
        <v>45873</v>
      </c>
      <c r="B116" vm="337">
        <v>106.51</v>
      </c>
    </row>
    <row r="117" spans="1:2" x14ac:dyDescent="0.25">
      <c r="A117" s="20">
        <v>45873</v>
      </c>
      <c r="B117" vm="340">
        <v>105.95</v>
      </c>
    </row>
    <row r="118" spans="1:2" x14ac:dyDescent="0.25">
      <c r="A118" s="20">
        <v>45873</v>
      </c>
      <c r="B118" vm="343">
        <v>106.8</v>
      </c>
    </row>
    <row r="119" spans="1:2" x14ac:dyDescent="0.25">
      <c r="A119" s="20">
        <v>45880</v>
      </c>
      <c r="B119" vm="346">
        <v>105.83</v>
      </c>
    </row>
    <row r="120" spans="1:2" x14ac:dyDescent="0.25">
      <c r="A120" s="20">
        <v>45880</v>
      </c>
      <c r="B120" vm="349">
        <v>106.13</v>
      </c>
    </row>
    <row r="121" spans="1:2" x14ac:dyDescent="0.25">
      <c r="A121" s="20">
        <v>45880</v>
      </c>
      <c r="B121" vm="352">
        <v>107.6</v>
      </c>
    </row>
    <row r="122" spans="1:2" x14ac:dyDescent="0.25">
      <c r="A122" s="20">
        <v>45880</v>
      </c>
      <c r="B122" vm="355">
        <v>107.38</v>
      </c>
    </row>
    <row r="123" spans="1:2" x14ac:dyDescent="0.25">
      <c r="A123" s="20">
        <v>45880</v>
      </c>
      <c r="B123" vm="358">
        <v>106.49</v>
      </c>
    </row>
    <row r="124" spans="1:2" x14ac:dyDescent="0.25">
      <c r="A124" s="20">
        <v>45887</v>
      </c>
      <c r="B124" vm="361">
        <v>106.72</v>
      </c>
    </row>
    <row r="125" spans="1:2" x14ac:dyDescent="0.25">
      <c r="A125" s="20">
        <v>45887</v>
      </c>
      <c r="B125" vm="364">
        <v>107.42</v>
      </c>
    </row>
    <row r="126" spans="1:2" x14ac:dyDescent="0.25">
      <c r="A126" s="20">
        <v>45887</v>
      </c>
      <c r="B126" vm="367">
        <v>108.53</v>
      </c>
    </row>
    <row r="127" spans="1:2" x14ac:dyDescent="0.25">
      <c r="A127" s="20">
        <v>45887</v>
      </c>
      <c r="B127" vm="370">
        <v>109.23</v>
      </c>
    </row>
    <row r="128" spans="1:2" x14ac:dyDescent="0.25">
      <c r="A128" s="20">
        <v>45887</v>
      </c>
      <c r="B128" vm="373">
        <v>111.28</v>
      </c>
    </row>
    <row r="129" spans="1:2" x14ac:dyDescent="0.25">
      <c r="A129" s="20">
        <v>45894</v>
      </c>
      <c r="B129" vm="246">
        <v>111.74</v>
      </c>
    </row>
    <row r="130" spans="1:2" x14ac:dyDescent="0.25">
      <c r="A130" s="20">
        <v>45894</v>
      </c>
      <c r="B130" vm="378">
        <v>111.49</v>
      </c>
    </row>
    <row r="131" spans="1:2" x14ac:dyDescent="0.25">
      <c r="A131" s="20">
        <v>45894</v>
      </c>
      <c r="B131" vm="381">
        <v>112.75</v>
      </c>
    </row>
    <row r="132" spans="1:2" x14ac:dyDescent="0.25">
      <c r="A132" s="20">
        <v>45894</v>
      </c>
      <c r="B132" vm="384">
        <v>113.35</v>
      </c>
    </row>
    <row r="133" spans="1:2" x14ac:dyDescent="0.25">
      <c r="A133" s="20">
        <v>45894</v>
      </c>
      <c r="B133" vm="387">
        <v>114.29</v>
      </c>
    </row>
    <row r="134" spans="1:2" x14ac:dyDescent="0.25">
      <c r="A134" s="20">
        <v>45901</v>
      </c>
      <c r="B134" vm="390">
        <v>114.69</v>
      </c>
    </row>
    <row r="135" spans="1:2" x14ac:dyDescent="0.25">
      <c r="A135" s="20">
        <v>45901</v>
      </c>
      <c r="B135" vm="393">
        <v>111.91</v>
      </c>
    </row>
    <row r="136" spans="1:2" x14ac:dyDescent="0.25">
      <c r="A136" s="20">
        <v>45901</v>
      </c>
      <c r="B136" vm="396">
        <v>112.4</v>
      </c>
    </row>
    <row r="137" spans="1:2" x14ac:dyDescent="0.25">
      <c r="A137" s="20">
        <v>45901</v>
      </c>
      <c r="B137" vm="370">
        <v>109.23</v>
      </c>
    </row>
    <row r="138" spans="1:2" x14ac:dyDescent="0.25">
      <c r="A138" s="20">
        <v>45908</v>
      </c>
      <c r="B138" vm="401">
        <v>109.85</v>
      </c>
    </row>
    <row r="139" spans="1:2" x14ac:dyDescent="0.25">
      <c r="A139" s="20">
        <v>45908</v>
      </c>
      <c r="B139" vm="404">
        <v>110.65</v>
      </c>
    </row>
    <row r="140" spans="1:2" x14ac:dyDescent="0.25">
      <c r="A140" s="20">
        <v>45908</v>
      </c>
      <c r="B140" vm="407">
        <v>112.5</v>
      </c>
    </row>
    <row r="141" spans="1:2" x14ac:dyDescent="0.25">
      <c r="A141" s="20">
        <v>45908</v>
      </c>
      <c r="B141" vm="410">
        <v>112.14</v>
      </c>
    </row>
    <row r="142" spans="1:2" x14ac:dyDescent="0.25">
      <c r="A142" s="20">
        <v>45908</v>
      </c>
      <c r="B142" vm="413">
        <v>112.16</v>
      </c>
    </row>
    <row r="143" spans="1:2" x14ac:dyDescent="0.25">
      <c r="A143" s="20">
        <v>45915</v>
      </c>
      <c r="B143" vm="416">
        <v>112.35</v>
      </c>
    </row>
    <row r="144" spans="1:2" x14ac:dyDescent="0.25">
      <c r="A144" s="20">
        <v>45915</v>
      </c>
      <c r="B144" vm="419">
        <v>114.68</v>
      </c>
    </row>
    <row r="145" spans="1:2" x14ac:dyDescent="0.25">
      <c r="A145" s="20">
        <v>45915</v>
      </c>
      <c r="B145" vm="422">
        <v>115.29</v>
      </c>
    </row>
    <row r="146" spans="1:2" x14ac:dyDescent="0.25">
      <c r="A146" s="20">
        <v>45915</v>
      </c>
      <c r="B146" vm="425">
        <v>113.93</v>
      </c>
    </row>
    <row r="147" spans="1:2" x14ac:dyDescent="0.25">
      <c r="A147" s="20">
        <v>45915</v>
      </c>
      <c r="B147" vm="428">
        <v>112.82</v>
      </c>
    </row>
    <row r="148" spans="1:2" x14ac:dyDescent="0.25">
      <c r="A148" s="20">
        <v>45922</v>
      </c>
      <c r="B148" vm="431">
        <v>112.02</v>
      </c>
    </row>
    <row r="149" spans="1:2" x14ac:dyDescent="0.25">
      <c r="A149" s="20">
        <v>45922</v>
      </c>
      <c r="B149" vm="434">
        <v>113.95</v>
      </c>
    </row>
    <row r="150" spans="1:2" x14ac:dyDescent="0.25">
      <c r="A150" s="20">
        <v>45922</v>
      </c>
      <c r="B150" vm="437">
        <v>114.56</v>
      </c>
    </row>
    <row r="151" spans="1:2" x14ac:dyDescent="0.25">
      <c r="A151" s="20">
        <v>45922</v>
      </c>
      <c r="B151" vm="440">
        <v>115.59</v>
      </c>
    </row>
    <row r="152" spans="1:2" x14ac:dyDescent="0.25">
      <c r="A152" s="20">
        <v>45922</v>
      </c>
      <c r="B152" vm="443">
        <v>117.22</v>
      </c>
    </row>
    <row r="153" spans="1:2" x14ac:dyDescent="0.25">
      <c r="A153" s="20">
        <v>45929</v>
      </c>
      <c r="B153" vm="446">
        <v>114.22</v>
      </c>
    </row>
    <row r="154" spans="1:2" x14ac:dyDescent="0.25">
      <c r="A154" s="20">
        <v>45929</v>
      </c>
      <c r="B154" vm="381">
        <v>112.75</v>
      </c>
    </row>
    <row r="155" spans="1:2" x14ac:dyDescent="0.25">
      <c r="A155" s="20">
        <v>45929</v>
      </c>
      <c r="B155" vm="451">
        <v>111.99</v>
      </c>
    </row>
    <row r="156" spans="1:2" x14ac:dyDescent="0.25">
      <c r="A156" s="20">
        <v>45929</v>
      </c>
      <c r="B156" vm="454">
        <v>111.29</v>
      </c>
    </row>
    <row r="157" spans="1:2" x14ac:dyDescent="0.25">
      <c r="A157" s="20">
        <v>45929</v>
      </c>
      <c r="B157" vm="457">
        <v>113.26</v>
      </c>
    </row>
    <row r="158" spans="1:2" x14ac:dyDescent="0.25">
      <c r="A158" s="20">
        <v>45936</v>
      </c>
      <c r="B158" vm="460">
        <v>114.2</v>
      </c>
    </row>
    <row r="159" spans="1:2" x14ac:dyDescent="0.25">
      <c r="A159" s="20">
        <v>45936</v>
      </c>
      <c r="B159" vm="463">
        <v>114.26</v>
      </c>
    </row>
    <row r="160" spans="1:2" x14ac:dyDescent="0.25">
      <c r="A160" s="20">
        <v>45936</v>
      </c>
      <c r="B160" vm="466">
        <v>114.02</v>
      </c>
    </row>
    <row r="161" spans="1:2" x14ac:dyDescent="0.25">
      <c r="A161" s="20">
        <v>45936</v>
      </c>
      <c r="B161" vm="291">
        <v>112.91</v>
      </c>
    </row>
    <row r="162" spans="1:2" x14ac:dyDescent="0.25">
      <c r="A162" s="20">
        <v>45936</v>
      </c>
      <c r="B162" vm="471">
        <v>110.73</v>
      </c>
    </row>
    <row r="163" spans="1:2" x14ac:dyDescent="0.25">
      <c r="A163" s="20">
        <v>45943</v>
      </c>
      <c r="B163" vm="474">
        <v>112.24</v>
      </c>
    </row>
    <row r="164" spans="1:2" x14ac:dyDescent="0.25">
      <c r="A164" s="20">
        <v>45943</v>
      </c>
      <c r="B164" vm="477">
        <v>112.29</v>
      </c>
    </row>
    <row r="165" spans="1:2" x14ac:dyDescent="0.25">
      <c r="A165" s="20">
        <v>45943</v>
      </c>
      <c r="B165" vm="480">
        <v>111.61</v>
      </c>
    </row>
    <row r="166" spans="1:2" x14ac:dyDescent="0.25">
      <c r="A166" s="20">
        <v>45943</v>
      </c>
      <c r="B166" vm="483">
        <v>110.64</v>
      </c>
    </row>
    <row r="167" spans="1:2" x14ac:dyDescent="0.25">
      <c r="A167" s="20">
        <v>45943</v>
      </c>
      <c r="B167" vm="474">
        <v>112.24</v>
      </c>
    </row>
    <row r="168" spans="1:2" x14ac:dyDescent="0.25">
      <c r="A168" s="20">
        <v>45950</v>
      </c>
      <c r="B168" vm="488">
        <v>112.7</v>
      </c>
    </row>
    <row r="169" spans="1:2" x14ac:dyDescent="0.25">
      <c r="A169" s="20">
        <v>45950</v>
      </c>
      <c r="B169" vm="491">
        <v>112.71</v>
      </c>
    </row>
    <row r="170" spans="1:2" x14ac:dyDescent="0.25">
      <c r="A170" s="20">
        <v>45950</v>
      </c>
      <c r="B170" vm="494">
        <v>114.71</v>
      </c>
    </row>
    <row r="171" spans="1:2" x14ac:dyDescent="0.25">
      <c r="A171" s="20">
        <v>45950</v>
      </c>
      <c r="B171" vm="497">
        <v>115.98</v>
      </c>
    </row>
    <row r="172" spans="1:2" x14ac:dyDescent="0.25">
      <c r="A172" s="20">
        <v>45950</v>
      </c>
      <c r="B172" vm="500">
        <v>115.39</v>
      </c>
    </row>
    <row r="173" spans="1:2" x14ac:dyDescent="0.25">
      <c r="A173" s="20">
        <v>45957</v>
      </c>
      <c r="B173" vm="503">
        <v>115.94</v>
      </c>
    </row>
    <row r="174" spans="1:2" x14ac:dyDescent="0.25">
      <c r="A174" s="20">
        <v>45957</v>
      </c>
      <c r="B174" vm="506">
        <v>115.03</v>
      </c>
    </row>
    <row r="175" spans="1:2" x14ac:dyDescent="0.25">
      <c r="A175" s="20">
        <v>45957</v>
      </c>
      <c r="B175" vm="509">
        <v>116.45</v>
      </c>
    </row>
    <row r="176" spans="1:2" x14ac:dyDescent="0.25">
      <c r="A176" s="20">
        <v>45957</v>
      </c>
      <c r="B176" vm="390">
        <v>114.69</v>
      </c>
    </row>
    <row r="177" spans="1:2" x14ac:dyDescent="0.25">
      <c r="A177" s="20">
        <v>45957</v>
      </c>
      <c r="B177" vm="514">
        <v>114.36</v>
      </c>
    </row>
    <row r="178" spans="1:2" x14ac:dyDescent="0.25">
      <c r="A178" s="20">
        <v>45964</v>
      </c>
      <c r="B178" vm="50">
        <v>113.76</v>
      </c>
    </row>
    <row r="179" spans="1:2" x14ac:dyDescent="0.25">
      <c r="A179" s="20">
        <v>45964</v>
      </c>
      <c r="B179" vm="519">
        <v>114.14</v>
      </c>
    </row>
    <row r="180" spans="1:2" x14ac:dyDescent="0.25">
      <c r="A180" s="20">
        <v>45964</v>
      </c>
      <c r="B180" vm="522">
        <v>113.68</v>
      </c>
    </row>
    <row r="181" spans="1:2" x14ac:dyDescent="0.25">
      <c r="A181" s="20">
        <v>45964</v>
      </c>
      <c r="B181" vm="525">
        <v>114.5</v>
      </c>
    </row>
    <row r="182" spans="1:2" x14ac:dyDescent="0.25">
      <c r="A182" s="20">
        <v>45964</v>
      </c>
      <c r="B182" vm="443">
        <v>117.22</v>
      </c>
    </row>
    <row r="183" spans="1:2" x14ac:dyDescent="0.25">
      <c r="A183" s="20">
        <v>45971</v>
      </c>
      <c r="B183" vm="530">
        <v>118.22</v>
      </c>
    </row>
    <row r="184" spans="1:2" x14ac:dyDescent="0.25">
      <c r="A184" s="20">
        <v>45971</v>
      </c>
      <c r="B184" vm="533">
        <v>119.78</v>
      </c>
    </row>
    <row r="185" spans="1:2" x14ac:dyDescent="0.25">
      <c r="A185" s="20">
        <v>45971</v>
      </c>
      <c r="B185" vm="536">
        <v>118.12</v>
      </c>
    </row>
    <row r="186" spans="1:2" x14ac:dyDescent="0.25">
      <c r="A186" s="20">
        <v>45971</v>
      </c>
      <c r="B186" vm="539">
        <v>118.79</v>
      </c>
    </row>
    <row r="187" spans="1:2" x14ac:dyDescent="0.25">
      <c r="A187" s="20">
        <v>45971</v>
      </c>
      <c r="B187" vm="542">
        <v>119.29</v>
      </c>
    </row>
    <row r="188" spans="1:2" x14ac:dyDescent="0.25">
      <c r="A188" s="20">
        <v>45978</v>
      </c>
      <c r="B188" vm="545">
        <v>117.68</v>
      </c>
    </row>
    <row r="189" spans="1:2" x14ac:dyDescent="0.25">
      <c r="A189" s="20">
        <v>45978</v>
      </c>
      <c r="B189" vm="548">
        <v>119.03</v>
      </c>
    </row>
    <row r="190" spans="1:2" x14ac:dyDescent="0.25">
      <c r="A190" s="20">
        <v>45978</v>
      </c>
      <c r="B190" vm="551">
        <v>117.35</v>
      </c>
    </row>
    <row r="191" spans="1:2" x14ac:dyDescent="0.25">
      <c r="A191" s="20">
        <v>45978</v>
      </c>
      <c r="B191" vm="554">
        <v>117.02</v>
      </c>
    </row>
    <row r="192" spans="1:2" x14ac:dyDescent="0.25">
      <c r="A192" s="20">
        <v>45978</v>
      </c>
      <c r="B192" vm="557">
        <v>117.08</v>
      </c>
    </row>
    <row r="193" spans="1:2" x14ac:dyDescent="0.25">
      <c r="A193" s="20">
        <v>45985</v>
      </c>
      <c r="B193" vm="560">
        <v>115.97</v>
      </c>
    </row>
    <row r="194" spans="1:2" x14ac:dyDescent="0.25">
      <c r="A194" s="20">
        <v>45985</v>
      </c>
      <c r="B194" vm="563">
        <v>114.51</v>
      </c>
    </row>
    <row r="195" spans="1:2" x14ac:dyDescent="0.25">
      <c r="A195" s="20">
        <v>45985</v>
      </c>
      <c r="B195" vm="566">
        <v>114.77</v>
      </c>
    </row>
    <row r="196" spans="1:2" x14ac:dyDescent="0.25">
      <c r="A196" s="20">
        <v>45985</v>
      </c>
      <c r="B196" vm="569">
        <v>115.92</v>
      </c>
    </row>
    <row r="197" spans="1:2" x14ac:dyDescent="0.25">
      <c r="A197" s="20">
        <v>45992</v>
      </c>
      <c r="B197" vm="572">
        <v>116.63</v>
      </c>
    </row>
    <row r="198" spans="1:2" x14ac:dyDescent="0.25">
      <c r="A198" s="20">
        <v>45992</v>
      </c>
      <c r="B198" vm="575">
        <v>115.38</v>
      </c>
    </row>
    <row r="199" spans="1:2" x14ac:dyDescent="0.25">
      <c r="A199" s="20">
        <v>45992</v>
      </c>
      <c r="B199" vm="578">
        <v>117.8</v>
      </c>
    </row>
    <row r="200" spans="1:2" x14ac:dyDescent="0.25">
      <c r="A200" s="20">
        <v>45992</v>
      </c>
      <c r="B200" vm="581">
        <v>117.14</v>
      </c>
    </row>
    <row r="201" spans="1:2" x14ac:dyDescent="0.25">
      <c r="A201" s="20">
        <v>45992</v>
      </c>
      <c r="B201" vm="584">
        <v>116.54</v>
      </c>
    </row>
    <row r="202" spans="1:2" x14ac:dyDescent="0.25">
      <c r="A202" s="20">
        <v>45999</v>
      </c>
      <c r="B202" vm="497">
        <v>115.98</v>
      </c>
    </row>
    <row r="203" spans="1:2" x14ac:dyDescent="0.25">
      <c r="A203" s="20">
        <v>45999</v>
      </c>
      <c r="B203" vm="589">
        <v>118.25</v>
      </c>
    </row>
    <row r="204" spans="1:2" x14ac:dyDescent="0.25">
      <c r="A204" s="20">
        <v>45999</v>
      </c>
      <c r="B204" vm="592">
        <v>119.54</v>
      </c>
    </row>
    <row r="205" spans="1:2" x14ac:dyDescent="0.25">
      <c r="A205" s="20">
        <v>45999</v>
      </c>
      <c r="B205" vm="592">
        <v>119.54</v>
      </c>
    </row>
    <row r="206" spans="1:2" x14ac:dyDescent="0.25">
      <c r="A206" s="20">
        <v>45999</v>
      </c>
      <c r="B206" vm="597">
        <v>118.82</v>
      </c>
    </row>
    <row r="207" spans="1:2" x14ac:dyDescent="0.25">
      <c r="A207" s="20">
        <v>46006</v>
      </c>
      <c r="B207" vm="600">
        <v>117.76</v>
      </c>
    </row>
    <row r="208" spans="1:2" x14ac:dyDescent="0.25">
      <c r="A208" s="20">
        <v>46006</v>
      </c>
      <c r="B208" vm="419">
        <v>114.68</v>
      </c>
    </row>
    <row r="209" spans="1:2" x14ac:dyDescent="0.25">
      <c r="A209" s="20">
        <v>46006</v>
      </c>
      <c r="B209" vm="605">
        <v>117.41</v>
      </c>
    </row>
    <row r="210" spans="1:2" x14ac:dyDescent="0.25">
      <c r="A210" s="20">
        <v>46006</v>
      </c>
      <c r="B210" vm="584">
        <v>116.54</v>
      </c>
    </row>
    <row r="211" spans="1:2" x14ac:dyDescent="0.25">
      <c r="A211" s="20">
        <v>46006</v>
      </c>
      <c r="B211" vm="610">
        <v>116.69</v>
      </c>
    </row>
    <row r="212" spans="1:2" x14ac:dyDescent="0.25">
      <c r="A212" s="20">
        <v>46013</v>
      </c>
      <c r="B212" vm="613">
        <v>118.15</v>
      </c>
    </row>
    <row r="213" spans="1:2" x14ac:dyDescent="0.25">
      <c r="A213" s="20">
        <v>46013</v>
      </c>
      <c r="B213" vm="616">
        <v>119.42</v>
      </c>
    </row>
    <row r="214" spans="1:2" x14ac:dyDescent="0.25">
      <c r="A214" s="20">
        <v>46013</v>
      </c>
      <c r="B214" vm="619">
        <v>119.22</v>
      </c>
    </row>
    <row r="215" spans="1:2" x14ac:dyDescent="0.25">
      <c r="A215" s="20">
        <v>46013</v>
      </c>
      <c r="B215" vm="622">
        <v>119.11</v>
      </c>
    </row>
    <row r="216" spans="1:2" x14ac:dyDescent="0.25">
      <c r="A216" s="20">
        <v>46020</v>
      </c>
      <c r="B216" vm="625">
        <v>120.53</v>
      </c>
    </row>
    <row r="217" spans="1:2" x14ac:dyDescent="0.25">
      <c r="A217" s="20">
        <v>46020</v>
      </c>
      <c r="B217" vm="628">
        <v>120.99</v>
      </c>
    </row>
    <row r="218" spans="1:2" x14ac:dyDescent="0.25">
      <c r="A218" s="20">
        <v>46020</v>
      </c>
      <c r="B218" vm="631">
        <v>120.34</v>
      </c>
    </row>
    <row r="219" spans="1:2" x14ac:dyDescent="0.25">
      <c r="A219" s="20">
        <v>46020</v>
      </c>
      <c r="B219" vm="634">
        <v>122.65</v>
      </c>
    </row>
    <row r="220" spans="1:2" x14ac:dyDescent="0.25">
      <c r="A220" s="20">
        <v>46027</v>
      </c>
      <c r="B220" vm="637">
        <v>125.36</v>
      </c>
    </row>
    <row r="221" spans="1:2" x14ac:dyDescent="0.25">
      <c r="A221" s="20">
        <v>46027</v>
      </c>
      <c r="B221" vm="640">
        <v>121.05</v>
      </c>
    </row>
    <row r="222" spans="1:2" x14ac:dyDescent="0.25">
      <c r="A222" s="20">
        <v>46027</v>
      </c>
      <c r="B222" vm="643">
        <v>118.49</v>
      </c>
    </row>
    <row r="223" spans="1:2" x14ac:dyDescent="0.25">
      <c r="A223" s="20">
        <v>46027</v>
      </c>
      <c r="B223" vm="646">
        <v>122.91</v>
      </c>
    </row>
    <row r="224" spans="1:2" x14ac:dyDescent="0.25">
      <c r="A224" s="20">
        <v>46027</v>
      </c>
      <c r="B224" vm="649">
        <v>124.61</v>
      </c>
    </row>
    <row r="225" spans="1:2" x14ac:dyDescent="0.25">
      <c r="A225" s="20">
        <v>46034</v>
      </c>
      <c r="B225" vm="652">
        <v>124.03</v>
      </c>
    </row>
    <row r="226" spans="1:2" x14ac:dyDescent="0.25">
      <c r="A226" s="20">
        <v>46034</v>
      </c>
      <c r="B226" vm="655">
        <v>126.54</v>
      </c>
    </row>
    <row r="227" spans="1:2" x14ac:dyDescent="0.25">
      <c r="A227" s="20">
        <v>46034</v>
      </c>
      <c r="B227" vm="658">
        <v>130.19999999999999</v>
      </c>
    </row>
    <row r="228" spans="1:2" x14ac:dyDescent="0.25">
      <c r="A228" s="20">
        <v>46034</v>
      </c>
      <c r="B228" vm="661">
        <v>129.13</v>
      </c>
    </row>
    <row r="229" spans="1:2" x14ac:dyDescent="0.25">
      <c r="A229" s="20">
        <v>46034</v>
      </c>
      <c r="B229" vm="664">
        <v>129.88999999999999</v>
      </c>
    </row>
    <row r="230" spans="1:2" x14ac:dyDescent="0.25">
      <c r="A230" s="20">
        <v>46041</v>
      </c>
      <c r="B230" vm="667">
        <v>130.46</v>
      </c>
    </row>
    <row r="231" spans="1:2" x14ac:dyDescent="0.25">
      <c r="A231" s="20">
        <v>46041</v>
      </c>
      <c r="B231" vm="670">
        <v>133.61000000000001</v>
      </c>
    </row>
    <row r="232" spans="1:2" x14ac:dyDescent="0.25">
      <c r="A232" s="20">
        <v>46041</v>
      </c>
      <c r="B232" vm="673">
        <v>133.63999999999999</v>
      </c>
    </row>
    <row r="233" spans="1:2" x14ac:dyDescent="0.25">
      <c r="A233" s="20">
        <v>46041</v>
      </c>
      <c r="B233" vm="676">
        <v>134.97</v>
      </c>
    </row>
    <row r="234" spans="1:2" x14ac:dyDescent="0.25">
      <c r="A234" s="20">
        <v>46048</v>
      </c>
      <c r="B234" vm="679">
        <v>134.84</v>
      </c>
    </row>
    <row r="235" spans="1:2" x14ac:dyDescent="0.25">
      <c r="A235" s="20">
        <v>46048</v>
      </c>
      <c r="B235" vm="682">
        <v>136.83000000000001</v>
      </c>
    </row>
    <row r="236" spans="1:2" x14ac:dyDescent="0.25">
      <c r="A236" s="20">
        <v>46048</v>
      </c>
      <c r="B236" vm="685">
        <v>137.58000000000001</v>
      </c>
    </row>
    <row r="237" spans="1:2" x14ac:dyDescent="0.25">
      <c r="A237" s="20">
        <v>46048</v>
      </c>
      <c r="B237" vm="688">
        <v>140.51</v>
      </c>
    </row>
    <row r="238" spans="1:2" x14ac:dyDescent="0.25">
      <c r="A238" s="20">
        <v>46048</v>
      </c>
      <c r="B238" vm="691">
        <v>141.4</v>
      </c>
    </row>
    <row r="239" spans="1:2" x14ac:dyDescent="0.25">
      <c r="A239" s="20">
        <v>46055</v>
      </c>
      <c r="B239" vm="694">
        <v>138.4</v>
      </c>
    </row>
    <row r="240" spans="1:2" x14ac:dyDescent="0.25">
      <c r="A240" s="20">
        <v>46055</v>
      </c>
      <c r="B240" vm="697">
        <v>143.72999999999999</v>
      </c>
    </row>
    <row r="241" spans="1:2" x14ac:dyDescent="0.25">
      <c r="A241" s="20">
        <v>46055</v>
      </c>
      <c r="B241" vm="700">
        <v>147.59</v>
      </c>
    </row>
    <row r="242" spans="1:2" x14ac:dyDescent="0.25">
      <c r="A242" s="20">
        <v>46055</v>
      </c>
      <c r="B242" vm="703">
        <v>146.08000000000001</v>
      </c>
    </row>
    <row r="243" spans="1:2" x14ac:dyDescent="0.25">
      <c r="A243" s="20">
        <v>46055</v>
      </c>
      <c r="B243" vm="706">
        <v>149.05000000000001</v>
      </c>
    </row>
    <row r="244" spans="1:2" x14ac:dyDescent="0.25">
      <c r="A244" s="20">
        <v>46062</v>
      </c>
      <c r="B244" vm="709">
        <v>151.21</v>
      </c>
    </row>
    <row r="245" spans="1:2" x14ac:dyDescent="0.25">
      <c r="A245" s="20">
        <v>46062</v>
      </c>
      <c r="B245" vm="712">
        <v>151.59</v>
      </c>
    </row>
    <row r="246" spans="1:2" x14ac:dyDescent="0.25">
      <c r="A246" s="20">
        <v>46062</v>
      </c>
      <c r="B246" vm="715">
        <v>155.56</v>
      </c>
    </row>
    <row r="247" spans="1:2" x14ac:dyDescent="0.25">
      <c r="A247" s="20">
        <v>46062</v>
      </c>
      <c r="B247" vm="718">
        <v>149.93</v>
      </c>
    </row>
    <row r="248" spans="1:2" x14ac:dyDescent="0.25">
      <c r="A248" s="20">
        <v>46062</v>
      </c>
      <c r="B248" vm="721">
        <v>148.44999999999999</v>
      </c>
    </row>
    <row r="249" spans="1:2" x14ac:dyDescent="0.25">
      <c r="A249" s="20">
        <v>46069</v>
      </c>
      <c r="B249" vm="724">
        <v>146.19</v>
      </c>
    </row>
    <row r="250" spans="1:2" x14ac:dyDescent="0.25">
      <c r="A250" s="20">
        <v>46069</v>
      </c>
      <c r="B250" vm="727">
        <v>150.68</v>
      </c>
    </row>
    <row r="251" spans="1:2" x14ac:dyDescent="0.25">
      <c r="A251" s="20">
        <v>46069</v>
      </c>
      <c r="B251" vm="730">
        <v>150.97</v>
      </c>
    </row>
    <row r="252" spans="1:2" x14ac:dyDescent="0.25">
      <c r="A252" s="20">
        <v>46069</v>
      </c>
      <c r="B252" vm="733">
        <v>147.28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E5F7-0882-4256-A946-ABE807B776C8}">
  <dimension ref="A1:B106"/>
  <sheetViews>
    <sheetView workbookViewId="0">
      <selection activeCell="R6" sqref="R6"/>
    </sheetView>
  </sheetViews>
  <sheetFormatPr defaultRowHeight="15" x14ac:dyDescent="0.25"/>
  <cols>
    <col min="1" max="1" width="20.7109375" style="23" customWidth="1"/>
    <col min="2" max="2" width="10.140625" bestFit="1" customWidth="1"/>
  </cols>
  <sheetData>
    <row r="1" spans="1:2" x14ac:dyDescent="0.25">
      <c r="A1" s="22" t="s">
        <v>46</v>
      </c>
      <c r="B1" s="22" t="s">
        <v>47</v>
      </c>
    </row>
    <row r="2" spans="1:2" x14ac:dyDescent="0.25">
      <c r="A2" s="23">
        <v>36565</v>
      </c>
      <c r="B2">
        <v>0.22</v>
      </c>
    </row>
    <row r="3" spans="1:2" x14ac:dyDescent="0.25">
      <c r="A3" s="23">
        <v>36657</v>
      </c>
      <c r="B3">
        <v>0.22</v>
      </c>
    </row>
    <row r="4" spans="1:2" x14ac:dyDescent="0.25">
      <c r="A4" s="23">
        <v>36748</v>
      </c>
      <c r="B4">
        <v>0.22</v>
      </c>
    </row>
    <row r="5" spans="1:2" x14ac:dyDescent="0.25">
      <c r="A5" s="23">
        <v>36839</v>
      </c>
      <c r="B5">
        <v>0.22</v>
      </c>
    </row>
    <row r="6" spans="1:2" x14ac:dyDescent="0.25">
      <c r="A6" s="23">
        <v>36929</v>
      </c>
      <c r="B6">
        <v>0.22</v>
      </c>
    </row>
    <row r="7" spans="1:2" x14ac:dyDescent="0.25">
      <c r="A7" s="23">
        <v>37021</v>
      </c>
      <c r="B7">
        <v>0.22</v>
      </c>
    </row>
    <row r="8" spans="1:2" x14ac:dyDescent="0.25">
      <c r="A8" s="23">
        <v>37060</v>
      </c>
      <c r="B8">
        <v>0.01</v>
      </c>
    </row>
    <row r="9" spans="1:2" x14ac:dyDescent="0.25">
      <c r="A9" s="23">
        <v>37112</v>
      </c>
      <c r="B9">
        <v>0.23</v>
      </c>
    </row>
    <row r="10" spans="1:2" x14ac:dyDescent="0.25">
      <c r="A10" s="23">
        <v>37202</v>
      </c>
      <c r="B10">
        <v>0.23</v>
      </c>
    </row>
    <row r="11" spans="1:2" x14ac:dyDescent="0.25">
      <c r="A11" s="23">
        <v>37294</v>
      </c>
      <c r="B11">
        <v>0.23</v>
      </c>
    </row>
    <row r="12" spans="1:2" x14ac:dyDescent="0.25">
      <c r="A12" s="23">
        <v>37385</v>
      </c>
      <c r="B12">
        <v>0.23</v>
      </c>
    </row>
    <row r="13" spans="1:2" x14ac:dyDescent="0.25">
      <c r="A13" s="23">
        <v>37477</v>
      </c>
      <c r="B13">
        <v>0.23</v>
      </c>
    </row>
    <row r="14" spans="1:2" x14ac:dyDescent="0.25">
      <c r="A14" s="23">
        <v>37567</v>
      </c>
      <c r="B14">
        <v>0.23</v>
      </c>
    </row>
    <row r="15" spans="1:2" x14ac:dyDescent="0.25">
      <c r="A15" s="23">
        <v>37658</v>
      </c>
      <c r="B15">
        <v>0.23</v>
      </c>
    </row>
    <row r="16" spans="1:2" x14ac:dyDescent="0.25">
      <c r="A16" s="23">
        <v>37750</v>
      </c>
      <c r="B16">
        <v>0.25</v>
      </c>
    </row>
    <row r="17" spans="1:2" x14ac:dyDescent="0.25">
      <c r="A17" s="23">
        <v>37844</v>
      </c>
      <c r="B17">
        <v>0.25</v>
      </c>
    </row>
    <row r="18" spans="1:2" x14ac:dyDescent="0.25">
      <c r="A18" s="23">
        <v>37932</v>
      </c>
      <c r="B18">
        <v>0.25</v>
      </c>
    </row>
    <row r="19" spans="1:2" x14ac:dyDescent="0.25">
      <c r="A19" s="23">
        <v>38026</v>
      </c>
      <c r="B19">
        <v>0.25</v>
      </c>
    </row>
    <row r="20" spans="1:2" x14ac:dyDescent="0.25">
      <c r="A20" s="23">
        <v>38118</v>
      </c>
      <c r="B20">
        <v>0.27</v>
      </c>
    </row>
    <row r="21" spans="1:2" x14ac:dyDescent="0.25">
      <c r="A21" s="23">
        <v>38210</v>
      </c>
      <c r="B21">
        <v>0.27</v>
      </c>
    </row>
    <row r="22" spans="1:2" x14ac:dyDescent="0.25">
      <c r="A22" s="23">
        <v>38300</v>
      </c>
      <c r="B22">
        <v>0.27</v>
      </c>
    </row>
    <row r="23" spans="1:2" x14ac:dyDescent="0.25">
      <c r="A23" s="23">
        <v>38391</v>
      </c>
      <c r="B23">
        <v>0.27</v>
      </c>
    </row>
    <row r="24" spans="1:2" x14ac:dyDescent="0.25">
      <c r="A24" s="23">
        <v>38483</v>
      </c>
      <c r="B24">
        <v>0.28999999999999998</v>
      </c>
    </row>
    <row r="25" spans="1:2" x14ac:dyDescent="0.25">
      <c r="A25" s="23">
        <v>38574</v>
      </c>
      <c r="B25">
        <v>0.28999999999999998</v>
      </c>
    </row>
    <row r="26" spans="1:2" x14ac:dyDescent="0.25">
      <c r="A26" s="23">
        <v>38664</v>
      </c>
      <c r="B26">
        <v>0.28999999999999998</v>
      </c>
    </row>
    <row r="27" spans="1:2" x14ac:dyDescent="0.25">
      <c r="A27" s="23">
        <v>38756</v>
      </c>
      <c r="B27">
        <v>0.32</v>
      </c>
    </row>
    <row r="28" spans="1:2" x14ac:dyDescent="0.25">
      <c r="A28" s="23">
        <v>38847</v>
      </c>
      <c r="B28">
        <v>0.32</v>
      </c>
    </row>
    <row r="29" spans="1:2" x14ac:dyDescent="0.25">
      <c r="A29" s="23">
        <v>38939</v>
      </c>
      <c r="B29">
        <v>0.32</v>
      </c>
    </row>
    <row r="30" spans="1:2" x14ac:dyDescent="0.25">
      <c r="A30" s="23">
        <v>39030</v>
      </c>
      <c r="B30">
        <v>0.32</v>
      </c>
    </row>
    <row r="31" spans="1:2" x14ac:dyDescent="0.25">
      <c r="A31" s="23">
        <v>39120</v>
      </c>
      <c r="B31">
        <v>0.32</v>
      </c>
    </row>
    <row r="32" spans="1:2" x14ac:dyDescent="0.25">
      <c r="A32" s="23">
        <v>39212</v>
      </c>
      <c r="B32">
        <v>0.35</v>
      </c>
    </row>
    <row r="33" spans="1:2" x14ac:dyDescent="0.25">
      <c r="A33" s="23">
        <v>39303</v>
      </c>
      <c r="B33">
        <v>0.35</v>
      </c>
    </row>
    <row r="34" spans="1:2" x14ac:dyDescent="0.25">
      <c r="A34" s="23">
        <v>39393</v>
      </c>
      <c r="B34">
        <v>0.35</v>
      </c>
    </row>
    <row r="35" spans="1:2" x14ac:dyDescent="0.25">
      <c r="A35" s="23">
        <v>39485</v>
      </c>
      <c r="B35">
        <v>0.35</v>
      </c>
    </row>
    <row r="36" spans="1:2" x14ac:dyDescent="0.25">
      <c r="A36" s="23">
        <v>39577</v>
      </c>
      <c r="B36">
        <v>0.4</v>
      </c>
    </row>
    <row r="37" spans="1:2" x14ac:dyDescent="0.25">
      <c r="A37" s="23">
        <v>39671</v>
      </c>
      <c r="B37">
        <v>0.4</v>
      </c>
    </row>
    <row r="38" spans="1:2" x14ac:dyDescent="0.25">
      <c r="A38" s="23">
        <v>39759</v>
      </c>
      <c r="B38">
        <v>0.4</v>
      </c>
    </row>
    <row r="39" spans="1:2" x14ac:dyDescent="0.25">
      <c r="A39" s="23">
        <v>39850</v>
      </c>
      <c r="B39">
        <v>0.4</v>
      </c>
    </row>
    <row r="40" spans="1:2" x14ac:dyDescent="0.25">
      <c r="A40" s="23">
        <v>39944</v>
      </c>
      <c r="B40">
        <v>0.42</v>
      </c>
    </row>
    <row r="41" spans="1:2" x14ac:dyDescent="0.25">
      <c r="A41" s="23">
        <v>40036</v>
      </c>
      <c r="B41">
        <v>0.42</v>
      </c>
    </row>
    <row r="42" spans="1:2" x14ac:dyDescent="0.25">
      <c r="A42" s="23">
        <v>40126</v>
      </c>
      <c r="B42">
        <v>0.42</v>
      </c>
    </row>
    <row r="43" spans="1:2" x14ac:dyDescent="0.25">
      <c r="A43" s="23">
        <v>40217</v>
      </c>
      <c r="B43">
        <v>0.42</v>
      </c>
    </row>
    <row r="44" spans="1:2" x14ac:dyDescent="0.25">
      <c r="A44" s="23">
        <v>40309</v>
      </c>
      <c r="B44">
        <v>0.44</v>
      </c>
    </row>
    <row r="45" spans="1:2" x14ac:dyDescent="0.25">
      <c r="A45" s="23">
        <v>40401</v>
      </c>
      <c r="B45">
        <v>0.44</v>
      </c>
    </row>
    <row r="46" spans="1:2" x14ac:dyDescent="0.25">
      <c r="A46" s="23">
        <v>40491</v>
      </c>
      <c r="B46">
        <v>0.44</v>
      </c>
    </row>
    <row r="47" spans="1:2" x14ac:dyDescent="0.25">
      <c r="A47" s="23">
        <v>40582</v>
      </c>
      <c r="B47">
        <v>0.44</v>
      </c>
    </row>
    <row r="48" spans="1:2" x14ac:dyDescent="0.25">
      <c r="A48" s="23">
        <v>40674</v>
      </c>
      <c r="B48">
        <v>0.47</v>
      </c>
    </row>
    <row r="49" spans="1:2" x14ac:dyDescent="0.25">
      <c r="A49" s="23">
        <v>40765</v>
      </c>
      <c r="B49">
        <v>0.47</v>
      </c>
    </row>
    <row r="50" spans="1:2" x14ac:dyDescent="0.25">
      <c r="A50" s="23">
        <v>40855</v>
      </c>
      <c r="B50">
        <v>0.47</v>
      </c>
    </row>
    <row r="51" spans="1:2" x14ac:dyDescent="0.25">
      <c r="A51" s="23">
        <v>40947</v>
      </c>
      <c r="B51">
        <v>0.47</v>
      </c>
    </row>
    <row r="52" spans="1:2" x14ac:dyDescent="0.25">
      <c r="A52" s="23">
        <v>41039</v>
      </c>
      <c r="B52">
        <v>0.56999999999999995</v>
      </c>
    </row>
    <row r="53" spans="1:2" x14ac:dyDescent="0.25">
      <c r="A53" s="23">
        <v>41130</v>
      </c>
      <c r="B53">
        <v>0.56999999999999995</v>
      </c>
    </row>
    <row r="54" spans="1:2" x14ac:dyDescent="0.25">
      <c r="A54" s="23">
        <v>41220</v>
      </c>
      <c r="B54">
        <v>0.56999999999999995</v>
      </c>
    </row>
    <row r="55" spans="1:2" x14ac:dyDescent="0.25">
      <c r="A55" s="23">
        <v>41312</v>
      </c>
      <c r="B55">
        <v>0.56999999999999995</v>
      </c>
    </row>
    <row r="56" spans="1:2" x14ac:dyDescent="0.25">
      <c r="A56" s="23">
        <v>41403</v>
      </c>
      <c r="B56">
        <v>0.63</v>
      </c>
    </row>
    <row r="57" spans="1:2" x14ac:dyDescent="0.25">
      <c r="A57" s="23">
        <v>41495</v>
      </c>
      <c r="B57">
        <v>0.63</v>
      </c>
    </row>
    <row r="58" spans="1:2" x14ac:dyDescent="0.25">
      <c r="A58" s="23">
        <v>41585</v>
      </c>
      <c r="B58">
        <v>0.63</v>
      </c>
    </row>
    <row r="59" spans="1:2" x14ac:dyDescent="0.25">
      <c r="A59" s="23">
        <v>41676</v>
      </c>
      <c r="B59">
        <v>0.63</v>
      </c>
    </row>
    <row r="60" spans="1:2" x14ac:dyDescent="0.25">
      <c r="A60" s="23">
        <v>41768</v>
      </c>
      <c r="B60">
        <v>0.69</v>
      </c>
    </row>
    <row r="61" spans="1:2" x14ac:dyDescent="0.25">
      <c r="A61" s="23">
        <v>41862</v>
      </c>
      <c r="B61">
        <v>0.69</v>
      </c>
    </row>
    <row r="62" spans="1:2" x14ac:dyDescent="0.25">
      <c r="A62" s="23">
        <v>41950</v>
      </c>
      <c r="B62">
        <v>0.69</v>
      </c>
    </row>
    <row r="63" spans="1:2" x14ac:dyDescent="0.25">
      <c r="A63" s="23">
        <v>42041</v>
      </c>
      <c r="B63">
        <v>0.69</v>
      </c>
    </row>
    <row r="64" spans="1:2" x14ac:dyDescent="0.25">
      <c r="A64" s="23">
        <v>42135</v>
      </c>
      <c r="B64">
        <v>0.73</v>
      </c>
    </row>
    <row r="65" spans="1:2" x14ac:dyDescent="0.25">
      <c r="A65" s="23">
        <v>42227</v>
      </c>
      <c r="B65">
        <v>0.73</v>
      </c>
    </row>
    <row r="66" spans="1:2" x14ac:dyDescent="0.25">
      <c r="A66" s="23">
        <v>42317</v>
      </c>
      <c r="B66">
        <v>0.73</v>
      </c>
    </row>
    <row r="67" spans="1:2" x14ac:dyDescent="0.25">
      <c r="A67" s="23">
        <v>42409</v>
      </c>
      <c r="B67">
        <v>0.73</v>
      </c>
    </row>
    <row r="68" spans="1:2" x14ac:dyDescent="0.25">
      <c r="A68" s="23">
        <v>42501</v>
      </c>
      <c r="B68">
        <v>0.75</v>
      </c>
    </row>
    <row r="69" spans="1:2" x14ac:dyDescent="0.25">
      <c r="A69" s="23">
        <v>42592</v>
      </c>
      <c r="B69">
        <v>0.75</v>
      </c>
    </row>
    <row r="70" spans="1:2" x14ac:dyDescent="0.25">
      <c r="A70" s="23">
        <v>42682</v>
      </c>
      <c r="B70">
        <v>0.75</v>
      </c>
    </row>
    <row r="71" spans="1:2" x14ac:dyDescent="0.25">
      <c r="A71" s="23">
        <v>42774</v>
      </c>
      <c r="B71">
        <v>0.75</v>
      </c>
    </row>
    <row r="72" spans="1:2" x14ac:dyDescent="0.25">
      <c r="A72" s="23">
        <v>42865</v>
      </c>
      <c r="B72">
        <v>0.77</v>
      </c>
    </row>
    <row r="73" spans="1:2" x14ac:dyDescent="0.25">
      <c r="A73" s="23">
        <v>42957</v>
      </c>
      <c r="B73">
        <v>0.77</v>
      </c>
    </row>
    <row r="74" spans="1:2" x14ac:dyDescent="0.25">
      <c r="A74" s="23">
        <v>43049</v>
      </c>
      <c r="B74">
        <v>0.77</v>
      </c>
    </row>
    <row r="75" spans="1:2" x14ac:dyDescent="0.25">
      <c r="A75" s="23">
        <v>43140</v>
      </c>
      <c r="B75">
        <v>0.77</v>
      </c>
    </row>
    <row r="76" spans="1:2" x14ac:dyDescent="0.25">
      <c r="A76" s="23">
        <v>43231</v>
      </c>
      <c r="B76">
        <v>0.82</v>
      </c>
    </row>
    <row r="77" spans="1:2" x14ac:dyDescent="0.25">
      <c r="A77" s="23">
        <v>43322</v>
      </c>
      <c r="B77">
        <v>0.82</v>
      </c>
    </row>
    <row r="78" spans="1:2" x14ac:dyDescent="0.25">
      <c r="A78" s="23">
        <v>43413</v>
      </c>
      <c r="B78">
        <v>0.82</v>
      </c>
    </row>
    <row r="79" spans="1:2" x14ac:dyDescent="0.25">
      <c r="A79" s="23">
        <v>43504</v>
      </c>
      <c r="B79">
        <v>0.82</v>
      </c>
    </row>
    <row r="80" spans="1:2" x14ac:dyDescent="0.25">
      <c r="A80" s="23">
        <v>43595</v>
      </c>
      <c r="B80">
        <v>0.87</v>
      </c>
    </row>
    <row r="81" spans="1:2" x14ac:dyDescent="0.25">
      <c r="A81" s="23">
        <v>43689</v>
      </c>
      <c r="B81">
        <v>0.87</v>
      </c>
    </row>
    <row r="82" spans="1:2" x14ac:dyDescent="0.25">
      <c r="A82" s="23">
        <v>43777</v>
      </c>
      <c r="B82">
        <v>0.87</v>
      </c>
    </row>
    <row r="83" spans="1:2" x14ac:dyDescent="0.25">
      <c r="A83" s="23">
        <v>43871</v>
      </c>
      <c r="B83">
        <v>0.87</v>
      </c>
    </row>
    <row r="84" spans="1:2" x14ac:dyDescent="0.25">
      <c r="A84" s="23">
        <v>43963</v>
      </c>
      <c r="B84">
        <v>0.87</v>
      </c>
    </row>
    <row r="85" spans="1:2" x14ac:dyDescent="0.25">
      <c r="A85" s="23">
        <v>44055</v>
      </c>
      <c r="B85">
        <v>0.87</v>
      </c>
    </row>
    <row r="86" spans="1:2" x14ac:dyDescent="0.25">
      <c r="A86" s="23">
        <v>44145</v>
      </c>
      <c r="B86">
        <v>0.87</v>
      </c>
    </row>
    <row r="87" spans="1:2" x14ac:dyDescent="0.25">
      <c r="A87" s="23">
        <v>44236</v>
      </c>
      <c r="B87">
        <v>0.87</v>
      </c>
    </row>
    <row r="88" spans="1:2" x14ac:dyDescent="0.25">
      <c r="A88" s="23">
        <v>44328</v>
      </c>
      <c r="B88">
        <v>0.87</v>
      </c>
    </row>
    <row r="89" spans="1:2" x14ac:dyDescent="0.25">
      <c r="A89" s="23">
        <v>44420</v>
      </c>
      <c r="B89">
        <v>0.87</v>
      </c>
    </row>
    <row r="90" spans="1:2" x14ac:dyDescent="0.25">
      <c r="A90" s="23">
        <v>44510</v>
      </c>
      <c r="B90">
        <v>0.88</v>
      </c>
    </row>
    <row r="91" spans="1:2" x14ac:dyDescent="0.25">
      <c r="A91" s="23">
        <v>44601</v>
      </c>
      <c r="B91">
        <v>0.88</v>
      </c>
    </row>
    <row r="92" spans="1:2" x14ac:dyDescent="0.25">
      <c r="A92" s="23">
        <v>44693</v>
      </c>
      <c r="B92">
        <v>0.88</v>
      </c>
    </row>
    <row r="93" spans="1:2" x14ac:dyDescent="0.25">
      <c r="A93" s="23">
        <v>44784</v>
      </c>
      <c r="B93">
        <v>0.88</v>
      </c>
    </row>
    <row r="94" spans="1:2" x14ac:dyDescent="0.25">
      <c r="A94" s="23">
        <v>44879</v>
      </c>
      <c r="B94">
        <v>0.91</v>
      </c>
    </row>
    <row r="95" spans="1:2" x14ac:dyDescent="0.25">
      <c r="A95" s="23">
        <v>44970</v>
      </c>
      <c r="B95">
        <v>0.91</v>
      </c>
    </row>
    <row r="96" spans="1:2" x14ac:dyDescent="0.25">
      <c r="A96" s="23">
        <v>45061</v>
      </c>
      <c r="B96">
        <v>0.91</v>
      </c>
    </row>
    <row r="97" spans="1:2" x14ac:dyDescent="0.25">
      <c r="A97" s="23">
        <v>45153</v>
      </c>
      <c r="B97">
        <v>0.91</v>
      </c>
    </row>
    <row r="98" spans="1:2" x14ac:dyDescent="0.25">
      <c r="A98" s="23">
        <v>45244</v>
      </c>
      <c r="B98">
        <v>0.95</v>
      </c>
    </row>
    <row r="99" spans="1:2" x14ac:dyDescent="0.25">
      <c r="A99" s="23">
        <v>45335</v>
      </c>
      <c r="B99">
        <v>0.95</v>
      </c>
    </row>
    <row r="100" spans="1:2" x14ac:dyDescent="0.25">
      <c r="A100" s="23">
        <v>45426</v>
      </c>
      <c r="B100">
        <v>0.95</v>
      </c>
    </row>
    <row r="101" spans="1:2" x14ac:dyDescent="0.25">
      <c r="A101" s="23">
        <v>45519</v>
      </c>
      <c r="B101">
        <v>0.95</v>
      </c>
    </row>
    <row r="102" spans="1:2" x14ac:dyDescent="0.25">
      <c r="A102" s="23">
        <v>45610</v>
      </c>
      <c r="B102">
        <v>0.99</v>
      </c>
    </row>
    <row r="103" spans="1:2" x14ac:dyDescent="0.25">
      <c r="A103" s="23">
        <v>45700</v>
      </c>
      <c r="B103">
        <v>0.99</v>
      </c>
    </row>
    <row r="104" spans="1:2" x14ac:dyDescent="0.25">
      <c r="A104" s="23">
        <v>45792</v>
      </c>
      <c r="B104">
        <v>0.99</v>
      </c>
    </row>
    <row r="105" spans="1:2" x14ac:dyDescent="0.25">
      <c r="A105" s="23">
        <v>45884</v>
      </c>
      <c r="B105">
        <v>0.99</v>
      </c>
    </row>
    <row r="106" spans="1:2" x14ac:dyDescent="0.25">
      <c r="A106" s="23">
        <v>45975</v>
      </c>
      <c r="B106">
        <v>1.03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80F720-A55F-4C9A-BC8B-B653E2D6BB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Dashboard</vt:lpstr>
      <vt:lpstr>Intro</vt:lpstr>
      <vt:lpstr>Data</vt:lpstr>
      <vt:lpstr>Forecast</vt:lpstr>
      <vt:lpstr>Weekly</vt:lpstr>
      <vt:lpstr>Dividends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2026-01-19T03:32:40Z</dcterms:created>
  <dcterms:modified xsi:type="dcterms:W3CDTF">2026-02-22T01:01:14Z</dcterms:modified>
</cp:coreProperties>
</file>