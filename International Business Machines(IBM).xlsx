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2B5DEA1A-6E44-4AB5-8A1C-F0744899A1E4}" xr6:coauthVersionLast="47" xr6:coauthVersionMax="47" xr10:uidLastSave="{00000000-0000-0000-0000-000000000000}"/>
  <bookViews>
    <workbookView xWindow="-120" yWindow="-120" windowWidth="20730" windowHeight="11040" xr2:uid="{92AFEA67-FCE1-458C-9A7E-ADF426D7B024}"/>
  </bookViews>
  <sheets>
    <sheet name="Dashboard" sheetId="7" r:id="rId1"/>
    <sheet name="Intro" sheetId="10" r:id="rId2"/>
    <sheet name="Data" sheetId="1" r:id="rId3"/>
    <sheet name="Forecast" sheetId="22" r:id="rId4"/>
    <sheet name="Dividends" sheetId="18" r:id="rId5"/>
  </sheets>
  <definedNames>
    <definedName name="data">Data!$1:$1048576</definedName>
    <definedName name="ExternalData_1" localSheetId="3" hidden="1">Forecast!$A$1:$B$122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4" i="1" l="1"/>
  <c r="V524" i="1"/>
  <c r="U525" i="1"/>
  <c r="V525" i="1"/>
  <c r="U526" i="1"/>
  <c r="V526" i="1"/>
  <c r="U527" i="1"/>
  <c r="V527" i="1"/>
  <c r="U528" i="1"/>
  <c r="V528" i="1"/>
  <c r="U529" i="1"/>
  <c r="V529" i="1"/>
  <c r="U515" i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C113" i="22"/>
  <c r="C119" i="22"/>
  <c r="C114" i="22"/>
  <c r="C115" i="22"/>
  <c r="C117" i="22"/>
  <c r="C118" i="22"/>
  <c r="C120" i="22"/>
  <c r="C116" i="22"/>
  <c r="C112" i="22"/>
  <c r="B1" i="1" a="1"/>
  <c r="B1" i="1" l="1"/>
  <c r="E524" i="1"/>
  <c r="E525" i="1"/>
  <c r="E526" i="1"/>
  <c r="E527" i="1"/>
  <c r="E528" i="1"/>
  <c r="E529" i="1"/>
  <c r="AB525" i="1"/>
  <c r="N524" i="1"/>
  <c r="N525" i="1"/>
  <c r="N526" i="1"/>
  <c r="N527" i="1"/>
  <c r="N528" i="1"/>
  <c r="N529" i="1"/>
  <c r="AB524" i="1"/>
  <c r="AB527" i="1"/>
  <c r="G524" i="1"/>
  <c r="G525" i="1"/>
  <c r="G526" i="1"/>
  <c r="G527" i="1"/>
  <c r="G528" i="1"/>
  <c r="G529" i="1"/>
  <c r="AB529" i="1"/>
  <c r="K524" i="1"/>
  <c r="K527" i="1"/>
  <c r="K529" i="1"/>
  <c r="AB526" i="1"/>
  <c r="AB528" i="1"/>
  <c r="J524" i="1"/>
  <c r="J525" i="1"/>
  <c r="J526" i="1"/>
  <c r="J527" i="1"/>
  <c r="J528" i="1"/>
  <c r="J529" i="1"/>
  <c r="K525" i="1"/>
  <c r="K526" i="1"/>
  <c r="K528" i="1"/>
  <c r="A524" i="1"/>
  <c r="A525" i="1"/>
  <c r="A526" i="1"/>
  <c r="A527" i="1"/>
  <c r="A528" i="1"/>
  <c r="A529" i="1"/>
  <c r="E515" i="1"/>
  <c r="N516" i="1"/>
  <c r="G519" i="1"/>
  <c r="J521" i="1"/>
  <c r="E522" i="1"/>
  <c r="N523" i="1"/>
  <c r="K523" i="1"/>
  <c r="G517" i="1"/>
  <c r="AB517" i="1"/>
  <c r="J519" i="1"/>
  <c r="AB519" i="1"/>
  <c r="K521" i="1"/>
  <c r="G515" i="1"/>
  <c r="AB515" i="1"/>
  <c r="J517" i="1"/>
  <c r="E518" i="1"/>
  <c r="K519" i="1"/>
  <c r="E520" i="1"/>
  <c r="N521" i="1"/>
  <c r="G522" i="1"/>
  <c r="AB522" i="1"/>
  <c r="N520" i="1"/>
  <c r="J515" i="1"/>
  <c r="E516" i="1"/>
  <c r="K517" i="1"/>
  <c r="N519" i="1"/>
  <c r="J522" i="1"/>
  <c r="E523" i="1"/>
  <c r="G521" i="1"/>
  <c r="K515" i="1"/>
  <c r="N517" i="1"/>
  <c r="O517" i="1" s="1"/>
  <c r="G518" i="1"/>
  <c r="G520" i="1"/>
  <c r="AB520" i="1"/>
  <c r="K522" i="1"/>
  <c r="N515" i="1"/>
  <c r="O515" i="1" s="1"/>
  <c r="G516" i="1"/>
  <c r="J518" i="1"/>
  <c r="AB518" i="1"/>
  <c r="J520" i="1"/>
  <c r="E521" i="1"/>
  <c r="N522" i="1"/>
  <c r="G523" i="1"/>
  <c r="AB523" i="1"/>
  <c r="J516" i="1"/>
  <c r="AB516" i="1"/>
  <c r="K518" i="1"/>
  <c r="E519" i="1"/>
  <c r="K520" i="1"/>
  <c r="J523" i="1"/>
  <c r="K516" i="1"/>
  <c r="E517" i="1"/>
  <c r="N518" i="1"/>
  <c r="AB52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L521" i="1" l="1"/>
  <c r="M524" i="1"/>
  <c r="L524" i="1"/>
  <c r="P529" i="1"/>
  <c r="O529" i="1"/>
  <c r="P528" i="1"/>
  <c r="O528" i="1"/>
  <c r="P527" i="1"/>
  <c r="O527" i="1"/>
  <c r="M529" i="1"/>
  <c r="L529" i="1"/>
  <c r="P526" i="1"/>
  <c r="O526" i="1"/>
  <c r="M528" i="1"/>
  <c r="L528" i="1"/>
  <c r="P525" i="1"/>
  <c r="O525" i="1"/>
  <c r="M527" i="1"/>
  <c r="L527" i="1"/>
  <c r="O524" i="1"/>
  <c r="P524" i="1"/>
  <c r="F524" i="1"/>
  <c r="F525" i="1"/>
  <c r="F526" i="1"/>
  <c r="F527" i="1"/>
  <c r="F528" i="1"/>
  <c r="F529" i="1"/>
  <c r="M526" i="1"/>
  <c r="L526" i="1"/>
  <c r="M525" i="1"/>
  <c r="L525" i="1"/>
  <c r="L518" i="1"/>
  <c r="P515" i="1"/>
  <c r="L522" i="1"/>
  <c r="M517" i="1"/>
  <c r="L517" i="1"/>
  <c r="L516" i="1"/>
  <c r="M523" i="1"/>
  <c r="M519" i="1"/>
  <c r="L523" i="1"/>
  <c r="L515" i="1"/>
  <c r="M521" i="1"/>
  <c r="M515" i="1"/>
  <c r="P522" i="1"/>
  <c r="O522" i="1"/>
  <c r="M520" i="1"/>
  <c r="P520" i="1"/>
  <c r="O520" i="1"/>
  <c r="L519" i="1"/>
  <c r="P518" i="1"/>
  <c r="O518" i="1"/>
  <c r="M522" i="1"/>
  <c r="P516" i="1"/>
  <c r="O516" i="1"/>
  <c r="F517" i="1"/>
  <c r="F515" i="1"/>
  <c r="F522" i="1"/>
  <c r="F518" i="1"/>
  <c r="F520" i="1"/>
  <c r="F516" i="1"/>
  <c r="F523" i="1"/>
  <c r="F521" i="1"/>
  <c r="F519" i="1"/>
  <c r="P517" i="1"/>
  <c r="L520" i="1"/>
  <c r="M518" i="1"/>
  <c r="M516" i="1"/>
  <c r="P519" i="1"/>
  <c r="O519" i="1"/>
  <c r="P521" i="1"/>
  <c r="O521" i="1"/>
  <c r="P523" i="1"/>
  <c r="O523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7" i="1" l="1"/>
  <c r="I527" i="1"/>
  <c r="H526" i="1"/>
  <c r="I526" i="1"/>
  <c r="H525" i="1"/>
  <c r="I525" i="1"/>
  <c r="H524" i="1"/>
  <c r="I524" i="1"/>
  <c r="H529" i="1"/>
  <c r="I529" i="1"/>
  <c r="H528" i="1"/>
  <c r="I528" i="1"/>
  <c r="H519" i="1"/>
  <c r="I519" i="1"/>
  <c r="H521" i="1"/>
  <c r="I521" i="1"/>
  <c r="H523" i="1"/>
  <c r="I523" i="1"/>
  <c r="H516" i="1"/>
  <c r="I516" i="1"/>
  <c r="H520" i="1"/>
  <c r="I520" i="1"/>
  <c r="H518" i="1"/>
  <c r="I518" i="1"/>
  <c r="H517" i="1"/>
  <c r="I517" i="1"/>
  <c r="H522" i="1"/>
  <c r="I522" i="1"/>
  <c r="H515" i="1"/>
  <c r="I515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W398" i="1"/>
  <c r="Z396" i="1" l="1"/>
  <c r="AA396" i="1" s="1"/>
  <c r="Y397" i="1"/>
  <c r="W399" i="1"/>
  <c r="R383" i="1"/>
  <c r="S382" i="1"/>
  <c r="T382" i="1" s="1"/>
  <c r="Z397" i="1" l="1"/>
  <c r="AA397" i="1" s="1"/>
  <c r="R384" i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W433" i="1"/>
  <c r="R417" i="1"/>
  <c r="S416" i="1"/>
  <c r="T416" i="1" s="1"/>
  <c r="Z431" i="1" l="1"/>
  <c r="AA431" i="1" s="1"/>
  <c r="R418" i="1"/>
  <c r="S417" i="1"/>
  <c r="T417" i="1" s="1"/>
  <c r="Y432" i="1"/>
  <c r="W434" i="1"/>
  <c r="Z432" i="1" l="1"/>
  <c r="AA432" i="1" s="1"/>
  <c r="Y433" i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W445" i="1"/>
  <c r="R429" i="1"/>
  <c r="S428" i="1"/>
  <c r="T428" i="1" s="1"/>
  <c r="Z443" i="1" l="1"/>
  <c r="AA443" i="1" s="1"/>
  <c r="R430" i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W480" i="1"/>
  <c r="R464" i="1"/>
  <c r="S463" i="1"/>
  <c r="T463" i="1" s="1"/>
  <c r="Z478" i="1" l="1"/>
  <c r="AA478" i="1" s="1"/>
  <c r="S464" i="1"/>
  <c r="T464" i="1" s="1"/>
  <c r="R465" i="1"/>
  <c r="Y479" i="1"/>
  <c r="W481" i="1"/>
  <c r="Z479" i="1" l="1"/>
  <c r="AA479" i="1" s="1"/>
  <c r="Y480" i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W508" i="1"/>
  <c r="R492" i="1"/>
  <c r="S491" i="1"/>
  <c r="T491" i="1" s="1"/>
  <c r="Z506" i="1" l="1"/>
  <c r="AA506" i="1" s="1"/>
  <c r="R493" i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s="1"/>
  <c r="Y514" i="1" l="1"/>
  <c r="Z514" i="1" s="1"/>
  <c r="AA514" i="1" s="1"/>
  <c r="W516" i="1"/>
  <c r="AA512" i="1"/>
  <c r="AA513" i="1"/>
  <c r="R500" i="1"/>
  <c r="S499" i="1"/>
  <c r="T499" i="1" s="1"/>
  <c r="Y515" i="1" l="1"/>
  <c r="Z515" i="1" s="1"/>
  <c r="W517" i="1"/>
  <c r="R501" i="1"/>
  <c r="S500" i="1"/>
  <c r="T500" i="1" s="1"/>
  <c r="AA515" i="1" l="1"/>
  <c r="Y516" i="1"/>
  <c r="Z516" i="1" s="1"/>
  <c r="W518" i="1"/>
  <c r="AA516" i="1"/>
  <c r="R502" i="1"/>
  <c r="S501" i="1"/>
  <c r="T501" i="1" s="1"/>
  <c r="Y517" i="1" l="1"/>
  <c r="Z517" i="1" s="1"/>
  <c r="AA517" i="1" s="1"/>
  <c r="W519" i="1"/>
  <c r="R503" i="1"/>
  <c r="S502" i="1"/>
  <c r="T502" i="1" s="1"/>
  <c r="W520" i="1" l="1"/>
  <c r="Y518" i="1"/>
  <c r="Z518" i="1" s="1"/>
  <c r="R504" i="1"/>
  <c r="S503" i="1"/>
  <c r="T503" i="1" s="1"/>
  <c r="AA518" i="1" l="1"/>
  <c r="Y519" i="1"/>
  <c r="Z519" i="1" s="1"/>
  <c r="W521" i="1"/>
  <c r="R505" i="1"/>
  <c r="S504" i="1"/>
  <c r="T504" i="1" s="1"/>
  <c r="AA519" i="1" l="1"/>
  <c r="W522" i="1"/>
  <c r="Y520" i="1"/>
  <c r="Z520" i="1" s="1"/>
  <c r="AA520" i="1" s="1"/>
  <c r="R506" i="1"/>
  <c r="S505" i="1"/>
  <c r="T505" i="1" s="1"/>
  <c r="Y521" i="1" l="1"/>
  <c r="Z521" i="1" s="1"/>
  <c r="W523" i="1"/>
  <c r="R507" i="1"/>
  <c r="S506" i="1"/>
  <c r="T506" i="1" s="1"/>
  <c r="AA521" i="1" l="1"/>
  <c r="Y522" i="1"/>
  <c r="Z522" i="1" s="1"/>
  <c r="W524" i="1"/>
  <c r="R508" i="1"/>
  <c r="S507" i="1"/>
  <c r="T507" i="1" s="1"/>
  <c r="AA522" i="1" l="1"/>
  <c r="W525" i="1"/>
  <c r="Y523" i="1"/>
  <c r="Z523" i="1" s="1"/>
  <c r="R509" i="1"/>
  <c r="S508" i="1"/>
  <c r="T508" i="1" s="1"/>
  <c r="AA523" i="1" l="1"/>
  <c r="Y524" i="1"/>
  <c r="W526" i="1"/>
  <c r="R510" i="1"/>
  <c r="S509" i="1"/>
  <c r="T509" i="1" s="1"/>
  <c r="Y525" i="1" l="1"/>
  <c r="W527" i="1"/>
  <c r="Z524" i="1"/>
  <c r="AA524" i="1" s="1"/>
  <c r="R511" i="1"/>
  <c r="S510" i="1"/>
  <c r="T510" i="1" s="1"/>
  <c r="Y526" i="1" l="1"/>
  <c r="W528" i="1"/>
  <c r="W529" i="1" s="1"/>
  <c r="Z525" i="1"/>
  <c r="AA525" i="1" s="1"/>
  <c r="R512" i="1"/>
  <c r="S511" i="1"/>
  <c r="T511" i="1" s="1"/>
  <c r="Y527" i="1" l="1"/>
  <c r="Y528" i="1"/>
  <c r="Z526" i="1"/>
  <c r="AA526" i="1" s="1"/>
  <c r="R513" i="1"/>
  <c r="S512" i="1"/>
  <c r="T512" i="1" s="1"/>
  <c r="Z527" i="1" l="1"/>
  <c r="Z528" i="1" s="1"/>
  <c r="R514" i="1"/>
  <c r="S513" i="1"/>
  <c r="T513" i="1" s="1"/>
  <c r="AA527" i="1" l="1"/>
  <c r="Z529" i="1"/>
  <c r="AA529" i="1" s="1"/>
  <c r="AA528" i="1"/>
  <c r="S514" i="1"/>
  <c r="T514" i="1" s="1"/>
  <c r="R515" i="1"/>
  <c r="R516" i="1" l="1"/>
  <c r="S515" i="1"/>
  <c r="T515" i="1" s="1"/>
  <c r="S516" i="1" l="1"/>
  <c r="T516" i="1" s="1"/>
  <c r="R517" i="1"/>
  <c r="R518" i="1" l="1"/>
  <c r="S517" i="1"/>
  <c r="T517" i="1" s="1"/>
  <c r="R519" i="1" l="1"/>
  <c r="S518" i="1"/>
  <c r="T518" i="1" s="1"/>
  <c r="R520" i="1" l="1"/>
  <c r="S519" i="1"/>
  <c r="T519" i="1" s="1"/>
  <c r="R521" i="1" l="1"/>
  <c r="S520" i="1"/>
  <c r="T520" i="1" s="1"/>
  <c r="S521" i="1" l="1"/>
  <c r="T521" i="1" s="1"/>
  <c r="R522" i="1"/>
  <c r="R523" i="1" l="1"/>
  <c r="S522" i="1"/>
  <c r="T522" i="1" s="1"/>
  <c r="S523" i="1" l="1"/>
  <c r="T523" i="1" s="1"/>
  <c r="R524" i="1"/>
  <c r="R525" i="1" l="1"/>
  <c r="S524" i="1"/>
  <c r="T524" i="1" s="1"/>
  <c r="R526" i="1" l="1"/>
  <c r="S525" i="1"/>
  <c r="T525" i="1" s="1"/>
  <c r="S526" i="1" l="1"/>
  <c r="T526" i="1" s="1"/>
  <c r="R527" i="1"/>
  <c r="R528" i="1" l="1"/>
  <c r="S527" i="1"/>
  <c r="T527" i="1" s="1"/>
  <c r="S528" i="1" l="1"/>
  <c r="T528" i="1" s="1"/>
  <c r="R529" i="1"/>
  <c r="S529" i="1" s="1"/>
  <c r="T52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7A531-C07C-4B02-963B-00B135887F42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7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</futureMetadata>
  <cellMetadata count="1">
    <bk>
      <rc t="1" v="0"/>
    </bk>
  </cellMetadata>
  <valueMetadata count="157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</valueMetadata>
</metadata>
</file>

<file path=xl/sharedStrings.xml><?xml version="1.0" encoding="utf-8"?>
<sst xmlns="http://schemas.openxmlformats.org/spreadsheetml/2006/main" count="56" uniqueCount="51">
  <si>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</si>
  <si>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</si>
  <si>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</si>
  <si>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</si>
  <si>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</si>
  <si>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</si>
  <si>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</si>
  <si>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</si>
  <si>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</si>
  <si>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</si>
  <si>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</si>
  <si>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</si>
  <si>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</si>
  <si>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</si>
  <si>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</si>
  <si>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</si>
  <si>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</si>
  <si>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</si>
  <si>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</si>
  <si>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</si>
  <si>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</si>
  <si>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</si>
  <si>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</si>
  <si>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</si>
  <si>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</si>
  <si>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</si>
  <si>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</si>
  <si>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</si>
  <si>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</si>
  <si>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</si>
  <si>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</si>
  <si>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</si>
  <si>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</si>
  <si>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</si>
  <si>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</si>
  <si>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</si>
  <si>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</si>
  <si>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</si>
  <si>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</si>
  <si>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</si>
  <si>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</si>
  <si>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</si>
  <si>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</si>
  <si>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</si>
  <si>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</si>
  <si>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</si>
  <si>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Date</t>
  </si>
  <si>
    <t>Dividends</t>
  </si>
  <si>
    <t>Average</t>
  </si>
  <si>
    <t>XL Forecast</t>
  </si>
  <si>
    <t>Calc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</si>
</sst>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yyyy\-mm\-dd;@"/>
    <numFmt numFmtId="165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65" fontId="0" fillId="0" borderId="0" xfId="0" applyNumberFormat="1"/>
    <xf numFmtId="14" fontId="0" fillId="0" borderId="0" xfId="0" applyNumberFormat="1"/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right" wrapText="1"/>
    </xf>
    <xf numFmtId="8" fontId="7" fillId="0" borderId="1" xfId="0" applyNumberFormat="1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+ 21/100d 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  <c:pt idx="513">
                  <c:v>291.35000000000002</c:v>
                </c:pt>
                <c:pt idx="514">
                  <c:v>297.54000000000002</c:v>
                </c:pt>
                <c:pt idx="515">
                  <c:v>294.67</c:v>
                </c:pt>
                <c:pt idx="516">
                  <c:v>292.44</c:v>
                </c:pt>
                <c:pt idx="517">
                  <c:v>296.33</c:v>
                </c:pt>
                <c:pt idx="518">
                  <c:v>293.86</c:v>
                </c:pt>
                <c:pt idx="519">
                  <c:v>294.16000000000003</c:v>
                </c:pt>
                <c:pt idx="520">
                  <c:v>309.24</c:v>
                </c:pt>
                <c:pt idx="521">
                  <c:v>306.7</c:v>
                </c:pt>
                <c:pt idx="522">
                  <c:v>314.73</c:v>
                </c:pt>
                <c:pt idx="523">
                  <c:v>294.31</c:v>
                </c:pt>
                <c:pt idx="524">
                  <c:v>289.05</c:v>
                </c:pt>
                <c:pt idx="525">
                  <c:v>289.89</c:v>
                </c:pt>
                <c:pt idx="526">
                  <c:v>298.93</c:v>
                </c:pt>
                <c:pt idx="527">
                  <c:v>296.33999999999997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6-48C1-A1A6-31EA53DACC19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Data!$J$2:$J$529</c:f>
              <c:numCache>
                <c:formatCode>General</c:formatCode>
                <c:ptCount val="528"/>
                <c:pt idx="19">
                  <c:v>169.84749999999997</c:v>
                </c:pt>
                <c:pt idx="20">
                  <c:v>170.95549999999997</c:v>
                </c:pt>
                <c:pt idx="21">
                  <c:v>172.29549999999998</c:v>
                </c:pt>
                <c:pt idx="22">
                  <c:v>173.54199999999997</c:v>
                </c:pt>
                <c:pt idx="23">
                  <c:v>174.755</c:v>
                </c:pt>
                <c:pt idx="24">
                  <c:v>175.86849999999998</c:v>
                </c:pt>
                <c:pt idx="25">
                  <c:v>177.05149999999998</c:v>
                </c:pt>
                <c:pt idx="26">
                  <c:v>178.20800000000003</c:v>
                </c:pt>
                <c:pt idx="27">
                  <c:v>179.41700000000003</c:v>
                </c:pt>
                <c:pt idx="28">
                  <c:v>180.435</c:v>
                </c:pt>
                <c:pt idx="29">
                  <c:v>181.27199999999999</c:v>
                </c:pt>
                <c:pt idx="30">
                  <c:v>182.1465</c:v>
                </c:pt>
                <c:pt idx="31">
                  <c:v>183.148</c:v>
                </c:pt>
                <c:pt idx="32">
                  <c:v>183.95600000000002</c:v>
                </c:pt>
                <c:pt idx="33">
                  <c:v>184.48650000000004</c:v>
                </c:pt>
                <c:pt idx="34">
                  <c:v>184.77449999999999</c:v>
                </c:pt>
                <c:pt idx="35">
                  <c:v>185.2885</c:v>
                </c:pt>
                <c:pt idx="36">
                  <c:v>185.05299999999997</c:v>
                </c:pt>
                <c:pt idx="37">
                  <c:v>184.88849999999996</c:v>
                </c:pt>
                <c:pt idx="38">
                  <c:v>184.77499999999998</c:v>
                </c:pt>
                <c:pt idx="39">
                  <c:v>184.6465</c:v>
                </c:pt>
                <c:pt idx="40">
                  <c:v>184.71499999999997</c:v>
                </c:pt>
                <c:pt idx="41">
                  <c:v>184.78</c:v>
                </c:pt>
                <c:pt idx="42">
                  <c:v>185.14349999999999</c:v>
                </c:pt>
                <c:pt idx="43">
                  <c:v>185.57</c:v>
                </c:pt>
                <c:pt idx="44">
                  <c:v>186.20749999999998</c:v>
                </c:pt>
                <c:pt idx="45">
                  <c:v>186.8475</c:v>
                </c:pt>
                <c:pt idx="46">
                  <c:v>187.42699999999996</c:v>
                </c:pt>
                <c:pt idx="47">
                  <c:v>187.69649999999999</c:v>
                </c:pt>
                <c:pt idx="48">
                  <c:v>188.27749999999997</c:v>
                </c:pt>
                <c:pt idx="49">
                  <c:v>188.92749999999995</c:v>
                </c:pt>
                <c:pt idx="50">
                  <c:v>189.42049999999998</c:v>
                </c:pt>
                <c:pt idx="51">
                  <c:v>189.63049999999998</c:v>
                </c:pt>
                <c:pt idx="52">
                  <c:v>189.833</c:v>
                </c:pt>
                <c:pt idx="53">
                  <c:v>190.328</c:v>
                </c:pt>
                <c:pt idx="54">
                  <c:v>191.041</c:v>
                </c:pt>
                <c:pt idx="55">
                  <c:v>191.4255</c:v>
                </c:pt>
                <c:pt idx="56">
                  <c:v>191.68150000000003</c:v>
                </c:pt>
                <c:pt idx="57">
                  <c:v>191.91450000000003</c:v>
                </c:pt>
                <c:pt idx="58">
                  <c:v>192.09600000000003</c:v>
                </c:pt>
                <c:pt idx="59">
                  <c:v>192.37100000000004</c:v>
                </c:pt>
                <c:pt idx="60">
                  <c:v>192.66750000000005</c:v>
                </c:pt>
                <c:pt idx="61">
                  <c:v>192.74900000000002</c:v>
                </c:pt>
                <c:pt idx="62">
                  <c:v>192.54000000000002</c:v>
                </c:pt>
                <c:pt idx="63">
                  <c:v>192.48750000000001</c:v>
                </c:pt>
                <c:pt idx="64">
                  <c:v>192.07650000000004</c:v>
                </c:pt>
                <c:pt idx="65">
                  <c:v>191.70650000000001</c:v>
                </c:pt>
                <c:pt idx="66">
                  <c:v>191.40000000000003</c:v>
                </c:pt>
                <c:pt idx="67">
                  <c:v>191.27900000000002</c:v>
                </c:pt>
                <c:pt idx="68">
                  <c:v>190.69200000000001</c:v>
                </c:pt>
                <c:pt idx="69">
                  <c:v>190.15199999999999</c:v>
                </c:pt>
                <c:pt idx="70">
                  <c:v>189.59399999999999</c:v>
                </c:pt>
                <c:pt idx="71">
                  <c:v>189.10300000000001</c:v>
                </c:pt>
                <c:pt idx="72">
                  <c:v>188.70599999999999</c:v>
                </c:pt>
                <c:pt idx="73">
                  <c:v>188.19400000000002</c:v>
                </c:pt>
                <c:pt idx="74">
                  <c:v>187.56950000000001</c:v>
                </c:pt>
                <c:pt idx="75">
                  <c:v>187.05349999999999</c:v>
                </c:pt>
                <c:pt idx="76">
                  <c:v>186.60650000000001</c:v>
                </c:pt>
                <c:pt idx="77">
                  <c:v>186.2765</c:v>
                </c:pt>
                <c:pt idx="78">
                  <c:v>186.05649999999997</c:v>
                </c:pt>
                <c:pt idx="79">
                  <c:v>184.96199999999999</c:v>
                </c:pt>
                <c:pt idx="80">
                  <c:v>183.77049999999997</c:v>
                </c:pt>
                <c:pt idx="81">
                  <c:v>182.65049999999997</c:v>
                </c:pt>
                <c:pt idx="82">
                  <c:v>181.51649999999998</c:v>
                </c:pt>
                <c:pt idx="83">
                  <c:v>180.19299999999998</c:v>
                </c:pt>
                <c:pt idx="84">
                  <c:v>179.03049999999996</c:v>
                </c:pt>
                <c:pt idx="85">
                  <c:v>177.85899999999998</c:v>
                </c:pt>
                <c:pt idx="86">
                  <c:v>176.79849999999999</c:v>
                </c:pt>
                <c:pt idx="87">
                  <c:v>175.75200000000001</c:v>
                </c:pt>
                <c:pt idx="88">
                  <c:v>174.94499999999999</c:v>
                </c:pt>
                <c:pt idx="89">
                  <c:v>173.96350000000001</c:v>
                </c:pt>
                <c:pt idx="90">
                  <c:v>173.20750000000004</c:v>
                </c:pt>
                <c:pt idx="91">
                  <c:v>172.52300000000002</c:v>
                </c:pt>
                <c:pt idx="92">
                  <c:v>171.70350000000002</c:v>
                </c:pt>
                <c:pt idx="93">
                  <c:v>170.96150000000003</c:v>
                </c:pt>
                <c:pt idx="94">
                  <c:v>170.3365</c:v>
                </c:pt>
                <c:pt idx="95">
                  <c:v>169.709</c:v>
                </c:pt>
                <c:pt idx="96">
                  <c:v>169.11000000000004</c:v>
                </c:pt>
                <c:pt idx="97">
                  <c:v>168.67400000000001</c:v>
                </c:pt>
                <c:pt idx="98">
                  <c:v>168.15350000000004</c:v>
                </c:pt>
                <c:pt idx="99">
                  <c:v>168.24150000000003</c:v>
                </c:pt>
                <c:pt idx="100">
                  <c:v>168.42949999999999</c:v>
                </c:pt>
                <c:pt idx="101">
                  <c:v>168.541</c:v>
                </c:pt>
                <c:pt idx="102">
                  <c:v>168.58350000000002</c:v>
                </c:pt>
                <c:pt idx="103">
                  <c:v>168.64349999999999</c:v>
                </c:pt>
                <c:pt idx="104">
                  <c:v>168.75150000000002</c:v>
                </c:pt>
                <c:pt idx="105">
                  <c:v>168.73000000000002</c:v>
                </c:pt>
                <c:pt idx="106">
                  <c:v>168.59</c:v>
                </c:pt>
                <c:pt idx="107">
                  <c:v>168.54000000000002</c:v>
                </c:pt>
                <c:pt idx="108">
                  <c:v>168.45500000000001</c:v>
                </c:pt>
                <c:pt idx="109">
                  <c:v>168.642</c:v>
                </c:pt>
                <c:pt idx="110">
                  <c:v>168.80350000000004</c:v>
                </c:pt>
                <c:pt idx="111">
                  <c:v>168.89150000000001</c:v>
                </c:pt>
                <c:pt idx="112">
                  <c:v>168.97350000000003</c:v>
                </c:pt>
                <c:pt idx="113">
                  <c:v>169.01650000000001</c:v>
                </c:pt>
                <c:pt idx="114">
                  <c:v>169.02849999999995</c:v>
                </c:pt>
                <c:pt idx="115">
                  <c:v>169.05199999999996</c:v>
                </c:pt>
                <c:pt idx="116">
                  <c:v>169.08350000000002</c:v>
                </c:pt>
                <c:pt idx="117">
                  <c:v>169.10600000000002</c:v>
                </c:pt>
                <c:pt idx="118">
                  <c:v>169.04450000000003</c:v>
                </c:pt>
                <c:pt idx="119">
                  <c:v>169.26150000000001</c:v>
                </c:pt>
                <c:pt idx="120">
                  <c:v>169.34700000000001</c:v>
                </c:pt>
                <c:pt idx="121">
                  <c:v>169.45750000000001</c:v>
                </c:pt>
                <c:pt idx="122">
                  <c:v>169.64749999999998</c:v>
                </c:pt>
                <c:pt idx="123">
                  <c:v>170.01349999999996</c:v>
                </c:pt>
                <c:pt idx="124">
                  <c:v>170.42599999999996</c:v>
                </c:pt>
                <c:pt idx="125">
                  <c:v>171.02699999999999</c:v>
                </c:pt>
                <c:pt idx="126">
                  <c:v>171.52299999999997</c:v>
                </c:pt>
                <c:pt idx="127">
                  <c:v>171.95499999999998</c:v>
                </c:pt>
                <c:pt idx="128">
                  <c:v>172.42699999999996</c:v>
                </c:pt>
                <c:pt idx="129">
                  <c:v>172.75049999999999</c:v>
                </c:pt>
                <c:pt idx="130">
                  <c:v>173.12349999999998</c:v>
                </c:pt>
                <c:pt idx="131">
                  <c:v>173.57299999999998</c:v>
                </c:pt>
                <c:pt idx="132">
                  <c:v>174.2645</c:v>
                </c:pt>
                <c:pt idx="133">
                  <c:v>174.95249999999999</c:v>
                </c:pt>
                <c:pt idx="134">
                  <c:v>175.78249999999997</c:v>
                </c:pt>
                <c:pt idx="135">
                  <c:v>176.68</c:v>
                </c:pt>
                <c:pt idx="136">
                  <c:v>177.41349999999997</c:v>
                </c:pt>
                <c:pt idx="137">
                  <c:v>177.87999999999997</c:v>
                </c:pt>
                <c:pt idx="138">
                  <c:v>178.46449999999999</c:v>
                </c:pt>
                <c:pt idx="139">
                  <c:v>178.91899999999998</c:v>
                </c:pt>
                <c:pt idx="140">
                  <c:v>179.48999999999998</c:v>
                </c:pt>
                <c:pt idx="141">
                  <c:v>180.49549999999996</c:v>
                </c:pt>
                <c:pt idx="142">
                  <c:v>181.54049999999995</c:v>
                </c:pt>
                <c:pt idx="143">
                  <c:v>182.46799999999996</c:v>
                </c:pt>
                <c:pt idx="144">
                  <c:v>183.26499999999999</c:v>
                </c:pt>
                <c:pt idx="145">
                  <c:v>184.00700000000001</c:v>
                </c:pt>
                <c:pt idx="146">
                  <c:v>184.70349999999999</c:v>
                </c:pt>
                <c:pt idx="147">
                  <c:v>185.35849999999999</c:v>
                </c:pt>
                <c:pt idx="148">
                  <c:v>185.642</c:v>
                </c:pt>
                <c:pt idx="149">
                  <c:v>186.15799999999999</c:v>
                </c:pt>
                <c:pt idx="150">
                  <c:v>186.60599999999999</c:v>
                </c:pt>
                <c:pt idx="151">
                  <c:v>187.321</c:v>
                </c:pt>
                <c:pt idx="152">
                  <c:v>187.75199999999998</c:v>
                </c:pt>
                <c:pt idx="153">
                  <c:v>188.08199999999999</c:v>
                </c:pt>
                <c:pt idx="154">
                  <c:v>188.34099999999998</c:v>
                </c:pt>
                <c:pt idx="155">
                  <c:v>188.58449999999999</c:v>
                </c:pt>
                <c:pt idx="156">
                  <c:v>189.02100000000002</c:v>
                </c:pt>
                <c:pt idx="157">
                  <c:v>189.54750000000004</c:v>
                </c:pt>
                <c:pt idx="158">
                  <c:v>190.07650000000007</c:v>
                </c:pt>
                <c:pt idx="159">
                  <c:v>190.673</c:v>
                </c:pt>
                <c:pt idx="160">
                  <c:v>191.33250000000004</c:v>
                </c:pt>
                <c:pt idx="161">
                  <c:v>191.53149999999999</c:v>
                </c:pt>
                <c:pt idx="162">
                  <c:v>191.749</c:v>
                </c:pt>
                <c:pt idx="163">
                  <c:v>192.07300000000004</c:v>
                </c:pt>
                <c:pt idx="164">
                  <c:v>192.45750000000004</c:v>
                </c:pt>
                <c:pt idx="165">
                  <c:v>192.77350000000001</c:v>
                </c:pt>
                <c:pt idx="166">
                  <c:v>193.23550000000003</c:v>
                </c:pt>
                <c:pt idx="167">
                  <c:v>193.88600000000002</c:v>
                </c:pt>
                <c:pt idx="168">
                  <c:v>194.78450000000004</c:v>
                </c:pt>
                <c:pt idx="169">
                  <c:v>195.65000000000003</c:v>
                </c:pt>
                <c:pt idx="170">
                  <c:v>196.43950000000001</c:v>
                </c:pt>
                <c:pt idx="171">
                  <c:v>196.84600000000006</c:v>
                </c:pt>
                <c:pt idx="172">
                  <c:v>197.45000000000002</c:v>
                </c:pt>
                <c:pt idx="173">
                  <c:v>198.24200000000005</c:v>
                </c:pt>
                <c:pt idx="174">
                  <c:v>199.18700000000007</c:v>
                </c:pt>
                <c:pt idx="175">
                  <c:v>200.15150000000003</c:v>
                </c:pt>
                <c:pt idx="176">
                  <c:v>201.19350000000003</c:v>
                </c:pt>
                <c:pt idx="177">
                  <c:v>202.36250000000004</c:v>
                </c:pt>
                <c:pt idx="178">
                  <c:v>203.33250000000004</c:v>
                </c:pt>
                <c:pt idx="179">
                  <c:v>204.27800000000005</c:v>
                </c:pt>
                <c:pt idx="180">
                  <c:v>205.11200000000002</c:v>
                </c:pt>
                <c:pt idx="181">
                  <c:v>206.19900000000001</c:v>
                </c:pt>
                <c:pt idx="182">
                  <c:v>207.41899999999995</c:v>
                </c:pt>
                <c:pt idx="183">
                  <c:v>208.5685</c:v>
                </c:pt>
                <c:pt idx="184">
                  <c:v>209.69349999999994</c:v>
                </c:pt>
                <c:pt idx="185">
                  <c:v>210.94199999999995</c:v>
                </c:pt>
                <c:pt idx="186">
                  <c:v>212.03899999999999</c:v>
                </c:pt>
                <c:pt idx="187">
                  <c:v>212.98649999999998</c:v>
                </c:pt>
                <c:pt idx="188">
                  <c:v>213.88999999999996</c:v>
                </c:pt>
                <c:pt idx="189">
                  <c:v>214.67099999999996</c:v>
                </c:pt>
                <c:pt idx="190">
                  <c:v>215.67749999999995</c:v>
                </c:pt>
                <c:pt idx="191">
                  <c:v>216.94049999999999</c:v>
                </c:pt>
                <c:pt idx="192">
                  <c:v>218.11999999999998</c:v>
                </c:pt>
                <c:pt idx="193">
                  <c:v>219.285</c:v>
                </c:pt>
                <c:pt idx="194">
                  <c:v>220.50549999999998</c:v>
                </c:pt>
                <c:pt idx="195">
                  <c:v>221.57599999999996</c:v>
                </c:pt>
                <c:pt idx="196">
                  <c:v>222.49949999999998</c:v>
                </c:pt>
                <c:pt idx="197">
                  <c:v>223.40450000000001</c:v>
                </c:pt>
                <c:pt idx="198">
                  <c:v>224.346</c:v>
                </c:pt>
                <c:pt idx="199">
                  <c:v>225.28249999999997</c:v>
                </c:pt>
                <c:pt idx="200">
                  <c:v>226.23200000000003</c:v>
                </c:pt>
                <c:pt idx="201">
                  <c:v>226.95700000000002</c:v>
                </c:pt>
                <c:pt idx="202">
                  <c:v>227.51950000000002</c:v>
                </c:pt>
                <c:pt idx="203">
                  <c:v>228.08350000000002</c:v>
                </c:pt>
                <c:pt idx="204">
                  <c:v>228.65950000000004</c:v>
                </c:pt>
                <c:pt idx="205">
                  <c:v>228.40750000000003</c:v>
                </c:pt>
                <c:pt idx="206">
                  <c:v>228.09900000000002</c:v>
                </c:pt>
                <c:pt idx="207">
                  <c:v>227.69050000000001</c:v>
                </c:pt>
                <c:pt idx="208">
                  <c:v>227.24449999999996</c:v>
                </c:pt>
                <c:pt idx="209">
                  <c:v>226.50299999999999</c:v>
                </c:pt>
                <c:pt idx="210">
                  <c:v>225.70299999999997</c:v>
                </c:pt>
                <c:pt idx="211">
                  <c:v>224.81549999999999</c:v>
                </c:pt>
                <c:pt idx="212">
                  <c:v>223.77549999999997</c:v>
                </c:pt>
                <c:pt idx="213">
                  <c:v>222.72299999999996</c:v>
                </c:pt>
                <c:pt idx="214">
                  <c:v>221.68800000000002</c:v>
                </c:pt>
                <c:pt idx="215">
                  <c:v>220.72149999999996</c:v>
                </c:pt>
                <c:pt idx="216">
                  <c:v>219.74450000000002</c:v>
                </c:pt>
                <c:pt idx="217">
                  <c:v>218.66</c:v>
                </c:pt>
                <c:pt idx="218">
                  <c:v>217.55499999999998</c:v>
                </c:pt>
                <c:pt idx="219">
                  <c:v>216.41750000000002</c:v>
                </c:pt>
                <c:pt idx="220">
                  <c:v>215.22300000000004</c:v>
                </c:pt>
                <c:pt idx="221">
                  <c:v>213.86250000000004</c:v>
                </c:pt>
                <c:pt idx="222">
                  <c:v>212.67950000000002</c:v>
                </c:pt>
                <c:pt idx="223">
                  <c:v>211.5795</c:v>
                </c:pt>
                <c:pt idx="224">
                  <c:v>210.67200000000003</c:v>
                </c:pt>
                <c:pt idx="225">
                  <c:v>210.8725</c:v>
                </c:pt>
                <c:pt idx="226">
                  <c:v>211.28749999999999</c:v>
                </c:pt>
                <c:pt idx="227">
                  <c:v>211.94849999999997</c:v>
                </c:pt>
                <c:pt idx="228">
                  <c:v>212.86849999999998</c:v>
                </c:pt>
                <c:pt idx="229">
                  <c:v>213.96949999999998</c:v>
                </c:pt>
                <c:pt idx="230">
                  <c:v>215.00399999999999</c:v>
                </c:pt>
                <c:pt idx="231">
                  <c:v>215.96100000000001</c:v>
                </c:pt>
                <c:pt idx="232">
                  <c:v>217.09499999999997</c:v>
                </c:pt>
                <c:pt idx="233">
                  <c:v>218.39099999999999</c:v>
                </c:pt>
                <c:pt idx="234">
                  <c:v>219.44849999999997</c:v>
                </c:pt>
                <c:pt idx="235">
                  <c:v>220.666</c:v>
                </c:pt>
                <c:pt idx="236">
                  <c:v>221.47999999999996</c:v>
                </c:pt>
                <c:pt idx="237">
                  <c:v>222.38749999999999</c:v>
                </c:pt>
                <c:pt idx="238">
                  <c:v>223.35050000000001</c:v>
                </c:pt>
                <c:pt idx="239">
                  <c:v>224.41750000000002</c:v>
                </c:pt>
                <c:pt idx="240">
                  <c:v>225.50899999999996</c:v>
                </c:pt>
                <c:pt idx="241">
                  <c:v>226.72599999999997</c:v>
                </c:pt>
                <c:pt idx="242">
                  <c:v>227.76999999999998</c:v>
                </c:pt>
                <c:pt idx="243">
                  <c:v>228.26600000000002</c:v>
                </c:pt>
                <c:pt idx="244">
                  <c:v>228.73199999999997</c:v>
                </c:pt>
                <c:pt idx="245">
                  <c:v>228.77999999999997</c:v>
                </c:pt>
                <c:pt idx="246">
                  <c:v>228.72799999999998</c:v>
                </c:pt>
                <c:pt idx="247">
                  <c:v>228.64199999999997</c:v>
                </c:pt>
                <c:pt idx="248">
                  <c:v>228.44499999999999</c:v>
                </c:pt>
                <c:pt idx="249">
                  <c:v>228.238</c:v>
                </c:pt>
                <c:pt idx="250">
                  <c:v>227.88000000000002</c:v>
                </c:pt>
                <c:pt idx="251">
                  <c:v>227.50199999999995</c:v>
                </c:pt>
                <c:pt idx="252">
                  <c:v>227.04899999999992</c:v>
                </c:pt>
                <c:pt idx="253">
                  <c:v>226.50699999999998</c:v>
                </c:pt>
                <c:pt idx="254">
                  <c:v>225.90299999999996</c:v>
                </c:pt>
                <c:pt idx="255">
                  <c:v>225.19899999999998</c:v>
                </c:pt>
                <c:pt idx="256">
                  <c:v>224.858</c:v>
                </c:pt>
                <c:pt idx="257">
                  <c:v>224.25950000000003</c:v>
                </c:pt>
                <c:pt idx="258">
                  <c:v>223.62349999999998</c:v>
                </c:pt>
                <c:pt idx="259">
                  <c:v>222.898</c:v>
                </c:pt>
                <c:pt idx="260">
                  <c:v>222.35849999999999</c:v>
                </c:pt>
                <c:pt idx="261">
                  <c:v>222.02500000000001</c:v>
                </c:pt>
                <c:pt idx="262">
                  <c:v>221.81600000000003</c:v>
                </c:pt>
                <c:pt idx="263">
                  <c:v>222.02050000000003</c:v>
                </c:pt>
                <c:pt idx="264">
                  <c:v>221.98750000000001</c:v>
                </c:pt>
                <c:pt idx="265">
                  <c:v>222.12150000000003</c:v>
                </c:pt>
                <c:pt idx="266">
                  <c:v>222.26500000000001</c:v>
                </c:pt>
                <c:pt idx="267">
                  <c:v>222.25100000000006</c:v>
                </c:pt>
                <c:pt idx="268">
                  <c:v>222.28950000000003</c:v>
                </c:pt>
                <c:pt idx="269">
                  <c:v>222.58200000000002</c:v>
                </c:pt>
                <c:pt idx="270">
                  <c:v>224.483</c:v>
                </c:pt>
                <c:pt idx="271">
                  <c:v>226.2765</c:v>
                </c:pt>
                <c:pt idx="272">
                  <c:v>228.31600000000009</c:v>
                </c:pt>
                <c:pt idx="273">
                  <c:v>230.40649999999999</c:v>
                </c:pt>
                <c:pt idx="274">
                  <c:v>232.43800000000002</c:v>
                </c:pt>
                <c:pt idx="275">
                  <c:v>233.91199999999998</c:v>
                </c:pt>
                <c:pt idx="276">
                  <c:v>235.36999999999998</c:v>
                </c:pt>
                <c:pt idx="277">
                  <c:v>236.846</c:v>
                </c:pt>
                <c:pt idx="278">
                  <c:v>238.71100000000001</c:v>
                </c:pt>
                <c:pt idx="279">
                  <c:v>240.61400000000003</c:v>
                </c:pt>
                <c:pt idx="280">
                  <c:v>242.57200000000003</c:v>
                </c:pt>
                <c:pt idx="281">
                  <c:v>244.50299999999999</c:v>
                </c:pt>
                <c:pt idx="282">
                  <c:v>246.41699999999997</c:v>
                </c:pt>
                <c:pt idx="283">
                  <c:v>248.42</c:v>
                </c:pt>
                <c:pt idx="284">
                  <c:v>250.49399999999997</c:v>
                </c:pt>
                <c:pt idx="285">
                  <c:v>252.26599999999999</c:v>
                </c:pt>
                <c:pt idx="286">
                  <c:v>254.11950000000002</c:v>
                </c:pt>
                <c:pt idx="287">
                  <c:v>255.80049999999997</c:v>
                </c:pt>
                <c:pt idx="288">
                  <c:v>257.30949999999996</c:v>
                </c:pt>
                <c:pt idx="289">
                  <c:v>258.53949999999998</c:v>
                </c:pt>
                <c:pt idx="290">
                  <c:v>258.24799999999999</c:v>
                </c:pt>
                <c:pt idx="291">
                  <c:v>257.97249999999997</c:v>
                </c:pt>
                <c:pt idx="292">
                  <c:v>257.59649999999993</c:v>
                </c:pt>
                <c:pt idx="293">
                  <c:v>256.94099999999997</c:v>
                </c:pt>
                <c:pt idx="294">
                  <c:v>256.21049999999997</c:v>
                </c:pt>
                <c:pt idx="295">
                  <c:v>256.6155</c:v>
                </c:pt>
                <c:pt idx="296">
                  <c:v>256.84350000000001</c:v>
                </c:pt>
                <c:pt idx="297">
                  <c:v>256.82749999999999</c:v>
                </c:pt>
                <c:pt idx="298">
                  <c:v>256.57399999999996</c:v>
                </c:pt>
                <c:pt idx="299">
                  <c:v>256.07350000000002</c:v>
                </c:pt>
                <c:pt idx="300">
                  <c:v>255.53149999999999</c:v>
                </c:pt>
                <c:pt idx="301">
                  <c:v>255.11600000000004</c:v>
                </c:pt>
                <c:pt idx="302">
                  <c:v>254.31</c:v>
                </c:pt>
                <c:pt idx="303">
                  <c:v>253.70850000000002</c:v>
                </c:pt>
                <c:pt idx="304">
                  <c:v>252.63749999999999</c:v>
                </c:pt>
                <c:pt idx="305">
                  <c:v>251.75699999999998</c:v>
                </c:pt>
                <c:pt idx="306">
                  <c:v>251.08599999999996</c:v>
                </c:pt>
                <c:pt idx="307">
                  <c:v>250.69349999999994</c:v>
                </c:pt>
                <c:pt idx="308">
                  <c:v>250.41849999999994</c:v>
                </c:pt>
                <c:pt idx="309">
                  <c:v>250.06749999999997</c:v>
                </c:pt>
                <c:pt idx="310">
                  <c:v>249.6455</c:v>
                </c:pt>
                <c:pt idx="311">
                  <c:v>249.56899999999996</c:v>
                </c:pt>
                <c:pt idx="312">
                  <c:v>249.42549999999997</c:v>
                </c:pt>
                <c:pt idx="313">
                  <c:v>249.35699999999997</c:v>
                </c:pt>
                <c:pt idx="314">
                  <c:v>249.09699999999998</c:v>
                </c:pt>
                <c:pt idx="315">
                  <c:v>247.39399999999992</c:v>
                </c:pt>
                <c:pt idx="316">
                  <c:v>245.83799999999997</c:v>
                </c:pt>
                <c:pt idx="317">
                  <c:v>244.44199999999995</c:v>
                </c:pt>
                <c:pt idx="318">
                  <c:v>243.72599999999997</c:v>
                </c:pt>
                <c:pt idx="319">
                  <c:v>242.91350000000003</c:v>
                </c:pt>
                <c:pt idx="320">
                  <c:v>242.27000000000004</c:v>
                </c:pt>
                <c:pt idx="321">
                  <c:v>241.57450000000003</c:v>
                </c:pt>
                <c:pt idx="322">
                  <c:v>241.26200000000003</c:v>
                </c:pt>
                <c:pt idx="323">
                  <c:v>240.57600000000002</c:v>
                </c:pt>
                <c:pt idx="324">
                  <c:v>240.35050000000001</c:v>
                </c:pt>
                <c:pt idx="325">
                  <c:v>239.96800000000002</c:v>
                </c:pt>
                <c:pt idx="326">
                  <c:v>239.59050000000002</c:v>
                </c:pt>
                <c:pt idx="327">
                  <c:v>239.36949999999996</c:v>
                </c:pt>
                <c:pt idx="328">
                  <c:v>238.31899999999996</c:v>
                </c:pt>
                <c:pt idx="329">
                  <c:v>237.62899999999999</c:v>
                </c:pt>
                <c:pt idx="330">
                  <c:v>237.23699999999999</c:v>
                </c:pt>
                <c:pt idx="331">
                  <c:v>236.77349999999996</c:v>
                </c:pt>
                <c:pt idx="332">
                  <c:v>236.3475</c:v>
                </c:pt>
                <c:pt idx="333">
                  <c:v>235.83149999999995</c:v>
                </c:pt>
                <c:pt idx="334">
                  <c:v>235.93449999999999</c:v>
                </c:pt>
                <c:pt idx="335">
                  <c:v>237.01950000000002</c:v>
                </c:pt>
                <c:pt idx="336">
                  <c:v>238.18649999999997</c:v>
                </c:pt>
                <c:pt idx="337">
                  <c:v>239.80349999999999</c:v>
                </c:pt>
                <c:pt idx="338">
                  <c:v>240.74499999999998</c:v>
                </c:pt>
                <c:pt idx="339">
                  <c:v>241.72750000000002</c:v>
                </c:pt>
                <c:pt idx="340">
                  <c:v>242.63799999999998</c:v>
                </c:pt>
                <c:pt idx="341">
                  <c:v>243.61449999999996</c:v>
                </c:pt>
                <c:pt idx="342">
                  <c:v>244.47049999999996</c:v>
                </c:pt>
                <c:pt idx="343">
                  <c:v>245.87599999999998</c:v>
                </c:pt>
                <c:pt idx="344">
                  <c:v>247.27350000000001</c:v>
                </c:pt>
                <c:pt idx="345">
                  <c:v>248.88299999999998</c:v>
                </c:pt>
                <c:pt idx="346">
                  <c:v>250.18549999999999</c:v>
                </c:pt>
                <c:pt idx="347">
                  <c:v>250.95499999999998</c:v>
                </c:pt>
                <c:pt idx="348">
                  <c:v>252.40699999999998</c:v>
                </c:pt>
                <c:pt idx="349">
                  <c:v>253.71799999999999</c:v>
                </c:pt>
                <c:pt idx="350">
                  <c:v>255.07150000000001</c:v>
                </c:pt>
                <c:pt idx="351">
                  <c:v>256.11399999999992</c:v>
                </c:pt>
                <c:pt idx="352">
                  <c:v>256.95749999999992</c:v>
                </c:pt>
                <c:pt idx="353">
                  <c:v>257.92749999999995</c:v>
                </c:pt>
                <c:pt idx="354">
                  <c:v>258.84499999999997</c:v>
                </c:pt>
                <c:pt idx="355">
                  <c:v>259.64599999999996</c:v>
                </c:pt>
                <c:pt idx="356">
                  <c:v>260.46600000000001</c:v>
                </c:pt>
                <c:pt idx="357">
                  <c:v>261.14049999999992</c:v>
                </c:pt>
                <c:pt idx="358">
                  <c:v>261.87699999999995</c:v>
                </c:pt>
                <c:pt idx="359">
                  <c:v>263.02100000000002</c:v>
                </c:pt>
                <c:pt idx="360">
                  <c:v>264.14849999999996</c:v>
                </c:pt>
                <c:pt idx="361">
                  <c:v>265.29499999999996</c:v>
                </c:pt>
                <c:pt idx="362">
                  <c:v>266.45549999999997</c:v>
                </c:pt>
                <c:pt idx="363">
                  <c:v>266.98249999999996</c:v>
                </c:pt>
                <c:pt idx="364">
                  <c:v>267.73599999999999</c:v>
                </c:pt>
                <c:pt idx="365">
                  <c:v>268.46799999999996</c:v>
                </c:pt>
                <c:pt idx="366">
                  <c:v>269.28100000000001</c:v>
                </c:pt>
                <c:pt idx="367">
                  <c:v>270.286</c:v>
                </c:pt>
                <c:pt idx="368">
                  <c:v>271.82650000000007</c:v>
                </c:pt>
                <c:pt idx="369">
                  <c:v>273.58450000000005</c:v>
                </c:pt>
                <c:pt idx="370">
                  <c:v>274.97600000000006</c:v>
                </c:pt>
                <c:pt idx="371">
                  <c:v>276.5605000000001</c:v>
                </c:pt>
                <c:pt idx="372">
                  <c:v>278.11100000000005</c:v>
                </c:pt>
                <c:pt idx="373">
                  <c:v>279.89700000000005</c:v>
                </c:pt>
                <c:pt idx="374">
                  <c:v>281.26200000000006</c:v>
                </c:pt>
                <c:pt idx="375">
                  <c:v>282.3845</c:v>
                </c:pt>
                <c:pt idx="376">
                  <c:v>283.70699999999999</c:v>
                </c:pt>
                <c:pt idx="377">
                  <c:v>284.98750000000001</c:v>
                </c:pt>
                <c:pt idx="378">
                  <c:v>286.06499999999994</c:v>
                </c:pt>
                <c:pt idx="379">
                  <c:v>286.96799999999996</c:v>
                </c:pt>
                <c:pt idx="380">
                  <c:v>287.52750000000003</c:v>
                </c:pt>
                <c:pt idx="381">
                  <c:v>287.63100000000003</c:v>
                </c:pt>
                <c:pt idx="382">
                  <c:v>287.76900000000001</c:v>
                </c:pt>
                <c:pt idx="383">
                  <c:v>288.04300000000001</c:v>
                </c:pt>
                <c:pt idx="384">
                  <c:v>288.04750000000001</c:v>
                </c:pt>
                <c:pt idx="385">
                  <c:v>287.995</c:v>
                </c:pt>
                <c:pt idx="386">
                  <c:v>288.12800000000004</c:v>
                </c:pt>
                <c:pt idx="387">
                  <c:v>288.315</c:v>
                </c:pt>
                <c:pt idx="388">
                  <c:v>287.95400000000001</c:v>
                </c:pt>
                <c:pt idx="389">
                  <c:v>287.36500000000001</c:v>
                </c:pt>
                <c:pt idx="390">
                  <c:v>285.83749999999998</c:v>
                </c:pt>
                <c:pt idx="391">
                  <c:v>284.22700000000003</c:v>
                </c:pt>
                <c:pt idx="392">
                  <c:v>282.90250000000003</c:v>
                </c:pt>
                <c:pt idx="393">
                  <c:v>281.28399999999999</c:v>
                </c:pt>
                <c:pt idx="394">
                  <c:v>279.73700000000002</c:v>
                </c:pt>
                <c:pt idx="395">
                  <c:v>278.012</c:v>
                </c:pt>
                <c:pt idx="396">
                  <c:v>275.91600000000005</c:v>
                </c:pt>
                <c:pt idx="397">
                  <c:v>273.89150000000001</c:v>
                </c:pt>
                <c:pt idx="398">
                  <c:v>271.904</c:v>
                </c:pt>
                <c:pt idx="399">
                  <c:v>270.01100000000002</c:v>
                </c:pt>
                <c:pt idx="400">
                  <c:v>268.14749999999998</c:v>
                </c:pt>
                <c:pt idx="401">
                  <c:v>266.08150000000006</c:v>
                </c:pt>
                <c:pt idx="402">
                  <c:v>263.70700000000005</c:v>
                </c:pt>
                <c:pt idx="403">
                  <c:v>261.31050000000005</c:v>
                </c:pt>
                <c:pt idx="404">
                  <c:v>259.21800000000007</c:v>
                </c:pt>
                <c:pt idx="405">
                  <c:v>256.9735</c:v>
                </c:pt>
                <c:pt idx="406">
                  <c:v>254.66600000000003</c:v>
                </c:pt>
                <c:pt idx="407">
                  <c:v>252.40300000000002</c:v>
                </c:pt>
                <c:pt idx="408">
                  <c:v>250.369</c:v>
                </c:pt>
                <c:pt idx="409">
                  <c:v>248.39600000000002</c:v>
                </c:pt>
                <c:pt idx="410">
                  <c:v>247.34050000000002</c:v>
                </c:pt>
                <c:pt idx="411">
                  <c:v>246.459</c:v>
                </c:pt>
                <c:pt idx="412">
                  <c:v>245.27000000000004</c:v>
                </c:pt>
                <c:pt idx="413">
                  <c:v>244.28100000000003</c:v>
                </c:pt>
                <c:pt idx="414">
                  <c:v>243.51000000000005</c:v>
                </c:pt>
                <c:pt idx="415">
                  <c:v>243.13899999999998</c:v>
                </c:pt>
                <c:pt idx="416">
                  <c:v>242.81099999999998</c:v>
                </c:pt>
                <c:pt idx="417">
                  <c:v>242.28699999999998</c:v>
                </c:pt>
                <c:pt idx="418">
                  <c:v>241.95850000000004</c:v>
                </c:pt>
                <c:pt idx="419">
                  <c:v>241.70350000000008</c:v>
                </c:pt>
                <c:pt idx="420">
                  <c:v>241.62200000000001</c:v>
                </c:pt>
                <c:pt idx="421">
                  <c:v>242.31300000000002</c:v>
                </c:pt>
                <c:pt idx="422">
                  <c:v>243.45349999999999</c:v>
                </c:pt>
                <c:pt idx="423">
                  <c:v>244.55899999999997</c:v>
                </c:pt>
                <c:pt idx="424">
                  <c:v>245.40600000000001</c:v>
                </c:pt>
                <c:pt idx="425">
                  <c:v>246.22250000000003</c:v>
                </c:pt>
                <c:pt idx="426">
                  <c:v>247.04849999999996</c:v>
                </c:pt>
                <c:pt idx="427">
                  <c:v>247.95199999999994</c:v>
                </c:pt>
                <c:pt idx="428">
                  <c:v>248.84200000000001</c:v>
                </c:pt>
                <c:pt idx="429">
                  <c:v>249.96450000000004</c:v>
                </c:pt>
                <c:pt idx="430">
                  <c:v>251.31450000000004</c:v>
                </c:pt>
                <c:pt idx="431">
                  <c:v>252.77850000000004</c:v>
                </c:pt>
                <c:pt idx="432">
                  <c:v>254.41900000000001</c:v>
                </c:pt>
                <c:pt idx="433">
                  <c:v>255.66399999999999</c:v>
                </c:pt>
                <c:pt idx="434">
                  <c:v>257.49399999999997</c:v>
                </c:pt>
                <c:pt idx="435">
                  <c:v>259.423</c:v>
                </c:pt>
                <c:pt idx="436">
                  <c:v>261.23849999999999</c:v>
                </c:pt>
                <c:pt idx="437">
                  <c:v>263.27149999999995</c:v>
                </c:pt>
                <c:pt idx="438">
                  <c:v>265.39099999999996</c:v>
                </c:pt>
                <c:pt idx="439">
                  <c:v>267.36799999999999</c:v>
                </c:pt>
                <c:pt idx="440">
                  <c:v>269.36</c:v>
                </c:pt>
                <c:pt idx="441">
                  <c:v>271.0265</c:v>
                </c:pt>
                <c:pt idx="442">
                  <c:v>272.76449999999994</c:v>
                </c:pt>
                <c:pt idx="443">
                  <c:v>274.39350000000002</c:v>
                </c:pt>
                <c:pt idx="444">
                  <c:v>275.9545</c:v>
                </c:pt>
                <c:pt idx="445">
                  <c:v>277.17349999999999</c:v>
                </c:pt>
                <c:pt idx="446">
                  <c:v>278.22249999999997</c:v>
                </c:pt>
                <c:pt idx="447">
                  <c:v>279.15399999999994</c:v>
                </c:pt>
                <c:pt idx="448">
                  <c:v>280.23749999999995</c:v>
                </c:pt>
                <c:pt idx="449">
                  <c:v>280.78599999999994</c:v>
                </c:pt>
                <c:pt idx="450">
                  <c:v>281.53000000000003</c:v>
                </c:pt>
                <c:pt idx="451">
                  <c:v>282.14399999999995</c:v>
                </c:pt>
                <c:pt idx="452">
                  <c:v>282.6345</c:v>
                </c:pt>
                <c:pt idx="453">
                  <c:v>283.63350000000003</c:v>
                </c:pt>
                <c:pt idx="454">
                  <c:v>283.81149999999997</c:v>
                </c:pt>
                <c:pt idx="455">
                  <c:v>284.96899999999999</c:v>
                </c:pt>
                <c:pt idx="456">
                  <c:v>286.63350000000003</c:v>
                </c:pt>
                <c:pt idx="457">
                  <c:v>288.154</c:v>
                </c:pt>
                <c:pt idx="458">
                  <c:v>289.24</c:v>
                </c:pt>
                <c:pt idx="459">
                  <c:v>290.40700000000004</c:v>
                </c:pt>
                <c:pt idx="460">
                  <c:v>291.35900000000004</c:v>
                </c:pt>
                <c:pt idx="461">
                  <c:v>292.12450000000001</c:v>
                </c:pt>
                <c:pt idx="462">
                  <c:v>292.47350000000006</c:v>
                </c:pt>
                <c:pt idx="463">
                  <c:v>293.33900000000006</c:v>
                </c:pt>
                <c:pt idx="464">
                  <c:v>294.54850000000005</c:v>
                </c:pt>
                <c:pt idx="465">
                  <c:v>295.9765000000001</c:v>
                </c:pt>
                <c:pt idx="466">
                  <c:v>297.57200000000012</c:v>
                </c:pt>
                <c:pt idx="467">
                  <c:v>299.45050000000003</c:v>
                </c:pt>
                <c:pt idx="468">
                  <c:v>301.16200000000009</c:v>
                </c:pt>
                <c:pt idx="469">
                  <c:v>302.60649999999998</c:v>
                </c:pt>
                <c:pt idx="470">
                  <c:v>303.82699999999994</c:v>
                </c:pt>
                <c:pt idx="471">
                  <c:v>304.50299999999999</c:v>
                </c:pt>
                <c:pt idx="472">
                  <c:v>304.89800000000002</c:v>
                </c:pt>
                <c:pt idx="473">
                  <c:v>304.94899999999996</c:v>
                </c:pt>
                <c:pt idx="474">
                  <c:v>305.21899999999994</c:v>
                </c:pt>
                <c:pt idx="475">
                  <c:v>304.71799999999996</c:v>
                </c:pt>
                <c:pt idx="476">
                  <c:v>304.26949999999994</c:v>
                </c:pt>
                <c:pt idx="477">
                  <c:v>303.86499999999995</c:v>
                </c:pt>
                <c:pt idx="478">
                  <c:v>303.61500000000001</c:v>
                </c:pt>
                <c:pt idx="479">
                  <c:v>303.54100000000005</c:v>
                </c:pt>
                <c:pt idx="480">
                  <c:v>303.45399999999995</c:v>
                </c:pt>
                <c:pt idx="481">
                  <c:v>303.30649999999997</c:v>
                </c:pt>
                <c:pt idx="482">
                  <c:v>303.39500000000004</c:v>
                </c:pt>
                <c:pt idx="483">
                  <c:v>303.45600000000002</c:v>
                </c:pt>
                <c:pt idx="484">
                  <c:v>303.23199999999991</c:v>
                </c:pt>
                <c:pt idx="485">
                  <c:v>303.37199999999996</c:v>
                </c:pt>
                <c:pt idx="486">
                  <c:v>303.43949999999995</c:v>
                </c:pt>
                <c:pt idx="487">
                  <c:v>303.387</c:v>
                </c:pt>
                <c:pt idx="488">
                  <c:v>303.17500000000001</c:v>
                </c:pt>
                <c:pt idx="489">
                  <c:v>303.39399999999995</c:v>
                </c:pt>
                <c:pt idx="490">
                  <c:v>303.5424999999999</c:v>
                </c:pt>
                <c:pt idx="491">
                  <c:v>303.84299999999996</c:v>
                </c:pt>
                <c:pt idx="492">
                  <c:v>304.51149999999996</c:v>
                </c:pt>
                <c:pt idx="493">
                  <c:v>305.10749999999996</c:v>
                </c:pt>
                <c:pt idx="494">
                  <c:v>305.63649999999996</c:v>
                </c:pt>
                <c:pt idx="495">
                  <c:v>305.90399999999994</c:v>
                </c:pt>
                <c:pt idx="496">
                  <c:v>305.887</c:v>
                </c:pt>
                <c:pt idx="497">
                  <c:v>305.89099999999996</c:v>
                </c:pt>
                <c:pt idx="498">
                  <c:v>305.98500000000001</c:v>
                </c:pt>
                <c:pt idx="499">
                  <c:v>305.84299999999996</c:v>
                </c:pt>
                <c:pt idx="500">
                  <c:v>305.66199999999998</c:v>
                </c:pt>
                <c:pt idx="501">
                  <c:v>305.38350000000003</c:v>
                </c:pt>
                <c:pt idx="502">
                  <c:v>304.82749999999999</c:v>
                </c:pt>
                <c:pt idx="503">
                  <c:v>304.17650000000003</c:v>
                </c:pt>
                <c:pt idx="504">
                  <c:v>303.90300000000002</c:v>
                </c:pt>
                <c:pt idx="505">
                  <c:v>303.28050000000002</c:v>
                </c:pt>
                <c:pt idx="506">
                  <c:v>302.89250000000004</c:v>
                </c:pt>
                <c:pt idx="507">
                  <c:v>302.47000000000008</c:v>
                </c:pt>
                <c:pt idx="508">
                  <c:v>302.54200000000009</c:v>
                </c:pt>
                <c:pt idx="509">
                  <c:v>302.23800000000011</c:v>
                </c:pt>
                <c:pt idx="510">
                  <c:v>302.25650000000007</c:v>
                </c:pt>
                <c:pt idx="511">
                  <c:v>301.99500000000006</c:v>
                </c:pt>
                <c:pt idx="512">
                  <c:v>302.11250000000001</c:v>
                </c:pt>
                <c:pt idx="513">
                  <c:v>301.65750000000003</c:v>
                </c:pt>
                <c:pt idx="514">
                  <c:v>301.4855</c:v>
                </c:pt>
                <c:pt idx="515">
                  <c:v>301.0795</c:v>
                </c:pt>
                <c:pt idx="516">
                  <c:v>300.51249999999999</c:v>
                </c:pt>
                <c:pt idx="517">
                  <c:v>300.101</c:v>
                </c:pt>
                <c:pt idx="518">
                  <c:v>299.53949999999998</c:v>
                </c:pt>
                <c:pt idx="519">
                  <c:v>298.96049999999997</c:v>
                </c:pt>
                <c:pt idx="520">
                  <c:v>299.31999999999994</c:v>
                </c:pt>
                <c:pt idx="521">
                  <c:v>299.84449999999987</c:v>
                </c:pt>
                <c:pt idx="522">
                  <c:v>301.00599999999997</c:v>
                </c:pt>
                <c:pt idx="523">
                  <c:v>300.97300000000001</c:v>
                </c:pt>
                <c:pt idx="524">
                  <c:v>300.30200000000002</c:v>
                </c:pt>
                <c:pt idx="525">
                  <c:v>299.96000000000009</c:v>
                </c:pt>
                <c:pt idx="526">
                  <c:v>299.77050000000003</c:v>
                </c:pt>
                <c:pt idx="527">
                  <c:v>299.37650000000008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6-48C1-A1A6-31EA53DACC19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Data!$AB$2:$AB$529</c:f>
              <c:numCache>
                <c:formatCode>General</c:formatCode>
                <c:ptCount val="528"/>
                <c:pt idx="99">
                  <c:v>180.01369999999994</c:v>
                </c:pt>
                <c:pt idx="100">
                  <c:v>180.10759999999991</c:v>
                </c:pt>
                <c:pt idx="101">
                  <c:v>180.2031999999999</c:v>
                </c:pt>
                <c:pt idx="102">
                  <c:v>180.2650999999999</c:v>
                </c:pt>
                <c:pt idx="103">
                  <c:v>180.32979999999992</c:v>
                </c:pt>
                <c:pt idx="104">
                  <c:v>180.38689999999991</c:v>
                </c:pt>
                <c:pt idx="105">
                  <c:v>180.43889999999988</c:v>
                </c:pt>
                <c:pt idx="106">
                  <c:v>180.48469999999995</c:v>
                </c:pt>
                <c:pt idx="107">
                  <c:v>180.53689999999992</c:v>
                </c:pt>
                <c:pt idx="108">
                  <c:v>180.56089999999992</c:v>
                </c:pt>
                <c:pt idx="109">
                  <c:v>180.59139999999996</c:v>
                </c:pt>
                <c:pt idx="110">
                  <c:v>180.63439999999994</c:v>
                </c:pt>
                <c:pt idx="111">
                  <c:v>180.65919999999997</c:v>
                </c:pt>
                <c:pt idx="112">
                  <c:v>180.63439999999994</c:v>
                </c:pt>
                <c:pt idx="113">
                  <c:v>180.59729999999993</c:v>
                </c:pt>
                <c:pt idx="114">
                  <c:v>180.54999999999993</c:v>
                </c:pt>
                <c:pt idx="115">
                  <c:v>180.50569999999993</c:v>
                </c:pt>
                <c:pt idx="116">
                  <c:v>180.30689999999993</c:v>
                </c:pt>
                <c:pt idx="117">
                  <c:v>180.17189999999988</c:v>
                </c:pt>
                <c:pt idx="118">
                  <c:v>180.02509999999992</c:v>
                </c:pt>
                <c:pt idx="119">
                  <c:v>179.89649999999992</c:v>
                </c:pt>
                <c:pt idx="120">
                  <c:v>179.78589999999986</c:v>
                </c:pt>
                <c:pt idx="121">
                  <c:v>179.63559999999984</c:v>
                </c:pt>
                <c:pt idx="122">
                  <c:v>179.48619999999985</c:v>
                </c:pt>
                <c:pt idx="123">
                  <c:v>179.38149999999987</c:v>
                </c:pt>
                <c:pt idx="124">
                  <c:v>179.29839999999984</c:v>
                </c:pt>
                <c:pt idx="125">
                  <c:v>179.23399999999987</c:v>
                </c:pt>
                <c:pt idx="126">
                  <c:v>179.14769999999987</c:v>
                </c:pt>
                <c:pt idx="127">
                  <c:v>179.04449999999989</c:v>
                </c:pt>
                <c:pt idx="128">
                  <c:v>178.9592999999999</c:v>
                </c:pt>
                <c:pt idx="129">
                  <c:v>178.88709999999992</c:v>
                </c:pt>
                <c:pt idx="130">
                  <c:v>178.82979999999992</c:v>
                </c:pt>
                <c:pt idx="131">
                  <c:v>178.74419999999995</c:v>
                </c:pt>
                <c:pt idx="132">
                  <c:v>178.6961</c:v>
                </c:pt>
                <c:pt idx="133">
                  <c:v>178.69050000000004</c:v>
                </c:pt>
                <c:pt idx="134">
                  <c:v>178.75160000000002</c:v>
                </c:pt>
                <c:pt idx="135">
                  <c:v>178.78400000000002</c:v>
                </c:pt>
                <c:pt idx="136">
                  <c:v>178.77900000000005</c:v>
                </c:pt>
                <c:pt idx="137">
                  <c:v>178.77020000000005</c:v>
                </c:pt>
                <c:pt idx="138">
                  <c:v>178.76300000000006</c:v>
                </c:pt>
                <c:pt idx="139">
                  <c:v>178.75100000000003</c:v>
                </c:pt>
                <c:pt idx="140">
                  <c:v>178.74090000000001</c:v>
                </c:pt>
                <c:pt idx="141">
                  <c:v>178.77869999999999</c:v>
                </c:pt>
                <c:pt idx="142">
                  <c:v>178.76559999999998</c:v>
                </c:pt>
                <c:pt idx="143">
                  <c:v>178.76109999999997</c:v>
                </c:pt>
                <c:pt idx="144">
                  <c:v>178.70989999999998</c:v>
                </c:pt>
                <c:pt idx="145">
                  <c:v>178.66589999999997</c:v>
                </c:pt>
                <c:pt idx="146">
                  <c:v>178.60299999999995</c:v>
                </c:pt>
                <c:pt idx="147">
                  <c:v>178.57689999999994</c:v>
                </c:pt>
                <c:pt idx="148">
                  <c:v>178.43219999999997</c:v>
                </c:pt>
                <c:pt idx="149">
                  <c:v>178.33319999999992</c:v>
                </c:pt>
                <c:pt idx="150">
                  <c:v>178.26689999999991</c:v>
                </c:pt>
                <c:pt idx="151">
                  <c:v>178.28229999999994</c:v>
                </c:pt>
                <c:pt idx="152">
                  <c:v>178.27989999999994</c:v>
                </c:pt>
                <c:pt idx="153">
                  <c:v>178.24129999999994</c:v>
                </c:pt>
                <c:pt idx="154">
                  <c:v>178.2116</c:v>
                </c:pt>
                <c:pt idx="155">
                  <c:v>178.21579999999997</c:v>
                </c:pt>
                <c:pt idx="156">
                  <c:v>178.24689999999998</c:v>
                </c:pt>
                <c:pt idx="157">
                  <c:v>178.29679999999999</c:v>
                </c:pt>
                <c:pt idx="158">
                  <c:v>178.35909999999996</c:v>
                </c:pt>
                <c:pt idx="159">
                  <c:v>178.41139999999996</c:v>
                </c:pt>
                <c:pt idx="160">
                  <c:v>178.47389999999996</c:v>
                </c:pt>
                <c:pt idx="161">
                  <c:v>178.53519999999992</c:v>
                </c:pt>
                <c:pt idx="162">
                  <c:v>178.6073999999999</c:v>
                </c:pt>
                <c:pt idx="163">
                  <c:v>178.67819999999992</c:v>
                </c:pt>
                <c:pt idx="164">
                  <c:v>178.78609999999992</c:v>
                </c:pt>
                <c:pt idx="165">
                  <c:v>178.87929999999994</c:v>
                </c:pt>
                <c:pt idx="166">
                  <c:v>178.97009999999995</c:v>
                </c:pt>
                <c:pt idx="167">
                  <c:v>179.09829999999999</c:v>
                </c:pt>
                <c:pt idx="168">
                  <c:v>179.25069999999997</c:v>
                </c:pt>
                <c:pt idx="169">
                  <c:v>179.43279999999999</c:v>
                </c:pt>
                <c:pt idx="170">
                  <c:v>179.63600000000002</c:v>
                </c:pt>
                <c:pt idx="171">
                  <c:v>179.83090000000004</c:v>
                </c:pt>
                <c:pt idx="172">
                  <c:v>180.02870000000001</c:v>
                </c:pt>
                <c:pt idx="173">
                  <c:v>180.2509</c:v>
                </c:pt>
                <c:pt idx="174">
                  <c:v>180.53509999999997</c:v>
                </c:pt>
                <c:pt idx="175">
                  <c:v>180.83539999999996</c:v>
                </c:pt>
                <c:pt idx="176">
                  <c:v>181.16429999999997</c:v>
                </c:pt>
                <c:pt idx="177">
                  <c:v>181.51399999999998</c:v>
                </c:pt>
                <c:pt idx="178">
                  <c:v>181.81429999999997</c:v>
                </c:pt>
                <c:pt idx="179">
                  <c:v>182.27459999999999</c:v>
                </c:pt>
                <c:pt idx="180">
                  <c:v>182.74219999999997</c:v>
                </c:pt>
                <c:pt idx="181">
                  <c:v>183.24489999999997</c:v>
                </c:pt>
                <c:pt idx="182">
                  <c:v>183.78790000000001</c:v>
                </c:pt>
                <c:pt idx="183">
                  <c:v>184.35330000000002</c:v>
                </c:pt>
                <c:pt idx="184">
                  <c:v>184.9187</c:v>
                </c:pt>
                <c:pt idx="185">
                  <c:v>185.49590000000001</c:v>
                </c:pt>
                <c:pt idx="186">
                  <c:v>186.01820000000001</c:v>
                </c:pt>
                <c:pt idx="187">
                  <c:v>186.54520000000005</c:v>
                </c:pt>
                <c:pt idx="188">
                  <c:v>187.03970000000001</c:v>
                </c:pt>
                <c:pt idx="189">
                  <c:v>187.57429999999999</c:v>
                </c:pt>
                <c:pt idx="190">
                  <c:v>188.13000000000002</c:v>
                </c:pt>
                <c:pt idx="191">
                  <c:v>188.71440000000001</c:v>
                </c:pt>
                <c:pt idx="192">
                  <c:v>189.31200000000001</c:v>
                </c:pt>
                <c:pt idx="193">
                  <c:v>189.91560000000001</c:v>
                </c:pt>
                <c:pt idx="194">
                  <c:v>190.56889999999999</c:v>
                </c:pt>
                <c:pt idx="195">
                  <c:v>191.20879999999997</c:v>
                </c:pt>
                <c:pt idx="196">
                  <c:v>191.84219999999996</c:v>
                </c:pt>
                <c:pt idx="197">
                  <c:v>192.46009999999995</c:v>
                </c:pt>
                <c:pt idx="198">
                  <c:v>193.05279999999991</c:v>
                </c:pt>
                <c:pt idx="199">
                  <c:v>193.68279999999993</c:v>
                </c:pt>
                <c:pt idx="200">
                  <c:v>194.3026999999999</c:v>
                </c:pt>
                <c:pt idx="201">
                  <c:v>194.92809999999994</c:v>
                </c:pt>
                <c:pt idx="202">
                  <c:v>195.57509999999994</c:v>
                </c:pt>
                <c:pt idx="203">
                  <c:v>196.24129999999997</c:v>
                </c:pt>
                <c:pt idx="204">
                  <c:v>196.9002999999999</c:v>
                </c:pt>
                <c:pt idx="205">
                  <c:v>197.43139999999991</c:v>
                </c:pt>
                <c:pt idx="206">
                  <c:v>197.9199999999999</c:v>
                </c:pt>
                <c:pt idx="207">
                  <c:v>198.37529999999992</c:v>
                </c:pt>
                <c:pt idx="208">
                  <c:v>198.7975999999999</c:v>
                </c:pt>
                <c:pt idx="209">
                  <c:v>199.14649999999995</c:v>
                </c:pt>
                <c:pt idx="210">
                  <c:v>199.50989999999993</c:v>
                </c:pt>
                <c:pt idx="211">
                  <c:v>199.89919999999992</c:v>
                </c:pt>
                <c:pt idx="212">
                  <c:v>200.27239999999995</c:v>
                </c:pt>
                <c:pt idx="213">
                  <c:v>200.65689999999995</c:v>
                </c:pt>
                <c:pt idx="214">
                  <c:v>201.10079999999994</c:v>
                </c:pt>
                <c:pt idx="215">
                  <c:v>201.54269999999994</c:v>
                </c:pt>
                <c:pt idx="216">
                  <c:v>201.97439999999995</c:v>
                </c:pt>
                <c:pt idx="217">
                  <c:v>202.37089999999998</c:v>
                </c:pt>
                <c:pt idx="218">
                  <c:v>202.75489999999999</c:v>
                </c:pt>
                <c:pt idx="219">
                  <c:v>203.11399999999995</c:v>
                </c:pt>
                <c:pt idx="220">
                  <c:v>203.47789999999998</c:v>
                </c:pt>
                <c:pt idx="221">
                  <c:v>203.80909999999997</c:v>
                </c:pt>
                <c:pt idx="222">
                  <c:v>204.18149999999997</c:v>
                </c:pt>
                <c:pt idx="223">
                  <c:v>204.55449999999996</c:v>
                </c:pt>
                <c:pt idx="224">
                  <c:v>204.94949999999997</c:v>
                </c:pt>
                <c:pt idx="225">
                  <c:v>205.40049999999999</c:v>
                </c:pt>
                <c:pt idx="226">
                  <c:v>205.87290000000002</c:v>
                </c:pt>
                <c:pt idx="227">
                  <c:v>206.37400000000002</c:v>
                </c:pt>
                <c:pt idx="228">
                  <c:v>206.88590000000005</c:v>
                </c:pt>
                <c:pt idx="229">
                  <c:v>207.3903</c:v>
                </c:pt>
                <c:pt idx="230">
                  <c:v>207.886</c:v>
                </c:pt>
                <c:pt idx="231">
                  <c:v>208.37679999999997</c:v>
                </c:pt>
                <c:pt idx="232">
                  <c:v>208.83849999999998</c:v>
                </c:pt>
                <c:pt idx="233">
                  <c:v>209.34459999999999</c:v>
                </c:pt>
                <c:pt idx="234">
                  <c:v>209.83399999999997</c:v>
                </c:pt>
                <c:pt idx="235">
                  <c:v>210.33990000000003</c:v>
                </c:pt>
                <c:pt idx="236">
                  <c:v>210.78770000000003</c:v>
                </c:pt>
                <c:pt idx="237">
                  <c:v>211.27240000000006</c:v>
                </c:pt>
                <c:pt idx="238">
                  <c:v>211.73210000000003</c:v>
                </c:pt>
                <c:pt idx="239">
                  <c:v>212.21369999999999</c:v>
                </c:pt>
                <c:pt idx="240">
                  <c:v>212.68170000000001</c:v>
                </c:pt>
                <c:pt idx="241">
                  <c:v>213.05520000000004</c:v>
                </c:pt>
                <c:pt idx="242">
                  <c:v>213.42740000000001</c:v>
                </c:pt>
                <c:pt idx="243">
                  <c:v>213.71410000000003</c:v>
                </c:pt>
                <c:pt idx="244">
                  <c:v>214.04289999999997</c:v>
                </c:pt>
                <c:pt idx="245">
                  <c:v>214.35509999999999</c:v>
                </c:pt>
                <c:pt idx="246">
                  <c:v>214.67780000000002</c:v>
                </c:pt>
                <c:pt idx="247">
                  <c:v>215.0307</c:v>
                </c:pt>
                <c:pt idx="248">
                  <c:v>215.44649999999999</c:v>
                </c:pt>
                <c:pt idx="249">
                  <c:v>215.80629999999996</c:v>
                </c:pt>
                <c:pt idx="250">
                  <c:v>216.14079999999996</c:v>
                </c:pt>
                <c:pt idx="251">
                  <c:v>216.41299999999995</c:v>
                </c:pt>
                <c:pt idx="252">
                  <c:v>216.69789999999998</c:v>
                </c:pt>
                <c:pt idx="253">
                  <c:v>217.02959999999999</c:v>
                </c:pt>
                <c:pt idx="254">
                  <c:v>217.34639999999996</c:v>
                </c:pt>
                <c:pt idx="255">
                  <c:v>217.66279999999995</c:v>
                </c:pt>
                <c:pt idx="256">
                  <c:v>217.95509999999996</c:v>
                </c:pt>
                <c:pt idx="257">
                  <c:v>218.21479999999997</c:v>
                </c:pt>
                <c:pt idx="258">
                  <c:v>218.44149999999993</c:v>
                </c:pt>
                <c:pt idx="259">
                  <c:v>218.65869999999995</c:v>
                </c:pt>
                <c:pt idx="260">
                  <c:v>218.88689999999994</c:v>
                </c:pt>
                <c:pt idx="261">
                  <c:v>219.15389999999991</c:v>
                </c:pt>
                <c:pt idx="262">
                  <c:v>219.44079999999994</c:v>
                </c:pt>
                <c:pt idx="263">
                  <c:v>219.70359999999994</c:v>
                </c:pt>
                <c:pt idx="264">
                  <c:v>219.94889999999992</c:v>
                </c:pt>
                <c:pt idx="265">
                  <c:v>220.22469999999993</c:v>
                </c:pt>
                <c:pt idx="266">
                  <c:v>220.48369999999991</c:v>
                </c:pt>
                <c:pt idx="267">
                  <c:v>220.70369999999991</c:v>
                </c:pt>
                <c:pt idx="268">
                  <c:v>220.94749999999993</c:v>
                </c:pt>
                <c:pt idx="269">
                  <c:v>221.19269999999995</c:v>
                </c:pt>
                <c:pt idx="270">
                  <c:v>221.74949999999998</c:v>
                </c:pt>
                <c:pt idx="271">
                  <c:v>222.29909999999995</c:v>
                </c:pt>
                <c:pt idx="272">
                  <c:v>222.87109999999996</c:v>
                </c:pt>
                <c:pt idx="273">
                  <c:v>223.46249999999998</c:v>
                </c:pt>
                <c:pt idx="274">
                  <c:v>223.99659999999997</c:v>
                </c:pt>
                <c:pt idx="275">
                  <c:v>224.41489999999993</c:v>
                </c:pt>
                <c:pt idx="276">
                  <c:v>224.79039999999998</c:v>
                </c:pt>
                <c:pt idx="277">
                  <c:v>225.11149999999995</c:v>
                </c:pt>
                <c:pt idx="278">
                  <c:v>225.51719999999997</c:v>
                </c:pt>
                <c:pt idx="279">
                  <c:v>225.92589999999996</c:v>
                </c:pt>
                <c:pt idx="280">
                  <c:v>226.37889999999996</c:v>
                </c:pt>
                <c:pt idx="281">
                  <c:v>226.81469999999999</c:v>
                </c:pt>
                <c:pt idx="282">
                  <c:v>227.24039999999994</c:v>
                </c:pt>
                <c:pt idx="283">
                  <c:v>227.67389999999995</c:v>
                </c:pt>
                <c:pt idx="284">
                  <c:v>228.10899999999995</c:v>
                </c:pt>
                <c:pt idx="285">
                  <c:v>228.48949999999994</c:v>
                </c:pt>
                <c:pt idx="286">
                  <c:v>228.89979999999991</c:v>
                </c:pt>
                <c:pt idx="287">
                  <c:v>229.26649999999998</c:v>
                </c:pt>
                <c:pt idx="288">
                  <c:v>229.63139999999993</c:v>
                </c:pt>
                <c:pt idx="289">
                  <c:v>229.96639999999996</c:v>
                </c:pt>
                <c:pt idx="290">
                  <c:v>230.26359999999997</c:v>
                </c:pt>
                <c:pt idx="291">
                  <c:v>230.50549999999996</c:v>
                </c:pt>
                <c:pt idx="292">
                  <c:v>230.76639999999995</c:v>
                </c:pt>
                <c:pt idx="293">
                  <c:v>230.99369999999996</c:v>
                </c:pt>
                <c:pt idx="294">
                  <c:v>231.13759999999994</c:v>
                </c:pt>
                <c:pt idx="295">
                  <c:v>231.42279999999991</c:v>
                </c:pt>
                <c:pt idx="296">
                  <c:v>231.65919999999994</c:v>
                </c:pt>
                <c:pt idx="297">
                  <c:v>231.79609999999994</c:v>
                </c:pt>
                <c:pt idx="298">
                  <c:v>231.96279999999996</c:v>
                </c:pt>
                <c:pt idx="299">
                  <c:v>232.08409999999995</c:v>
                </c:pt>
                <c:pt idx="300">
                  <c:v>232.23879999999994</c:v>
                </c:pt>
                <c:pt idx="301">
                  <c:v>232.44649999999993</c:v>
                </c:pt>
                <c:pt idx="302">
                  <c:v>232.59849999999994</c:v>
                </c:pt>
                <c:pt idx="303">
                  <c:v>232.79889999999995</c:v>
                </c:pt>
                <c:pt idx="304">
                  <c:v>232.90459999999996</c:v>
                </c:pt>
                <c:pt idx="305">
                  <c:v>233.15939999999995</c:v>
                </c:pt>
                <c:pt idx="306">
                  <c:v>233.49719999999996</c:v>
                </c:pt>
                <c:pt idx="307">
                  <c:v>233.86709999999997</c:v>
                </c:pt>
                <c:pt idx="308">
                  <c:v>234.2662</c:v>
                </c:pt>
                <c:pt idx="309">
                  <c:v>234.67929999999996</c:v>
                </c:pt>
                <c:pt idx="310">
                  <c:v>235.0521</c:v>
                </c:pt>
                <c:pt idx="311">
                  <c:v>235.4562</c:v>
                </c:pt>
                <c:pt idx="312">
                  <c:v>235.8964</c:v>
                </c:pt>
                <c:pt idx="313">
                  <c:v>236.32049999999998</c:v>
                </c:pt>
                <c:pt idx="314">
                  <c:v>236.61939999999998</c:v>
                </c:pt>
                <c:pt idx="315">
                  <c:v>236.75729999999999</c:v>
                </c:pt>
                <c:pt idx="316">
                  <c:v>236.87789999999998</c:v>
                </c:pt>
                <c:pt idx="317">
                  <c:v>236.95249999999996</c:v>
                </c:pt>
                <c:pt idx="318">
                  <c:v>237.197</c:v>
                </c:pt>
                <c:pt idx="319">
                  <c:v>237.38329999999999</c:v>
                </c:pt>
                <c:pt idx="320">
                  <c:v>237.64819999999997</c:v>
                </c:pt>
                <c:pt idx="321">
                  <c:v>237.98890000000003</c:v>
                </c:pt>
                <c:pt idx="322">
                  <c:v>238.31500000000003</c:v>
                </c:pt>
                <c:pt idx="323">
                  <c:v>238.59820000000002</c:v>
                </c:pt>
                <c:pt idx="324">
                  <c:v>238.84030000000007</c:v>
                </c:pt>
                <c:pt idx="325">
                  <c:v>238.97850000000005</c:v>
                </c:pt>
                <c:pt idx="326">
                  <c:v>239.15780000000007</c:v>
                </c:pt>
                <c:pt idx="327">
                  <c:v>239.35130000000004</c:v>
                </c:pt>
                <c:pt idx="328">
                  <c:v>239.35630000000003</c:v>
                </c:pt>
                <c:pt idx="329">
                  <c:v>239.41120000000006</c:v>
                </c:pt>
                <c:pt idx="330">
                  <c:v>239.49870000000007</c:v>
                </c:pt>
                <c:pt idx="331">
                  <c:v>239.61870000000008</c:v>
                </c:pt>
                <c:pt idx="332">
                  <c:v>239.74690000000007</c:v>
                </c:pt>
                <c:pt idx="333">
                  <c:v>239.80860000000004</c:v>
                </c:pt>
                <c:pt idx="334">
                  <c:v>239.91660000000005</c:v>
                </c:pt>
                <c:pt idx="335">
                  <c:v>240.02800000000008</c:v>
                </c:pt>
                <c:pt idx="336">
                  <c:v>240.21920000000006</c:v>
                </c:pt>
                <c:pt idx="337">
                  <c:v>240.43570000000008</c:v>
                </c:pt>
                <c:pt idx="338">
                  <c:v>240.67590000000007</c:v>
                </c:pt>
                <c:pt idx="339">
                  <c:v>240.84530000000007</c:v>
                </c:pt>
                <c:pt idx="340">
                  <c:v>241.07400000000001</c:v>
                </c:pt>
                <c:pt idx="341">
                  <c:v>241.36660000000003</c:v>
                </c:pt>
                <c:pt idx="342">
                  <c:v>241.65510000000006</c:v>
                </c:pt>
                <c:pt idx="343">
                  <c:v>242.12020000000004</c:v>
                </c:pt>
                <c:pt idx="344">
                  <c:v>242.54859999999999</c:v>
                </c:pt>
                <c:pt idx="345">
                  <c:v>242.99910000000003</c:v>
                </c:pt>
                <c:pt idx="346">
                  <c:v>243.44929999999999</c:v>
                </c:pt>
                <c:pt idx="347">
                  <c:v>243.81390000000002</c:v>
                </c:pt>
                <c:pt idx="348">
                  <c:v>244.14869999999999</c:v>
                </c:pt>
                <c:pt idx="349">
                  <c:v>244.50720000000001</c:v>
                </c:pt>
                <c:pt idx="350">
                  <c:v>244.93700000000001</c:v>
                </c:pt>
                <c:pt idx="351">
                  <c:v>245.34110000000004</c:v>
                </c:pt>
                <c:pt idx="352">
                  <c:v>245.72860000000003</c:v>
                </c:pt>
                <c:pt idx="353">
                  <c:v>246.09270000000001</c:v>
                </c:pt>
                <c:pt idx="354">
                  <c:v>246.505</c:v>
                </c:pt>
                <c:pt idx="355">
                  <c:v>246.91740000000001</c:v>
                </c:pt>
                <c:pt idx="356">
                  <c:v>247.34080000000003</c:v>
                </c:pt>
                <c:pt idx="357">
                  <c:v>247.81189999999998</c:v>
                </c:pt>
                <c:pt idx="358">
                  <c:v>248.32659999999996</c:v>
                </c:pt>
                <c:pt idx="359">
                  <c:v>248.86989999999997</c:v>
                </c:pt>
                <c:pt idx="360">
                  <c:v>249.43200000000002</c:v>
                </c:pt>
                <c:pt idx="361">
                  <c:v>250.02059999999997</c:v>
                </c:pt>
                <c:pt idx="362">
                  <c:v>250.58299999999997</c:v>
                </c:pt>
                <c:pt idx="363">
                  <c:v>251.11259999999996</c:v>
                </c:pt>
                <c:pt idx="364">
                  <c:v>251.69829999999999</c:v>
                </c:pt>
                <c:pt idx="365">
                  <c:v>252.26839999999996</c:v>
                </c:pt>
                <c:pt idx="366">
                  <c:v>252.85249999999996</c:v>
                </c:pt>
                <c:pt idx="367">
                  <c:v>253.42089999999996</c:v>
                </c:pt>
                <c:pt idx="368">
                  <c:v>254.05609999999996</c:v>
                </c:pt>
                <c:pt idx="369">
                  <c:v>254.70770000000002</c:v>
                </c:pt>
                <c:pt idx="370">
                  <c:v>255.03560000000004</c:v>
                </c:pt>
                <c:pt idx="371">
                  <c:v>255.39790000000005</c:v>
                </c:pt>
                <c:pt idx="372">
                  <c:v>255.68760000000003</c:v>
                </c:pt>
                <c:pt idx="373">
                  <c:v>255.99080000000001</c:v>
                </c:pt>
                <c:pt idx="374">
                  <c:v>256.26980000000003</c:v>
                </c:pt>
                <c:pt idx="375">
                  <c:v>256.61190000000005</c:v>
                </c:pt>
                <c:pt idx="376">
                  <c:v>257.00820000000004</c:v>
                </c:pt>
                <c:pt idx="377">
                  <c:v>257.44020000000012</c:v>
                </c:pt>
                <c:pt idx="378">
                  <c:v>257.79740000000015</c:v>
                </c:pt>
                <c:pt idx="379">
                  <c:v>258.14070000000009</c:v>
                </c:pt>
                <c:pt idx="380">
                  <c:v>258.42310000000009</c:v>
                </c:pt>
                <c:pt idx="381">
                  <c:v>258.64620000000008</c:v>
                </c:pt>
                <c:pt idx="382">
                  <c:v>258.85340000000014</c:v>
                </c:pt>
                <c:pt idx="383">
                  <c:v>259.0372000000001</c:v>
                </c:pt>
                <c:pt idx="384">
                  <c:v>259.20900000000006</c:v>
                </c:pt>
                <c:pt idx="385">
                  <c:v>259.41420000000011</c:v>
                </c:pt>
                <c:pt idx="386">
                  <c:v>259.65420000000012</c:v>
                </c:pt>
                <c:pt idx="387">
                  <c:v>259.92380000000009</c:v>
                </c:pt>
                <c:pt idx="388">
                  <c:v>260.18500000000006</c:v>
                </c:pt>
                <c:pt idx="389">
                  <c:v>260.47280000000001</c:v>
                </c:pt>
                <c:pt idx="390">
                  <c:v>260.55350000000004</c:v>
                </c:pt>
                <c:pt idx="391">
                  <c:v>260.64880000000005</c:v>
                </c:pt>
                <c:pt idx="392">
                  <c:v>260.74880000000007</c:v>
                </c:pt>
                <c:pt idx="393">
                  <c:v>260.85940000000005</c:v>
                </c:pt>
                <c:pt idx="394">
                  <c:v>260.9751</c:v>
                </c:pt>
                <c:pt idx="395">
                  <c:v>260.89120000000003</c:v>
                </c:pt>
                <c:pt idx="396">
                  <c:v>260.82270000000005</c:v>
                </c:pt>
                <c:pt idx="397">
                  <c:v>260.85300000000001</c:v>
                </c:pt>
                <c:pt idx="398">
                  <c:v>260.86340000000001</c:v>
                </c:pt>
                <c:pt idx="399">
                  <c:v>260.9282</c:v>
                </c:pt>
                <c:pt idx="400">
                  <c:v>260.94630000000001</c:v>
                </c:pt>
                <c:pt idx="401">
                  <c:v>260.83929999999998</c:v>
                </c:pt>
                <c:pt idx="402">
                  <c:v>260.7328</c:v>
                </c:pt>
                <c:pt idx="403">
                  <c:v>260.55759999999992</c:v>
                </c:pt>
                <c:pt idx="404">
                  <c:v>260.52509999999995</c:v>
                </c:pt>
                <c:pt idx="405">
                  <c:v>260.45749999999998</c:v>
                </c:pt>
                <c:pt idx="406">
                  <c:v>260.37019999999995</c:v>
                </c:pt>
                <c:pt idx="407">
                  <c:v>260.26569999999992</c:v>
                </c:pt>
                <c:pt idx="408">
                  <c:v>260.17509999999993</c:v>
                </c:pt>
                <c:pt idx="409">
                  <c:v>260.13849999999996</c:v>
                </c:pt>
                <c:pt idx="410">
                  <c:v>260.09249999999997</c:v>
                </c:pt>
                <c:pt idx="411">
                  <c:v>260.02679999999998</c:v>
                </c:pt>
                <c:pt idx="412">
                  <c:v>259.91769999999991</c:v>
                </c:pt>
                <c:pt idx="413">
                  <c:v>259.84419999999989</c:v>
                </c:pt>
                <c:pt idx="414">
                  <c:v>259.85769999999991</c:v>
                </c:pt>
                <c:pt idx="415">
                  <c:v>260.04019999999991</c:v>
                </c:pt>
                <c:pt idx="416">
                  <c:v>260.21729999999997</c:v>
                </c:pt>
                <c:pt idx="417">
                  <c:v>260.42199999999991</c:v>
                </c:pt>
                <c:pt idx="418">
                  <c:v>260.5098999999999</c:v>
                </c:pt>
                <c:pt idx="419">
                  <c:v>260.68619999999993</c:v>
                </c:pt>
                <c:pt idx="420">
                  <c:v>260.81669999999991</c:v>
                </c:pt>
                <c:pt idx="421">
                  <c:v>260.98699999999991</c:v>
                </c:pt>
                <c:pt idx="422">
                  <c:v>261.17109999999991</c:v>
                </c:pt>
                <c:pt idx="423">
                  <c:v>261.35419999999993</c:v>
                </c:pt>
                <c:pt idx="424">
                  <c:v>261.53619999999995</c:v>
                </c:pt>
                <c:pt idx="425">
                  <c:v>261.70839999999987</c:v>
                </c:pt>
                <c:pt idx="426">
                  <c:v>261.8617999999999</c:v>
                </c:pt>
                <c:pt idx="427">
                  <c:v>261.98219999999992</c:v>
                </c:pt>
                <c:pt idx="428">
                  <c:v>262.27969999999999</c:v>
                </c:pt>
                <c:pt idx="429">
                  <c:v>262.60559999999998</c:v>
                </c:pt>
                <c:pt idx="430">
                  <c:v>262.90800000000002</c:v>
                </c:pt>
                <c:pt idx="431">
                  <c:v>263.2278</c:v>
                </c:pt>
                <c:pt idx="432">
                  <c:v>263.53199999999998</c:v>
                </c:pt>
                <c:pt idx="433">
                  <c:v>263.8107</c:v>
                </c:pt>
                <c:pt idx="434">
                  <c:v>264.1696</c:v>
                </c:pt>
                <c:pt idx="435">
                  <c:v>264.52089999999998</c:v>
                </c:pt>
                <c:pt idx="436">
                  <c:v>264.82769999999999</c:v>
                </c:pt>
                <c:pt idx="437">
                  <c:v>265.11560000000003</c:v>
                </c:pt>
                <c:pt idx="438">
                  <c:v>265.43910000000005</c:v>
                </c:pt>
                <c:pt idx="439">
                  <c:v>265.81430000000006</c:v>
                </c:pt>
                <c:pt idx="440">
                  <c:v>266.16110000000009</c:v>
                </c:pt>
                <c:pt idx="441">
                  <c:v>266.46940000000006</c:v>
                </c:pt>
                <c:pt idx="442">
                  <c:v>266.82990000000001</c:v>
                </c:pt>
                <c:pt idx="443">
                  <c:v>267.05770000000007</c:v>
                </c:pt>
                <c:pt idx="444">
                  <c:v>267.2724</c:v>
                </c:pt>
                <c:pt idx="445">
                  <c:v>267.36649999999997</c:v>
                </c:pt>
                <c:pt idx="446">
                  <c:v>267.4692</c:v>
                </c:pt>
                <c:pt idx="447">
                  <c:v>267.62200000000007</c:v>
                </c:pt>
                <c:pt idx="448">
                  <c:v>267.84580000000005</c:v>
                </c:pt>
                <c:pt idx="449">
                  <c:v>268.01920000000007</c:v>
                </c:pt>
                <c:pt idx="450">
                  <c:v>268.19970000000001</c:v>
                </c:pt>
                <c:pt idx="451">
                  <c:v>268.43380000000002</c:v>
                </c:pt>
                <c:pt idx="452">
                  <c:v>268.66740000000004</c:v>
                </c:pt>
                <c:pt idx="453">
                  <c:v>268.95190000000002</c:v>
                </c:pt>
                <c:pt idx="454">
                  <c:v>269.16289999999998</c:v>
                </c:pt>
                <c:pt idx="455">
                  <c:v>269.58549999999997</c:v>
                </c:pt>
                <c:pt idx="456">
                  <c:v>270.06119999999993</c:v>
                </c:pt>
                <c:pt idx="457">
                  <c:v>270.51829999999995</c:v>
                </c:pt>
                <c:pt idx="458">
                  <c:v>270.91169999999994</c:v>
                </c:pt>
                <c:pt idx="459">
                  <c:v>271.29149999999998</c:v>
                </c:pt>
                <c:pt idx="460">
                  <c:v>271.60320000000002</c:v>
                </c:pt>
                <c:pt idx="461">
                  <c:v>271.83529999999996</c:v>
                </c:pt>
                <c:pt idx="462">
                  <c:v>272.0335</c:v>
                </c:pt>
                <c:pt idx="463">
                  <c:v>272.32900000000001</c:v>
                </c:pt>
                <c:pt idx="464">
                  <c:v>272.63489999999996</c:v>
                </c:pt>
                <c:pt idx="465">
                  <c:v>272.86819999999994</c:v>
                </c:pt>
                <c:pt idx="466">
                  <c:v>273.12740000000002</c:v>
                </c:pt>
                <c:pt idx="467">
                  <c:v>273.45490000000001</c:v>
                </c:pt>
                <c:pt idx="468">
                  <c:v>273.71289999999999</c:v>
                </c:pt>
                <c:pt idx="469">
                  <c:v>273.8236</c:v>
                </c:pt>
                <c:pt idx="470">
                  <c:v>273.9699</c:v>
                </c:pt>
                <c:pt idx="471">
                  <c:v>274.02229999999997</c:v>
                </c:pt>
                <c:pt idx="472">
                  <c:v>274.02479999999997</c:v>
                </c:pt>
                <c:pt idx="473">
                  <c:v>273.96229999999997</c:v>
                </c:pt>
                <c:pt idx="474">
                  <c:v>273.95429999999999</c:v>
                </c:pt>
                <c:pt idx="475">
                  <c:v>274.05219999999991</c:v>
                </c:pt>
                <c:pt idx="476">
                  <c:v>274.17369999999994</c:v>
                </c:pt>
                <c:pt idx="477">
                  <c:v>274.29379999999992</c:v>
                </c:pt>
                <c:pt idx="478">
                  <c:v>274.42169999999993</c:v>
                </c:pt>
                <c:pt idx="479">
                  <c:v>274.60609999999997</c:v>
                </c:pt>
                <c:pt idx="480">
                  <c:v>274.78849999999994</c:v>
                </c:pt>
                <c:pt idx="481">
                  <c:v>274.97039999999998</c:v>
                </c:pt>
                <c:pt idx="482">
                  <c:v>275.15869999999995</c:v>
                </c:pt>
                <c:pt idx="483">
                  <c:v>275.41159999999996</c:v>
                </c:pt>
                <c:pt idx="484">
                  <c:v>275.67179999999991</c:v>
                </c:pt>
                <c:pt idx="485">
                  <c:v>275.94359999999995</c:v>
                </c:pt>
                <c:pt idx="486">
                  <c:v>276.1896999999999</c:v>
                </c:pt>
                <c:pt idx="487">
                  <c:v>276.46929999999992</c:v>
                </c:pt>
                <c:pt idx="488">
                  <c:v>276.75709999999987</c:v>
                </c:pt>
                <c:pt idx="489">
                  <c:v>277.0293999999999</c:v>
                </c:pt>
                <c:pt idx="490">
                  <c:v>277.51089999999988</c:v>
                </c:pt>
                <c:pt idx="491">
                  <c:v>277.94549999999992</c:v>
                </c:pt>
                <c:pt idx="492">
                  <c:v>278.34659999999991</c:v>
                </c:pt>
                <c:pt idx="493">
                  <c:v>278.72699999999992</c:v>
                </c:pt>
                <c:pt idx="494">
                  <c:v>279.13419999999991</c:v>
                </c:pt>
                <c:pt idx="495">
                  <c:v>279.6305999999999</c:v>
                </c:pt>
                <c:pt idx="496">
                  <c:v>280.16789999999992</c:v>
                </c:pt>
                <c:pt idx="497">
                  <c:v>280.69369999999992</c:v>
                </c:pt>
                <c:pt idx="498">
                  <c:v>281.23789999999991</c:v>
                </c:pt>
                <c:pt idx="499">
                  <c:v>281.77249999999992</c:v>
                </c:pt>
                <c:pt idx="500">
                  <c:v>282.2913999999999</c:v>
                </c:pt>
                <c:pt idx="501">
                  <c:v>282.8307999999999</c:v>
                </c:pt>
                <c:pt idx="502">
                  <c:v>283.38279999999986</c:v>
                </c:pt>
                <c:pt idx="503">
                  <c:v>283.98479999999995</c:v>
                </c:pt>
                <c:pt idx="504">
                  <c:v>284.60879999999992</c:v>
                </c:pt>
                <c:pt idx="505">
                  <c:v>285.20499999999998</c:v>
                </c:pt>
                <c:pt idx="506">
                  <c:v>285.83499999999992</c:v>
                </c:pt>
                <c:pt idx="507">
                  <c:v>286.48269999999991</c:v>
                </c:pt>
                <c:pt idx="508">
                  <c:v>287.19169999999997</c:v>
                </c:pt>
                <c:pt idx="509">
                  <c:v>287.79779999999994</c:v>
                </c:pt>
                <c:pt idx="510">
                  <c:v>288.49409999999989</c:v>
                </c:pt>
                <c:pt idx="511">
                  <c:v>289.05269999999996</c:v>
                </c:pt>
                <c:pt idx="512">
                  <c:v>289.71509999999989</c:v>
                </c:pt>
                <c:pt idx="513">
                  <c:v>290.20229999999992</c:v>
                </c:pt>
                <c:pt idx="514">
                  <c:v>290.72929999999991</c:v>
                </c:pt>
                <c:pt idx="515">
                  <c:v>291.2186999999999</c:v>
                </c:pt>
                <c:pt idx="516">
                  <c:v>291.70819999999992</c:v>
                </c:pt>
                <c:pt idx="517">
                  <c:v>292.25649999999996</c:v>
                </c:pt>
                <c:pt idx="518">
                  <c:v>292.75409999999994</c:v>
                </c:pt>
                <c:pt idx="519">
                  <c:v>293.22390000000001</c:v>
                </c:pt>
                <c:pt idx="520">
                  <c:v>293.83100000000002</c:v>
                </c:pt>
                <c:pt idx="521">
                  <c:v>294.33710000000002</c:v>
                </c:pt>
                <c:pt idx="522">
                  <c:v>294.89329999999995</c:v>
                </c:pt>
                <c:pt idx="523">
                  <c:v>295.26760000000002</c:v>
                </c:pt>
                <c:pt idx="524">
                  <c:v>295.58800000000002</c:v>
                </c:pt>
                <c:pt idx="525">
                  <c:v>295.95250000000004</c:v>
                </c:pt>
                <c:pt idx="526">
                  <c:v>296.37940000000003</c:v>
                </c:pt>
                <c:pt idx="527">
                  <c:v>296.76760000000007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6-48C1-A1A6-31EA53DA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42912"/>
        <c:axId val="58442432"/>
      </c:lineChart>
      <c:dateAx>
        <c:axId val="5844291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2432"/>
        <c:crosses val="autoZero"/>
        <c:auto val="1"/>
        <c:lblOffset val="100"/>
        <c:baseTimeUnit val="days"/>
      </c:dateAx>
      <c:valAx>
        <c:axId val="58442432"/>
        <c:scaling>
          <c:orientation val="minMax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VWAP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  <c:pt idx="513">
                  <c:v>291.35000000000002</c:v>
                </c:pt>
                <c:pt idx="514">
                  <c:v>297.54000000000002</c:v>
                </c:pt>
                <c:pt idx="515">
                  <c:v>294.67</c:v>
                </c:pt>
                <c:pt idx="516">
                  <c:v>292.44</c:v>
                </c:pt>
                <c:pt idx="517">
                  <c:v>296.33</c:v>
                </c:pt>
                <c:pt idx="518">
                  <c:v>293.86</c:v>
                </c:pt>
                <c:pt idx="519">
                  <c:v>294.16000000000003</c:v>
                </c:pt>
                <c:pt idx="520">
                  <c:v>309.24</c:v>
                </c:pt>
                <c:pt idx="521">
                  <c:v>306.7</c:v>
                </c:pt>
                <c:pt idx="522">
                  <c:v>314.73</c:v>
                </c:pt>
                <c:pt idx="523">
                  <c:v>294.31</c:v>
                </c:pt>
                <c:pt idx="524">
                  <c:v>289.05</c:v>
                </c:pt>
                <c:pt idx="525">
                  <c:v>289.89</c:v>
                </c:pt>
                <c:pt idx="526">
                  <c:v>298.93</c:v>
                </c:pt>
                <c:pt idx="527">
                  <c:v>296.33999999999997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6-4B62-B629-44B37CBA5E53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Data!$F$2:$F$529</c:f>
              <c:numCache>
                <c:formatCode>General</c:formatCode>
                <c:ptCount val="528"/>
                <c:pt idx="0">
                  <c:v>161.5</c:v>
                </c:pt>
                <c:pt idx="1">
                  <c:v>160.77690403456708</c:v>
                </c:pt>
                <c:pt idx="2">
                  <c:v>160.80089952695798</c:v>
                </c:pt>
                <c:pt idx="3">
                  <c:v>160.35117451411858</c:v>
                </c:pt>
                <c:pt idx="4">
                  <c:v>160.49171279824438</c:v>
                </c:pt>
                <c:pt idx="5">
                  <c:v>160.44103298163191</c:v>
                </c:pt>
                <c:pt idx="6">
                  <c:v>160.53767350452981</c:v>
                </c:pt>
                <c:pt idx="7">
                  <c:v>160.75653402551322</c:v>
                </c:pt>
                <c:pt idx="8">
                  <c:v>161.51509781302312</c:v>
                </c:pt>
                <c:pt idx="9">
                  <c:v>162.21588372435264</c:v>
                </c:pt>
                <c:pt idx="10">
                  <c:v>162.6092833766433</c:v>
                </c:pt>
                <c:pt idx="11">
                  <c:v>162.9574085051911</c:v>
                </c:pt>
                <c:pt idx="12">
                  <c:v>164.07520815330335</c:v>
                </c:pt>
                <c:pt idx="13">
                  <c:v>164.82189385947478</c:v>
                </c:pt>
                <c:pt idx="14">
                  <c:v>165.41019596486169</c:v>
                </c:pt>
                <c:pt idx="15">
                  <c:v>166.50441340173603</c:v>
                </c:pt>
                <c:pt idx="16">
                  <c:v>173.55490161161669</c:v>
                </c:pt>
                <c:pt idx="17">
                  <c:v>174.79852082451492</c:v>
                </c:pt>
                <c:pt idx="18">
                  <c:v>175.44591120774615</c:v>
                </c:pt>
                <c:pt idx="19">
                  <c:v>175.91562157513781</c:v>
                </c:pt>
                <c:pt idx="20">
                  <c:v>176.44483998901521</c:v>
                </c:pt>
                <c:pt idx="21">
                  <c:v>176.80765532916482</c:v>
                </c:pt>
                <c:pt idx="22">
                  <c:v>177.07045128002386</c:v>
                </c:pt>
                <c:pt idx="23">
                  <c:v>177.26492549993293</c:v>
                </c:pt>
                <c:pt idx="24">
                  <c:v>177.40511044924369</c:v>
                </c:pt>
                <c:pt idx="25">
                  <c:v>177.60798047359251</c:v>
                </c:pt>
                <c:pt idx="26">
                  <c:v>177.83089082817381</c:v>
                </c:pt>
                <c:pt idx="27">
                  <c:v>178.09790446217266</c:v>
                </c:pt>
                <c:pt idx="28">
                  <c:v>178.32716611097817</c:v>
                </c:pt>
                <c:pt idx="29">
                  <c:v>178.46243691377347</c:v>
                </c:pt>
                <c:pt idx="30">
                  <c:v>178.55581003448069</c:v>
                </c:pt>
                <c:pt idx="31">
                  <c:v>178.77563875860807</c:v>
                </c:pt>
                <c:pt idx="32">
                  <c:v>179.01003799502661</c:v>
                </c:pt>
                <c:pt idx="33">
                  <c:v>179.11044243392877</c:v>
                </c:pt>
                <c:pt idx="34">
                  <c:v>179.12495274069497</c:v>
                </c:pt>
                <c:pt idx="35">
                  <c:v>179.25590721266511</c:v>
                </c:pt>
                <c:pt idx="36">
                  <c:v>179.36654001206537</c:v>
                </c:pt>
                <c:pt idx="37">
                  <c:v>179.47377918911522</c:v>
                </c:pt>
                <c:pt idx="38">
                  <c:v>179.56784473386739</c:v>
                </c:pt>
                <c:pt idx="39">
                  <c:v>179.65476474445194</c:v>
                </c:pt>
                <c:pt idx="40">
                  <c:v>179.8135978590584</c:v>
                </c:pt>
                <c:pt idx="41">
                  <c:v>179.96499745537324</c:v>
                </c:pt>
                <c:pt idx="42">
                  <c:v>180.41593180317059</c:v>
                </c:pt>
                <c:pt idx="43">
                  <c:v>180.69203423624597</c:v>
                </c:pt>
                <c:pt idx="44">
                  <c:v>181.13393836214681</c:v>
                </c:pt>
                <c:pt idx="45">
                  <c:v>181.42028596256748</c:v>
                </c:pt>
                <c:pt idx="46">
                  <c:v>181.64793270569618</c:v>
                </c:pt>
                <c:pt idx="47">
                  <c:v>181.83373182825551</c:v>
                </c:pt>
                <c:pt idx="48">
                  <c:v>182.1912363610758</c:v>
                </c:pt>
                <c:pt idx="49">
                  <c:v>182.40882436625685</c:v>
                </c:pt>
                <c:pt idx="50">
                  <c:v>182.57634053171591</c:v>
                </c:pt>
                <c:pt idx="51">
                  <c:v>182.84489852532252</c:v>
                </c:pt>
                <c:pt idx="52">
                  <c:v>183.01304265240546</c:v>
                </c:pt>
                <c:pt idx="53">
                  <c:v>183.20243595985943</c:v>
                </c:pt>
                <c:pt idx="54">
                  <c:v>183.32127263432656</c:v>
                </c:pt>
                <c:pt idx="55">
                  <c:v>183.4937015112493</c:v>
                </c:pt>
                <c:pt idx="56">
                  <c:v>183.59034470200103</c:v>
                </c:pt>
                <c:pt idx="57">
                  <c:v>183.65334286989653</c:v>
                </c:pt>
                <c:pt idx="58">
                  <c:v>183.71923001594831</c:v>
                </c:pt>
                <c:pt idx="59">
                  <c:v>183.80229851468945</c:v>
                </c:pt>
                <c:pt idx="60">
                  <c:v>183.88638104243614</c:v>
                </c:pt>
                <c:pt idx="61">
                  <c:v>183.93016899193822</c:v>
                </c:pt>
                <c:pt idx="62">
                  <c:v>183.97136619681416</c:v>
                </c:pt>
                <c:pt idx="63">
                  <c:v>184.03135093935308</c:v>
                </c:pt>
                <c:pt idx="64">
                  <c:v>184.06675424801114</c:v>
                </c:pt>
                <c:pt idx="65">
                  <c:v>184.09758574849943</c:v>
                </c:pt>
                <c:pt idx="66">
                  <c:v>184.14345619739433</c:v>
                </c:pt>
                <c:pt idx="67">
                  <c:v>184.18630766817779</c:v>
                </c:pt>
                <c:pt idx="68">
                  <c:v>184.20311054619566</c:v>
                </c:pt>
                <c:pt idx="69">
                  <c:v>184.21727397303482</c:v>
                </c:pt>
                <c:pt idx="70">
                  <c:v>184.19733285885692</c:v>
                </c:pt>
                <c:pt idx="71">
                  <c:v>184.16761695281519</c:v>
                </c:pt>
                <c:pt idx="72">
                  <c:v>184.16234541240982</c:v>
                </c:pt>
                <c:pt idx="73">
                  <c:v>184.15341938047609</c:v>
                </c:pt>
                <c:pt idx="74">
                  <c:v>184.13191959458965</c:v>
                </c:pt>
                <c:pt idx="75">
                  <c:v>184.11058198728006</c:v>
                </c:pt>
                <c:pt idx="76">
                  <c:v>184.09202159197596</c:v>
                </c:pt>
                <c:pt idx="77">
                  <c:v>184.06162787758419</c:v>
                </c:pt>
                <c:pt idx="78">
                  <c:v>184.06239704387585</c:v>
                </c:pt>
                <c:pt idx="79">
                  <c:v>183.42440897423347</c:v>
                </c:pt>
                <c:pt idx="80">
                  <c:v>183.06355507418573</c:v>
                </c:pt>
                <c:pt idx="81">
                  <c:v>182.86331376074429</c:v>
                </c:pt>
                <c:pt idx="82">
                  <c:v>182.62305413108112</c:v>
                </c:pt>
                <c:pt idx="83">
                  <c:v>182.44884840759522</c:v>
                </c:pt>
                <c:pt idx="84">
                  <c:v>182.28874078139336</c:v>
                </c:pt>
                <c:pt idx="85">
                  <c:v>182.15708657538042</c:v>
                </c:pt>
                <c:pt idx="86">
                  <c:v>182.02481008309636</c:v>
                </c:pt>
                <c:pt idx="87">
                  <c:v>181.92596924698503</c:v>
                </c:pt>
                <c:pt idx="88">
                  <c:v>181.82950929281049</c:v>
                </c:pt>
                <c:pt idx="89">
                  <c:v>181.67977676404405</c:v>
                </c:pt>
                <c:pt idx="90">
                  <c:v>181.60623910049489</c:v>
                </c:pt>
                <c:pt idx="91">
                  <c:v>181.53053179279053</c:v>
                </c:pt>
                <c:pt idx="92">
                  <c:v>181.44874313887385</c:v>
                </c:pt>
                <c:pt idx="93">
                  <c:v>181.31923916388817</c:v>
                </c:pt>
                <c:pt idx="94">
                  <c:v>181.22519879249069</c:v>
                </c:pt>
                <c:pt idx="95">
                  <c:v>181.14708528440104</c:v>
                </c:pt>
                <c:pt idx="96">
                  <c:v>181.08115989023921</c:v>
                </c:pt>
                <c:pt idx="97">
                  <c:v>180.9767149799458</c:v>
                </c:pt>
                <c:pt idx="98">
                  <c:v>180.92606699387878</c:v>
                </c:pt>
                <c:pt idx="99">
                  <c:v>180.85428119100783</c:v>
                </c:pt>
                <c:pt idx="100">
                  <c:v>180.80055682188433</c:v>
                </c:pt>
                <c:pt idx="101">
                  <c:v>180.73985232427762</c:v>
                </c:pt>
                <c:pt idx="102">
                  <c:v>180.62155492512846</c:v>
                </c:pt>
                <c:pt idx="103">
                  <c:v>180.50383082767883</c:v>
                </c:pt>
                <c:pt idx="104">
                  <c:v>180.36868658801032</c:v>
                </c:pt>
                <c:pt idx="105">
                  <c:v>180.28463271344827</c:v>
                </c:pt>
                <c:pt idx="106">
                  <c:v>180.20967189528824</c:v>
                </c:pt>
                <c:pt idx="107">
                  <c:v>180.13204472490989</c:v>
                </c:pt>
                <c:pt idx="108">
                  <c:v>180.08001420937839</c:v>
                </c:pt>
                <c:pt idx="109">
                  <c:v>180.01134465409586</c:v>
                </c:pt>
                <c:pt idx="110">
                  <c:v>179.9466857440718</c:v>
                </c:pt>
                <c:pt idx="111">
                  <c:v>179.88591350110451</c:v>
                </c:pt>
                <c:pt idx="112">
                  <c:v>179.81210828098864</c:v>
                </c:pt>
                <c:pt idx="113">
                  <c:v>179.7400439182901</c:v>
                </c:pt>
                <c:pt idx="114">
                  <c:v>179.68442431178903</c:v>
                </c:pt>
                <c:pt idx="115">
                  <c:v>179.62206532069527</c:v>
                </c:pt>
                <c:pt idx="116">
                  <c:v>179.56437253264076</c:v>
                </c:pt>
                <c:pt idx="117">
                  <c:v>179.51475015929282</c:v>
                </c:pt>
                <c:pt idx="118">
                  <c:v>179.38353061645182</c:v>
                </c:pt>
                <c:pt idx="119">
                  <c:v>179.34500658994872</c:v>
                </c:pt>
                <c:pt idx="120">
                  <c:v>179.29507039980857</c:v>
                </c:pt>
                <c:pt idx="121">
                  <c:v>179.25816915967474</c:v>
                </c:pt>
                <c:pt idx="122">
                  <c:v>179.21487716627513</c:v>
                </c:pt>
                <c:pt idx="123">
                  <c:v>179.16848289987942</c:v>
                </c:pt>
                <c:pt idx="124">
                  <c:v>179.14476173188899</c:v>
                </c:pt>
                <c:pt idx="125">
                  <c:v>179.1354705005393</c:v>
                </c:pt>
                <c:pt idx="126">
                  <c:v>179.12568893460573</c:v>
                </c:pt>
                <c:pt idx="127">
                  <c:v>179.11444576822376</c:v>
                </c:pt>
                <c:pt idx="128">
                  <c:v>179.1080684750813</c:v>
                </c:pt>
                <c:pt idx="129">
                  <c:v>179.09670424628987</c:v>
                </c:pt>
                <c:pt idx="130">
                  <c:v>179.08926272424904</c:v>
                </c:pt>
                <c:pt idx="131">
                  <c:v>179.08553925793854</c:v>
                </c:pt>
                <c:pt idx="132">
                  <c:v>179.11579430626361</c:v>
                </c:pt>
                <c:pt idx="133">
                  <c:v>179.13429774079054</c:v>
                </c:pt>
                <c:pt idx="134">
                  <c:v>179.17193254796882</c:v>
                </c:pt>
                <c:pt idx="135">
                  <c:v>179.22995710014885</c:v>
                </c:pt>
                <c:pt idx="136">
                  <c:v>179.26441604712701</c:v>
                </c:pt>
                <c:pt idx="137">
                  <c:v>179.28934473085445</c:v>
                </c:pt>
                <c:pt idx="138">
                  <c:v>179.30909002446029</c:v>
                </c:pt>
                <c:pt idx="139">
                  <c:v>179.32608040797732</c:v>
                </c:pt>
                <c:pt idx="140">
                  <c:v>179.37864186376308</c:v>
                </c:pt>
                <c:pt idx="141">
                  <c:v>179.56893490961338</c:v>
                </c:pt>
                <c:pt idx="142">
                  <c:v>179.65124935281563</c:v>
                </c:pt>
                <c:pt idx="143">
                  <c:v>179.7131321058491</c:v>
                </c:pt>
                <c:pt idx="144">
                  <c:v>179.76721063392196</c:v>
                </c:pt>
                <c:pt idx="145">
                  <c:v>179.87341964400161</c:v>
                </c:pt>
                <c:pt idx="146">
                  <c:v>179.93477786768509</c:v>
                </c:pt>
                <c:pt idx="147">
                  <c:v>179.99845444077908</c:v>
                </c:pt>
                <c:pt idx="148">
                  <c:v>180.02337366261364</c:v>
                </c:pt>
                <c:pt idx="149">
                  <c:v>180.06040351941226</c:v>
                </c:pt>
                <c:pt idx="150">
                  <c:v>180.09872951742034</c:v>
                </c:pt>
                <c:pt idx="151">
                  <c:v>180.1678234756844</c:v>
                </c:pt>
                <c:pt idx="152">
                  <c:v>180.21418035810365</c:v>
                </c:pt>
                <c:pt idx="153">
                  <c:v>180.24551242340235</c:v>
                </c:pt>
                <c:pt idx="154">
                  <c:v>180.27996411210881</c:v>
                </c:pt>
                <c:pt idx="155">
                  <c:v>180.31344898787492</c:v>
                </c:pt>
                <c:pt idx="156">
                  <c:v>180.36273949696948</c:v>
                </c:pt>
                <c:pt idx="157">
                  <c:v>180.41150067878155</c:v>
                </c:pt>
                <c:pt idx="158">
                  <c:v>180.46059182939553</c:v>
                </c:pt>
                <c:pt idx="159">
                  <c:v>180.50095895887651</c:v>
                </c:pt>
                <c:pt idx="160">
                  <c:v>180.56313945293101</c:v>
                </c:pt>
                <c:pt idx="161">
                  <c:v>180.60676576716057</c:v>
                </c:pt>
                <c:pt idx="162">
                  <c:v>180.65834915868976</c:v>
                </c:pt>
                <c:pt idx="163">
                  <c:v>180.72187771806114</c:v>
                </c:pt>
                <c:pt idx="164">
                  <c:v>180.78895979342377</c:v>
                </c:pt>
                <c:pt idx="165">
                  <c:v>180.85524126636145</c:v>
                </c:pt>
                <c:pt idx="166">
                  <c:v>180.93141240580789</c:v>
                </c:pt>
                <c:pt idx="167">
                  <c:v>181.07267116190033</c:v>
                </c:pt>
                <c:pt idx="168">
                  <c:v>181.18189473395523</c:v>
                </c:pt>
                <c:pt idx="169">
                  <c:v>181.28196618496483</c:v>
                </c:pt>
                <c:pt idx="170">
                  <c:v>181.37711082511842</c:v>
                </c:pt>
                <c:pt idx="171">
                  <c:v>181.4651794919375</c:v>
                </c:pt>
                <c:pt idx="172">
                  <c:v>181.57713015564158</c:v>
                </c:pt>
                <c:pt idx="173">
                  <c:v>181.67655110118571</c:v>
                </c:pt>
                <c:pt idx="174">
                  <c:v>181.88864311825628</c:v>
                </c:pt>
                <c:pt idx="175">
                  <c:v>182.07319115893452</c:v>
                </c:pt>
                <c:pt idx="176">
                  <c:v>182.27316821363084</c:v>
                </c:pt>
                <c:pt idx="177">
                  <c:v>182.46685554486405</c:v>
                </c:pt>
                <c:pt idx="178">
                  <c:v>182.7022928456355</c:v>
                </c:pt>
                <c:pt idx="179">
                  <c:v>182.84976433824153</c:v>
                </c:pt>
                <c:pt idx="180">
                  <c:v>183.06353165369211</c:v>
                </c:pt>
                <c:pt idx="181">
                  <c:v>183.50771435310747</c:v>
                </c:pt>
                <c:pt idx="182">
                  <c:v>183.70080135454666</c:v>
                </c:pt>
                <c:pt idx="183">
                  <c:v>183.85219625624785</c:v>
                </c:pt>
                <c:pt idx="184">
                  <c:v>183.9728196598964</c:v>
                </c:pt>
                <c:pt idx="185">
                  <c:v>184.1064958564196</c:v>
                </c:pt>
                <c:pt idx="186">
                  <c:v>184.28395196532313</c:v>
                </c:pt>
                <c:pt idx="187">
                  <c:v>184.44770224874614</c:v>
                </c:pt>
                <c:pt idx="188">
                  <c:v>184.60251530358329</c:v>
                </c:pt>
                <c:pt idx="189">
                  <c:v>184.74871555953109</c:v>
                </c:pt>
                <c:pt idx="190">
                  <c:v>184.92693919128027</c:v>
                </c:pt>
                <c:pt idx="191">
                  <c:v>185.10702350093638</c:v>
                </c:pt>
                <c:pt idx="192">
                  <c:v>185.28547291602774</c:v>
                </c:pt>
                <c:pt idx="193">
                  <c:v>185.45753273017104</c:v>
                </c:pt>
                <c:pt idx="194">
                  <c:v>185.75942935780435</c:v>
                </c:pt>
                <c:pt idx="195">
                  <c:v>185.93929393207603</c:v>
                </c:pt>
                <c:pt idx="196">
                  <c:v>186.13731474902542</c:v>
                </c:pt>
                <c:pt idx="197">
                  <c:v>186.28643376566868</c:v>
                </c:pt>
                <c:pt idx="198">
                  <c:v>186.47373308769664</c:v>
                </c:pt>
                <c:pt idx="199">
                  <c:v>186.63410000057576</c:v>
                </c:pt>
                <c:pt idx="200">
                  <c:v>186.91065209733051</c:v>
                </c:pt>
                <c:pt idx="201">
                  <c:v>187.16264204984651</c:v>
                </c:pt>
                <c:pt idx="202">
                  <c:v>187.30597580874331</c:v>
                </c:pt>
                <c:pt idx="203">
                  <c:v>187.47348219327128</c:v>
                </c:pt>
                <c:pt idx="204">
                  <c:v>187.77863116616399</c:v>
                </c:pt>
                <c:pt idx="205">
                  <c:v>188.1722813229832</c:v>
                </c:pt>
                <c:pt idx="206">
                  <c:v>188.42800518153069</c:v>
                </c:pt>
                <c:pt idx="207">
                  <c:v>188.56630777098886</c:v>
                </c:pt>
                <c:pt idx="208">
                  <c:v>188.69560537282914</c:v>
                </c:pt>
                <c:pt idx="209">
                  <c:v>188.8214002364999</c:v>
                </c:pt>
                <c:pt idx="210">
                  <c:v>188.93896986985925</c:v>
                </c:pt>
                <c:pt idx="211">
                  <c:v>189.01008765646409</c:v>
                </c:pt>
                <c:pt idx="212">
                  <c:v>189.05954255007089</c:v>
                </c:pt>
                <c:pt idx="213">
                  <c:v>189.10918330448891</c:v>
                </c:pt>
                <c:pt idx="214">
                  <c:v>189.214565134938</c:v>
                </c:pt>
                <c:pt idx="215">
                  <c:v>189.31256529772156</c:v>
                </c:pt>
                <c:pt idx="216">
                  <c:v>189.39737477117805</c:v>
                </c:pt>
                <c:pt idx="217">
                  <c:v>189.4761762536599</c:v>
                </c:pt>
                <c:pt idx="218">
                  <c:v>189.54118184489474</c:v>
                </c:pt>
                <c:pt idx="219">
                  <c:v>189.6158179938916</c:v>
                </c:pt>
                <c:pt idx="220">
                  <c:v>189.74763293397777</c:v>
                </c:pt>
                <c:pt idx="221">
                  <c:v>189.81222851085576</c:v>
                </c:pt>
                <c:pt idx="222">
                  <c:v>189.87817123647906</c:v>
                </c:pt>
                <c:pt idx="223">
                  <c:v>189.93971564076369</c:v>
                </c:pt>
                <c:pt idx="224">
                  <c:v>190.05797369235705</c:v>
                </c:pt>
                <c:pt idx="225">
                  <c:v>190.23498904344615</c:v>
                </c:pt>
                <c:pt idx="226">
                  <c:v>190.41603299788693</c:v>
                </c:pt>
                <c:pt idx="227">
                  <c:v>190.68093695754746</c:v>
                </c:pt>
                <c:pt idx="228">
                  <c:v>190.85526862547769</c:v>
                </c:pt>
                <c:pt idx="229">
                  <c:v>190.96586482930732</c:v>
                </c:pt>
                <c:pt idx="230">
                  <c:v>191.06411739739065</c:v>
                </c:pt>
                <c:pt idx="231">
                  <c:v>191.16237546998434</c:v>
                </c:pt>
                <c:pt idx="232">
                  <c:v>191.28389116104819</c:v>
                </c:pt>
                <c:pt idx="233">
                  <c:v>191.45899480361018</c:v>
                </c:pt>
                <c:pt idx="234">
                  <c:v>191.66764939974649</c:v>
                </c:pt>
                <c:pt idx="235">
                  <c:v>191.85481760856339</c:v>
                </c:pt>
                <c:pt idx="236">
                  <c:v>192.04384077491332</c:v>
                </c:pt>
                <c:pt idx="237">
                  <c:v>192.23161017433864</c:v>
                </c:pt>
                <c:pt idx="238">
                  <c:v>192.37664477849822</c:v>
                </c:pt>
                <c:pt idx="239">
                  <c:v>192.55387606544153</c:v>
                </c:pt>
                <c:pt idx="240">
                  <c:v>192.65743833048171</c:v>
                </c:pt>
                <c:pt idx="241">
                  <c:v>192.78691337557584</c:v>
                </c:pt>
                <c:pt idx="242">
                  <c:v>192.91565450334897</c:v>
                </c:pt>
                <c:pt idx="243">
                  <c:v>193.02549237183285</c:v>
                </c:pt>
                <c:pt idx="244">
                  <c:v>193.15775539085922</c:v>
                </c:pt>
                <c:pt idx="245">
                  <c:v>193.51604280172796</c:v>
                </c:pt>
                <c:pt idx="246">
                  <c:v>193.59688788938774</c:v>
                </c:pt>
                <c:pt idx="247">
                  <c:v>193.63165194958898</c:v>
                </c:pt>
                <c:pt idx="248">
                  <c:v>193.72907744151146</c:v>
                </c:pt>
                <c:pt idx="249">
                  <c:v>193.77886848993234</c:v>
                </c:pt>
                <c:pt idx="250">
                  <c:v>193.83126996633519</c:v>
                </c:pt>
                <c:pt idx="251">
                  <c:v>193.8869135798318</c:v>
                </c:pt>
                <c:pt idx="252">
                  <c:v>193.95010804736032</c:v>
                </c:pt>
                <c:pt idx="253">
                  <c:v>194.05426738664215</c:v>
                </c:pt>
                <c:pt idx="254">
                  <c:v>194.13039821418462</c:v>
                </c:pt>
                <c:pt idx="255">
                  <c:v>194.22209069226312</c:v>
                </c:pt>
                <c:pt idx="256">
                  <c:v>194.29258971692951</c:v>
                </c:pt>
                <c:pt idx="257">
                  <c:v>194.37677910346963</c:v>
                </c:pt>
                <c:pt idx="258">
                  <c:v>194.45576672961778</c:v>
                </c:pt>
                <c:pt idx="259">
                  <c:v>194.53047716870836</c:v>
                </c:pt>
                <c:pt idx="260">
                  <c:v>194.59954431923038</c:v>
                </c:pt>
                <c:pt idx="261">
                  <c:v>194.6849999329317</c:v>
                </c:pt>
                <c:pt idx="262">
                  <c:v>194.83589769053259</c:v>
                </c:pt>
                <c:pt idx="263">
                  <c:v>194.94216439982139</c:v>
                </c:pt>
                <c:pt idx="264">
                  <c:v>195.06387278354475</c:v>
                </c:pt>
                <c:pt idx="265">
                  <c:v>195.16479263487369</c:v>
                </c:pt>
                <c:pt idx="266">
                  <c:v>195.25078774436528</c:v>
                </c:pt>
                <c:pt idx="267">
                  <c:v>195.37718897087419</c:v>
                </c:pt>
                <c:pt idx="268">
                  <c:v>195.49807572606022</c:v>
                </c:pt>
                <c:pt idx="269">
                  <c:v>195.7055281906047</c:v>
                </c:pt>
                <c:pt idx="270">
                  <c:v>196.54522007416421</c:v>
                </c:pt>
                <c:pt idx="271">
                  <c:v>196.91470428533864</c:v>
                </c:pt>
                <c:pt idx="272">
                  <c:v>197.37660744014877</c:v>
                </c:pt>
                <c:pt idx="273">
                  <c:v>197.7257406010265</c:v>
                </c:pt>
                <c:pt idx="274">
                  <c:v>198.07011172782006</c:v>
                </c:pt>
                <c:pt idx="275">
                  <c:v>198.35765646570621</c:v>
                </c:pt>
                <c:pt idx="276">
                  <c:v>198.51139116775863</c:v>
                </c:pt>
                <c:pt idx="277">
                  <c:v>198.66381179290849</c:v>
                </c:pt>
                <c:pt idx="278">
                  <c:v>198.88957045032532</c:v>
                </c:pt>
                <c:pt idx="279">
                  <c:v>199.03606853943251</c:v>
                </c:pt>
                <c:pt idx="280">
                  <c:v>199.26333789868596</c:v>
                </c:pt>
                <c:pt idx="281">
                  <c:v>199.46563560664799</c:v>
                </c:pt>
                <c:pt idx="282">
                  <c:v>199.69015796590458</c:v>
                </c:pt>
                <c:pt idx="283">
                  <c:v>199.88856764787221</c:v>
                </c:pt>
                <c:pt idx="284">
                  <c:v>200.14903912257253</c:v>
                </c:pt>
                <c:pt idx="285">
                  <c:v>200.43353375770832</c:v>
                </c:pt>
                <c:pt idx="286">
                  <c:v>200.65388003396114</c:v>
                </c:pt>
                <c:pt idx="287">
                  <c:v>200.94536742897654</c:v>
                </c:pt>
                <c:pt idx="288">
                  <c:v>201.09903949567047</c:v>
                </c:pt>
                <c:pt idx="289">
                  <c:v>201.24213945564847</c:v>
                </c:pt>
                <c:pt idx="290">
                  <c:v>201.57002567301186</c:v>
                </c:pt>
                <c:pt idx="291">
                  <c:v>201.6858098900089</c:v>
                </c:pt>
                <c:pt idx="292">
                  <c:v>201.90500255366976</c:v>
                </c:pt>
                <c:pt idx="293">
                  <c:v>202.06238787919131</c:v>
                </c:pt>
                <c:pt idx="294">
                  <c:v>202.18253289869114</c:v>
                </c:pt>
                <c:pt idx="295">
                  <c:v>202.49576158241396</c:v>
                </c:pt>
                <c:pt idx="296">
                  <c:v>202.843402656682</c:v>
                </c:pt>
                <c:pt idx="297">
                  <c:v>203.04566798303642</c:v>
                </c:pt>
                <c:pt idx="298">
                  <c:v>203.18495688966985</c:v>
                </c:pt>
                <c:pt idx="299">
                  <c:v>203.31243230038802</c:v>
                </c:pt>
                <c:pt idx="300">
                  <c:v>203.45309206590011</c:v>
                </c:pt>
                <c:pt idx="301">
                  <c:v>203.57642425379245</c:v>
                </c:pt>
                <c:pt idx="302">
                  <c:v>203.71534403155547</c:v>
                </c:pt>
                <c:pt idx="303">
                  <c:v>203.85861657047133</c:v>
                </c:pt>
                <c:pt idx="304">
                  <c:v>204.06971595404863</c:v>
                </c:pt>
                <c:pt idx="305">
                  <c:v>204.35789130984392</c:v>
                </c:pt>
                <c:pt idx="306">
                  <c:v>204.51572614456026</c:v>
                </c:pt>
                <c:pt idx="307">
                  <c:v>204.62258194689372</c:v>
                </c:pt>
                <c:pt idx="308">
                  <c:v>204.77499712334549</c:v>
                </c:pt>
                <c:pt idx="309">
                  <c:v>204.86445024876244</c:v>
                </c:pt>
                <c:pt idx="310">
                  <c:v>204.95563500217662</c:v>
                </c:pt>
                <c:pt idx="311">
                  <c:v>205.17589540430325</c:v>
                </c:pt>
                <c:pt idx="312">
                  <c:v>205.32324391302078</c:v>
                </c:pt>
                <c:pt idx="313">
                  <c:v>205.45756134933862</c:v>
                </c:pt>
                <c:pt idx="314">
                  <c:v>205.60581941685498</c:v>
                </c:pt>
                <c:pt idx="315">
                  <c:v>205.724130288228</c:v>
                </c:pt>
                <c:pt idx="316">
                  <c:v>205.83768301057617</c:v>
                </c:pt>
                <c:pt idx="317">
                  <c:v>205.91286930615058</c:v>
                </c:pt>
                <c:pt idx="318">
                  <c:v>206.06715789902876</c:v>
                </c:pt>
                <c:pt idx="319">
                  <c:v>206.16222834493732</c:v>
                </c:pt>
                <c:pt idx="320">
                  <c:v>206.25272685967073</c:v>
                </c:pt>
                <c:pt idx="321">
                  <c:v>206.33030495411398</c:v>
                </c:pt>
                <c:pt idx="322">
                  <c:v>206.41240844306174</c:v>
                </c:pt>
                <c:pt idx="323">
                  <c:v>206.52325118146859</c:v>
                </c:pt>
                <c:pt idx="324">
                  <c:v>206.62882079065616</c:v>
                </c:pt>
                <c:pt idx="325">
                  <c:v>206.73093659096898</c:v>
                </c:pt>
                <c:pt idx="326">
                  <c:v>206.83230447690158</c:v>
                </c:pt>
                <c:pt idx="327">
                  <c:v>207.04641452445821</c:v>
                </c:pt>
                <c:pt idx="328">
                  <c:v>207.28349450295781</c:v>
                </c:pt>
                <c:pt idx="329">
                  <c:v>207.39905394979701</c:v>
                </c:pt>
                <c:pt idx="330">
                  <c:v>207.47100117011652</c:v>
                </c:pt>
                <c:pt idx="331">
                  <c:v>207.54571304848182</c:v>
                </c:pt>
                <c:pt idx="332">
                  <c:v>207.66570439048473</c:v>
                </c:pt>
                <c:pt idx="333">
                  <c:v>207.75785295721724</c:v>
                </c:pt>
                <c:pt idx="334">
                  <c:v>207.85334146683579</c:v>
                </c:pt>
                <c:pt idx="335">
                  <c:v>207.96880305971635</c:v>
                </c:pt>
                <c:pt idx="336">
                  <c:v>208.04923216022297</c:v>
                </c:pt>
                <c:pt idx="337">
                  <c:v>208.15282552769193</c:v>
                </c:pt>
                <c:pt idx="338">
                  <c:v>208.26499547112311</c:v>
                </c:pt>
                <c:pt idx="339">
                  <c:v>208.34449145425251</c:v>
                </c:pt>
                <c:pt idx="340">
                  <c:v>208.48396855286671</c:v>
                </c:pt>
                <c:pt idx="341">
                  <c:v>208.60143061889221</c:v>
                </c:pt>
                <c:pt idx="342">
                  <c:v>208.720251323795</c:v>
                </c:pt>
                <c:pt idx="343">
                  <c:v>208.90657813903991</c:v>
                </c:pt>
                <c:pt idx="344">
                  <c:v>209.05242835054443</c:v>
                </c:pt>
                <c:pt idx="345">
                  <c:v>209.17754354901456</c:v>
                </c:pt>
                <c:pt idx="346">
                  <c:v>209.27019781000001</c:v>
                </c:pt>
                <c:pt idx="347">
                  <c:v>209.39731251888034</c:v>
                </c:pt>
                <c:pt idx="348">
                  <c:v>209.49645801123324</c:v>
                </c:pt>
                <c:pt idx="349">
                  <c:v>209.58391448797965</c:v>
                </c:pt>
                <c:pt idx="350">
                  <c:v>209.6988486305701</c:v>
                </c:pt>
                <c:pt idx="351">
                  <c:v>209.77517303038468</c:v>
                </c:pt>
                <c:pt idx="352">
                  <c:v>209.84819281130967</c:v>
                </c:pt>
                <c:pt idx="353">
                  <c:v>210.15573099427266</c:v>
                </c:pt>
                <c:pt idx="354">
                  <c:v>210.25392039693716</c:v>
                </c:pt>
                <c:pt idx="355">
                  <c:v>210.34221876335982</c:v>
                </c:pt>
                <c:pt idx="356">
                  <c:v>210.43407068947903</c:v>
                </c:pt>
                <c:pt idx="357">
                  <c:v>210.53040222544169</c:v>
                </c:pt>
                <c:pt idx="358">
                  <c:v>210.62371189983384</c:v>
                </c:pt>
                <c:pt idx="359">
                  <c:v>210.79384752157691</c:v>
                </c:pt>
                <c:pt idx="360">
                  <c:v>211.00912183503931</c:v>
                </c:pt>
                <c:pt idx="361">
                  <c:v>211.21764262136568</c:v>
                </c:pt>
                <c:pt idx="362">
                  <c:v>211.36887351843473</c:v>
                </c:pt>
                <c:pt idx="363">
                  <c:v>211.50397615934395</c:v>
                </c:pt>
                <c:pt idx="364">
                  <c:v>211.66751602065193</c:v>
                </c:pt>
                <c:pt idx="365">
                  <c:v>211.80550966507712</c:v>
                </c:pt>
                <c:pt idx="366">
                  <c:v>211.96408363783632</c:v>
                </c:pt>
                <c:pt idx="367">
                  <c:v>212.29537643873664</c:v>
                </c:pt>
                <c:pt idx="368">
                  <c:v>212.47698969164972</c:v>
                </c:pt>
                <c:pt idx="369">
                  <c:v>212.69046587705145</c:v>
                </c:pt>
                <c:pt idx="370">
                  <c:v>212.87836263832133</c:v>
                </c:pt>
                <c:pt idx="371">
                  <c:v>213.05566007988705</c:v>
                </c:pt>
                <c:pt idx="372">
                  <c:v>213.22440384972091</c:v>
                </c:pt>
                <c:pt idx="373">
                  <c:v>213.40019800642827</c:v>
                </c:pt>
                <c:pt idx="374">
                  <c:v>213.55690105860668</c:v>
                </c:pt>
                <c:pt idx="375">
                  <c:v>213.70514408980716</c:v>
                </c:pt>
                <c:pt idx="376">
                  <c:v>213.79413096747155</c:v>
                </c:pt>
                <c:pt idx="377">
                  <c:v>214.01016514392418</c:v>
                </c:pt>
                <c:pt idx="378">
                  <c:v>214.14667664992001</c:v>
                </c:pt>
                <c:pt idx="379">
                  <c:v>214.28432821623554</c:v>
                </c:pt>
                <c:pt idx="380">
                  <c:v>214.43957878686953</c:v>
                </c:pt>
                <c:pt idx="381">
                  <c:v>214.59867017236166</c:v>
                </c:pt>
                <c:pt idx="382">
                  <c:v>214.71845592938018</c:v>
                </c:pt>
                <c:pt idx="383">
                  <c:v>214.83621908939625</c:v>
                </c:pt>
                <c:pt idx="384">
                  <c:v>214.94982932063084</c:v>
                </c:pt>
                <c:pt idx="385">
                  <c:v>215.08466255609483</c:v>
                </c:pt>
                <c:pt idx="386">
                  <c:v>215.27516126629689</c:v>
                </c:pt>
                <c:pt idx="387">
                  <c:v>215.40227283735805</c:v>
                </c:pt>
                <c:pt idx="388">
                  <c:v>215.5943268502613</c:v>
                </c:pt>
                <c:pt idx="389">
                  <c:v>215.91478364158007</c:v>
                </c:pt>
                <c:pt idx="390">
                  <c:v>216.50797455911453</c:v>
                </c:pt>
                <c:pt idx="391">
                  <c:v>216.70399354943973</c:v>
                </c:pt>
                <c:pt idx="392">
                  <c:v>216.84475301749879</c:v>
                </c:pt>
                <c:pt idx="393">
                  <c:v>216.96732155925758</c:v>
                </c:pt>
                <c:pt idx="394">
                  <c:v>217.06069877044902</c:v>
                </c:pt>
                <c:pt idx="395">
                  <c:v>217.20122863318289</c:v>
                </c:pt>
                <c:pt idx="396">
                  <c:v>217.3840019305913</c:v>
                </c:pt>
                <c:pt idx="397">
                  <c:v>217.48865644372245</c:v>
                </c:pt>
                <c:pt idx="398">
                  <c:v>217.59897421069755</c:v>
                </c:pt>
                <c:pt idx="399">
                  <c:v>217.67192919122485</c:v>
                </c:pt>
                <c:pt idx="400">
                  <c:v>217.7872315278037</c:v>
                </c:pt>
                <c:pt idx="401">
                  <c:v>217.88177756947411</c:v>
                </c:pt>
                <c:pt idx="402">
                  <c:v>217.97898681492987</c:v>
                </c:pt>
                <c:pt idx="403">
                  <c:v>218.06170681062972</c:v>
                </c:pt>
                <c:pt idx="404">
                  <c:v>218.1312609191622</c:v>
                </c:pt>
                <c:pt idx="405">
                  <c:v>218.17939625995189</c:v>
                </c:pt>
                <c:pt idx="406">
                  <c:v>218.23135694589598</c:v>
                </c:pt>
                <c:pt idx="407">
                  <c:v>218.27333008848348</c:v>
                </c:pt>
                <c:pt idx="408">
                  <c:v>218.31568576813902</c:v>
                </c:pt>
                <c:pt idx="409">
                  <c:v>218.3590409937332</c:v>
                </c:pt>
                <c:pt idx="410">
                  <c:v>218.39374288684218</c:v>
                </c:pt>
                <c:pt idx="411">
                  <c:v>218.43462105080297</c:v>
                </c:pt>
                <c:pt idx="412">
                  <c:v>218.4751340029288</c:v>
                </c:pt>
                <c:pt idx="413">
                  <c:v>218.54638428110661</c:v>
                </c:pt>
                <c:pt idx="414">
                  <c:v>218.59952787166642</c:v>
                </c:pt>
                <c:pt idx="415">
                  <c:v>218.64128717752121</c:v>
                </c:pt>
                <c:pt idx="416">
                  <c:v>218.68145899189236</c:v>
                </c:pt>
                <c:pt idx="417">
                  <c:v>218.72450700762593</c:v>
                </c:pt>
                <c:pt idx="418">
                  <c:v>218.7680779021515</c:v>
                </c:pt>
                <c:pt idx="419">
                  <c:v>218.84137748010616</c:v>
                </c:pt>
                <c:pt idx="420">
                  <c:v>218.89188352125382</c:v>
                </c:pt>
                <c:pt idx="421">
                  <c:v>219.03089857381329</c:v>
                </c:pt>
                <c:pt idx="422">
                  <c:v>219.13703759963713</c:v>
                </c:pt>
                <c:pt idx="423">
                  <c:v>219.24185298697495</c:v>
                </c:pt>
                <c:pt idx="424">
                  <c:v>219.31404733251077</c:v>
                </c:pt>
                <c:pt idx="425">
                  <c:v>219.37656091853694</c:v>
                </c:pt>
                <c:pt idx="426">
                  <c:v>219.45562333607612</c:v>
                </c:pt>
                <c:pt idx="427">
                  <c:v>219.51066499430223</c:v>
                </c:pt>
                <c:pt idx="428">
                  <c:v>219.59410467011847</c:v>
                </c:pt>
                <c:pt idx="429">
                  <c:v>219.71395182740054</c:v>
                </c:pt>
                <c:pt idx="430">
                  <c:v>219.95620742429557</c:v>
                </c:pt>
                <c:pt idx="431">
                  <c:v>220.09198834244577</c:v>
                </c:pt>
                <c:pt idx="432">
                  <c:v>220.2392449621986</c:v>
                </c:pt>
                <c:pt idx="433">
                  <c:v>220.31734503696859</c:v>
                </c:pt>
                <c:pt idx="434">
                  <c:v>220.68271140275965</c:v>
                </c:pt>
                <c:pt idx="435">
                  <c:v>220.98091636670037</c:v>
                </c:pt>
                <c:pt idx="436">
                  <c:v>221.16350439479589</c:v>
                </c:pt>
                <c:pt idx="437">
                  <c:v>221.34929070340709</c:v>
                </c:pt>
                <c:pt idx="438">
                  <c:v>221.49563033502247</c:v>
                </c:pt>
                <c:pt idx="439">
                  <c:v>221.62294287334134</c:v>
                </c:pt>
                <c:pt idx="440">
                  <c:v>221.77205097216094</c:v>
                </c:pt>
                <c:pt idx="441">
                  <c:v>221.87145063921079</c:v>
                </c:pt>
                <c:pt idx="442">
                  <c:v>222.13442619610063</c:v>
                </c:pt>
                <c:pt idx="443">
                  <c:v>222.31510224538258</c:v>
                </c:pt>
                <c:pt idx="444">
                  <c:v>222.47874006390413</c:v>
                </c:pt>
                <c:pt idx="445">
                  <c:v>222.60454621728957</c:v>
                </c:pt>
                <c:pt idx="446">
                  <c:v>222.72363208363299</c:v>
                </c:pt>
                <c:pt idx="447">
                  <c:v>222.80570857699851</c:v>
                </c:pt>
                <c:pt idx="448">
                  <c:v>222.90296298209753</c:v>
                </c:pt>
                <c:pt idx="449">
                  <c:v>222.9815401326625</c:v>
                </c:pt>
                <c:pt idx="450">
                  <c:v>223.13613471213347</c:v>
                </c:pt>
                <c:pt idx="451">
                  <c:v>223.24155896435681</c:v>
                </c:pt>
                <c:pt idx="452">
                  <c:v>223.36096945453076</c:v>
                </c:pt>
                <c:pt idx="453">
                  <c:v>223.6955764893867</c:v>
                </c:pt>
                <c:pt idx="454">
                  <c:v>224.19744617345421</c:v>
                </c:pt>
                <c:pt idx="455">
                  <c:v>224.88310507158161</c:v>
                </c:pt>
                <c:pt idx="456">
                  <c:v>225.3048623674643</c:v>
                </c:pt>
                <c:pt idx="457">
                  <c:v>225.55970653452306</c:v>
                </c:pt>
                <c:pt idx="458">
                  <c:v>225.7245253113777</c:v>
                </c:pt>
                <c:pt idx="459">
                  <c:v>225.91497671590395</c:v>
                </c:pt>
                <c:pt idx="460">
                  <c:v>226.21564032102222</c:v>
                </c:pt>
                <c:pt idx="461">
                  <c:v>226.40177241967896</c:v>
                </c:pt>
                <c:pt idx="462">
                  <c:v>226.60332598264509</c:v>
                </c:pt>
                <c:pt idx="463">
                  <c:v>226.7807086368903</c:v>
                </c:pt>
                <c:pt idx="464">
                  <c:v>227.05764916181872</c:v>
                </c:pt>
                <c:pt idx="465">
                  <c:v>227.2479539991306</c:v>
                </c:pt>
                <c:pt idx="466">
                  <c:v>227.36305319165621</c:v>
                </c:pt>
                <c:pt idx="467">
                  <c:v>227.54146845999608</c:v>
                </c:pt>
                <c:pt idx="468">
                  <c:v>227.78987801688422</c:v>
                </c:pt>
                <c:pt idx="469">
                  <c:v>227.98180912088222</c:v>
                </c:pt>
                <c:pt idx="470">
                  <c:v>228.11251032386104</c:v>
                </c:pt>
                <c:pt idx="471">
                  <c:v>228.23868900298996</c:v>
                </c:pt>
                <c:pt idx="472">
                  <c:v>228.37858807601626</c:v>
                </c:pt>
                <c:pt idx="473">
                  <c:v>228.47927402279856</c:v>
                </c:pt>
                <c:pt idx="474">
                  <c:v>228.64018195899357</c:v>
                </c:pt>
                <c:pt idx="475">
                  <c:v>228.8221210492203</c:v>
                </c:pt>
                <c:pt idx="476">
                  <c:v>229.03250029931672</c:v>
                </c:pt>
                <c:pt idx="477">
                  <c:v>229.13080299456203</c:v>
                </c:pt>
                <c:pt idx="478">
                  <c:v>229.20576302217938</c:v>
                </c:pt>
                <c:pt idx="479">
                  <c:v>229.26747824770646</c:v>
                </c:pt>
                <c:pt idx="480">
                  <c:v>229.37868656357341</c:v>
                </c:pt>
                <c:pt idx="481">
                  <c:v>229.52022060006601</c:v>
                </c:pt>
                <c:pt idx="482">
                  <c:v>229.65256070856725</c:v>
                </c:pt>
                <c:pt idx="483">
                  <c:v>229.75869098433756</c:v>
                </c:pt>
                <c:pt idx="484">
                  <c:v>229.84243150760787</c:v>
                </c:pt>
                <c:pt idx="485">
                  <c:v>229.97378337126204</c:v>
                </c:pt>
                <c:pt idx="486">
                  <c:v>230.08142676292942</c:v>
                </c:pt>
                <c:pt idx="487">
                  <c:v>230.20955503629128</c:v>
                </c:pt>
                <c:pt idx="488">
                  <c:v>230.31034851274561</c:v>
                </c:pt>
                <c:pt idx="489">
                  <c:v>230.41608116763388</c:v>
                </c:pt>
                <c:pt idx="490">
                  <c:v>230.54245860632093</c:v>
                </c:pt>
                <c:pt idx="491">
                  <c:v>230.65303828952747</c:v>
                </c:pt>
                <c:pt idx="492">
                  <c:v>230.75576565013677</c:v>
                </c:pt>
                <c:pt idx="493">
                  <c:v>230.92564501730126</c:v>
                </c:pt>
                <c:pt idx="494">
                  <c:v>231.27200162682379</c:v>
                </c:pt>
                <c:pt idx="495">
                  <c:v>231.35563065411367</c:v>
                </c:pt>
                <c:pt idx="496">
                  <c:v>231.45027681684448</c:v>
                </c:pt>
                <c:pt idx="497">
                  <c:v>231.48982621261698</c:v>
                </c:pt>
                <c:pt idx="498">
                  <c:v>231.58227878233515</c:v>
                </c:pt>
                <c:pt idx="499">
                  <c:v>231.73633565008342</c:v>
                </c:pt>
                <c:pt idx="500">
                  <c:v>231.79527101114746</c:v>
                </c:pt>
                <c:pt idx="501">
                  <c:v>231.89343892262625</c:v>
                </c:pt>
                <c:pt idx="502">
                  <c:v>232.01666875296328</c:v>
                </c:pt>
                <c:pt idx="503">
                  <c:v>232.13340269722553</c:v>
                </c:pt>
                <c:pt idx="504">
                  <c:v>232.26226341951224</c:v>
                </c:pt>
                <c:pt idx="505">
                  <c:v>232.34284948755842</c:v>
                </c:pt>
                <c:pt idx="506">
                  <c:v>232.446504990146</c:v>
                </c:pt>
                <c:pt idx="507">
                  <c:v>232.53236971850026</c:v>
                </c:pt>
                <c:pt idx="508">
                  <c:v>232.66864827835633</c:v>
                </c:pt>
                <c:pt idx="509">
                  <c:v>232.80795201930229</c:v>
                </c:pt>
                <c:pt idx="510">
                  <c:v>232.9340214886291</c:v>
                </c:pt>
                <c:pt idx="511">
                  <c:v>233.07407568930449</c:v>
                </c:pt>
                <c:pt idx="512">
                  <c:v>233.27010218566369</c:v>
                </c:pt>
                <c:pt idx="513">
                  <c:v>233.4535660260558</c:v>
                </c:pt>
                <c:pt idx="514">
                  <c:v>233.59751301983863</c:v>
                </c:pt>
                <c:pt idx="515">
                  <c:v>233.69445804460031</c:v>
                </c:pt>
                <c:pt idx="516">
                  <c:v>233.77814507216718</c:v>
                </c:pt>
                <c:pt idx="517">
                  <c:v>233.87866797621936</c:v>
                </c:pt>
                <c:pt idx="518">
                  <c:v>233.95499695163605</c:v>
                </c:pt>
                <c:pt idx="519">
                  <c:v>234.10475176998563</c:v>
                </c:pt>
                <c:pt idx="520">
                  <c:v>234.43013449484567</c:v>
                </c:pt>
                <c:pt idx="521">
                  <c:v>234.61330235233788</c:v>
                </c:pt>
                <c:pt idx="522">
                  <c:v>234.76958469556286</c:v>
                </c:pt>
                <c:pt idx="523">
                  <c:v>235.05887722809138</c:v>
                </c:pt>
                <c:pt idx="524">
                  <c:v>235.25736614659505</c:v>
                </c:pt>
                <c:pt idx="525">
                  <c:v>235.38468052849851</c:v>
                </c:pt>
                <c:pt idx="526">
                  <c:v>235.48473855400266</c:v>
                </c:pt>
                <c:pt idx="527">
                  <c:v>235.60294086413447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6-4B62-B629-44B37CBA5E53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Data!$H$2:$H$529</c:f>
              <c:numCache>
                <c:formatCode>General</c:formatCode>
                <c:ptCount val="528"/>
                <c:pt idx="0">
                  <c:v>161.5</c:v>
                </c:pt>
                <c:pt idx="1">
                  <c:v>161.4769040345671</c:v>
                </c:pt>
                <c:pt idx="2">
                  <c:v>161.37314655986131</c:v>
                </c:pt>
                <c:pt idx="3">
                  <c:v>161.22425812981641</c:v>
                </c:pt>
                <c:pt idx="4">
                  <c:v>161.32613235697968</c:v>
                </c:pt>
                <c:pt idx="5">
                  <c:v>161.22279736784782</c:v>
                </c:pt>
                <c:pt idx="6">
                  <c:v>161.30835833118778</c:v>
                </c:pt>
                <c:pt idx="7">
                  <c:v>161.64662443524696</c:v>
                </c:pt>
                <c:pt idx="8">
                  <c:v>163.30238626204303</c:v>
                </c:pt>
                <c:pt idx="9">
                  <c:v>164.60773008229455</c:v>
                </c:pt>
                <c:pt idx="10">
                  <c:v>165.18717700074615</c:v>
                </c:pt>
                <c:pt idx="11">
                  <c:v>165.72882949550555</c:v>
                </c:pt>
                <c:pt idx="12">
                  <c:v>167.62692746360528</c:v>
                </c:pt>
                <c:pt idx="13">
                  <c:v>169.02783475010915</c:v>
                </c:pt>
                <c:pt idx="14">
                  <c:v>170.16823823266702</c:v>
                </c:pt>
                <c:pt idx="15">
                  <c:v>171.62694691645069</c:v>
                </c:pt>
                <c:pt idx="16">
                  <c:v>181.28686501889482</c:v>
                </c:pt>
                <c:pt idx="17">
                  <c:v>183.68157786976323</c:v>
                </c:pt>
                <c:pt idx="18">
                  <c:v>185.10204636941347</c:v>
                </c:pt>
                <c:pt idx="19">
                  <c:v>186.19541674576254</c:v>
                </c:pt>
                <c:pt idx="20">
                  <c:v>186.89923966390609</c:v>
                </c:pt>
                <c:pt idx="21">
                  <c:v>187.5774668735921</c:v>
                </c:pt>
                <c:pt idx="22">
                  <c:v>188.01291273802883</c:v>
                </c:pt>
                <c:pt idx="23">
                  <c:v>188.22227982882495</c:v>
                </c:pt>
                <c:pt idx="24">
                  <c:v>188.35714117235619</c:v>
                </c:pt>
                <c:pt idx="25">
                  <c:v>188.55127036461948</c:v>
                </c:pt>
                <c:pt idx="26">
                  <c:v>188.7735443884861</c:v>
                </c:pt>
                <c:pt idx="27">
                  <c:v>189.09887846241836</c:v>
                </c:pt>
                <c:pt idx="28">
                  <c:v>189.35881286937922</c:v>
                </c:pt>
                <c:pt idx="29">
                  <c:v>189.43345530568018</c:v>
                </c:pt>
                <c:pt idx="30">
                  <c:v>189.45873369893337</c:v>
                </c:pt>
                <c:pt idx="31">
                  <c:v>189.7006150126941</c:v>
                </c:pt>
                <c:pt idx="32">
                  <c:v>189.96878925605549</c:v>
                </c:pt>
                <c:pt idx="33">
                  <c:v>189.98305327597086</c:v>
                </c:pt>
                <c:pt idx="34">
                  <c:v>189.85828457404932</c:v>
                </c:pt>
                <c:pt idx="35">
                  <c:v>189.92144686666813</c:v>
                </c:pt>
                <c:pt idx="36">
                  <c:v>189.99531473706813</c:v>
                </c:pt>
                <c:pt idx="37">
                  <c:v>190.03012517209936</c:v>
                </c:pt>
                <c:pt idx="38">
                  <c:v>190.06509564351472</c:v>
                </c:pt>
                <c:pt idx="39">
                  <c:v>190.09987417422815</c:v>
                </c:pt>
                <c:pt idx="40">
                  <c:v>190.20016292403054</c:v>
                </c:pt>
                <c:pt idx="41">
                  <c:v>190.35752876810778</c:v>
                </c:pt>
                <c:pt idx="42">
                  <c:v>190.94479334490728</c:v>
                </c:pt>
                <c:pt idx="43">
                  <c:v>191.30469179282542</c:v>
                </c:pt>
                <c:pt idx="44">
                  <c:v>191.95083015002271</c:v>
                </c:pt>
                <c:pt idx="45">
                  <c:v>192.42860876345176</c:v>
                </c:pt>
                <c:pt idx="46">
                  <c:v>192.8051438543508</c:v>
                </c:pt>
                <c:pt idx="47">
                  <c:v>193.01131094121143</c:v>
                </c:pt>
                <c:pt idx="48">
                  <c:v>193.54376546408051</c:v>
                </c:pt>
                <c:pt idx="49">
                  <c:v>193.88423215160373</c:v>
                </c:pt>
                <c:pt idx="50">
                  <c:v>194.08011810027094</c:v>
                </c:pt>
                <c:pt idx="51">
                  <c:v>194.32595960910163</c:v>
                </c:pt>
                <c:pt idx="52">
                  <c:v>194.47941548850216</c:v>
                </c:pt>
                <c:pt idx="53">
                  <c:v>194.68105334605909</c:v>
                </c:pt>
                <c:pt idx="54">
                  <c:v>194.81930988831974</c:v>
                </c:pt>
                <c:pt idx="55">
                  <c:v>194.97040653191519</c:v>
                </c:pt>
                <c:pt idx="56">
                  <c:v>195.0282679062737</c:v>
                </c:pt>
                <c:pt idx="57">
                  <c:v>195.02748522822992</c:v>
                </c:pt>
                <c:pt idx="58">
                  <c:v>195.02740841511005</c:v>
                </c:pt>
                <c:pt idx="59">
                  <c:v>195.07046564850299</c:v>
                </c:pt>
                <c:pt idx="60">
                  <c:v>195.11592381610552</c:v>
                </c:pt>
                <c:pt idx="61">
                  <c:v>195.10771712344049</c:v>
                </c:pt>
                <c:pt idx="62">
                  <c:v>195.08803821341229</c:v>
                </c:pt>
                <c:pt idx="63">
                  <c:v>195.10818406990751</c:v>
                </c:pt>
                <c:pt idx="64">
                  <c:v>195.07638833358476</c:v>
                </c:pt>
                <c:pt idx="65">
                  <c:v>195.0504051952808</c:v>
                </c:pt>
                <c:pt idx="66">
                  <c:v>195.04606574888709</c:v>
                </c:pt>
                <c:pt idx="67">
                  <c:v>195.03460381267689</c:v>
                </c:pt>
                <c:pt idx="68">
                  <c:v>194.97805269174177</c:v>
                </c:pt>
                <c:pt idx="69">
                  <c:v>194.91980739045616</c:v>
                </c:pt>
                <c:pt idx="70">
                  <c:v>194.82482972616998</c:v>
                </c:pt>
                <c:pt idx="71">
                  <c:v>194.72355980755199</c:v>
                </c:pt>
                <c:pt idx="72">
                  <c:v>194.64594145938659</c:v>
                </c:pt>
                <c:pt idx="73">
                  <c:v>194.56594524973983</c:v>
                </c:pt>
                <c:pt idx="74">
                  <c:v>194.47668673465725</c:v>
                </c:pt>
                <c:pt idx="75">
                  <c:v>194.38866609283622</c:v>
                </c:pt>
                <c:pt idx="76">
                  <c:v>194.30412828898488</c:v>
                </c:pt>
                <c:pt idx="77">
                  <c:v>194.2086172817269</c:v>
                </c:pt>
                <c:pt idx="78">
                  <c:v>194.14555304436993</c:v>
                </c:pt>
                <c:pt idx="79">
                  <c:v>193.56821345960779</c:v>
                </c:pt>
                <c:pt idx="80">
                  <c:v>193.29491279795917</c:v>
                </c:pt>
                <c:pt idx="81">
                  <c:v>193.17037931006305</c:v>
                </c:pt>
                <c:pt idx="82">
                  <c:v>193.02243403962461</c:v>
                </c:pt>
                <c:pt idx="83">
                  <c:v>192.96780731113691</c:v>
                </c:pt>
                <c:pt idx="84">
                  <c:v>192.91401764633892</c:v>
                </c:pt>
                <c:pt idx="85">
                  <c:v>192.86305492052037</c:v>
                </c:pt>
                <c:pt idx="86">
                  <c:v>192.7610923974581</c:v>
                </c:pt>
                <c:pt idx="87">
                  <c:v>192.6928905727267</c:v>
                </c:pt>
                <c:pt idx="88">
                  <c:v>192.60496973700361</c:v>
                </c:pt>
                <c:pt idx="89">
                  <c:v>192.51097650208933</c:v>
                </c:pt>
                <c:pt idx="90">
                  <c:v>192.47647126902089</c:v>
                </c:pt>
                <c:pt idx="91">
                  <c:v>192.43118413795293</c:v>
                </c:pt>
                <c:pt idx="92">
                  <c:v>192.37979503149819</c:v>
                </c:pt>
                <c:pt idx="93">
                  <c:v>192.26692925720727</c:v>
                </c:pt>
                <c:pt idx="94">
                  <c:v>192.17951664442049</c:v>
                </c:pt>
                <c:pt idx="95">
                  <c:v>192.10591857266357</c:v>
                </c:pt>
                <c:pt idx="96">
                  <c:v>192.03414578596119</c:v>
                </c:pt>
                <c:pt idx="97">
                  <c:v>191.8949114791813</c:v>
                </c:pt>
                <c:pt idx="98">
                  <c:v>191.80831067934335</c:v>
                </c:pt>
                <c:pt idx="99">
                  <c:v>191.72262335115352</c:v>
                </c:pt>
                <c:pt idx="100">
                  <c:v>191.65262413209769</c:v>
                </c:pt>
                <c:pt idx="101">
                  <c:v>191.58583641498186</c:v>
                </c:pt>
                <c:pt idx="102">
                  <c:v>191.48718030574358</c:v>
                </c:pt>
                <c:pt idx="103">
                  <c:v>191.40389837944824</c:v>
                </c:pt>
                <c:pt idx="104">
                  <c:v>191.28677376775013</c:v>
                </c:pt>
                <c:pt idx="105">
                  <c:v>191.23700246674309</c:v>
                </c:pt>
                <c:pt idx="106">
                  <c:v>191.18784934275774</c:v>
                </c:pt>
                <c:pt idx="107">
                  <c:v>191.11759609427179</c:v>
                </c:pt>
                <c:pt idx="108">
                  <c:v>191.06408829545057</c:v>
                </c:pt>
                <c:pt idx="109">
                  <c:v>190.97842457501079</c:v>
                </c:pt>
                <c:pt idx="110">
                  <c:v>190.89383789204899</c:v>
                </c:pt>
                <c:pt idx="111">
                  <c:v>190.82062774072836</c:v>
                </c:pt>
                <c:pt idx="112">
                  <c:v>190.73640951751909</c:v>
                </c:pt>
                <c:pt idx="113">
                  <c:v>190.65252711047975</c:v>
                </c:pt>
                <c:pt idx="114">
                  <c:v>190.58398999363754</c:v>
                </c:pt>
                <c:pt idx="115">
                  <c:v>190.50625197446732</c:v>
                </c:pt>
                <c:pt idx="116">
                  <c:v>190.42602424750515</c:v>
                </c:pt>
                <c:pt idx="117">
                  <c:v>190.33784970366949</c:v>
                </c:pt>
                <c:pt idx="118">
                  <c:v>190.17422517002532</c:v>
                </c:pt>
                <c:pt idx="119">
                  <c:v>190.09467831620262</c:v>
                </c:pt>
                <c:pt idx="120">
                  <c:v>190.01232111880552</c:v>
                </c:pt>
                <c:pt idx="121">
                  <c:v>189.94653604884877</c:v>
                </c:pt>
                <c:pt idx="122">
                  <c:v>189.87972666695256</c:v>
                </c:pt>
                <c:pt idx="123">
                  <c:v>189.80008706122047</c:v>
                </c:pt>
                <c:pt idx="124">
                  <c:v>189.73695557180713</c:v>
                </c:pt>
                <c:pt idx="125">
                  <c:v>189.68573081126561</c:v>
                </c:pt>
                <c:pt idx="126">
                  <c:v>189.63623606850899</c:v>
                </c:pt>
                <c:pt idx="127">
                  <c:v>189.58527237079966</c:v>
                </c:pt>
                <c:pt idx="128">
                  <c:v>189.5382695362801</c:v>
                </c:pt>
                <c:pt idx="129">
                  <c:v>189.4875147584969</c:v>
                </c:pt>
                <c:pt idx="130">
                  <c:v>189.44034188535807</c:v>
                </c:pt>
                <c:pt idx="131">
                  <c:v>189.39738343665661</c:v>
                </c:pt>
                <c:pt idx="132">
                  <c:v>189.39744765973413</c:v>
                </c:pt>
                <c:pt idx="133">
                  <c:v>189.38617140857224</c:v>
                </c:pt>
                <c:pt idx="134">
                  <c:v>189.40757112265237</c:v>
                </c:pt>
                <c:pt idx="135">
                  <c:v>189.45926550350143</c:v>
                </c:pt>
                <c:pt idx="136">
                  <c:v>189.47408105206361</c:v>
                </c:pt>
                <c:pt idx="137">
                  <c:v>189.47096229468639</c:v>
                </c:pt>
                <c:pt idx="138">
                  <c:v>189.46631674209576</c:v>
                </c:pt>
                <c:pt idx="139">
                  <c:v>189.45882794419143</c:v>
                </c:pt>
                <c:pt idx="140">
                  <c:v>189.48671222681773</c:v>
                </c:pt>
                <c:pt idx="141">
                  <c:v>189.70552224055049</c:v>
                </c:pt>
                <c:pt idx="142">
                  <c:v>189.81288340842073</c:v>
                </c:pt>
                <c:pt idx="143">
                  <c:v>189.89636071482104</c:v>
                </c:pt>
                <c:pt idx="144">
                  <c:v>189.96701471588082</c:v>
                </c:pt>
                <c:pt idx="145">
                  <c:v>190.09826295987278</c:v>
                </c:pt>
                <c:pt idx="146">
                  <c:v>190.16368029920196</c:v>
                </c:pt>
                <c:pt idx="147">
                  <c:v>190.22711978469661</c:v>
                </c:pt>
                <c:pt idx="148">
                  <c:v>190.22383986439826</c:v>
                </c:pt>
                <c:pt idx="149">
                  <c:v>190.24665817949219</c:v>
                </c:pt>
                <c:pt idx="150">
                  <c:v>190.27068016532135</c:v>
                </c:pt>
                <c:pt idx="151">
                  <c:v>190.3649762949247</c:v>
                </c:pt>
                <c:pt idx="152">
                  <c:v>190.42591443149593</c:v>
                </c:pt>
                <c:pt idx="153">
                  <c:v>190.45706851709409</c:v>
                </c:pt>
                <c:pt idx="154">
                  <c:v>190.50125458658314</c:v>
                </c:pt>
                <c:pt idx="155">
                  <c:v>190.55393636888491</c:v>
                </c:pt>
                <c:pt idx="156">
                  <c:v>190.63520372199417</c:v>
                </c:pt>
                <c:pt idx="157">
                  <c:v>190.71314900299654</c:v>
                </c:pt>
                <c:pt idx="158">
                  <c:v>190.79858935352121</c:v>
                </c:pt>
                <c:pt idx="159">
                  <c:v>190.8860261198293</c:v>
                </c:pt>
                <c:pt idx="160">
                  <c:v>191.0052040999642</c:v>
                </c:pt>
                <c:pt idx="161">
                  <c:v>191.09159256121083</c:v>
                </c:pt>
                <c:pt idx="162">
                  <c:v>191.18562876697035</c:v>
                </c:pt>
                <c:pt idx="163">
                  <c:v>191.30819867134079</c:v>
                </c:pt>
                <c:pt idx="164">
                  <c:v>191.43986735762834</c:v>
                </c:pt>
                <c:pt idx="165">
                  <c:v>191.56568120008095</c:v>
                </c:pt>
                <c:pt idx="166">
                  <c:v>191.70368887961442</c:v>
                </c:pt>
                <c:pt idx="167">
                  <c:v>191.93966490316325</c:v>
                </c:pt>
                <c:pt idx="168">
                  <c:v>192.130639161407</c:v>
                </c:pt>
                <c:pt idx="169">
                  <c:v>192.3423085681471</c:v>
                </c:pt>
                <c:pt idx="170">
                  <c:v>192.52730252079709</c:v>
                </c:pt>
                <c:pt idx="171">
                  <c:v>192.6825094305276</c:v>
                </c:pt>
                <c:pt idx="172">
                  <c:v>192.88895836165781</c:v>
                </c:pt>
                <c:pt idx="173">
                  <c:v>193.10025605705476</c:v>
                </c:pt>
                <c:pt idx="174">
                  <c:v>193.47888797573563</c:v>
                </c:pt>
                <c:pt idx="175">
                  <c:v>193.84759053507702</c:v>
                </c:pt>
                <c:pt idx="176">
                  <c:v>194.27126349587726</c:v>
                </c:pt>
                <c:pt idx="177">
                  <c:v>194.71607037932282</c:v>
                </c:pt>
                <c:pt idx="178">
                  <c:v>195.14665900063588</c:v>
                </c:pt>
                <c:pt idx="179">
                  <c:v>195.49305568871034</c:v>
                </c:pt>
                <c:pt idx="180">
                  <c:v>195.88369560824501</c:v>
                </c:pt>
                <c:pt idx="181">
                  <c:v>196.5510239662452</c:v>
                </c:pt>
                <c:pt idx="182">
                  <c:v>196.99982504438006</c:v>
                </c:pt>
                <c:pt idx="183">
                  <c:v>197.40339635403492</c:v>
                </c:pt>
                <c:pt idx="184">
                  <c:v>197.76974692856663</c:v>
                </c:pt>
                <c:pt idx="185">
                  <c:v>198.17180356531009</c:v>
                </c:pt>
                <c:pt idx="186">
                  <c:v>198.56972027433966</c:v>
                </c:pt>
                <c:pt idx="187">
                  <c:v>198.94886024640186</c:v>
                </c:pt>
                <c:pt idx="188">
                  <c:v>199.28874267574417</c:v>
                </c:pt>
                <c:pt idx="189">
                  <c:v>199.61821106015967</c:v>
                </c:pt>
                <c:pt idx="190">
                  <c:v>200.01123856791688</c:v>
                </c:pt>
                <c:pt idx="191">
                  <c:v>200.44231619164569</c:v>
                </c:pt>
                <c:pt idx="192">
                  <c:v>200.87767090947301</c:v>
                </c:pt>
                <c:pt idx="193">
                  <c:v>201.31764061495926</c:v>
                </c:pt>
                <c:pt idx="194">
                  <c:v>201.95985738731179</c:v>
                </c:pt>
                <c:pt idx="195">
                  <c:v>202.44703843208927</c:v>
                </c:pt>
                <c:pt idx="196">
                  <c:v>202.94370717345103</c:v>
                </c:pt>
                <c:pt idx="197">
                  <c:v>203.40826290594649</c:v>
                </c:pt>
                <c:pt idx="198">
                  <c:v>203.86719760149413</c:v>
                </c:pt>
                <c:pt idx="199">
                  <c:v>204.29865231410753</c:v>
                </c:pt>
                <c:pt idx="200">
                  <c:v>204.82638378114106</c:v>
                </c:pt>
                <c:pt idx="201">
                  <c:v>205.31241001829716</c:v>
                </c:pt>
                <c:pt idx="202">
                  <c:v>205.67649944746822</c:v>
                </c:pt>
                <c:pt idx="203">
                  <c:v>206.06330869109127</c:v>
                </c:pt>
                <c:pt idx="204">
                  <c:v>206.58635857396854</c:v>
                </c:pt>
                <c:pt idx="205">
                  <c:v>207.05314946761811</c:v>
                </c:pt>
                <c:pt idx="206">
                  <c:v>207.35305285844913</c:v>
                </c:pt>
                <c:pt idx="207">
                  <c:v>207.52280417986609</c:v>
                </c:pt>
                <c:pt idx="208">
                  <c:v>207.66795968423449</c:v>
                </c:pt>
                <c:pt idx="209">
                  <c:v>207.78234066042523</c:v>
                </c:pt>
                <c:pt idx="210">
                  <c:v>207.89610258050806</c:v>
                </c:pt>
                <c:pt idx="211">
                  <c:v>207.97020856151994</c:v>
                </c:pt>
                <c:pt idx="212">
                  <c:v>208.01334405521482</c:v>
                </c:pt>
                <c:pt idx="213">
                  <c:v>208.0619342524401</c:v>
                </c:pt>
                <c:pt idx="214">
                  <c:v>208.19781125283168</c:v>
                </c:pt>
                <c:pt idx="215">
                  <c:v>208.32582823228881</c:v>
                </c:pt>
                <c:pt idx="216">
                  <c:v>208.439832291839</c:v>
                </c:pt>
                <c:pt idx="217">
                  <c:v>208.54597464794713</c:v>
                </c:pt>
                <c:pt idx="218">
                  <c:v>208.62262804881036</c:v>
                </c:pt>
                <c:pt idx="219">
                  <c:v>208.70860529111116</c:v>
                </c:pt>
                <c:pt idx="220">
                  <c:v>208.8418654908142</c:v>
                </c:pt>
                <c:pt idx="221">
                  <c:v>208.891173785158</c:v>
                </c:pt>
                <c:pt idx="222">
                  <c:v>208.95393188765044</c:v>
                </c:pt>
                <c:pt idx="223">
                  <c:v>209.0217267329266</c:v>
                </c:pt>
                <c:pt idx="224">
                  <c:v>209.16847841328001</c:v>
                </c:pt>
                <c:pt idx="225">
                  <c:v>209.42421156974387</c:v>
                </c:pt>
                <c:pt idx="226">
                  <c:v>209.68613329901399</c:v>
                </c:pt>
                <c:pt idx="227">
                  <c:v>210.05423879478369</c:v>
                </c:pt>
                <c:pt idx="228">
                  <c:v>210.35140239452741</c:v>
                </c:pt>
                <c:pt idx="229">
                  <c:v>210.56586596357175</c:v>
                </c:pt>
                <c:pt idx="230">
                  <c:v>210.76919975999405</c:v>
                </c:pt>
                <c:pt idx="231">
                  <c:v>210.96966959708004</c:v>
                </c:pt>
                <c:pt idx="232">
                  <c:v>211.20360434113451</c:v>
                </c:pt>
                <c:pt idx="233">
                  <c:v>211.52637363663573</c:v>
                </c:pt>
                <c:pt idx="234">
                  <c:v>211.89005827466576</c:v>
                </c:pt>
                <c:pt idx="235">
                  <c:v>212.25863367186588</c:v>
                </c:pt>
                <c:pt idx="236">
                  <c:v>212.55466045313733</c:v>
                </c:pt>
                <c:pt idx="237">
                  <c:v>212.86031930732292</c:v>
                </c:pt>
                <c:pt idx="238">
                  <c:v>213.10779210636235</c:v>
                </c:pt>
                <c:pt idx="239">
                  <c:v>213.40149275139336</c:v>
                </c:pt>
                <c:pt idx="240">
                  <c:v>213.60750963745096</c:v>
                </c:pt>
                <c:pt idx="241">
                  <c:v>213.82599229083149</c:v>
                </c:pt>
                <c:pt idx="242">
                  <c:v>214.03901929603654</c:v>
                </c:pt>
                <c:pt idx="243">
                  <c:v>214.17738182531451</c:v>
                </c:pt>
                <c:pt idx="244">
                  <c:v>214.358199930296</c:v>
                </c:pt>
                <c:pt idx="245">
                  <c:v>214.76054376918654</c:v>
                </c:pt>
                <c:pt idx="246">
                  <c:v>214.87633838414212</c:v>
                </c:pt>
                <c:pt idx="247">
                  <c:v>214.95900539140669</c:v>
                </c:pt>
                <c:pt idx="248">
                  <c:v>215.10591684757298</c:v>
                </c:pt>
                <c:pt idx="249">
                  <c:v>215.19209849387181</c:v>
                </c:pt>
                <c:pt idx="250">
                  <c:v>215.26691230268801</c:v>
                </c:pt>
                <c:pt idx="251">
                  <c:v>215.34222781163183</c:v>
                </c:pt>
                <c:pt idx="252">
                  <c:v>215.42495478154117</c:v>
                </c:pt>
                <c:pt idx="253">
                  <c:v>215.5614525534935</c:v>
                </c:pt>
                <c:pt idx="254">
                  <c:v>215.66914217703274</c:v>
                </c:pt>
                <c:pt idx="255">
                  <c:v>215.79828380700542</c:v>
                </c:pt>
                <c:pt idx="256">
                  <c:v>215.90118106480952</c:v>
                </c:pt>
                <c:pt idx="257">
                  <c:v>216.00039573372158</c:v>
                </c:pt>
                <c:pt idx="258">
                  <c:v>216.08383219500229</c:v>
                </c:pt>
                <c:pt idx="259">
                  <c:v>216.16402066827496</c:v>
                </c:pt>
                <c:pt idx="260">
                  <c:v>216.2478549105885</c:v>
                </c:pt>
                <c:pt idx="261">
                  <c:v>216.35974018678397</c:v>
                </c:pt>
                <c:pt idx="262">
                  <c:v>216.54700409706345</c:v>
                </c:pt>
                <c:pt idx="263">
                  <c:v>216.68601146494288</c:v>
                </c:pt>
                <c:pt idx="264">
                  <c:v>216.83468187000466</c:v>
                </c:pt>
                <c:pt idx="265">
                  <c:v>216.97582641589622</c:v>
                </c:pt>
                <c:pt idx="266">
                  <c:v>217.09471752073546</c:v>
                </c:pt>
                <c:pt idx="267">
                  <c:v>217.24988047176083</c:v>
                </c:pt>
                <c:pt idx="268">
                  <c:v>217.40632951100775</c:v>
                </c:pt>
                <c:pt idx="269">
                  <c:v>217.66413146663271</c:v>
                </c:pt>
                <c:pt idx="270">
                  <c:v>218.78729412871425</c:v>
                </c:pt>
                <c:pt idx="271">
                  <c:v>219.40684616174394</c:v>
                </c:pt>
                <c:pt idx="272">
                  <c:v>220.16208845260601</c:v>
                </c:pt>
                <c:pt idx="273">
                  <c:v>220.83513079962518</c:v>
                </c:pt>
                <c:pt idx="274">
                  <c:v>221.48199769873972</c:v>
                </c:pt>
                <c:pt idx="275">
                  <c:v>221.97134927194932</c:v>
                </c:pt>
                <c:pt idx="276">
                  <c:v>222.31276254096124</c:v>
                </c:pt>
                <c:pt idx="277">
                  <c:v>222.62394335303631</c:v>
                </c:pt>
                <c:pt idx="278">
                  <c:v>223.04852197204349</c:v>
                </c:pt>
                <c:pt idx="279">
                  <c:v>223.39842466980724</c:v>
                </c:pt>
                <c:pt idx="280">
                  <c:v>223.85324850488306</c:v>
                </c:pt>
                <c:pt idx="281">
                  <c:v>224.29596969088573</c:v>
                </c:pt>
                <c:pt idx="282">
                  <c:v>224.77097105766444</c:v>
                </c:pt>
                <c:pt idx="283">
                  <c:v>225.22485974217082</c:v>
                </c:pt>
                <c:pt idx="284">
                  <c:v>225.73819386988788</c:v>
                </c:pt>
                <c:pt idx="285">
                  <c:v>226.24117612359547</c:v>
                </c:pt>
                <c:pt idx="286">
                  <c:v>226.67810855212534</c:v>
                </c:pt>
                <c:pt idx="287">
                  <c:v>227.14839901692167</c:v>
                </c:pt>
                <c:pt idx="288">
                  <c:v>227.46268153763197</c:v>
                </c:pt>
                <c:pt idx="289">
                  <c:v>227.74447775340056</c:v>
                </c:pt>
                <c:pt idx="290">
                  <c:v>228.20279574166898</c:v>
                </c:pt>
                <c:pt idx="291">
                  <c:v>228.4316785815619</c:v>
                </c:pt>
                <c:pt idx="292">
                  <c:v>228.78120891554562</c:v>
                </c:pt>
                <c:pt idx="293">
                  <c:v>229.0542010097671</c:v>
                </c:pt>
                <c:pt idx="294">
                  <c:v>229.27131069458153</c:v>
                </c:pt>
                <c:pt idx="295">
                  <c:v>229.76543525793505</c:v>
                </c:pt>
                <c:pt idx="296">
                  <c:v>230.25717596431929</c:v>
                </c:pt>
                <c:pt idx="297">
                  <c:v>230.55086322404341</c:v>
                </c:pt>
                <c:pt idx="298">
                  <c:v>230.78366699201317</c:v>
                </c:pt>
                <c:pt idx="299">
                  <c:v>230.98168361266966</c:v>
                </c:pt>
                <c:pt idx="300">
                  <c:v>231.20520957741181</c:v>
                </c:pt>
                <c:pt idx="301">
                  <c:v>231.43636804508557</c:v>
                </c:pt>
                <c:pt idx="302">
                  <c:v>231.64718140900786</c:v>
                </c:pt>
                <c:pt idx="303">
                  <c:v>231.8904320549978</c:v>
                </c:pt>
                <c:pt idx="304">
                  <c:v>232.15236700242463</c:v>
                </c:pt>
                <c:pt idx="305">
                  <c:v>232.49293057867493</c:v>
                </c:pt>
                <c:pt idx="306">
                  <c:v>232.72492999451089</c:v>
                </c:pt>
                <c:pt idx="307">
                  <c:v>232.9121669214035</c:v>
                </c:pt>
                <c:pt idx="308">
                  <c:v>233.14575813810029</c:v>
                </c:pt>
                <c:pt idx="309">
                  <c:v>233.29381337807993</c:v>
                </c:pt>
                <c:pt idx="310">
                  <c:v>233.43207088592109</c:v>
                </c:pt>
                <c:pt idx="311">
                  <c:v>233.72075442657768</c:v>
                </c:pt>
                <c:pt idx="312">
                  <c:v>233.94376691563733</c:v>
                </c:pt>
                <c:pt idx="313">
                  <c:v>234.15045762204116</c:v>
                </c:pt>
                <c:pt idx="314">
                  <c:v>234.33917096804123</c:v>
                </c:pt>
                <c:pt idx="315">
                  <c:v>234.44197329410036</c:v>
                </c:pt>
                <c:pt idx="316">
                  <c:v>234.53573894659817</c:v>
                </c:pt>
                <c:pt idx="317">
                  <c:v>234.58114685755766</c:v>
                </c:pt>
                <c:pt idx="318">
                  <c:v>234.74286705521686</c:v>
                </c:pt>
                <c:pt idx="319">
                  <c:v>234.82746013852756</c:v>
                </c:pt>
                <c:pt idx="320">
                  <c:v>234.92533600736783</c:v>
                </c:pt>
                <c:pt idx="321">
                  <c:v>235.02255035298919</c:v>
                </c:pt>
                <c:pt idx="322">
                  <c:v>235.12996244634746</c:v>
                </c:pt>
                <c:pt idx="323">
                  <c:v>235.25756378227555</c:v>
                </c:pt>
                <c:pt idx="324">
                  <c:v>235.3802699042254</c:v>
                </c:pt>
                <c:pt idx="325">
                  <c:v>235.49008214298615</c:v>
                </c:pt>
                <c:pt idx="326">
                  <c:v>235.61536915367842</c:v>
                </c:pt>
                <c:pt idx="327">
                  <c:v>235.87116533765439</c:v>
                </c:pt>
                <c:pt idx="328">
                  <c:v>236.0946867895606</c:v>
                </c:pt>
                <c:pt idx="329">
                  <c:v>236.20480508217119</c:v>
                </c:pt>
                <c:pt idx="330">
                  <c:v>236.2824016950176</c:v>
                </c:pt>
                <c:pt idx="331">
                  <c:v>236.37326486013109</c:v>
                </c:pt>
                <c:pt idx="332">
                  <c:v>236.51775110933153</c:v>
                </c:pt>
                <c:pt idx="333">
                  <c:v>236.62601999566061</c:v>
                </c:pt>
                <c:pt idx="334">
                  <c:v>236.75943918865232</c:v>
                </c:pt>
                <c:pt idx="335">
                  <c:v>236.92746034512024</c:v>
                </c:pt>
                <c:pt idx="336">
                  <c:v>237.05921579260172</c:v>
                </c:pt>
                <c:pt idx="337">
                  <c:v>237.23258177312835</c:v>
                </c:pt>
                <c:pt idx="338">
                  <c:v>237.4169649921227</c:v>
                </c:pt>
                <c:pt idx="339">
                  <c:v>237.54502618438977</c:v>
                </c:pt>
                <c:pt idx="340">
                  <c:v>237.75225758243019</c:v>
                </c:pt>
                <c:pt idx="341">
                  <c:v>237.96029009729236</c:v>
                </c:pt>
                <c:pt idx="342">
                  <c:v>238.16421081065599</c:v>
                </c:pt>
                <c:pt idx="343">
                  <c:v>238.48207403469036</c:v>
                </c:pt>
                <c:pt idx="344">
                  <c:v>238.75758280969046</c:v>
                </c:pt>
                <c:pt idx="345">
                  <c:v>239.01964253261991</c:v>
                </c:pt>
                <c:pt idx="346">
                  <c:v>239.23840136599588</c:v>
                </c:pt>
                <c:pt idx="347">
                  <c:v>239.45691379100361</c:v>
                </c:pt>
                <c:pt idx="348">
                  <c:v>239.63365303883992</c:v>
                </c:pt>
                <c:pt idx="349">
                  <c:v>239.79861321160081</c:v>
                </c:pt>
                <c:pt idx="350">
                  <c:v>240.01244924130543</c:v>
                </c:pt>
                <c:pt idx="351">
                  <c:v>240.17113795380911</c:v>
                </c:pt>
                <c:pt idx="352">
                  <c:v>240.31781426757223</c:v>
                </c:pt>
                <c:pt idx="353">
                  <c:v>240.69947414772668</c:v>
                </c:pt>
                <c:pt idx="354">
                  <c:v>240.89390085568135</c:v>
                </c:pt>
                <c:pt idx="355">
                  <c:v>241.08340252680657</c:v>
                </c:pt>
                <c:pt idx="356">
                  <c:v>241.27638906127012</c:v>
                </c:pt>
                <c:pt idx="357">
                  <c:v>241.47902427748244</c:v>
                </c:pt>
                <c:pt idx="358">
                  <c:v>241.68735678270517</c:v>
                </c:pt>
                <c:pt idx="359">
                  <c:v>241.98793171634088</c:v>
                </c:pt>
                <c:pt idx="360">
                  <c:v>242.35503176525799</c:v>
                </c:pt>
                <c:pt idx="361">
                  <c:v>242.74454525161119</c:v>
                </c:pt>
                <c:pt idx="362">
                  <c:v>243.07050747471831</c:v>
                </c:pt>
                <c:pt idx="363">
                  <c:v>243.3547269061244</c:v>
                </c:pt>
                <c:pt idx="364">
                  <c:v>243.69196469919984</c:v>
                </c:pt>
                <c:pt idx="365">
                  <c:v>244.00800328172892</c:v>
                </c:pt>
                <c:pt idx="366">
                  <c:v>244.34245507795646</c:v>
                </c:pt>
                <c:pt idx="367">
                  <c:v>244.83331601624934</c:v>
                </c:pt>
                <c:pt idx="368">
                  <c:v>245.22176600515158</c:v>
                </c:pt>
                <c:pt idx="369">
                  <c:v>245.66846249396065</c:v>
                </c:pt>
                <c:pt idx="370">
                  <c:v>246.06739555477134</c:v>
                </c:pt>
                <c:pt idx="371">
                  <c:v>246.45746752009504</c:v>
                </c:pt>
                <c:pt idx="372">
                  <c:v>246.82119889969323</c:v>
                </c:pt>
                <c:pt idx="373">
                  <c:v>247.22054201255867</c:v>
                </c:pt>
                <c:pt idx="374">
                  <c:v>247.57424982223</c:v>
                </c:pt>
                <c:pt idx="375">
                  <c:v>247.8949677726971</c:v>
                </c:pt>
                <c:pt idx="376">
                  <c:v>248.17903617360366</c:v>
                </c:pt>
                <c:pt idx="377">
                  <c:v>248.5897830878508</c:v>
                </c:pt>
                <c:pt idx="378">
                  <c:v>248.90554461186582</c:v>
                </c:pt>
                <c:pt idx="379">
                  <c:v>249.21780790453738</c:v>
                </c:pt>
                <c:pt idx="380">
                  <c:v>249.52960508702787</c:v>
                </c:pt>
                <c:pt idx="381">
                  <c:v>249.82235356211234</c:v>
                </c:pt>
                <c:pt idx="382">
                  <c:v>250.07469052215413</c:v>
                </c:pt>
                <c:pt idx="383">
                  <c:v>250.31741064964365</c:v>
                </c:pt>
                <c:pt idx="384">
                  <c:v>250.55016984816743</c:v>
                </c:pt>
                <c:pt idx="385">
                  <c:v>250.80267988493131</c:v>
                </c:pt>
                <c:pt idx="386">
                  <c:v>251.1282194953705</c:v>
                </c:pt>
                <c:pt idx="387">
                  <c:v>251.38243342084755</c:v>
                </c:pt>
                <c:pt idx="388">
                  <c:v>251.68632237138715</c:v>
                </c:pt>
                <c:pt idx="389">
                  <c:v>252.11712814417544</c:v>
                </c:pt>
                <c:pt idx="390">
                  <c:v>252.73489344142664</c:v>
                </c:pt>
                <c:pt idx="391">
                  <c:v>252.95252577143577</c:v>
                </c:pt>
                <c:pt idx="392">
                  <c:v>253.12556182201459</c:v>
                </c:pt>
                <c:pt idx="393">
                  <c:v>253.27720774025806</c:v>
                </c:pt>
                <c:pt idx="394">
                  <c:v>253.3923575060885</c:v>
                </c:pt>
                <c:pt idx="395">
                  <c:v>253.53425314756592</c:v>
                </c:pt>
                <c:pt idx="396">
                  <c:v>253.7105859432256</c:v>
                </c:pt>
                <c:pt idx="397">
                  <c:v>253.81324200084529</c:v>
                </c:pt>
                <c:pt idx="398">
                  <c:v>253.91821311276166</c:v>
                </c:pt>
                <c:pt idx="399">
                  <c:v>253.98950396102526</c:v>
                </c:pt>
                <c:pt idx="400">
                  <c:v>254.09791629057577</c:v>
                </c:pt>
                <c:pt idx="401">
                  <c:v>254.16952692294643</c:v>
                </c:pt>
                <c:pt idx="402">
                  <c:v>254.23463650279774</c:v>
                </c:pt>
                <c:pt idx="403">
                  <c:v>254.28337714790013</c:v>
                </c:pt>
                <c:pt idx="404">
                  <c:v>254.32642962613164</c:v>
                </c:pt>
                <c:pt idx="405">
                  <c:v>254.34373817078853</c:v>
                </c:pt>
                <c:pt idx="406">
                  <c:v>254.36871676861549</c:v>
                </c:pt>
                <c:pt idx="407">
                  <c:v>254.38332315500352</c:v>
                </c:pt>
                <c:pt idx="408">
                  <c:v>254.40121610817584</c:v>
                </c:pt>
                <c:pt idx="409">
                  <c:v>254.42223382513058</c:v>
                </c:pt>
                <c:pt idx="410">
                  <c:v>254.42955558215218</c:v>
                </c:pt>
                <c:pt idx="411">
                  <c:v>254.44732473340869</c:v>
                </c:pt>
                <c:pt idx="412">
                  <c:v>254.46054991756529</c:v>
                </c:pt>
                <c:pt idx="413">
                  <c:v>254.50960691486924</c:v>
                </c:pt>
                <c:pt idx="414">
                  <c:v>254.54442823497348</c:v>
                </c:pt>
                <c:pt idx="415">
                  <c:v>254.56947165256469</c:v>
                </c:pt>
                <c:pt idx="416">
                  <c:v>254.58884494898521</c:v>
                </c:pt>
                <c:pt idx="417">
                  <c:v>254.60779109648905</c:v>
                </c:pt>
                <c:pt idx="418">
                  <c:v>254.63159574179829</c:v>
                </c:pt>
                <c:pt idx="419">
                  <c:v>254.69078474152312</c:v>
                </c:pt>
                <c:pt idx="420">
                  <c:v>254.72978290919116</c:v>
                </c:pt>
                <c:pt idx="421">
                  <c:v>254.87433473674429</c:v>
                </c:pt>
                <c:pt idx="422">
                  <c:v>254.99361784293822</c:v>
                </c:pt>
                <c:pt idx="423">
                  <c:v>255.10541738008891</c:v>
                </c:pt>
                <c:pt idx="424">
                  <c:v>255.18465988300952</c:v>
                </c:pt>
                <c:pt idx="425">
                  <c:v>255.24535362689602</c:v>
                </c:pt>
                <c:pt idx="426">
                  <c:v>255.32906336214612</c:v>
                </c:pt>
                <c:pt idx="427">
                  <c:v>255.39170562500286</c:v>
                </c:pt>
                <c:pt idx="428">
                  <c:v>255.48649427115237</c:v>
                </c:pt>
                <c:pt idx="429">
                  <c:v>255.6339760385853</c:v>
                </c:pt>
                <c:pt idx="430">
                  <c:v>255.90762622477871</c:v>
                </c:pt>
                <c:pt idx="431">
                  <c:v>256.09023759468448</c:v>
                </c:pt>
                <c:pt idx="432">
                  <c:v>256.28657743821753</c:v>
                </c:pt>
                <c:pt idx="433">
                  <c:v>256.39782479885781</c:v>
                </c:pt>
                <c:pt idx="434">
                  <c:v>256.84458365191068</c:v>
                </c:pt>
                <c:pt idx="435">
                  <c:v>257.23456910474744</c:v>
                </c:pt>
                <c:pt idx="436">
                  <c:v>257.48996439681787</c:v>
                </c:pt>
                <c:pt idx="437">
                  <c:v>257.75661558834264</c:v>
                </c:pt>
                <c:pt idx="438">
                  <c:v>258.00011432637586</c:v>
                </c:pt>
                <c:pt idx="439">
                  <c:v>258.2242117831114</c:v>
                </c:pt>
                <c:pt idx="440">
                  <c:v>258.47564775545288</c:v>
                </c:pt>
                <c:pt idx="441">
                  <c:v>258.68040224193089</c:v>
                </c:pt>
                <c:pt idx="442">
                  <c:v>259.06663079669426</c:v>
                </c:pt>
                <c:pt idx="443">
                  <c:v>259.34984838140207</c:v>
                </c:pt>
                <c:pt idx="444">
                  <c:v>259.60958500162701</c:v>
                </c:pt>
                <c:pt idx="445">
                  <c:v>259.79131481438827</c:v>
                </c:pt>
                <c:pt idx="446">
                  <c:v>259.96352481596068</c:v>
                </c:pt>
                <c:pt idx="447">
                  <c:v>260.09444362439979</c:v>
                </c:pt>
                <c:pt idx="448">
                  <c:v>260.25550762580571</c:v>
                </c:pt>
                <c:pt idx="449">
                  <c:v>260.3809016351089</c:v>
                </c:pt>
                <c:pt idx="450">
                  <c:v>260.5995646696407</c:v>
                </c:pt>
                <c:pt idx="451">
                  <c:v>260.77667612644473</c:v>
                </c:pt>
                <c:pt idx="452">
                  <c:v>260.96110328211222</c:v>
                </c:pt>
                <c:pt idx="453">
                  <c:v>261.37987981123041</c:v>
                </c:pt>
                <c:pt idx="454">
                  <c:v>261.95545956710248</c:v>
                </c:pt>
                <c:pt idx="455">
                  <c:v>262.80988874240961</c:v>
                </c:pt>
                <c:pt idx="456">
                  <c:v>263.42636846915252</c:v>
                </c:pt>
                <c:pt idx="457">
                  <c:v>263.87041256707425</c:v>
                </c:pt>
                <c:pt idx="458">
                  <c:v>264.20011605445666</c:v>
                </c:pt>
                <c:pt idx="459">
                  <c:v>264.56209247235586</c:v>
                </c:pt>
                <c:pt idx="460">
                  <c:v>265.01922150555572</c:v>
                </c:pt>
                <c:pt idx="461">
                  <c:v>265.34737469829213</c:v>
                </c:pt>
                <c:pt idx="462">
                  <c:v>265.67207480102957</c:v>
                </c:pt>
                <c:pt idx="463">
                  <c:v>265.99699698933546</c:v>
                </c:pt>
                <c:pt idx="464">
                  <c:v>266.4458775486645</c:v>
                </c:pt>
                <c:pt idx="465">
                  <c:v>266.77782259808168</c:v>
                </c:pt>
                <c:pt idx="466">
                  <c:v>267.04503921627696</c:v>
                </c:pt>
                <c:pt idx="467">
                  <c:v>267.39488982455305</c:v>
                </c:pt>
                <c:pt idx="468">
                  <c:v>267.81838030817454</c:v>
                </c:pt>
                <c:pt idx="469">
                  <c:v>268.13745925790175</c:v>
                </c:pt>
                <c:pt idx="470">
                  <c:v>268.39715909860473</c:v>
                </c:pt>
                <c:pt idx="471">
                  <c:v>268.6166461764625</c:v>
                </c:pt>
                <c:pt idx="472">
                  <c:v>268.82297648183373</c:v>
                </c:pt>
                <c:pt idx="473">
                  <c:v>268.98453873617905</c:v>
                </c:pt>
                <c:pt idx="474">
                  <c:v>269.21172880803203</c:v>
                </c:pt>
                <c:pt idx="475">
                  <c:v>269.48387324318901</c:v>
                </c:pt>
                <c:pt idx="476">
                  <c:v>269.80901089753667</c:v>
                </c:pt>
                <c:pt idx="477">
                  <c:v>270.02205630960697</c:v>
                </c:pt>
                <c:pt idx="478">
                  <c:v>270.20529714912146</c:v>
                </c:pt>
                <c:pt idx="479">
                  <c:v>270.3955311001954</c:v>
                </c:pt>
                <c:pt idx="480">
                  <c:v>270.62182193703813</c:v>
                </c:pt>
                <c:pt idx="481">
                  <c:v>270.86198726913113</c:v>
                </c:pt>
                <c:pt idx="482">
                  <c:v>271.09489079387953</c:v>
                </c:pt>
                <c:pt idx="483">
                  <c:v>271.32120342229905</c:v>
                </c:pt>
                <c:pt idx="484">
                  <c:v>271.52341926818866</c:v>
                </c:pt>
                <c:pt idx="485">
                  <c:v>271.77671337799649</c:v>
                </c:pt>
                <c:pt idx="486">
                  <c:v>272.01000435685432</c:v>
                </c:pt>
                <c:pt idx="487">
                  <c:v>272.27114044274174</c:v>
                </c:pt>
                <c:pt idx="488">
                  <c:v>272.49543751914211</c:v>
                </c:pt>
                <c:pt idx="489">
                  <c:v>272.71721665954595</c:v>
                </c:pt>
                <c:pt idx="490">
                  <c:v>272.95596368521052</c:v>
                </c:pt>
                <c:pt idx="491">
                  <c:v>273.1572512637913</c:v>
                </c:pt>
                <c:pt idx="492">
                  <c:v>273.350084061301</c:v>
                </c:pt>
                <c:pt idx="493">
                  <c:v>273.59902958483661</c:v>
                </c:pt>
                <c:pt idx="494">
                  <c:v>274.02529394900336</c:v>
                </c:pt>
                <c:pt idx="495">
                  <c:v>274.19406846432474</c:v>
                </c:pt>
                <c:pt idx="496">
                  <c:v>274.37627240614404</c:v>
                </c:pt>
                <c:pt idx="497">
                  <c:v>274.50505179896857</c:v>
                </c:pt>
                <c:pt idx="498">
                  <c:v>274.68752062389149</c:v>
                </c:pt>
                <c:pt idx="499">
                  <c:v>274.93279647979119</c:v>
                </c:pt>
                <c:pt idx="500">
                  <c:v>275.0692606674877</c:v>
                </c:pt>
                <c:pt idx="501">
                  <c:v>275.22547120058698</c:v>
                </c:pt>
                <c:pt idx="502">
                  <c:v>275.39227412577031</c:v>
                </c:pt>
                <c:pt idx="503">
                  <c:v>275.56201333888447</c:v>
                </c:pt>
                <c:pt idx="504">
                  <c:v>275.76656950489047</c:v>
                </c:pt>
                <c:pt idx="505">
                  <c:v>275.90396444654385</c:v>
                </c:pt>
                <c:pt idx="506">
                  <c:v>276.08244961788694</c:v>
                </c:pt>
                <c:pt idx="507">
                  <c:v>276.24717048340011</c:v>
                </c:pt>
                <c:pt idx="508">
                  <c:v>276.48895990807767</c:v>
                </c:pt>
                <c:pt idx="509">
                  <c:v>276.70168653642179</c:v>
                </c:pt>
                <c:pt idx="510">
                  <c:v>276.91987128494503</c:v>
                </c:pt>
                <c:pt idx="511">
                  <c:v>277.11554670340416</c:v>
                </c:pt>
                <c:pt idx="512">
                  <c:v>277.39051075721602</c:v>
                </c:pt>
                <c:pt idx="513">
                  <c:v>277.60982534135314</c:v>
                </c:pt>
                <c:pt idx="514">
                  <c:v>277.80619800488199</c:v>
                </c:pt>
                <c:pt idx="515">
                  <c:v>277.94686472535221</c:v>
                </c:pt>
                <c:pt idx="516">
                  <c:v>278.06773338297319</c:v>
                </c:pt>
                <c:pt idx="517">
                  <c:v>278.21550339014954</c:v>
                </c:pt>
                <c:pt idx="518">
                  <c:v>278.33176194645483</c:v>
                </c:pt>
                <c:pt idx="519">
                  <c:v>278.52174109931144</c:v>
                </c:pt>
                <c:pt idx="520">
                  <c:v>278.93187587959164</c:v>
                </c:pt>
                <c:pt idx="521">
                  <c:v>279.190604679388</c:v>
                </c:pt>
                <c:pt idx="522">
                  <c:v>279.44836561235223</c:v>
                </c:pt>
                <c:pt idx="523">
                  <c:v>279.77564052659085</c:v>
                </c:pt>
                <c:pt idx="524">
                  <c:v>279.99849861981687</c:v>
                </c:pt>
                <c:pt idx="525">
                  <c:v>280.15183200778546</c:v>
                </c:pt>
                <c:pt idx="526">
                  <c:v>280.30094927497527</c:v>
                </c:pt>
                <c:pt idx="527">
                  <c:v>280.46060100553268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6-4B62-B629-44B37CBA5E53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Data!$I$2:$I$529</c:f>
              <c:numCache>
                <c:formatCode>General</c:formatCode>
                <c:ptCount val="528"/>
                <c:pt idx="0">
                  <c:v>161.5</c:v>
                </c:pt>
                <c:pt idx="1">
                  <c:v>160.07690403456706</c:v>
                </c:pt>
                <c:pt idx="2">
                  <c:v>160.22865249405464</c:v>
                </c:pt>
                <c:pt idx="3">
                  <c:v>159.47809089842076</c:v>
                </c:pt>
                <c:pt idx="4">
                  <c:v>159.65729323950907</c:v>
                </c:pt>
                <c:pt idx="5">
                  <c:v>159.65926859541599</c:v>
                </c:pt>
                <c:pt idx="6">
                  <c:v>159.76698867787184</c:v>
                </c:pt>
                <c:pt idx="7">
                  <c:v>159.86644361577947</c:v>
                </c:pt>
                <c:pt idx="8">
                  <c:v>159.72780936400321</c:v>
                </c:pt>
                <c:pt idx="9">
                  <c:v>159.82403736641072</c:v>
                </c:pt>
                <c:pt idx="10">
                  <c:v>160.03138975254046</c:v>
                </c:pt>
                <c:pt idx="11">
                  <c:v>160.18598751487664</c:v>
                </c:pt>
                <c:pt idx="12">
                  <c:v>160.52348884300142</c:v>
                </c:pt>
                <c:pt idx="13">
                  <c:v>160.61595296884042</c:v>
                </c:pt>
                <c:pt idx="14">
                  <c:v>160.65215369705635</c:v>
                </c:pt>
                <c:pt idx="15">
                  <c:v>161.38187988702137</c:v>
                </c:pt>
                <c:pt idx="16">
                  <c:v>165.82293820433856</c:v>
                </c:pt>
                <c:pt idx="17">
                  <c:v>165.91546377926662</c:v>
                </c:pt>
                <c:pt idx="18">
                  <c:v>165.78977604607883</c:v>
                </c:pt>
                <c:pt idx="19">
                  <c:v>165.63582640451307</c:v>
                </c:pt>
                <c:pt idx="20">
                  <c:v>165.99044031412433</c:v>
                </c:pt>
                <c:pt idx="21">
                  <c:v>166.03784378473753</c:v>
                </c:pt>
                <c:pt idx="22">
                  <c:v>166.12798982201889</c:v>
                </c:pt>
                <c:pt idx="23">
                  <c:v>166.30757117104091</c:v>
                </c:pt>
                <c:pt idx="24">
                  <c:v>166.45307972613119</c:v>
                </c:pt>
                <c:pt idx="25">
                  <c:v>166.66469058256553</c:v>
                </c:pt>
                <c:pt idx="26">
                  <c:v>166.88823726786151</c:v>
                </c:pt>
                <c:pt idx="27">
                  <c:v>167.09693046192697</c:v>
                </c:pt>
                <c:pt idx="28">
                  <c:v>167.29551935257712</c:v>
                </c:pt>
                <c:pt idx="29">
                  <c:v>167.49141852186676</c:v>
                </c:pt>
                <c:pt idx="30">
                  <c:v>167.652886370028</c:v>
                </c:pt>
                <c:pt idx="31">
                  <c:v>167.85066250452203</c:v>
                </c:pt>
                <c:pt idx="32">
                  <c:v>168.05128673399773</c:v>
                </c:pt>
                <c:pt idx="33">
                  <c:v>168.23783159188667</c:v>
                </c:pt>
                <c:pt idx="34">
                  <c:v>168.39162090734061</c:v>
                </c:pt>
                <c:pt idx="35">
                  <c:v>168.59036755866208</c:v>
                </c:pt>
                <c:pt idx="36">
                  <c:v>168.73776528706262</c:v>
                </c:pt>
                <c:pt idx="37">
                  <c:v>168.91743320613108</c:v>
                </c:pt>
                <c:pt idx="38">
                  <c:v>169.07059382422005</c:v>
                </c:pt>
                <c:pt idx="39">
                  <c:v>169.20965531467573</c:v>
                </c:pt>
                <c:pt idx="40">
                  <c:v>169.42703279408627</c:v>
                </c:pt>
                <c:pt idx="41">
                  <c:v>169.57246614263869</c:v>
                </c:pt>
                <c:pt idx="42">
                  <c:v>169.88707026143391</c:v>
                </c:pt>
                <c:pt idx="43">
                  <c:v>170.07937667966652</c:v>
                </c:pt>
                <c:pt idx="44">
                  <c:v>170.3170465742709</c:v>
                </c:pt>
                <c:pt idx="45">
                  <c:v>170.41196316168319</c:v>
                </c:pt>
                <c:pt idx="46">
                  <c:v>170.49072155704155</c:v>
                </c:pt>
                <c:pt idx="47">
                  <c:v>170.65615271529958</c:v>
                </c:pt>
                <c:pt idx="48">
                  <c:v>170.83870725807108</c:v>
                </c:pt>
                <c:pt idx="49">
                  <c:v>170.93341658090998</c:v>
                </c:pt>
                <c:pt idx="50">
                  <c:v>171.07256296316089</c:v>
                </c:pt>
                <c:pt idx="51">
                  <c:v>171.36383744154341</c:v>
                </c:pt>
                <c:pt idx="52">
                  <c:v>171.54666981630876</c:v>
                </c:pt>
                <c:pt idx="53">
                  <c:v>171.72381857365977</c:v>
                </c:pt>
                <c:pt idx="54">
                  <c:v>171.82323538033339</c:v>
                </c:pt>
                <c:pt idx="55">
                  <c:v>172.01699649058341</c:v>
                </c:pt>
                <c:pt idx="56">
                  <c:v>172.15242149772837</c:v>
                </c:pt>
                <c:pt idx="57">
                  <c:v>172.27920051156315</c:v>
                </c:pt>
                <c:pt idx="58">
                  <c:v>172.41105161678658</c:v>
                </c:pt>
                <c:pt idx="59">
                  <c:v>172.53413138087592</c:v>
                </c:pt>
                <c:pt idx="60">
                  <c:v>172.65683826876676</c:v>
                </c:pt>
                <c:pt idx="61">
                  <c:v>172.75262086043594</c:v>
                </c:pt>
                <c:pt idx="62">
                  <c:v>172.85469418021603</c:v>
                </c:pt>
                <c:pt idx="63">
                  <c:v>172.95451780879864</c:v>
                </c:pt>
                <c:pt idx="64">
                  <c:v>173.05712016243751</c:v>
                </c:pt>
                <c:pt idx="65">
                  <c:v>173.14476630171805</c:v>
                </c:pt>
                <c:pt idx="66">
                  <c:v>173.24084664590157</c:v>
                </c:pt>
                <c:pt idx="67">
                  <c:v>173.33801152367869</c:v>
                </c:pt>
                <c:pt idx="68">
                  <c:v>173.42816840064955</c:v>
                </c:pt>
                <c:pt idx="69">
                  <c:v>173.51474055561349</c:v>
                </c:pt>
                <c:pt idx="70">
                  <c:v>173.56983599154387</c:v>
                </c:pt>
                <c:pt idx="71">
                  <c:v>173.6116740980784</c:v>
                </c:pt>
                <c:pt idx="72">
                  <c:v>173.67874936543305</c:v>
                </c:pt>
                <c:pt idx="73">
                  <c:v>173.74089351121236</c:v>
                </c:pt>
                <c:pt idx="74">
                  <c:v>173.78715245452204</c:v>
                </c:pt>
                <c:pt idx="75">
                  <c:v>173.8324978817239</c:v>
                </c:pt>
                <c:pt idx="76">
                  <c:v>173.87991489496704</c:v>
                </c:pt>
                <c:pt idx="77">
                  <c:v>173.91463847344147</c:v>
                </c:pt>
                <c:pt idx="78">
                  <c:v>173.97924104338176</c:v>
                </c:pt>
                <c:pt idx="79">
                  <c:v>173.28060448885915</c:v>
                </c:pt>
                <c:pt idx="80">
                  <c:v>172.83219735041229</c:v>
                </c:pt>
                <c:pt idx="81">
                  <c:v>172.55624821142553</c:v>
                </c:pt>
                <c:pt idx="82">
                  <c:v>172.22367422253762</c:v>
                </c:pt>
                <c:pt idx="83">
                  <c:v>171.92988950405353</c:v>
                </c:pt>
                <c:pt idx="84">
                  <c:v>171.6634639164478</c:v>
                </c:pt>
                <c:pt idx="85">
                  <c:v>171.45111823024047</c:v>
                </c:pt>
                <c:pt idx="86">
                  <c:v>171.28852776873461</c:v>
                </c:pt>
                <c:pt idx="87">
                  <c:v>171.15904792124337</c:v>
                </c:pt>
                <c:pt idx="88">
                  <c:v>171.05404884861736</c:v>
                </c:pt>
                <c:pt idx="89">
                  <c:v>170.84857702599876</c:v>
                </c:pt>
                <c:pt idx="90">
                  <c:v>170.73600693196889</c:v>
                </c:pt>
                <c:pt idx="91">
                  <c:v>170.62987944762813</c:v>
                </c:pt>
                <c:pt idx="92">
                  <c:v>170.51769124624951</c:v>
                </c:pt>
                <c:pt idx="93">
                  <c:v>170.37154907056907</c:v>
                </c:pt>
                <c:pt idx="94">
                  <c:v>170.27088094056089</c:v>
                </c:pt>
                <c:pt idx="95">
                  <c:v>170.18825199613852</c:v>
                </c:pt>
                <c:pt idx="96">
                  <c:v>170.12817399451723</c:v>
                </c:pt>
                <c:pt idx="97">
                  <c:v>170.05851848071029</c:v>
                </c:pt>
                <c:pt idx="98">
                  <c:v>170.0438233084142</c:v>
                </c:pt>
                <c:pt idx="99">
                  <c:v>169.98593903086214</c:v>
                </c:pt>
                <c:pt idx="100">
                  <c:v>169.94848951167097</c:v>
                </c:pt>
                <c:pt idx="101">
                  <c:v>169.89386823357339</c:v>
                </c:pt>
                <c:pt idx="102">
                  <c:v>169.75592954451335</c:v>
                </c:pt>
                <c:pt idx="103">
                  <c:v>169.60376327590942</c:v>
                </c:pt>
                <c:pt idx="104">
                  <c:v>169.45059940827051</c:v>
                </c:pt>
                <c:pt idx="105">
                  <c:v>169.33226296015346</c:v>
                </c:pt>
                <c:pt idx="106">
                  <c:v>169.23149444781873</c:v>
                </c:pt>
                <c:pt idx="107">
                  <c:v>169.14649335554799</c:v>
                </c:pt>
                <c:pt idx="108">
                  <c:v>169.09594012330621</c:v>
                </c:pt>
                <c:pt idx="109">
                  <c:v>169.04426473318094</c:v>
                </c:pt>
                <c:pt idx="110">
                  <c:v>168.99953359609461</c:v>
                </c:pt>
                <c:pt idx="111">
                  <c:v>168.95119926148067</c:v>
                </c:pt>
                <c:pt idx="112">
                  <c:v>168.88780704445819</c:v>
                </c:pt>
                <c:pt idx="113">
                  <c:v>168.82756072610044</c:v>
                </c:pt>
                <c:pt idx="114">
                  <c:v>168.78485862994052</c:v>
                </c:pt>
                <c:pt idx="115">
                  <c:v>168.73787866692322</c:v>
                </c:pt>
                <c:pt idx="116">
                  <c:v>168.70272081777637</c:v>
                </c:pt>
                <c:pt idx="117">
                  <c:v>168.69165061491614</c:v>
                </c:pt>
                <c:pt idx="118">
                  <c:v>168.59283606287832</c:v>
                </c:pt>
                <c:pt idx="119">
                  <c:v>168.59533486369483</c:v>
                </c:pt>
                <c:pt idx="120">
                  <c:v>168.57781968081161</c:v>
                </c:pt>
                <c:pt idx="121">
                  <c:v>168.5698022705007</c:v>
                </c:pt>
                <c:pt idx="122">
                  <c:v>168.5500276655977</c:v>
                </c:pt>
                <c:pt idx="123">
                  <c:v>168.53687873853838</c:v>
                </c:pt>
                <c:pt idx="124">
                  <c:v>168.55256789197085</c:v>
                </c:pt>
                <c:pt idx="125">
                  <c:v>168.58521018981298</c:v>
                </c:pt>
                <c:pt idx="126">
                  <c:v>168.61514180070247</c:v>
                </c:pt>
                <c:pt idx="127">
                  <c:v>168.64361916564786</c:v>
                </c:pt>
                <c:pt idx="128">
                  <c:v>168.6778674138825</c:v>
                </c:pt>
                <c:pt idx="129">
                  <c:v>168.70589373408285</c:v>
                </c:pt>
                <c:pt idx="130">
                  <c:v>168.73818356314001</c:v>
                </c:pt>
                <c:pt idx="131">
                  <c:v>168.77369507922046</c:v>
                </c:pt>
                <c:pt idx="132">
                  <c:v>168.83414095279309</c:v>
                </c:pt>
                <c:pt idx="133">
                  <c:v>168.88242407300885</c:v>
                </c:pt>
                <c:pt idx="134">
                  <c:v>168.93629397328527</c:v>
                </c:pt>
                <c:pt idx="135">
                  <c:v>169.00064869679628</c:v>
                </c:pt>
                <c:pt idx="136">
                  <c:v>169.05475104219042</c:v>
                </c:pt>
                <c:pt idx="137">
                  <c:v>169.10772716702252</c:v>
                </c:pt>
                <c:pt idx="138">
                  <c:v>169.15186330682482</c:v>
                </c:pt>
                <c:pt idx="139">
                  <c:v>169.1933328717632</c:v>
                </c:pt>
                <c:pt idx="140">
                  <c:v>169.27057150070843</c:v>
                </c:pt>
                <c:pt idx="141">
                  <c:v>169.43234757867626</c:v>
                </c:pt>
                <c:pt idx="142">
                  <c:v>169.48961529721052</c:v>
                </c:pt>
                <c:pt idx="143">
                  <c:v>169.52990349687715</c:v>
                </c:pt>
                <c:pt idx="144">
                  <c:v>169.5674065519631</c:v>
                </c:pt>
                <c:pt idx="145">
                  <c:v>169.64857632813045</c:v>
                </c:pt>
                <c:pt idx="146">
                  <c:v>169.70587543616821</c:v>
                </c:pt>
                <c:pt idx="147">
                  <c:v>169.76978909686156</c:v>
                </c:pt>
                <c:pt idx="148">
                  <c:v>169.82290746082901</c:v>
                </c:pt>
                <c:pt idx="149">
                  <c:v>169.87414885933234</c:v>
                </c:pt>
                <c:pt idx="150">
                  <c:v>169.92677886951932</c:v>
                </c:pt>
                <c:pt idx="151">
                  <c:v>169.9706706564441</c:v>
                </c:pt>
                <c:pt idx="152">
                  <c:v>170.00244628471137</c:v>
                </c:pt>
                <c:pt idx="153">
                  <c:v>170.03395632971061</c:v>
                </c:pt>
                <c:pt idx="154">
                  <c:v>170.05867363763448</c:v>
                </c:pt>
                <c:pt idx="155">
                  <c:v>170.07296160686494</c:v>
                </c:pt>
                <c:pt idx="156">
                  <c:v>170.09027527194479</c:v>
                </c:pt>
                <c:pt idx="157">
                  <c:v>170.10985235456656</c:v>
                </c:pt>
                <c:pt idx="158">
                  <c:v>170.12259430526984</c:v>
                </c:pt>
                <c:pt idx="159">
                  <c:v>170.11589179792372</c:v>
                </c:pt>
                <c:pt idx="160">
                  <c:v>170.12107480589782</c:v>
                </c:pt>
                <c:pt idx="161">
                  <c:v>170.1219389731103</c:v>
                </c:pt>
                <c:pt idx="162">
                  <c:v>170.13106955040917</c:v>
                </c:pt>
                <c:pt idx="163">
                  <c:v>170.13555676478148</c:v>
                </c:pt>
                <c:pt idx="164">
                  <c:v>170.1380522292192</c:v>
                </c:pt>
                <c:pt idx="165">
                  <c:v>170.14480133264195</c:v>
                </c:pt>
                <c:pt idx="166">
                  <c:v>170.15913593200136</c:v>
                </c:pt>
                <c:pt idx="167">
                  <c:v>170.20567742063741</c:v>
                </c:pt>
                <c:pt idx="168">
                  <c:v>170.23315030650346</c:v>
                </c:pt>
                <c:pt idx="169">
                  <c:v>170.22162380178256</c:v>
                </c:pt>
                <c:pt idx="170">
                  <c:v>170.22691912943975</c:v>
                </c:pt>
                <c:pt idx="171">
                  <c:v>170.24784955334741</c:v>
                </c:pt>
                <c:pt idx="172">
                  <c:v>170.26530194962535</c:v>
                </c:pt>
                <c:pt idx="173">
                  <c:v>170.25284614531665</c:v>
                </c:pt>
                <c:pt idx="174">
                  <c:v>170.29839826077693</c:v>
                </c:pt>
                <c:pt idx="175">
                  <c:v>170.29879178279202</c:v>
                </c:pt>
                <c:pt idx="176">
                  <c:v>170.27507293138441</c:v>
                </c:pt>
                <c:pt idx="177">
                  <c:v>170.21764071040528</c:v>
                </c:pt>
                <c:pt idx="178">
                  <c:v>170.25792669063512</c:v>
                </c:pt>
                <c:pt idx="179">
                  <c:v>170.20647298777271</c:v>
                </c:pt>
                <c:pt idx="180">
                  <c:v>170.24336769913921</c:v>
                </c:pt>
                <c:pt idx="181">
                  <c:v>170.46440473996975</c:v>
                </c:pt>
                <c:pt idx="182">
                  <c:v>170.40177766471325</c:v>
                </c:pt>
                <c:pt idx="183">
                  <c:v>170.30099615846078</c:v>
                </c:pt>
                <c:pt idx="184">
                  <c:v>170.17589239122617</c:v>
                </c:pt>
                <c:pt idx="185">
                  <c:v>170.04118814752911</c:v>
                </c:pt>
                <c:pt idx="186">
                  <c:v>169.99818365630659</c:v>
                </c:pt>
                <c:pt idx="187">
                  <c:v>169.94654425109042</c:v>
                </c:pt>
                <c:pt idx="188">
                  <c:v>169.9162879314224</c:v>
                </c:pt>
                <c:pt idx="189">
                  <c:v>169.87922005890252</c:v>
                </c:pt>
                <c:pt idx="190">
                  <c:v>169.84263981464366</c:v>
                </c:pt>
                <c:pt idx="191">
                  <c:v>169.77173081022707</c:v>
                </c:pt>
                <c:pt idx="192">
                  <c:v>169.69327492258248</c:v>
                </c:pt>
                <c:pt idx="193">
                  <c:v>169.59742484538282</c:v>
                </c:pt>
                <c:pt idx="194">
                  <c:v>169.55900132829692</c:v>
                </c:pt>
                <c:pt idx="195">
                  <c:v>169.43154943206278</c:v>
                </c:pt>
                <c:pt idx="196">
                  <c:v>169.33092232459981</c:v>
                </c:pt>
                <c:pt idx="197">
                  <c:v>169.16460462539087</c:v>
                </c:pt>
                <c:pt idx="198">
                  <c:v>169.08026857389916</c:v>
                </c:pt>
                <c:pt idx="199">
                  <c:v>168.96954768704398</c:v>
                </c:pt>
                <c:pt idx="200">
                  <c:v>168.99492041351996</c:v>
                </c:pt>
                <c:pt idx="201">
                  <c:v>169.01287408139586</c:v>
                </c:pt>
                <c:pt idx="202">
                  <c:v>168.93545217001841</c:v>
                </c:pt>
                <c:pt idx="203">
                  <c:v>168.8836556954513</c:v>
                </c:pt>
                <c:pt idx="204">
                  <c:v>168.97090375835944</c:v>
                </c:pt>
                <c:pt idx="205">
                  <c:v>169.29141317834828</c:v>
                </c:pt>
                <c:pt idx="206">
                  <c:v>169.50295750461225</c:v>
                </c:pt>
                <c:pt idx="207">
                  <c:v>169.60981136211163</c:v>
                </c:pt>
                <c:pt idx="208">
                  <c:v>169.72325106142378</c:v>
                </c:pt>
                <c:pt idx="209">
                  <c:v>169.86045981257456</c:v>
                </c:pt>
                <c:pt idx="210">
                  <c:v>169.98183715921044</c:v>
                </c:pt>
                <c:pt idx="211">
                  <c:v>170.04996675140825</c:v>
                </c:pt>
                <c:pt idx="212">
                  <c:v>170.10574104492696</c:v>
                </c:pt>
                <c:pt idx="213">
                  <c:v>170.15643235653772</c:v>
                </c:pt>
                <c:pt idx="214">
                  <c:v>170.23131901704431</c:v>
                </c:pt>
                <c:pt idx="215">
                  <c:v>170.29930236315431</c:v>
                </c:pt>
                <c:pt idx="216">
                  <c:v>170.3549172505171</c:v>
                </c:pt>
                <c:pt idx="217">
                  <c:v>170.40637785937267</c:v>
                </c:pt>
                <c:pt idx="218">
                  <c:v>170.45973564097912</c:v>
                </c:pt>
                <c:pt idx="219">
                  <c:v>170.52303069667204</c:v>
                </c:pt>
                <c:pt idx="220">
                  <c:v>170.65340037714134</c:v>
                </c:pt>
                <c:pt idx="221">
                  <c:v>170.73328323655352</c:v>
                </c:pt>
                <c:pt idx="222">
                  <c:v>170.80241058530768</c:v>
                </c:pt>
                <c:pt idx="223">
                  <c:v>170.85770454860079</c:v>
                </c:pt>
                <c:pt idx="224">
                  <c:v>170.94746897143409</c:v>
                </c:pt>
                <c:pt idx="225">
                  <c:v>171.04576651714842</c:v>
                </c:pt>
                <c:pt idx="226">
                  <c:v>171.14593269675987</c:v>
                </c:pt>
                <c:pt idx="227">
                  <c:v>171.30763512031123</c:v>
                </c:pt>
                <c:pt idx="228">
                  <c:v>171.35913485642797</c:v>
                </c:pt>
                <c:pt idx="229">
                  <c:v>171.36586369504289</c:v>
                </c:pt>
                <c:pt idx="230">
                  <c:v>171.35903503478724</c:v>
                </c:pt>
                <c:pt idx="231">
                  <c:v>171.35508134288864</c:v>
                </c:pt>
                <c:pt idx="232">
                  <c:v>171.36417798096187</c:v>
                </c:pt>
                <c:pt idx="233">
                  <c:v>171.39161597058464</c:v>
                </c:pt>
                <c:pt idx="234">
                  <c:v>171.44524052482723</c:v>
                </c:pt>
                <c:pt idx="235">
                  <c:v>171.45100154526091</c:v>
                </c:pt>
                <c:pt idx="236">
                  <c:v>171.53302109668931</c:v>
                </c:pt>
                <c:pt idx="237">
                  <c:v>171.60290104135436</c:v>
                </c:pt>
                <c:pt idx="238">
                  <c:v>171.64549745063408</c:v>
                </c:pt>
                <c:pt idx="239">
                  <c:v>171.70625937948969</c:v>
                </c:pt>
                <c:pt idx="240">
                  <c:v>171.70736702351246</c:v>
                </c:pt>
                <c:pt idx="241">
                  <c:v>171.74783446032018</c:v>
                </c:pt>
                <c:pt idx="242">
                  <c:v>171.79228971066141</c:v>
                </c:pt>
                <c:pt idx="243">
                  <c:v>171.8736029183512</c:v>
                </c:pt>
                <c:pt idx="244">
                  <c:v>171.95731085142245</c:v>
                </c:pt>
                <c:pt idx="245">
                  <c:v>172.27154183426939</c:v>
                </c:pt>
                <c:pt idx="246">
                  <c:v>172.31743739463337</c:v>
                </c:pt>
                <c:pt idx="247">
                  <c:v>172.30429850777128</c:v>
                </c:pt>
                <c:pt idx="248">
                  <c:v>172.35223803544994</c:v>
                </c:pt>
                <c:pt idx="249">
                  <c:v>172.36563848599286</c:v>
                </c:pt>
                <c:pt idx="250">
                  <c:v>172.39562762998236</c:v>
                </c:pt>
                <c:pt idx="251">
                  <c:v>172.43159934803177</c:v>
                </c:pt>
                <c:pt idx="252">
                  <c:v>172.47526131317946</c:v>
                </c:pt>
                <c:pt idx="253">
                  <c:v>172.54708221979081</c:v>
                </c:pt>
                <c:pt idx="254">
                  <c:v>172.59165425133651</c:v>
                </c:pt>
                <c:pt idx="255">
                  <c:v>172.64589757752083</c:v>
                </c:pt>
                <c:pt idx="256">
                  <c:v>172.6839983690495</c:v>
                </c:pt>
                <c:pt idx="257">
                  <c:v>172.75316247321769</c:v>
                </c:pt>
                <c:pt idx="258">
                  <c:v>172.82770126423327</c:v>
                </c:pt>
                <c:pt idx="259">
                  <c:v>172.89693366914176</c:v>
                </c:pt>
                <c:pt idx="260">
                  <c:v>172.95123372787225</c:v>
                </c:pt>
                <c:pt idx="261">
                  <c:v>173.01025967907944</c:v>
                </c:pt>
                <c:pt idx="262">
                  <c:v>173.12479128400173</c:v>
                </c:pt>
                <c:pt idx="263">
                  <c:v>173.19831733469991</c:v>
                </c:pt>
                <c:pt idx="264">
                  <c:v>173.29306369708485</c:v>
                </c:pt>
                <c:pt idx="265">
                  <c:v>173.35375885385116</c:v>
                </c:pt>
                <c:pt idx="266">
                  <c:v>173.40685796799511</c:v>
                </c:pt>
                <c:pt idx="267">
                  <c:v>173.50449746998754</c:v>
                </c:pt>
                <c:pt idx="268">
                  <c:v>173.58982194111269</c:v>
                </c:pt>
                <c:pt idx="269">
                  <c:v>173.74692491457668</c:v>
                </c:pt>
                <c:pt idx="270">
                  <c:v>174.30314601961416</c:v>
                </c:pt>
                <c:pt idx="271">
                  <c:v>174.42256240893335</c:v>
                </c:pt>
                <c:pt idx="272">
                  <c:v>174.59112642769153</c:v>
                </c:pt>
                <c:pt idx="273">
                  <c:v>174.61635040242783</c:v>
                </c:pt>
                <c:pt idx="274">
                  <c:v>174.65822575690041</c:v>
                </c:pt>
                <c:pt idx="275">
                  <c:v>174.74396365946311</c:v>
                </c:pt>
                <c:pt idx="276">
                  <c:v>174.71001979455602</c:v>
                </c:pt>
                <c:pt idx="277">
                  <c:v>174.70368023278067</c:v>
                </c:pt>
                <c:pt idx="278">
                  <c:v>174.73061892860716</c:v>
                </c:pt>
                <c:pt idx="279">
                  <c:v>174.67371240905777</c:v>
                </c:pt>
                <c:pt idx="280">
                  <c:v>174.67342729248887</c:v>
                </c:pt>
                <c:pt idx="281">
                  <c:v>174.63530152241026</c:v>
                </c:pt>
                <c:pt idx="282">
                  <c:v>174.60934487414471</c:v>
                </c:pt>
                <c:pt idx="283">
                  <c:v>174.55227555357359</c:v>
                </c:pt>
                <c:pt idx="284">
                  <c:v>174.55988437525718</c:v>
                </c:pt>
                <c:pt idx="285">
                  <c:v>174.62589139182117</c:v>
                </c:pt>
                <c:pt idx="286">
                  <c:v>174.62965151579695</c:v>
                </c:pt>
                <c:pt idx="287">
                  <c:v>174.74233584103141</c:v>
                </c:pt>
                <c:pt idx="288">
                  <c:v>174.73539745370897</c:v>
                </c:pt>
                <c:pt idx="289">
                  <c:v>174.73980115789638</c:v>
                </c:pt>
                <c:pt idx="290">
                  <c:v>174.93725560435473</c:v>
                </c:pt>
                <c:pt idx="291">
                  <c:v>174.9399411984559</c:v>
                </c:pt>
                <c:pt idx="292">
                  <c:v>175.0287961917939</c:v>
                </c:pt>
                <c:pt idx="293">
                  <c:v>175.07057474861551</c:v>
                </c:pt>
                <c:pt idx="294">
                  <c:v>175.09375510280074</c:v>
                </c:pt>
                <c:pt idx="295">
                  <c:v>175.22608790689287</c:v>
                </c:pt>
                <c:pt idx="296">
                  <c:v>175.42962934904472</c:v>
                </c:pt>
                <c:pt idx="297">
                  <c:v>175.54047274202944</c:v>
                </c:pt>
                <c:pt idx="298">
                  <c:v>175.58624678732653</c:v>
                </c:pt>
                <c:pt idx="299">
                  <c:v>175.64318098810639</c:v>
                </c:pt>
                <c:pt idx="300">
                  <c:v>175.70097455438841</c:v>
                </c:pt>
                <c:pt idx="301">
                  <c:v>175.71648046249933</c:v>
                </c:pt>
                <c:pt idx="302">
                  <c:v>175.78350665410309</c:v>
                </c:pt>
                <c:pt idx="303">
                  <c:v>175.82680108594485</c:v>
                </c:pt>
                <c:pt idx="304">
                  <c:v>175.98706490567264</c:v>
                </c:pt>
                <c:pt idx="305">
                  <c:v>176.22285204101291</c:v>
                </c:pt>
                <c:pt idx="306">
                  <c:v>176.30652229460964</c:v>
                </c:pt>
                <c:pt idx="307">
                  <c:v>176.33299697238394</c:v>
                </c:pt>
                <c:pt idx="308">
                  <c:v>176.40423610859068</c:v>
                </c:pt>
                <c:pt idx="309">
                  <c:v>176.43508711944494</c:v>
                </c:pt>
                <c:pt idx="310">
                  <c:v>176.47919911843215</c:v>
                </c:pt>
                <c:pt idx="311">
                  <c:v>176.63103638202881</c:v>
                </c:pt>
                <c:pt idx="312">
                  <c:v>176.70272091040422</c:v>
                </c:pt>
                <c:pt idx="313">
                  <c:v>176.76466507663608</c:v>
                </c:pt>
                <c:pt idx="314">
                  <c:v>176.87246786566874</c:v>
                </c:pt>
                <c:pt idx="315">
                  <c:v>177.00628728235563</c:v>
                </c:pt>
                <c:pt idx="316">
                  <c:v>177.13962707455417</c:v>
                </c:pt>
                <c:pt idx="317">
                  <c:v>177.24459175474351</c:v>
                </c:pt>
                <c:pt idx="318">
                  <c:v>177.39144874284065</c:v>
                </c:pt>
                <c:pt idx="319">
                  <c:v>177.49699655134708</c:v>
                </c:pt>
                <c:pt idx="320">
                  <c:v>177.58011771197363</c:v>
                </c:pt>
                <c:pt idx="321">
                  <c:v>177.63805955523878</c:v>
                </c:pt>
                <c:pt idx="322">
                  <c:v>177.69485443977601</c:v>
                </c:pt>
                <c:pt idx="323">
                  <c:v>177.78893858066164</c:v>
                </c:pt>
                <c:pt idx="324">
                  <c:v>177.87737167708693</c:v>
                </c:pt>
                <c:pt idx="325">
                  <c:v>177.97179103895181</c:v>
                </c:pt>
                <c:pt idx="326">
                  <c:v>178.04923980012475</c:v>
                </c:pt>
                <c:pt idx="327">
                  <c:v>178.22166371126204</c:v>
                </c:pt>
                <c:pt idx="328">
                  <c:v>178.47230221635502</c:v>
                </c:pt>
                <c:pt idx="329">
                  <c:v>178.59330281742282</c:v>
                </c:pt>
                <c:pt idx="330">
                  <c:v>178.65960064521545</c:v>
                </c:pt>
                <c:pt idx="331">
                  <c:v>178.71816123683254</c:v>
                </c:pt>
                <c:pt idx="332">
                  <c:v>178.81365767163794</c:v>
                </c:pt>
                <c:pt idx="333">
                  <c:v>178.88968591877386</c:v>
                </c:pt>
                <c:pt idx="334">
                  <c:v>178.94724374501925</c:v>
                </c:pt>
                <c:pt idx="335">
                  <c:v>179.01014577431246</c:v>
                </c:pt>
                <c:pt idx="336">
                  <c:v>179.03924852784422</c:v>
                </c:pt>
                <c:pt idx="337">
                  <c:v>179.07306928225552</c:v>
                </c:pt>
                <c:pt idx="338">
                  <c:v>179.11302595012353</c:v>
                </c:pt>
                <c:pt idx="339">
                  <c:v>179.14395672411524</c:v>
                </c:pt>
                <c:pt idx="340">
                  <c:v>179.21567952330324</c:v>
                </c:pt>
                <c:pt idx="341">
                  <c:v>179.24257114049206</c:v>
                </c:pt>
                <c:pt idx="342">
                  <c:v>179.27629183693401</c:v>
                </c:pt>
                <c:pt idx="343">
                  <c:v>179.33108224338946</c:v>
                </c:pt>
                <c:pt idx="344">
                  <c:v>179.3472738913984</c:v>
                </c:pt>
                <c:pt idx="345">
                  <c:v>179.3354445654092</c:v>
                </c:pt>
                <c:pt idx="346">
                  <c:v>179.30199425400414</c:v>
                </c:pt>
                <c:pt idx="347">
                  <c:v>179.33771124675707</c:v>
                </c:pt>
                <c:pt idx="348">
                  <c:v>179.35926298362656</c:v>
                </c:pt>
                <c:pt idx="349">
                  <c:v>179.3692157643585</c:v>
                </c:pt>
                <c:pt idx="350">
                  <c:v>179.38524801983476</c:v>
                </c:pt>
                <c:pt idx="351">
                  <c:v>179.37920810696025</c:v>
                </c:pt>
                <c:pt idx="352">
                  <c:v>179.37857135504711</c:v>
                </c:pt>
                <c:pt idx="353">
                  <c:v>179.61198784081864</c:v>
                </c:pt>
                <c:pt idx="354">
                  <c:v>179.61393993819297</c:v>
                </c:pt>
                <c:pt idx="355">
                  <c:v>179.60103499991308</c:v>
                </c:pt>
                <c:pt idx="356">
                  <c:v>179.59175231768793</c:v>
                </c:pt>
                <c:pt idx="357">
                  <c:v>179.58178017340094</c:v>
                </c:pt>
                <c:pt idx="358">
                  <c:v>179.56006701696251</c:v>
                </c:pt>
                <c:pt idx="359">
                  <c:v>179.59976332681293</c:v>
                </c:pt>
                <c:pt idx="360">
                  <c:v>179.66321190482063</c:v>
                </c:pt>
                <c:pt idx="361">
                  <c:v>179.69073999112018</c:v>
                </c:pt>
                <c:pt idx="362">
                  <c:v>179.66723956215114</c:v>
                </c:pt>
                <c:pt idx="363">
                  <c:v>179.6532254125635</c:v>
                </c:pt>
                <c:pt idx="364">
                  <c:v>179.64306734210402</c:v>
                </c:pt>
                <c:pt idx="365">
                  <c:v>179.60301604842533</c:v>
                </c:pt>
                <c:pt idx="366">
                  <c:v>179.58571219771619</c:v>
                </c:pt>
                <c:pt idx="367">
                  <c:v>179.75743686122394</c:v>
                </c:pt>
                <c:pt idx="368">
                  <c:v>179.73221337814786</c:v>
                </c:pt>
                <c:pt idx="369">
                  <c:v>179.71246926014226</c:v>
                </c:pt>
                <c:pt idx="370">
                  <c:v>179.68932972187133</c:v>
                </c:pt>
                <c:pt idx="371">
                  <c:v>179.65385263967906</c:v>
                </c:pt>
                <c:pt idx="372">
                  <c:v>179.6276087997486</c:v>
                </c:pt>
                <c:pt idx="373">
                  <c:v>179.57985400029787</c:v>
                </c:pt>
                <c:pt idx="374">
                  <c:v>179.53955229498337</c:v>
                </c:pt>
                <c:pt idx="375">
                  <c:v>179.51532040691723</c:v>
                </c:pt>
                <c:pt idx="376">
                  <c:v>179.40922576133943</c:v>
                </c:pt>
                <c:pt idx="377">
                  <c:v>179.43054719999756</c:v>
                </c:pt>
                <c:pt idx="378">
                  <c:v>179.3878086879742</c:v>
                </c:pt>
                <c:pt idx="379">
                  <c:v>179.35084852793369</c:v>
                </c:pt>
                <c:pt idx="380">
                  <c:v>179.34955248671119</c:v>
                </c:pt>
                <c:pt idx="381">
                  <c:v>179.37498678261099</c:v>
                </c:pt>
                <c:pt idx="382">
                  <c:v>179.36222133660624</c:v>
                </c:pt>
                <c:pt idx="383">
                  <c:v>179.35502752914886</c:v>
                </c:pt>
                <c:pt idx="384">
                  <c:v>179.34948879309425</c:v>
                </c:pt>
                <c:pt idx="385">
                  <c:v>179.36664522725835</c:v>
                </c:pt>
                <c:pt idx="386">
                  <c:v>179.42210303722328</c:v>
                </c:pt>
                <c:pt idx="387">
                  <c:v>179.42211225386856</c:v>
                </c:pt>
                <c:pt idx="388">
                  <c:v>179.50233132913544</c:v>
                </c:pt>
                <c:pt idx="389">
                  <c:v>179.71243913898471</c:v>
                </c:pt>
                <c:pt idx="390">
                  <c:v>180.28105567680242</c:v>
                </c:pt>
                <c:pt idx="391">
                  <c:v>180.45546132744369</c:v>
                </c:pt>
                <c:pt idx="392">
                  <c:v>180.56394421298299</c:v>
                </c:pt>
                <c:pt idx="393">
                  <c:v>180.65743537825711</c:v>
                </c:pt>
                <c:pt idx="394">
                  <c:v>180.72904003480954</c:v>
                </c:pt>
                <c:pt idx="395">
                  <c:v>180.86820411879987</c:v>
                </c:pt>
                <c:pt idx="396">
                  <c:v>181.057417917957</c:v>
                </c:pt>
                <c:pt idx="397">
                  <c:v>181.1640708865996</c:v>
                </c:pt>
                <c:pt idx="398">
                  <c:v>181.27973530863343</c:v>
                </c:pt>
                <c:pt idx="399">
                  <c:v>181.35435442142443</c:v>
                </c:pt>
                <c:pt idx="400">
                  <c:v>181.47654676503163</c:v>
                </c:pt>
                <c:pt idx="401">
                  <c:v>181.59402821600179</c:v>
                </c:pt>
                <c:pt idx="402">
                  <c:v>181.723337127062</c:v>
                </c:pt>
                <c:pt idx="403">
                  <c:v>181.84003647335931</c:v>
                </c:pt>
                <c:pt idx="404">
                  <c:v>181.93609221219276</c:v>
                </c:pt>
                <c:pt idx="405">
                  <c:v>182.01505434911525</c:v>
                </c:pt>
                <c:pt idx="406">
                  <c:v>182.09399712317648</c:v>
                </c:pt>
                <c:pt idx="407">
                  <c:v>182.16333702196343</c:v>
                </c:pt>
                <c:pt idx="408">
                  <c:v>182.23015542810219</c:v>
                </c:pt>
                <c:pt idx="409">
                  <c:v>182.29584816233583</c:v>
                </c:pt>
                <c:pt idx="410">
                  <c:v>182.35793019153218</c:v>
                </c:pt>
                <c:pt idx="411">
                  <c:v>182.42191736819726</c:v>
                </c:pt>
                <c:pt idx="412">
                  <c:v>182.48971808829231</c:v>
                </c:pt>
                <c:pt idx="413">
                  <c:v>182.58316164734399</c:v>
                </c:pt>
                <c:pt idx="414">
                  <c:v>182.65462750835937</c:v>
                </c:pt>
                <c:pt idx="415">
                  <c:v>182.71310270247773</c:v>
                </c:pt>
                <c:pt idx="416">
                  <c:v>182.7740730347995</c:v>
                </c:pt>
                <c:pt idx="417">
                  <c:v>182.84122291876281</c:v>
                </c:pt>
                <c:pt idx="418">
                  <c:v>182.90456006250471</c:v>
                </c:pt>
                <c:pt idx="419">
                  <c:v>182.9919702186892</c:v>
                </c:pt>
                <c:pt idx="420">
                  <c:v>183.05398413331648</c:v>
                </c:pt>
                <c:pt idx="421">
                  <c:v>183.18746241088229</c:v>
                </c:pt>
                <c:pt idx="422">
                  <c:v>183.28045735633603</c:v>
                </c:pt>
                <c:pt idx="423">
                  <c:v>183.37828859386099</c:v>
                </c:pt>
                <c:pt idx="424">
                  <c:v>183.44343478201202</c:v>
                </c:pt>
                <c:pt idx="425">
                  <c:v>183.50776821017786</c:v>
                </c:pt>
                <c:pt idx="426">
                  <c:v>183.58218331000612</c:v>
                </c:pt>
                <c:pt idx="427">
                  <c:v>183.62962436360161</c:v>
                </c:pt>
                <c:pt idx="428">
                  <c:v>183.70171506908457</c:v>
                </c:pt>
                <c:pt idx="429">
                  <c:v>183.79392761621577</c:v>
                </c:pt>
                <c:pt idx="430">
                  <c:v>184.00478862381243</c:v>
                </c:pt>
                <c:pt idx="431">
                  <c:v>184.09373909020707</c:v>
                </c:pt>
                <c:pt idx="432">
                  <c:v>184.19191248617966</c:v>
                </c:pt>
                <c:pt idx="433">
                  <c:v>184.23686527507937</c:v>
                </c:pt>
                <c:pt idx="434">
                  <c:v>184.52083915360862</c:v>
                </c:pt>
                <c:pt idx="435">
                  <c:v>184.7272636286533</c:v>
                </c:pt>
                <c:pt idx="436">
                  <c:v>184.83704439277392</c:v>
                </c:pt>
                <c:pt idx="437">
                  <c:v>184.94196581847154</c:v>
                </c:pt>
                <c:pt idx="438">
                  <c:v>184.99114634366907</c:v>
                </c:pt>
                <c:pt idx="439">
                  <c:v>185.02167396357129</c:v>
                </c:pt>
                <c:pt idx="440">
                  <c:v>185.06845418886903</c:v>
                </c:pt>
                <c:pt idx="441">
                  <c:v>185.06249903649066</c:v>
                </c:pt>
                <c:pt idx="442">
                  <c:v>185.20222159550698</c:v>
                </c:pt>
                <c:pt idx="443">
                  <c:v>185.28035610936305</c:v>
                </c:pt>
                <c:pt idx="444">
                  <c:v>185.34789512618124</c:v>
                </c:pt>
                <c:pt idx="445">
                  <c:v>185.41777762019086</c:v>
                </c:pt>
                <c:pt idx="446">
                  <c:v>185.4837393513053</c:v>
                </c:pt>
                <c:pt idx="447">
                  <c:v>185.51697352959721</c:v>
                </c:pt>
                <c:pt idx="448">
                  <c:v>185.55041833838939</c:v>
                </c:pt>
                <c:pt idx="449">
                  <c:v>185.58217863021611</c:v>
                </c:pt>
                <c:pt idx="450">
                  <c:v>185.67270475462624</c:v>
                </c:pt>
                <c:pt idx="451">
                  <c:v>185.7064418022689</c:v>
                </c:pt>
                <c:pt idx="452">
                  <c:v>185.7608356269493</c:v>
                </c:pt>
                <c:pt idx="453">
                  <c:v>186.01127316754298</c:v>
                </c:pt>
                <c:pt idx="454">
                  <c:v>186.43943277980594</c:v>
                </c:pt>
                <c:pt idx="455">
                  <c:v>186.95632140075361</c:v>
                </c:pt>
                <c:pt idx="456">
                  <c:v>187.18335626577607</c:v>
                </c:pt>
                <c:pt idx="457">
                  <c:v>187.24900050197184</c:v>
                </c:pt>
                <c:pt idx="458">
                  <c:v>187.24893456829878</c:v>
                </c:pt>
                <c:pt idx="459">
                  <c:v>187.26786095945201</c:v>
                </c:pt>
                <c:pt idx="460">
                  <c:v>187.41205913648872</c:v>
                </c:pt>
                <c:pt idx="461">
                  <c:v>187.45617014106583</c:v>
                </c:pt>
                <c:pt idx="462">
                  <c:v>187.53457716426061</c:v>
                </c:pt>
                <c:pt idx="463">
                  <c:v>187.56442028444513</c:v>
                </c:pt>
                <c:pt idx="464">
                  <c:v>187.66942077497293</c:v>
                </c:pt>
                <c:pt idx="465">
                  <c:v>187.71808540017949</c:v>
                </c:pt>
                <c:pt idx="466">
                  <c:v>187.68106716703545</c:v>
                </c:pt>
                <c:pt idx="467">
                  <c:v>187.68804709543912</c:v>
                </c:pt>
                <c:pt idx="468">
                  <c:v>187.76137572559389</c:v>
                </c:pt>
                <c:pt idx="469">
                  <c:v>187.82615898386268</c:v>
                </c:pt>
                <c:pt idx="470">
                  <c:v>187.82786154911739</c:v>
                </c:pt>
                <c:pt idx="471">
                  <c:v>187.86073182951745</c:v>
                </c:pt>
                <c:pt idx="472">
                  <c:v>187.93419967019878</c:v>
                </c:pt>
                <c:pt idx="473">
                  <c:v>187.97400930941808</c:v>
                </c:pt>
                <c:pt idx="474">
                  <c:v>188.06863510995512</c:v>
                </c:pt>
                <c:pt idx="475">
                  <c:v>188.16036885525162</c:v>
                </c:pt>
                <c:pt idx="476">
                  <c:v>188.25598970109675</c:v>
                </c:pt>
                <c:pt idx="477">
                  <c:v>188.23954967951713</c:v>
                </c:pt>
                <c:pt idx="478">
                  <c:v>188.2062288952373</c:v>
                </c:pt>
                <c:pt idx="479">
                  <c:v>188.13942539521756</c:v>
                </c:pt>
                <c:pt idx="480">
                  <c:v>188.13555119010866</c:v>
                </c:pt>
                <c:pt idx="481">
                  <c:v>188.17845393100089</c:v>
                </c:pt>
                <c:pt idx="482">
                  <c:v>188.21023062325497</c:v>
                </c:pt>
                <c:pt idx="483">
                  <c:v>188.19617854637607</c:v>
                </c:pt>
                <c:pt idx="484">
                  <c:v>188.16144374702708</c:v>
                </c:pt>
                <c:pt idx="485">
                  <c:v>188.1708533645276</c:v>
                </c:pt>
                <c:pt idx="486">
                  <c:v>188.15284916900453</c:v>
                </c:pt>
                <c:pt idx="487">
                  <c:v>188.14796962984079</c:v>
                </c:pt>
                <c:pt idx="488">
                  <c:v>188.1252595063491</c:v>
                </c:pt>
                <c:pt idx="489">
                  <c:v>188.11494567572183</c:v>
                </c:pt>
                <c:pt idx="490">
                  <c:v>188.12895352743135</c:v>
                </c:pt>
                <c:pt idx="491">
                  <c:v>188.14882531526365</c:v>
                </c:pt>
                <c:pt idx="492">
                  <c:v>188.1614472389725</c:v>
                </c:pt>
                <c:pt idx="493">
                  <c:v>188.25226044976594</c:v>
                </c:pt>
                <c:pt idx="494">
                  <c:v>188.5187093046442</c:v>
                </c:pt>
                <c:pt idx="495">
                  <c:v>188.51719284390262</c:v>
                </c:pt>
                <c:pt idx="496">
                  <c:v>188.52428122754492</c:v>
                </c:pt>
                <c:pt idx="497">
                  <c:v>188.47460062626536</c:v>
                </c:pt>
                <c:pt idx="498">
                  <c:v>188.47703694077882</c:v>
                </c:pt>
                <c:pt idx="499">
                  <c:v>188.53987482037564</c:v>
                </c:pt>
                <c:pt idx="500">
                  <c:v>188.52128135480723</c:v>
                </c:pt>
                <c:pt idx="501">
                  <c:v>188.56140664466551</c:v>
                </c:pt>
                <c:pt idx="502">
                  <c:v>188.64106338015623</c:v>
                </c:pt>
                <c:pt idx="503">
                  <c:v>188.70479205556657</c:v>
                </c:pt>
                <c:pt idx="504">
                  <c:v>188.75795733413403</c:v>
                </c:pt>
                <c:pt idx="505">
                  <c:v>188.78173452857297</c:v>
                </c:pt>
                <c:pt idx="506">
                  <c:v>188.81056036240503</c:v>
                </c:pt>
                <c:pt idx="507">
                  <c:v>188.81756895360041</c:v>
                </c:pt>
                <c:pt idx="508">
                  <c:v>188.84833664863498</c:v>
                </c:pt>
                <c:pt idx="509">
                  <c:v>188.91421750218277</c:v>
                </c:pt>
                <c:pt idx="510">
                  <c:v>188.94817169231317</c:v>
                </c:pt>
                <c:pt idx="511">
                  <c:v>189.03260467520482</c:v>
                </c:pt>
                <c:pt idx="512">
                  <c:v>189.14969361411136</c:v>
                </c:pt>
                <c:pt idx="513">
                  <c:v>189.29730671075845</c:v>
                </c:pt>
                <c:pt idx="514">
                  <c:v>189.38882803479527</c:v>
                </c:pt>
                <c:pt idx="515">
                  <c:v>189.44205136384838</c:v>
                </c:pt>
                <c:pt idx="516">
                  <c:v>189.48855676136117</c:v>
                </c:pt>
                <c:pt idx="517">
                  <c:v>189.54183256228919</c:v>
                </c:pt>
                <c:pt idx="518">
                  <c:v>189.57823195681726</c:v>
                </c:pt>
                <c:pt idx="519">
                  <c:v>189.68776244065978</c:v>
                </c:pt>
                <c:pt idx="520">
                  <c:v>189.92839311009971</c:v>
                </c:pt>
                <c:pt idx="521">
                  <c:v>190.03600002528776</c:v>
                </c:pt>
                <c:pt idx="522">
                  <c:v>190.09080377877348</c:v>
                </c:pt>
                <c:pt idx="523">
                  <c:v>190.34211392959187</c:v>
                </c:pt>
                <c:pt idx="524">
                  <c:v>190.51623367337325</c:v>
                </c:pt>
                <c:pt idx="525">
                  <c:v>190.61752904921153</c:v>
                </c:pt>
                <c:pt idx="526">
                  <c:v>190.66852783303003</c:v>
                </c:pt>
                <c:pt idx="527">
                  <c:v>190.74528072273625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D6-4B62-B629-44B37CBA5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440992"/>
        <c:axId val="1296435712"/>
      </c:lineChart>
      <c:dateAx>
        <c:axId val="129644099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35712"/>
        <c:crosses val="autoZero"/>
        <c:auto val="1"/>
        <c:lblOffset val="100"/>
        <c:baseTimeUnit val="days"/>
      </c:dateAx>
      <c:valAx>
        <c:axId val="1296435712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</a:t>
            </a:r>
            <a:r>
              <a:rPr lang="en-US" baseline="0"/>
              <a:t> Bands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  <c:pt idx="513">
                  <c:v>291.35000000000002</c:v>
                </c:pt>
                <c:pt idx="514">
                  <c:v>297.54000000000002</c:v>
                </c:pt>
                <c:pt idx="515">
                  <c:v>294.67</c:v>
                </c:pt>
                <c:pt idx="516">
                  <c:v>292.44</c:v>
                </c:pt>
                <c:pt idx="517">
                  <c:v>296.33</c:v>
                </c:pt>
                <c:pt idx="518">
                  <c:v>293.86</c:v>
                </c:pt>
                <c:pt idx="519">
                  <c:v>294.16000000000003</c:v>
                </c:pt>
                <c:pt idx="520">
                  <c:v>309.24</c:v>
                </c:pt>
                <c:pt idx="521">
                  <c:v>306.7</c:v>
                </c:pt>
                <c:pt idx="522">
                  <c:v>314.73</c:v>
                </c:pt>
                <c:pt idx="523">
                  <c:v>294.31</c:v>
                </c:pt>
                <c:pt idx="524">
                  <c:v>289.05</c:v>
                </c:pt>
                <c:pt idx="525">
                  <c:v>289.89</c:v>
                </c:pt>
                <c:pt idx="526">
                  <c:v>298.93</c:v>
                </c:pt>
                <c:pt idx="527">
                  <c:v>296.33999999999997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5-45DC-A735-74CB4EFD9A2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Data!$J$2:$J$529</c:f>
              <c:numCache>
                <c:formatCode>General</c:formatCode>
                <c:ptCount val="528"/>
                <c:pt idx="19">
                  <c:v>169.84749999999997</c:v>
                </c:pt>
                <c:pt idx="20">
                  <c:v>170.95549999999997</c:v>
                </c:pt>
                <c:pt idx="21">
                  <c:v>172.29549999999998</c:v>
                </c:pt>
                <c:pt idx="22">
                  <c:v>173.54199999999997</c:v>
                </c:pt>
                <c:pt idx="23">
                  <c:v>174.755</c:v>
                </c:pt>
                <c:pt idx="24">
                  <c:v>175.86849999999998</c:v>
                </c:pt>
                <c:pt idx="25">
                  <c:v>177.05149999999998</c:v>
                </c:pt>
                <c:pt idx="26">
                  <c:v>178.20800000000003</c:v>
                </c:pt>
                <c:pt idx="27">
                  <c:v>179.41700000000003</c:v>
                </c:pt>
                <c:pt idx="28">
                  <c:v>180.435</c:v>
                </c:pt>
                <c:pt idx="29">
                  <c:v>181.27199999999999</c:v>
                </c:pt>
                <c:pt idx="30">
                  <c:v>182.1465</c:v>
                </c:pt>
                <c:pt idx="31">
                  <c:v>183.148</c:v>
                </c:pt>
                <c:pt idx="32">
                  <c:v>183.95600000000002</c:v>
                </c:pt>
                <c:pt idx="33">
                  <c:v>184.48650000000004</c:v>
                </c:pt>
                <c:pt idx="34">
                  <c:v>184.77449999999999</c:v>
                </c:pt>
                <c:pt idx="35">
                  <c:v>185.2885</c:v>
                </c:pt>
                <c:pt idx="36">
                  <c:v>185.05299999999997</c:v>
                </c:pt>
                <c:pt idx="37">
                  <c:v>184.88849999999996</c:v>
                </c:pt>
                <c:pt idx="38">
                  <c:v>184.77499999999998</c:v>
                </c:pt>
                <c:pt idx="39">
                  <c:v>184.6465</c:v>
                </c:pt>
                <c:pt idx="40">
                  <c:v>184.71499999999997</c:v>
                </c:pt>
                <c:pt idx="41">
                  <c:v>184.78</c:v>
                </c:pt>
                <c:pt idx="42">
                  <c:v>185.14349999999999</c:v>
                </c:pt>
                <c:pt idx="43">
                  <c:v>185.57</c:v>
                </c:pt>
                <c:pt idx="44">
                  <c:v>186.20749999999998</c:v>
                </c:pt>
                <c:pt idx="45">
                  <c:v>186.8475</c:v>
                </c:pt>
                <c:pt idx="46">
                  <c:v>187.42699999999996</c:v>
                </c:pt>
                <c:pt idx="47">
                  <c:v>187.69649999999999</c:v>
                </c:pt>
                <c:pt idx="48">
                  <c:v>188.27749999999997</c:v>
                </c:pt>
                <c:pt idx="49">
                  <c:v>188.92749999999995</c:v>
                </c:pt>
                <c:pt idx="50">
                  <c:v>189.42049999999998</c:v>
                </c:pt>
                <c:pt idx="51">
                  <c:v>189.63049999999998</c:v>
                </c:pt>
                <c:pt idx="52">
                  <c:v>189.833</c:v>
                </c:pt>
                <c:pt idx="53">
                  <c:v>190.328</c:v>
                </c:pt>
                <c:pt idx="54">
                  <c:v>191.041</c:v>
                </c:pt>
                <c:pt idx="55">
                  <c:v>191.4255</c:v>
                </c:pt>
                <c:pt idx="56">
                  <c:v>191.68150000000003</c:v>
                </c:pt>
                <c:pt idx="57">
                  <c:v>191.91450000000003</c:v>
                </c:pt>
                <c:pt idx="58">
                  <c:v>192.09600000000003</c:v>
                </c:pt>
                <c:pt idx="59">
                  <c:v>192.37100000000004</c:v>
                </c:pt>
                <c:pt idx="60">
                  <c:v>192.66750000000005</c:v>
                </c:pt>
                <c:pt idx="61">
                  <c:v>192.74900000000002</c:v>
                </c:pt>
                <c:pt idx="62">
                  <c:v>192.54000000000002</c:v>
                </c:pt>
                <c:pt idx="63">
                  <c:v>192.48750000000001</c:v>
                </c:pt>
                <c:pt idx="64">
                  <c:v>192.07650000000004</c:v>
                </c:pt>
                <c:pt idx="65">
                  <c:v>191.70650000000001</c:v>
                </c:pt>
                <c:pt idx="66">
                  <c:v>191.40000000000003</c:v>
                </c:pt>
                <c:pt idx="67">
                  <c:v>191.27900000000002</c:v>
                </c:pt>
                <c:pt idx="68">
                  <c:v>190.69200000000001</c:v>
                </c:pt>
                <c:pt idx="69">
                  <c:v>190.15199999999999</c:v>
                </c:pt>
                <c:pt idx="70">
                  <c:v>189.59399999999999</c:v>
                </c:pt>
                <c:pt idx="71">
                  <c:v>189.10300000000001</c:v>
                </c:pt>
                <c:pt idx="72">
                  <c:v>188.70599999999999</c:v>
                </c:pt>
                <c:pt idx="73">
                  <c:v>188.19400000000002</c:v>
                </c:pt>
                <c:pt idx="74">
                  <c:v>187.56950000000001</c:v>
                </c:pt>
                <c:pt idx="75">
                  <c:v>187.05349999999999</c:v>
                </c:pt>
                <c:pt idx="76">
                  <c:v>186.60650000000001</c:v>
                </c:pt>
                <c:pt idx="77">
                  <c:v>186.2765</c:v>
                </c:pt>
                <c:pt idx="78">
                  <c:v>186.05649999999997</c:v>
                </c:pt>
                <c:pt idx="79">
                  <c:v>184.96199999999999</c:v>
                </c:pt>
                <c:pt idx="80">
                  <c:v>183.77049999999997</c:v>
                </c:pt>
                <c:pt idx="81">
                  <c:v>182.65049999999997</c:v>
                </c:pt>
                <c:pt idx="82">
                  <c:v>181.51649999999998</c:v>
                </c:pt>
                <c:pt idx="83">
                  <c:v>180.19299999999998</c:v>
                </c:pt>
                <c:pt idx="84">
                  <c:v>179.03049999999996</c:v>
                </c:pt>
                <c:pt idx="85">
                  <c:v>177.85899999999998</c:v>
                </c:pt>
                <c:pt idx="86">
                  <c:v>176.79849999999999</c:v>
                </c:pt>
                <c:pt idx="87">
                  <c:v>175.75200000000001</c:v>
                </c:pt>
                <c:pt idx="88">
                  <c:v>174.94499999999999</c:v>
                </c:pt>
                <c:pt idx="89">
                  <c:v>173.96350000000001</c:v>
                </c:pt>
                <c:pt idx="90">
                  <c:v>173.20750000000004</c:v>
                </c:pt>
                <c:pt idx="91">
                  <c:v>172.52300000000002</c:v>
                </c:pt>
                <c:pt idx="92">
                  <c:v>171.70350000000002</c:v>
                </c:pt>
                <c:pt idx="93">
                  <c:v>170.96150000000003</c:v>
                </c:pt>
                <c:pt idx="94">
                  <c:v>170.3365</c:v>
                </c:pt>
                <c:pt idx="95">
                  <c:v>169.709</c:v>
                </c:pt>
                <c:pt idx="96">
                  <c:v>169.11000000000004</c:v>
                </c:pt>
                <c:pt idx="97">
                  <c:v>168.67400000000001</c:v>
                </c:pt>
                <c:pt idx="98">
                  <c:v>168.15350000000004</c:v>
                </c:pt>
                <c:pt idx="99">
                  <c:v>168.24150000000003</c:v>
                </c:pt>
                <c:pt idx="100">
                  <c:v>168.42949999999999</c:v>
                </c:pt>
                <c:pt idx="101">
                  <c:v>168.541</c:v>
                </c:pt>
                <c:pt idx="102">
                  <c:v>168.58350000000002</c:v>
                </c:pt>
                <c:pt idx="103">
                  <c:v>168.64349999999999</c:v>
                </c:pt>
                <c:pt idx="104">
                  <c:v>168.75150000000002</c:v>
                </c:pt>
                <c:pt idx="105">
                  <c:v>168.73000000000002</c:v>
                </c:pt>
                <c:pt idx="106">
                  <c:v>168.59</c:v>
                </c:pt>
                <c:pt idx="107">
                  <c:v>168.54000000000002</c:v>
                </c:pt>
                <c:pt idx="108">
                  <c:v>168.45500000000001</c:v>
                </c:pt>
                <c:pt idx="109">
                  <c:v>168.642</c:v>
                </c:pt>
                <c:pt idx="110">
                  <c:v>168.80350000000004</c:v>
                </c:pt>
                <c:pt idx="111">
                  <c:v>168.89150000000001</c:v>
                </c:pt>
                <c:pt idx="112">
                  <c:v>168.97350000000003</c:v>
                </c:pt>
                <c:pt idx="113">
                  <c:v>169.01650000000001</c:v>
                </c:pt>
                <c:pt idx="114">
                  <c:v>169.02849999999995</c:v>
                </c:pt>
                <c:pt idx="115">
                  <c:v>169.05199999999996</c:v>
                </c:pt>
                <c:pt idx="116">
                  <c:v>169.08350000000002</c:v>
                </c:pt>
                <c:pt idx="117">
                  <c:v>169.10600000000002</c:v>
                </c:pt>
                <c:pt idx="118">
                  <c:v>169.04450000000003</c:v>
                </c:pt>
                <c:pt idx="119">
                  <c:v>169.26150000000001</c:v>
                </c:pt>
                <c:pt idx="120">
                  <c:v>169.34700000000001</c:v>
                </c:pt>
                <c:pt idx="121">
                  <c:v>169.45750000000001</c:v>
                </c:pt>
                <c:pt idx="122">
                  <c:v>169.64749999999998</c:v>
                </c:pt>
                <c:pt idx="123">
                  <c:v>170.01349999999996</c:v>
                </c:pt>
                <c:pt idx="124">
                  <c:v>170.42599999999996</c:v>
                </c:pt>
                <c:pt idx="125">
                  <c:v>171.02699999999999</c:v>
                </c:pt>
                <c:pt idx="126">
                  <c:v>171.52299999999997</c:v>
                </c:pt>
                <c:pt idx="127">
                  <c:v>171.95499999999998</c:v>
                </c:pt>
                <c:pt idx="128">
                  <c:v>172.42699999999996</c:v>
                </c:pt>
                <c:pt idx="129">
                  <c:v>172.75049999999999</c:v>
                </c:pt>
                <c:pt idx="130">
                  <c:v>173.12349999999998</c:v>
                </c:pt>
                <c:pt idx="131">
                  <c:v>173.57299999999998</c:v>
                </c:pt>
                <c:pt idx="132">
                  <c:v>174.2645</c:v>
                </c:pt>
                <c:pt idx="133">
                  <c:v>174.95249999999999</c:v>
                </c:pt>
                <c:pt idx="134">
                  <c:v>175.78249999999997</c:v>
                </c:pt>
                <c:pt idx="135">
                  <c:v>176.68</c:v>
                </c:pt>
                <c:pt idx="136">
                  <c:v>177.41349999999997</c:v>
                </c:pt>
                <c:pt idx="137">
                  <c:v>177.87999999999997</c:v>
                </c:pt>
                <c:pt idx="138">
                  <c:v>178.46449999999999</c:v>
                </c:pt>
                <c:pt idx="139">
                  <c:v>178.91899999999998</c:v>
                </c:pt>
                <c:pt idx="140">
                  <c:v>179.48999999999998</c:v>
                </c:pt>
                <c:pt idx="141">
                  <c:v>180.49549999999996</c:v>
                </c:pt>
                <c:pt idx="142">
                  <c:v>181.54049999999995</c:v>
                </c:pt>
                <c:pt idx="143">
                  <c:v>182.46799999999996</c:v>
                </c:pt>
                <c:pt idx="144">
                  <c:v>183.26499999999999</c:v>
                </c:pt>
                <c:pt idx="145">
                  <c:v>184.00700000000001</c:v>
                </c:pt>
                <c:pt idx="146">
                  <c:v>184.70349999999999</c:v>
                </c:pt>
                <c:pt idx="147">
                  <c:v>185.35849999999999</c:v>
                </c:pt>
                <c:pt idx="148">
                  <c:v>185.642</c:v>
                </c:pt>
                <c:pt idx="149">
                  <c:v>186.15799999999999</c:v>
                </c:pt>
                <c:pt idx="150">
                  <c:v>186.60599999999999</c:v>
                </c:pt>
                <c:pt idx="151">
                  <c:v>187.321</c:v>
                </c:pt>
                <c:pt idx="152">
                  <c:v>187.75199999999998</c:v>
                </c:pt>
                <c:pt idx="153">
                  <c:v>188.08199999999999</c:v>
                </c:pt>
                <c:pt idx="154">
                  <c:v>188.34099999999998</c:v>
                </c:pt>
                <c:pt idx="155">
                  <c:v>188.58449999999999</c:v>
                </c:pt>
                <c:pt idx="156">
                  <c:v>189.02100000000002</c:v>
                </c:pt>
                <c:pt idx="157">
                  <c:v>189.54750000000004</c:v>
                </c:pt>
                <c:pt idx="158">
                  <c:v>190.07650000000007</c:v>
                </c:pt>
                <c:pt idx="159">
                  <c:v>190.673</c:v>
                </c:pt>
                <c:pt idx="160">
                  <c:v>191.33250000000004</c:v>
                </c:pt>
                <c:pt idx="161">
                  <c:v>191.53149999999999</c:v>
                </c:pt>
                <c:pt idx="162">
                  <c:v>191.749</c:v>
                </c:pt>
                <c:pt idx="163">
                  <c:v>192.07300000000004</c:v>
                </c:pt>
                <c:pt idx="164">
                  <c:v>192.45750000000004</c:v>
                </c:pt>
                <c:pt idx="165">
                  <c:v>192.77350000000001</c:v>
                </c:pt>
                <c:pt idx="166">
                  <c:v>193.23550000000003</c:v>
                </c:pt>
                <c:pt idx="167">
                  <c:v>193.88600000000002</c:v>
                </c:pt>
                <c:pt idx="168">
                  <c:v>194.78450000000004</c:v>
                </c:pt>
                <c:pt idx="169">
                  <c:v>195.65000000000003</c:v>
                </c:pt>
                <c:pt idx="170">
                  <c:v>196.43950000000001</c:v>
                </c:pt>
                <c:pt idx="171">
                  <c:v>196.84600000000006</c:v>
                </c:pt>
                <c:pt idx="172">
                  <c:v>197.45000000000002</c:v>
                </c:pt>
                <c:pt idx="173">
                  <c:v>198.24200000000005</c:v>
                </c:pt>
                <c:pt idx="174">
                  <c:v>199.18700000000007</c:v>
                </c:pt>
                <c:pt idx="175">
                  <c:v>200.15150000000003</c:v>
                </c:pt>
                <c:pt idx="176">
                  <c:v>201.19350000000003</c:v>
                </c:pt>
                <c:pt idx="177">
                  <c:v>202.36250000000004</c:v>
                </c:pt>
                <c:pt idx="178">
                  <c:v>203.33250000000004</c:v>
                </c:pt>
                <c:pt idx="179">
                  <c:v>204.27800000000005</c:v>
                </c:pt>
                <c:pt idx="180">
                  <c:v>205.11200000000002</c:v>
                </c:pt>
                <c:pt idx="181">
                  <c:v>206.19900000000001</c:v>
                </c:pt>
                <c:pt idx="182">
                  <c:v>207.41899999999995</c:v>
                </c:pt>
                <c:pt idx="183">
                  <c:v>208.5685</c:v>
                </c:pt>
                <c:pt idx="184">
                  <c:v>209.69349999999994</c:v>
                </c:pt>
                <c:pt idx="185">
                  <c:v>210.94199999999995</c:v>
                </c:pt>
                <c:pt idx="186">
                  <c:v>212.03899999999999</c:v>
                </c:pt>
                <c:pt idx="187">
                  <c:v>212.98649999999998</c:v>
                </c:pt>
                <c:pt idx="188">
                  <c:v>213.88999999999996</c:v>
                </c:pt>
                <c:pt idx="189">
                  <c:v>214.67099999999996</c:v>
                </c:pt>
                <c:pt idx="190">
                  <c:v>215.67749999999995</c:v>
                </c:pt>
                <c:pt idx="191">
                  <c:v>216.94049999999999</c:v>
                </c:pt>
                <c:pt idx="192">
                  <c:v>218.11999999999998</c:v>
                </c:pt>
                <c:pt idx="193">
                  <c:v>219.285</c:v>
                </c:pt>
                <c:pt idx="194">
                  <c:v>220.50549999999998</c:v>
                </c:pt>
                <c:pt idx="195">
                  <c:v>221.57599999999996</c:v>
                </c:pt>
                <c:pt idx="196">
                  <c:v>222.49949999999998</c:v>
                </c:pt>
                <c:pt idx="197">
                  <c:v>223.40450000000001</c:v>
                </c:pt>
                <c:pt idx="198">
                  <c:v>224.346</c:v>
                </c:pt>
                <c:pt idx="199">
                  <c:v>225.28249999999997</c:v>
                </c:pt>
                <c:pt idx="200">
                  <c:v>226.23200000000003</c:v>
                </c:pt>
                <c:pt idx="201">
                  <c:v>226.95700000000002</c:v>
                </c:pt>
                <c:pt idx="202">
                  <c:v>227.51950000000002</c:v>
                </c:pt>
                <c:pt idx="203">
                  <c:v>228.08350000000002</c:v>
                </c:pt>
                <c:pt idx="204">
                  <c:v>228.65950000000004</c:v>
                </c:pt>
                <c:pt idx="205">
                  <c:v>228.40750000000003</c:v>
                </c:pt>
                <c:pt idx="206">
                  <c:v>228.09900000000002</c:v>
                </c:pt>
                <c:pt idx="207">
                  <c:v>227.69050000000001</c:v>
                </c:pt>
                <c:pt idx="208">
                  <c:v>227.24449999999996</c:v>
                </c:pt>
                <c:pt idx="209">
                  <c:v>226.50299999999999</c:v>
                </c:pt>
                <c:pt idx="210">
                  <c:v>225.70299999999997</c:v>
                </c:pt>
                <c:pt idx="211">
                  <c:v>224.81549999999999</c:v>
                </c:pt>
                <c:pt idx="212">
                  <c:v>223.77549999999997</c:v>
                </c:pt>
                <c:pt idx="213">
                  <c:v>222.72299999999996</c:v>
                </c:pt>
                <c:pt idx="214">
                  <c:v>221.68800000000002</c:v>
                </c:pt>
                <c:pt idx="215">
                  <c:v>220.72149999999996</c:v>
                </c:pt>
                <c:pt idx="216">
                  <c:v>219.74450000000002</c:v>
                </c:pt>
                <c:pt idx="217">
                  <c:v>218.66</c:v>
                </c:pt>
                <c:pt idx="218">
                  <c:v>217.55499999999998</c:v>
                </c:pt>
                <c:pt idx="219">
                  <c:v>216.41750000000002</c:v>
                </c:pt>
                <c:pt idx="220">
                  <c:v>215.22300000000004</c:v>
                </c:pt>
                <c:pt idx="221">
                  <c:v>213.86250000000004</c:v>
                </c:pt>
                <c:pt idx="222">
                  <c:v>212.67950000000002</c:v>
                </c:pt>
                <c:pt idx="223">
                  <c:v>211.5795</c:v>
                </c:pt>
                <c:pt idx="224">
                  <c:v>210.67200000000003</c:v>
                </c:pt>
                <c:pt idx="225">
                  <c:v>210.8725</c:v>
                </c:pt>
                <c:pt idx="226">
                  <c:v>211.28749999999999</c:v>
                </c:pt>
                <c:pt idx="227">
                  <c:v>211.94849999999997</c:v>
                </c:pt>
                <c:pt idx="228">
                  <c:v>212.86849999999998</c:v>
                </c:pt>
                <c:pt idx="229">
                  <c:v>213.96949999999998</c:v>
                </c:pt>
                <c:pt idx="230">
                  <c:v>215.00399999999999</c:v>
                </c:pt>
                <c:pt idx="231">
                  <c:v>215.96100000000001</c:v>
                </c:pt>
                <c:pt idx="232">
                  <c:v>217.09499999999997</c:v>
                </c:pt>
                <c:pt idx="233">
                  <c:v>218.39099999999999</c:v>
                </c:pt>
                <c:pt idx="234">
                  <c:v>219.44849999999997</c:v>
                </c:pt>
                <c:pt idx="235">
                  <c:v>220.666</c:v>
                </c:pt>
                <c:pt idx="236">
                  <c:v>221.47999999999996</c:v>
                </c:pt>
                <c:pt idx="237">
                  <c:v>222.38749999999999</c:v>
                </c:pt>
                <c:pt idx="238">
                  <c:v>223.35050000000001</c:v>
                </c:pt>
                <c:pt idx="239">
                  <c:v>224.41750000000002</c:v>
                </c:pt>
                <c:pt idx="240">
                  <c:v>225.50899999999996</c:v>
                </c:pt>
                <c:pt idx="241">
                  <c:v>226.72599999999997</c:v>
                </c:pt>
                <c:pt idx="242">
                  <c:v>227.76999999999998</c:v>
                </c:pt>
                <c:pt idx="243">
                  <c:v>228.26600000000002</c:v>
                </c:pt>
                <c:pt idx="244">
                  <c:v>228.73199999999997</c:v>
                </c:pt>
                <c:pt idx="245">
                  <c:v>228.77999999999997</c:v>
                </c:pt>
                <c:pt idx="246">
                  <c:v>228.72799999999998</c:v>
                </c:pt>
                <c:pt idx="247">
                  <c:v>228.64199999999997</c:v>
                </c:pt>
                <c:pt idx="248">
                  <c:v>228.44499999999999</c:v>
                </c:pt>
                <c:pt idx="249">
                  <c:v>228.238</c:v>
                </c:pt>
                <c:pt idx="250">
                  <c:v>227.88000000000002</c:v>
                </c:pt>
                <c:pt idx="251">
                  <c:v>227.50199999999995</c:v>
                </c:pt>
                <c:pt idx="252">
                  <c:v>227.04899999999992</c:v>
                </c:pt>
                <c:pt idx="253">
                  <c:v>226.50699999999998</c:v>
                </c:pt>
                <c:pt idx="254">
                  <c:v>225.90299999999996</c:v>
                </c:pt>
                <c:pt idx="255">
                  <c:v>225.19899999999998</c:v>
                </c:pt>
                <c:pt idx="256">
                  <c:v>224.858</c:v>
                </c:pt>
                <c:pt idx="257">
                  <c:v>224.25950000000003</c:v>
                </c:pt>
                <c:pt idx="258">
                  <c:v>223.62349999999998</c:v>
                </c:pt>
                <c:pt idx="259">
                  <c:v>222.898</c:v>
                </c:pt>
                <c:pt idx="260">
                  <c:v>222.35849999999999</c:v>
                </c:pt>
                <c:pt idx="261">
                  <c:v>222.02500000000001</c:v>
                </c:pt>
                <c:pt idx="262">
                  <c:v>221.81600000000003</c:v>
                </c:pt>
                <c:pt idx="263">
                  <c:v>222.02050000000003</c:v>
                </c:pt>
                <c:pt idx="264">
                  <c:v>221.98750000000001</c:v>
                </c:pt>
                <c:pt idx="265">
                  <c:v>222.12150000000003</c:v>
                </c:pt>
                <c:pt idx="266">
                  <c:v>222.26500000000001</c:v>
                </c:pt>
                <c:pt idx="267">
                  <c:v>222.25100000000006</c:v>
                </c:pt>
                <c:pt idx="268">
                  <c:v>222.28950000000003</c:v>
                </c:pt>
                <c:pt idx="269">
                  <c:v>222.58200000000002</c:v>
                </c:pt>
                <c:pt idx="270">
                  <c:v>224.483</c:v>
                </c:pt>
                <c:pt idx="271">
                  <c:v>226.2765</c:v>
                </c:pt>
                <c:pt idx="272">
                  <c:v>228.31600000000009</c:v>
                </c:pt>
                <c:pt idx="273">
                  <c:v>230.40649999999999</c:v>
                </c:pt>
                <c:pt idx="274">
                  <c:v>232.43800000000002</c:v>
                </c:pt>
                <c:pt idx="275">
                  <c:v>233.91199999999998</c:v>
                </c:pt>
                <c:pt idx="276">
                  <c:v>235.36999999999998</c:v>
                </c:pt>
                <c:pt idx="277">
                  <c:v>236.846</c:v>
                </c:pt>
                <c:pt idx="278">
                  <c:v>238.71100000000001</c:v>
                </c:pt>
                <c:pt idx="279">
                  <c:v>240.61400000000003</c:v>
                </c:pt>
                <c:pt idx="280">
                  <c:v>242.57200000000003</c:v>
                </c:pt>
                <c:pt idx="281">
                  <c:v>244.50299999999999</c:v>
                </c:pt>
                <c:pt idx="282">
                  <c:v>246.41699999999997</c:v>
                </c:pt>
                <c:pt idx="283">
                  <c:v>248.42</c:v>
                </c:pt>
                <c:pt idx="284">
                  <c:v>250.49399999999997</c:v>
                </c:pt>
                <c:pt idx="285">
                  <c:v>252.26599999999999</c:v>
                </c:pt>
                <c:pt idx="286">
                  <c:v>254.11950000000002</c:v>
                </c:pt>
                <c:pt idx="287">
                  <c:v>255.80049999999997</c:v>
                </c:pt>
                <c:pt idx="288">
                  <c:v>257.30949999999996</c:v>
                </c:pt>
                <c:pt idx="289">
                  <c:v>258.53949999999998</c:v>
                </c:pt>
                <c:pt idx="290">
                  <c:v>258.24799999999999</c:v>
                </c:pt>
                <c:pt idx="291">
                  <c:v>257.97249999999997</c:v>
                </c:pt>
                <c:pt idx="292">
                  <c:v>257.59649999999993</c:v>
                </c:pt>
                <c:pt idx="293">
                  <c:v>256.94099999999997</c:v>
                </c:pt>
                <c:pt idx="294">
                  <c:v>256.21049999999997</c:v>
                </c:pt>
                <c:pt idx="295">
                  <c:v>256.6155</c:v>
                </c:pt>
                <c:pt idx="296">
                  <c:v>256.84350000000001</c:v>
                </c:pt>
                <c:pt idx="297">
                  <c:v>256.82749999999999</c:v>
                </c:pt>
                <c:pt idx="298">
                  <c:v>256.57399999999996</c:v>
                </c:pt>
                <c:pt idx="299">
                  <c:v>256.07350000000002</c:v>
                </c:pt>
                <c:pt idx="300">
                  <c:v>255.53149999999999</c:v>
                </c:pt>
                <c:pt idx="301">
                  <c:v>255.11600000000004</c:v>
                </c:pt>
                <c:pt idx="302">
                  <c:v>254.31</c:v>
                </c:pt>
                <c:pt idx="303">
                  <c:v>253.70850000000002</c:v>
                </c:pt>
                <c:pt idx="304">
                  <c:v>252.63749999999999</c:v>
                </c:pt>
                <c:pt idx="305">
                  <c:v>251.75699999999998</c:v>
                </c:pt>
                <c:pt idx="306">
                  <c:v>251.08599999999996</c:v>
                </c:pt>
                <c:pt idx="307">
                  <c:v>250.69349999999994</c:v>
                </c:pt>
                <c:pt idx="308">
                  <c:v>250.41849999999994</c:v>
                </c:pt>
                <c:pt idx="309">
                  <c:v>250.06749999999997</c:v>
                </c:pt>
                <c:pt idx="310">
                  <c:v>249.6455</c:v>
                </c:pt>
                <c:pt idx="311">
                  <c:v>249.56899999999996</c:v>
                </c:pt>
                <c:pt idx="312">
                  <c:v>249.42549999999997</c:v>
                </c:pt>
                <c:pt idx="313">
                  <c:v>249.35699999999997</c:v>
                </c:pt>
                <c:pt idx="314">
                  <c:v>249.09699999999998</c:v>
                </c:pt>
                <c:pt idx="315">
                  <c:v>247.39399999999992</c:v>
                </c:pt>
                <c:pt idx="316">
                  <c:v>245.83799999999997</c:v>
                </c:pt>
                <c:pt idx="317">
                  <c:v>244.44199999999995</c:v>
                </c:pt>
                <c:pt idx="318">
                  <c:v>243.72599999999997</c:v>
                </c:pt>
                <c:pt idx="319">
                  <c:v>242.91350000000003</c:v>
                </c:pt>
                <c:pt idx="320">
                  <c:v>242.27000000000004</c:v>
                </c:pt>
                <c:pt idx="321">
                  <c:v>241.57450000000003</c:v>
                </c:pt>
                <c:pt idx="322">
                  <c:v>241.26200000000003</c:v>
                </c:pt>
                <c:pt idx="323">
                  <c:v>240.57600000000002</c:v>
                </c:pt>
                <c:pt idx="324">
                  <c:v>240.35050000000001</c:v>
                </c:pt>
                <c:pt idx="325">
                  <c:v>239.96800000000002</c:v>
                </c:pt>
                <c:pt idx="326">
                  <c:v>239.59050000000002</c:v>
                </c:pt>
                <c:pt idx="327">
                  <c:v>239.36949999999996</c:v>
                </c:pt>
                <c:pt idx="328">
                  <c:v>238.31899999999996</c:v>
                </c:pt>
                <c:pt idx="329">
                  <c:v>237.62899999999999</c:v>
                </c:pt>
                <c:pt idx="330">
                  <c:v>237.23699999999999</c:v>
                </c:pt>
                <c:pt idx="331">
                  <c:v>236.77349999999996</c:v>
                </c:pt>
                <c:pt idx="332">
                  <c:v>236.3475</c:v>
                </c:pt>
                <c:pt idx="333">
                  <c:v>235.83149999999995</c:v>
                </c:pt>
                <c:pt idx="334">
                  <c:v>235.93449999999999</c:v>
                </c:pt>
                <c:pt idx="335">
                  <c:v>237.01950000000002</c:v>
                </c:pt>
                <c:pt idx="336">
                  <c:v>238.18649999999997</c:v>
                </c:pt>
                <c:pt idx="337">
                  <c:v>239.80349999999999</c:v>
                </c:pt>
                <c:pt idx="338">
                  <c:v>240.74499999999998</c:v>
                </c:pt>
                <c:pt idx="339">
                  <c:v>241.72750000000002</c:v>
                </c:pt>
                <c:pt idx="340">
                  <c:v>242.63799999999998</c:v>
                </c:pt>
                <c:pt idx="341">
                  <c:v>243.61449999999996</c:v>
                </c:pt>
                <c:pt idx="342">
                  <c:v>244.47049999999996</c:v>
                </c:pt>
                <c:pt idx="343">
                  <c:v>245.87599999999998</c:v>
                </c:pt>
                <c:pt idx="344">
                  <c:v>247.27350000000001</c:v>
                </c:pt>
                <c:pt idx="345">
                  <c:v>248.88299999999998</c:v>
                </c:pt>
                <c:pt idx="346">
                  <c:v>250.18549999999999</c:v>
                </c:pt>
                <c:pt idx="347">
                  <c:v>250.95499999999998</c:v>
                </c:pt>
                <c:pt idx="348">
                  <c:v>252.40699999999998</c:v>
                </c:pt>
                <c:pt idx="349">
                  <c:v>253.71799999999999</c:v>
                </c:pt>
                <c:pt idx="350">
                  <c:v>255.07150000000001</c:v>
                </c:pt>
                <c:pt idx="351">
                  <c:v>256.11399999999992</c:v>
                </c:pt>
                <c:pt idx="352">
                  <c:v>256.95749999999992</c:v>
                </c:pt>
                <c:pt idx="353">
                  <c:v>257.92749999999995</c:v>
                </c:pt>
                <c:pt idx="354">
                  <c:v>258.84499999999997</c:v>
                </c:pt>
                <c:pt idx="355">
                  <c:v>259.64599999999996</c:v>
                </c:pt>
                <c:pt idx="356">
                  <c:v>260.46600000000001</c:v>
                </c:pt>
                <c:pt idx="357">
                  <c:v>261.14049999999992</c:v>
                </c:pt>
                <c:pt idx="358">
                  <c:v>261.87699999999995</c:v>
                </c:pt>
                <c:pt idx="359">
                  <c:v>263.02100000000002</c:v>
                </c:pt>
                <c:pt idx="360">
                  <c:v>264.14849999999996</c:v>
                </c:pt>
                <c:pt idx="361">
                  <c:v>265.29499999999996</c:v>
                </c:pt>
                <c:pt idx="362">
                  <c:v>266.45549999999997</c:v>
                </c:pt>
                <c:pt idx="363">
                  <c:v>266.98249999999996</c:v>
                </c:pt>
                <c:pt idx="364">
                  <c:v>267.73599999999999</c:v>
                </c:pt>
                <c:pt idx="365">
                  <c:v>268.46799999999996</c:v>
                </c:pt>
                <c:pt idx="366">
                  <c:v>269.28100000000001</c:v>
                </c:pt>
                <c:pt idx="367">
                  <c:v>270.286</c:v>
                </c:pt>
                <c:pt idx="368">
                  <c:v>271.82650000000007</c:v>
                </c:pt>
                <c:pt idx="369">
                  <c:v>273.58450000000005</c:v>
                </c:pt>
                <c:pt idx="370">
                  <c:v>274.97600000000006</c:v>
                </c:pt>
                <c:pt idx="371">
                  <c:v>276.5605000000001</c:v>
                </c:pt>
                <c:pt idx="372">
                  <c:v>278.11100000000005</c:v>
                </c:pt>
                <c:pt idx="373">
                  <c:v>279.89700000000005</c:v>
                </c:pt>
                <c:pt idx="374">
                  <c:v>281.26200000000006</c:v>
                </c:pt>
                <c:pt idx="375">
                  <c:v>282.3845</c:v>
                </c:pt>
                <c:pt idx="376">
                  <c:v>283.70699999999999</c:v>
                </c:pt>
                <c:pt idx="377">
                  <c:v>284.98750000000001</c:v>
                </c:pt>
                <c:pt idx="378">
                  <c:v>286.06499999999994</c:v>
                </c:pt>
                <c:pt idx="379">
                  <c:v>286.96799999999996</c:v>
                </c:pt>
                <c:pt idx="380">
                  <c:v>287.52750000000003</c:v>
                </c:pt>
                <c:pt idx="381">
                  <c:v>287.63100000000003</c:v>
                </c:pt>
                <c:pt idx="382">
                  <c:v>287.76900000000001</c:v>
                </c:pt>
                <c:pt idx="383">
                  <c:v>288.04300000000001</c:v>
                </c:pt>
                <c:pt idx="384">
                  <c:v>288.04750000000001</c:v>
                </c:pt>
                <c:pt idx="385">
                  <c:v>287.995</c:v>
                </c:pt>
                <c:pt idx="386">
                  <c:v>288.12800000000004</c:v>
                </c:pt>
                <c:pt idx="387">
                  <c:v>288.315</c:v>
                </c:pt>
                <c:pt idx="388">
                  <c:v>287.95400000000001</c:v>
                </c:pt>
                <c:pt idx="389">
                  <c:v>287.36500000000001</c:v>
                </c:pt>
                <c:pt idx="390">
                  <c:v>285.83749999999998</c:v>
                </c:pt>
                <c:pt idx="391">
                  <c:v>284.22700000000003</c:v>
                </c:pt>
                <c:pt idx="392">
                  <c:v>282.90250000000003</c:v>
                </c:pt>
                <c:pt idx="393">
                  <c:v>281.28399999999999</c:v>
                </c:pt>
                <c:pt idx="394">
                  <c:v>279.73700000000002</c:v>
                </c:pt>
                <c:pt idx="395">
                  <c:v>278.012</c:v>
                </c:pt>
                <c:pt idx="396">
                  <c:v>275.91600000000005</c:v>
                </c:pt>
                <c:pt idx="397">
                  <c:v>273.89150000000001</c:v>
                </c:pt>
                <c:pt idx="398">
                  <c:v>271.904</c:v>
                </c:pt>
                <c:pt idx="399">
                  <c:v>270.01100000000002</c:v>
                </c:pt>
                <c:pt idx="400">
                  <c:v>268.14749999999998</c:v>
                </c:pt>
                <c:pt idx="401">
                  <c:v>266.08150000000006</c:v>
                </c:pt>
                <c:pt idx="402">
                  <c:v>263.70700000000005</c:v>
                </c:pt>
                <c:pt idx="403">
                  <c:v>261.31050000000005</c:v>
                </c:pt>
                <c:pt idx="404">
                  <c:v>259.21800000000007</c:v>
                </c:pt>
                <c:pt idx="405">
                  <c:v>256.9735</c:v>
                </c:pt>
                <c:pt idx="406">
                  <c:v>254.66600000000003</c:v>
                </c:pt>
                <c:pt idx="407">
                  <c:v>252.40300000000002</c:v>
                </c:pt>
                <c:pt idx="408">
                  <c:v>250.369</c:v>
                </c:pt>
                <c:pt idx="409">
                  <c:v>248.39600000000002</c:v>
                </c:pt>
                <c:pt idx="410">
                  <c:v>247.34050000000002</c:v>
                </c:pt>
                <c:pt idx="411">
                  <c:v>246.459</c:v>
                </c:pt>
                <c:pt idx="412">
                  <c:v>245.27000000000004</c:v>
                </c:pt>
                <c:pt idx="413">
                  <c:v>244.28100000000003</c:v>
                </c:pt>
                <c:pt idx="414">
                  <c:v>243.51000000000005</c:v>
                </c:pt>
                <c:pt idx="415">
                  <c:v>243.13899999999998</c:v>
                </c:pt>
                <c:pt idx="416">
                  <c:v>242.81099999999998</c:v>
                </c:pt>
                <c:pt idx="417">
                  <c:v>242.28699999999998</c:v>
                </c:pt>
                <c:pt idx="418">
                  <c:v>241.95850000000004</c:v>
                </c:pt>
                <c:pt idx="419">
                  <c:v>241.70350000000008</c:v>
                </c:pt>
                <c:pt idx="420">
                  <c:v>241.62200000000001</c:v>
                </c:pt>
                <c:pt idx="421">
                  <c:v>242.31300000000002</c:v>
                </c:pt>
                <c:pt idx="422">
                  <c:v>243.45349999999999</c:v>
                </c:pt>
                <c:pt idx="423">
                  <c:v>244.55899999999997</c:v>
                </c:pt>
                <c:pt idx="424">
                  <c:v>245.40600000000001</c:v>
                </c:pt>
                <c:pt idx="425">
                  <c:v>246.22250000000003</c:v>
                </c:pt>
                <c:pt idx="426">
                  <c:v>247.04849999999996</c:v>
                </c:pt>
                <c:pt idx="427">
                  <c:v>247.95199999999994</c:v>
                </c:pt>
                <c:pt idx="428">
                  <c:v>248.84200000000001</c:v>
                </c:pt>
                <c:pt idx="429">
                  <c:v>249.96450000000004</c:v>
                </c:pt>
                <c:pt idx="430">
                  <c:v>251.31450000000004</c:v>
                </c:pt>
                <c:pt idx="431">
                  <c:v>252.77850000000004</c:v>
                </c:pt>
                <c:pt idx="432">
                  <c:v>254.41900000000001</c:v>
                </c:pt>
                <c:pt idx="433">
                  <c:v>255.66399999999999</c:v>
                </c:pt>
                <c:pt idx="434">
                  <c:v>257.49399999999997</c:v>
                </c:pt>
                <c:pt idx="435">
                  <c:v>259.423</c:v>
                </c:pt>
                <c:pt idx="436">
                  <c:v>261.23849999999999</c:v>
                </c:pt>
                <c:pt idx="437">
                  <c:v>263.27149999999995</c:v>
                </c:pt>
                <c:pt idx="438">
                  <c:v>265.39099999999996</c:v>
                </c:pt>
                <c:pt idx="439">
                  <c:v>267.36799999999999</c:v>
                </c:pt>
                <c:pt idx="440">
                  <c:v>269.36</c:v>
                </c:pt>
                <c:pt idx="441">
                  <c:v>271.0265</c:v>
                </c:pt>
                <c:pt idx="442">
                  <c:v>272.76449999999994</c:v>
                </c:pt>
                <c:pt idx="443">
                  <c:v>274.39350000000002</c:v>
                </c:pt>
                <c:pt idx="444">
                  <c:v>275.9545</c:v>
                </c:pt>
                <c:pt idx="445">
                  <c:v>277.17349999999999</c:v>
                </c:pt>
                <c:pt idx="446">
                  <c:v>278.22249999999997</c:v>
                </c:pt>
                <c:pt idx="447">
                  <c:v>279.15399999999994</c:v>
                </c:pt>
                <c:pt idx="448">
                  <c:v>280.23749999999995</c:v>
                </c:pt>
                <c:pt idx="449">
                  <c:v>280.78599999999994</c:v>
                </c:pt>
                <c:pt idx="450">
                  <c:v>281.53000000000003</c:v>
                </c:pt>
                <c:pt idx="451">
                  <c:v>282.14399999999995</c:v>
                </c:pt>
                <c:pt idx="452">
                  <c:v>282.6345</c:v>
                </c:pt>
                <c:pt idx="453">
                  <c:v>283.63350000000003</c:v>
                </c:pt>
                <c:pt idx="454">
                  <c:v>283.81149999999997</c:v>
                </c:pt>
                <c:pt idx="455">
                  <c:v>284.96899999999999</c:v>
                </c:pt>
                <c:pt idx="456">
                  <c:v>286.63350000000003</c:v>
                </c:pt>
                <c:pt idx="457">
                  <c:v>288.154</c:v>
                </c:pt>
                <c:pt idx="458">
                  <c:v>289.24</c:v>
                </c:pt>
                <c:pt idx="459">
                  <c:v>290.40700000000004</c:v>
                </c:pt>
                <c:pt idx="460">
                  <c:v>291.35900000000004</c:v>
                </c:pt>
                <c:pt idx="461">
                  <c:v>292.12450000000001</c:v>
                </c:pt>
                <c:pt idx="462">
                  <c:v>292.47350000000006</c:v>
                </c:pt>
                <c:pt idx="463">
                  <c:v>293.33900000000006</c:v>
                </c:pt>
                <c:pt idx="464">
                  <c:v>294.54850000000005</c:v>
                </c:pt>
                <c:pt idx="465">
                  <c:v>295.9765000000001</c:v>
                </c:pt>
                <c:pt idx="466">
                  <c:v>297.57200000000012</c:v>
                </c:pt>
                <c:pt idx="467">
                  <c:v>299.45050000000003</c:v>
                </c:pt>
                <c:pt idx="468">
                  <c:v>301.16200000000009</c:v>
                </c:pt>
                <c:pt idx="469">
                  <c:v>302.60649999999998</c:v>
                </c:pt>
                <c:pt idx="470">
                  <c:v>303.82699999999994</c:v>
                </c:pt>
                <c:pt idx="471">
                  <c:v>304.50299999999999</c:v>
                </c:pt>
                <c:pt idx="472">
                  <c:v>304.89800000000002</c:v>
                </c:pt>
                <c:pt idx="473">
                  <c:v>304.94899999999996</c:v>
                </c:pt>
                <c:pt idx="474">
                  <c:v>305.21899999999994</c:v>
                </c:pt>
                <c:pt idx="475">
                  <c:v>304.71799999999996</c:v>
                </c:pt>
                <c:pt idx="476">
                  <c:v>304.26949999999994</c:v>
                </c:pt>
                <c:pt idx="477">
                  <c:v>303.86499999999995</c:v>
                </c:pt>
                <c:pt idx="478">
                  <c:v>303.61500000000001</c:v>
                </c:pt>
                <c:pt idx="479">
                  <c:v>303.54100000000005</c:v>
                </c:pt>
                <c:pt idx="480">
                  <c:v>303.45399999999995</c:v>
                </c:pt>
                <c:pt idx="481">
                  <c:v>303.30649999999997</c:v>
                </c:pt>
                <c:pt idx="482">
                  <c:v>303.39500000000004</c:v>
                </c:pt>
                <c:pt idx="483">
                  <c:v>303.45600000000002</c:v>
                </c:pt>
                <c:pt idx="484">
                  <c:v>303.23199999999991</c:v>
                </c:pt>
                <c:pt idx="485">
                  <c:v>303.37199999999996</c:v>
                </c:pt>
                <c:pt idx="486">
                  <c:v>303.43949999999995</c:v>
                </c:pt>
                <c:pt idx="487">
                  <c:v>303.387</c:v>
                </c:pt>
                <c:pt idx="488">
                  <c:v>303.17500000000001</c:v>
                </c:pt>
                <c:pt idx="489">
                  <c:v>303.39399999999995</c:v>
                </c:pt>
                <c:pt idx="490">
                  <c:v>303.5424999999999</c:v>
                </c:pt>
                <c:pt idx="491">
                  <c:v>303.84299999999996</c:v>
                </c:pt>
                <c:pt idx="492">
                  <c:v>304.51149999999996</c:v>
                </c:pt>
                <c:pt idx="493">
                  <c:v>305.10749999999996</c:v>
                </c:pt>
                <c:pt idx="494">
                  <c:v>305.63649999999996</c:v>
                </c:pt>
                <c:pt idx="495">
                  <c:v>305.90399999999994</c:v>
                </c:pt>
                <c:pt idx="496">
                  <c:v>305.887</c:v>
                </c:pt>
                <c:pt idx="497">
                  <c:v>305.89099999999996</c:v>
                </c:pt>
                <c:pt idx="498">
                  <c:v>305.98500000000001</c:v>
                </c:pt>
                <c:pt idx="499">
                  <c:v>305.84299999999996</c:v>
                </c:pt>
                <c:pt idx="500">
                  <c:v>305.66199999999998</c:v>
                </c:pt>
                <c:pt idx="501">
                  <c:v>305.38350000000003</c:v>
                </c:pt>
                <c:pt idx="502">
                  <c:v>304.82749999999999</c:v>
                </c:pt>
                <c:pt idx="503">
                  <c:v>304.17650000000003</c:v>
                </c:pt>
                <c:pt idx="504">
                  <c:v>303.90300000000002</c:v>
                </c:pt>
                <c:pt idx="505">
                  <c:v>303.28050000000002</c:v>
                </c:pt>
                <c:pt idx="506">
                  <c:v>302.89250000000004</c:v>
                </c:pt>
                <c:pt idx="507">
                  <c:v>302.47000000000008</c:v>
                </c:pt>
                <c:pt idx="508">
                  <c:v>302.54200000000009</c:v>
                </c:pt>
                <c:pt idx="509">
                  <c:v>302.23800000000011</c:v>
                </c:pt>
                <c:pt idx="510">
                  <c:v>302.25650000000007</c:v>
                </c:pt>
                <c:pt idx="511">
                  <c:v>301.99500000000006</c:v>
                </c:pt>
                <c:pt idx="512">
                  <c:v>302.11250000000001</c:v>
                </c:pt>
                <c:pt idx="513">
                  <c:v>301.65750000000003</c:v>
                </c:pt>
                <c:pt idx="514">
                  <c:v>301.4855</c:v>
                </c:pt>
                <c:pt idx="515">
                  <c:v>301.0795</c:v>
                </c:pt>
                <c:pt idx="516">
                  <c:v>300.51249999999999</c:v>
                </c:pt>
                <c:pt idx="517">
                  <c:v>300.101</c:v>
                </c:pt>
                <c:pt idx="518">
                  <c:v>299.53949999999998</c:v>
                </c:pt>
                <c:pt idx="519">
                  <c:v>298.96049999999997</c:v>
                </c:pt>
                <c:pt idx="520">
                  <c:v>299.31999999999994</c:v>
                </c:pt>
                <c:pt idx="521">
                  <c:v>299.84449999999987</c:v>
                </c:pt>
                <c:pt idx="522">
                  <c:v>301.00599999999997</c:v>
                </c:pt>
                <c:pt idx="523">
                  <c:v>300.97300000000001</c:v>
                </c:pt>
                <c:pt idx="524">
                  <c:v>300.30200000000002</c:v>
                </c:pt>
                <c:pt idx="525">
                  <c:v>299.96000000000009</c:v>
                </c:pt>
                <c:pt idx="526">
                  <c:v>299.77050000000003</c:v>
                </c:pt>
                <c:pt idx="527">
                  <c:v>299.37650000000008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5-45DC-A735-74CB4EFD9A2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Data!$L$2:$L$529</c:f>
              <c:numCache>
                <c:formatCode>General</c:formatCode>
                <c:ptCount val="528"/>
                <c:pt idx="19">
                  <c:v>190.94119461786099</c:v>
                </c:pt>
                <c:pt idx="20">
                  <c:v>192.52562990713142</c:v>
                </c:pt>
                <c:pt idx="21">
                  <c:v>194.35049392069976</c:v>
                </c:pt>
                <c:pt idx="22">
                  <c:v>195.69345816751951</c:v>
                </c:pt>
                <c:pt idx="23">
                  <c:v>196.2372781306874</c:v>
                </c:pt>
                <c:pt idx="24">
                  <c:v>196.67746798068208</c:v>
                </c:pt>
                <c:pt idx="25">
                  <c:v>196.74123259020251</c:v>
                </c:pt>
                <c:pt idx="26">
                  <c:v>196.6633567747744</c:v>
                </c:pt>
                <c:pt idx="27">
                  <c:v>196.56777668948646</c:v>
                </c:pt>
                <c:pt idx="28">
                  <c:v>196.56948285015994</c:v>
                </c:pt>
                <c:pt idx="29">
                  <c:v>196.15116607736786</c:v>
                </c:pt>
                <c:pt idx="30">
                  <c:v>195.2114346283135</c:v>
                </c:pt>
                <c:pt idx="31">
                  <c:v>194.18622945375228</c:v>
                </c:pt>
                <c:pt idx="32">
                  <c:v>193.68637003677824</c:v>
                </c:pt>
                <c:pt idx="33">
                  <c:v>192.70176505963141</c:v>
                </c:pt>
                <c:pt idx="34">
                  <c:v>191.74214394219905</c:v>
                </c:pt>
                <c:pt idx="35">
                  <c:v>190.05758586628508</c:v>
                </c:pt>
                <c:pt idx="36">
                  <c:v>189.17423691192465</c:v>
                </c:pt>
                <c:pt idx="37">
                  <c:v>188.87227908391935</c:v>
                </c:pt>
                <c:pt idx="38">
                  <c:v>188.61545775780357</c:v>
                </c:pt>
                <c:pt idx="39">
                  <c:v>188.21314828655701</c:v>
                </c:pt>
                <c:pt idx="40">
                  <c:v>188.25439334676972</c:v>
                </c:pt>
                <c:pt idx="41">
                  <c:v>188.52984069837078</c:v>
                </c:pt>
                <c:pt idx="42">
                  <c:v>190.4088156050756</c:v>
                </c:pt>
                <c:pt idx="43">
                  <c:v>191.5771326026036</c:v>
                </c:pt>
                <c:pt idx="44">
                  <c:v>193.7574902404956</c:v>
                </c:pt>
                <c:pt idx="45">
                  <c:v>195.59231711162613</c:v>
                </c:pt>
                <c:pt idx="46">
                  <c:v>196.97678776286619</c:v>
                </c:pt>
                <c:pt idx="47">
                  <c:v>197.41976840219132</c:v>
                </c:pt>
                <c:pt idx="48">
                  <c:v>198.95595026209324</c:v>
                </c:pt>
                <c:pt idx="49">
                  <c:v>200.00782086748009</c:v>
                </c:pt>
                <c:pt idx="50">
                  <c:v>200.37382581072018</c:v>
                </c:pt>
                <c:pt idx="51">
                  <c:v>200.53889073470748</c:v>
                </c:pt>
                <c:pt idx="52">
                  <c:v>200.73617211206275</c:v>
                </c:pt>
                <c:pt idx="53">
                  <c:v>200.9030861138711</c:v>
                </c:pt>
                <c:pt idx="54">
                  <c:v>200.45849525309703</c:v>
                </c:pt>
                <c:pt idx="55">
                  <c:v>200.27978584893987</c:v>
                </c:pt>
                <c:pt idx="56">
                  <c:v>200.12788390393379</c:v>
                </c:pt>
                <c:pt idx="57">
                  <c:v>199.71627435958609</c:v>
                </c:pt>
                <c:pt idx="58">
                  <c:v>199.35796261713264</c:v>
                </c:pt>
                <c:pt idx="59">
                  <c:v>198.93209714830334</c:v>
                </c:pt>
                <c:pt idx="60">
                  <c:v>198.3023609472406</c:v>
                </c:pt>
                <c:pt idx="61">
                  <c:v>198.15426799569303</c:v>
                </c:pt>
                <c:pt idx="62">
                  <c:v>198.21133512545885</c:v>
                </c:pt>
                <c:pt idx="63">
                  <c:v>198.20111393607638</c:v>
                </c:pt>
                <c:pt idx="64">
                  <c:v>197.85995471332257</c:v>
                </c:pt>
                <c:pt idx="65">
                  <c:v>197.22854872355026</c:v>
                </c:pt>
                <c:pt idx="66">
                  <c:v>196.60150990224554</c:v>
                </c:pt>
                <c:pt idx="67">
                  <c:v>196.56016773370996</c:v>
                </c:pt>
                <c:pt idx="68">
                  <c:v>195.52115967409392</c:v>
                </c:pt>
                <c:pt idx="69">
                  <c:v>194.54838416021741</c:v>
                </c:pt>
                <c:pt idx="70">
                  <c:v>194.96374526495683</c:v>
                </c:pt>
                <c:pt idx="71">
                  <c:v>195.5851117416764</c:v>
                </c:pt>
                <c:pt idx="72">
                  <c:v>195.48668898843582</c:v>
                </c:pt>
                <c:pt idx="73">
                  <c:v>195.04742296343875</c:v>
                </c:pt>
                <c:pt idx="74">
                  <c:v>194.48660458136015</c:v>
                </c:pt>
                <c:pt idx="75">
                  <c:v>194.14783955236217</c:v>
                </c:pt>
                <c:pt idx="76">
                  <c:v>193.8218441031122</c:v>
                </c:pt>
                <c:pt idx="77">
                  <c:v>193.67280711553869</c:v>
                </c:pt>
                <c:pt idx="78">
                  <c:v>193.43606859386634</c:v>
                </c:pt>
                <c:pt idx="79">
                  <c:v>195.28538908039715</c:v>
                </c:pt>
                <c:pt idx="80">
                  <c:v>196.41819165541781</c:v>
                </c:pt>
                <c:pt idx="81">
                  <c:v>196.90411187836074</c:v>
                </c:pt>
                <c:pt idx="82">
                  <c:v>197.21852169350041</c:v>
                </c:pt>
                <c:pt idx="83">
                  <c:v>196.98895452545202</c:v>
                </c:pt>
                <c:pt idx="84">
                  <c:v>196.76119473510477</c:v>
                </c:pt>
                <c:pt idx="85">
                  <c:v>195.87115250587047</c:v>
                </c:pt>
                <c:pt idx="86">
                  <c:v>194.33681327783771</c:v>
                </c:pt>
                <c:pt idx="87">
                  <c:v>192.6323487117885</c:v>
                </c:pt>
                <c:pt idx="88">
                  <c:v>191.28914300372813</c:v>
                </c:pt>
                <c:pt idx="89">
                  <c:v>189.88996955955963</c:v>
                </c:pt>
                <c:pt idx="90">
                  <c:v>188.90761179980311</c:v>
                </c:pt>
                <c:pt idx="91">
                  <c:v>187.93786514272577</c:v>
                </c:pt>
                <c:pt idx="92">
                  <c:v>186.32767072772623</c:v>
                </c:pt>
                <c:pt idx="93">
                  <c:v>184.62537056976788</c:v>
                </c:pt>
                <c:pt idx="94">
                  <c:v>183.08967467184254</c:v>
                </c:pt>
                <c:pt idx="95">
                  <c:v>181.31636590092234</c:v>
                </c:pt>
                <c:pt idx="96">
                  <c:v>179.20658618700298</c:v>
                </c:pt>
                <c:pt idx="97">
                  <c:v>176.9881133020906</c:v>
                </c:pt>
                <c:pt idx="98">
                  <c:v>172.96842536970095</c:v>
                </c:pt>
                <c:pt idx="99">
                  <c:v>173.17745306213291</c:v>
                </c:pt>
                <c:pt idx="100">
                  <c:v>173.47246268393678</c:v>
                </c:pt>
                <c:pt idx="101">
                  <c:v>173.58952203489716</c:v>
                </c:pt>
                <c:pt idx="102">
                  <c:v>173.56288180479211</c:v>
                </c:pt>
                <c:pt idx="103">
                  <c:v>173.43762480350469</c:v>
                </c:pt>
                <c:pt idx="104">
                  <c:v>173.25939844839618</c:v>
                </c:pt>
                <c:pt idx="105">
                  <c:v>173.30261413198184</c:v>
                </c:pt>
                <c:pt idx="106">
                  <c:v>173.34586729043301</c:v>
                </c:pt>
                <c:pt idx="107">
                  <c:v>173.32609389135254</c:v>
                </c:pt>
                <c:pt idx="108">
                  <c:v>173.19959914562142</c:v>
                </c:pt>
                <c:pt idx="109">
                  <c:v>173.31831703936243</c:v>
                </c:pt>
                <c:pt idx="110">
                  <c:v>173.48595673259581</c:v>
                </c:pt>
                <c:pt idx="111">
                  <c:v>173.54159915004649</c:v>
                </c:pt>
                <c:pt idx="112">
                  <c:v>173.56738735741658</c:v>
                </c:pt>
                <c:pt idx="113">
                  <c:v>173.59835103941282</c:v>
                </c:pt>
                <c:pt idx="114">
                  <c:v>173.61109533452384</c:v>
                </c:pt>
                <c:pt idx="115">
                  <c:v>173.63944556829887</c:v>
                </c:pt>
                <c:pt idx="116">
                  <c:v>173.70456970983537</c:v>
                </c:pt>
                <c:pt idx="117">
                  <c:v>173.82043650704381</c:v>
                </c:pt>
                <c:pt idx="118">
                  <c:v>173.53387212817822</c:v>
                </c:pt>
                <c:pt idx="119">
                  <c:v>174.44724676143025</c:v>
                </c:pt>
                <c:pt idx="120">
                  <c:v>174.6995049718505</c:v>
                </c:pt>
                <c:pt idx="121">
                  <c:v>174.92717862040598</c:v>
                </c:pt>
                <c:pt idx="122">
                  <c:v>175.02833489902136</c:v>
                </c:pt>
                <c:pt idx="123">
                  <c:v>175.23724447267369</c:v>
                </c:pt>
                <c:pt idx="124">
                  <c:v>175.8950955665255</c:v>
                </c:pt>
                <c:pt idx="125">
                  <c:v>176.75088936595424</c:v>
                </c:pt>
                <c:pt idx="126">
                  <c:v>177.05956971513282</c:v>
                </c:pt>
                <c:pt idx="127">
                  <c:v>177.4787420573185</c:v>
                </c:pt>
                <c:pt idx="128">
                  <c:v>178.20707867365866</c:v>
                </c:pt>
                <c:pt idx="129">
                  <c:v>178.68321208062372</c:v>
                </c:pt>
                <c:pt idx="130">
                  <c:v>179.35900538195747</c:v>
                </c:pt>
                <c:pt idx="131">
                  <c:v>179.94860184981528</c:v>
                </c:pt>
                <c:pt idx="132">
                  <c:v>181.49449155564767</c:v>
                </c:pt>
                <c:pt idx="133">
                  <c:v>182.72004076099276</c:v>
                </c:pt>
                <c:pt idx="134">
                  <c:v>184.46061251610075</c:v>
                </c:pt>
                <c:pt idx="135">
                  <c:v>186.28560581941059</c:v>
                </c:pt>
                <c:pt idx="136">
                  <c:v>187.28494371673318</c:v>
                </c:pt>
                <c:pt idx="137">
                  <c:v>187.9364030401164</c:v>
                </c:pt>
                <c:pt idx="138">
                  <c:v>188.5533379697043</c:v>
                </c:pt>
                <c:pt idx="139">
                  <c:v>189.17027442654916</c:v>
                </c:pt>
                <c:pt idx="140">
                  <c:v>189.52929752208001</c:v>
                </c:pt>
                <c:pt idx="141">
                  <c:v>191.31901917670129</c:v>
                </c:pt>
                <c:pt idx="142">
                  <c:v>192.47805765097584</c:v>
                </c:pt>
                <c:pt idx="143">
                  <c:v>193.48409463705858</c:v>
                </c:pt>
                <c:pt idx="144">
                  <c:v>194.34291259075556</c:v>
                </c:pt>
                <c:pt idx="145">
                  <c:v>195.38651825823368</c:v>
                </c:pt>
                <c:pt idx="146">
                  <c:v>195.64679167259919</c:v>
                </c:pt>
                <c:pt idx="147">
                  <c:v>195.66292985986328</c:v>
                </c:pt>
                <c:pt idx="148">
                  <c:v>195.34685196069199</c:v>
                </c:pt>
                <c:pt idx="149">
                  <c:v>194.85704193151841</c:v>
                </c:pt>
                <c:pt idx="150">
                  <c:v>194.37445551268922</c:v>
                </c:pt>
                <c:pt idx="151">
                  <c:v>194.48313993308233</c:v>
                </c:pt>
                <c:pt idx="152">
                  <c:v>194.81296042371451</c:v>
                </c:pt>
                <c:pt idx="153">
                  <c:v>194.79244935353182</c:v>
                </c:pt>
                <c:pt idx="154">
                  <c:v>195.08201319887212</c:v>
                </c:pt>
                <c:pt idx="155">
                  <c:v>195.53846433698072</c:v>
                </c:pt>
                <c:pt idx="156">
                  <c:v>196.17872354284444</c:v>
                </c:pt>
                <c:pt idx="157">
                  <c:v>196.46287379588713</c:v>
                </c:pt>
                <c:pt idx="158">
                  <c:v>196.8710001752579</c:v>
                </c:pt>
                <c:pt idx="159">
                  <c:v>197.35202009831414</c:v>
                </c:pt>
                <c:pt idx="160">
                  <c:v>197.84831678848116</c:v>
                </c:pt>
                <c:pt idx="161">
                  <c:v>198.36589990820431</c:v>
                </c:pt>
                <c:pt idx="162">
                  <c:v>198.88298360702231</c:v>
                </c:pt>
                <c:pt idx="163">
                  <c:v>199.72887521209421</c:v>
                </c:pt>
                <c:pt idx="164">
                  <c:v>200.6486476607372</c:v>
                </c:pt>
                <c:pt idx="165">
                  <c:v>201.38967640194733</c:v>
                </c:pt>
                <c:pt idx="166">
                  <c:v>202.13498662032049</c:v>
                </c:pt>
                <c:pt idx="167">
                  <c:v>203.39960112238208</c:v>
                </c:pt>
                <c:pt idx="168">
                  <c:v>203.44887709972946</c:v>
                </c:pt>
                <c:pt idx="169">
                  <c:v>204.4138035482078</c:v>
                </c:pt>
                <c:pt idx="170">
                  <c:v>204.67543020343118</c:v>
                </c:pt>
                <c:pt idx="171">
                  <c:v>205.08862962639324</c:v>
                </c:pt>
                <c:pt idx="172">
                  <c:v>205.7974824442999</c:v>
                </c:pt>
                <c:pt idx="173">
                  <c:v>206.40936664382943</c:v>
                </c:pt>
                <c:pt idx="174">
                  <c:v>208.15568024088043</c:v>
                </c:pt>
                <c:pt idx="175">
                  <c:v>210.10557195177196</c:v>
                </c:pt>
                <c:pt idx="176">
                  <c:v>212.66207174606924</c:v>
                </c:pt>
                <c:pt idx="177">
                  <c:v>215.3190799174742</c:v>
                </c:pt>
                <c:pt idx="178">
                  <c:v>216.77867006711151</c:v>
                </c:pt>
                <c:pt idx="179">
                  <c:v>218.21262722104453</c:v>
                </c:pt>
                <c:pt idx="180">
                  <c:v>219.26044994299639</c:v>
                </c:pt>
                <c:pt idx="181">
                  <c:v>220.72241688084236</c:v>
                </c:pt>
                <c:pt idx="182">
                  <c:v>222.46053253670084</c:v>
                </c:pt>
                <c:pt idx="183">
                  <c:v>224.07934140376116</c:v>
                </c:pt>
                <c:pt idx="184">
                  <c:v>225.46148525327084</c:v>
                </c:pt>
                <c:pt idx="185">
                  <c:v>226.91773370360244</c:v>
                </c:pt>
                <c:pt idx="186">
                  <c:v>227.53913093323305</c:v>
                </c:pt>
                <c:pt idx="187">
                  <c:v>228.25120338636435</c:v>
                </c:pt>
                <c:pt idx="188">
                  <c:v>228.35541283272107</c:v>
                </c:pt>
                <c:pt idx="189">
                  <c:v>228.58946013866398</c:v>
                </c:pt>
                <c:pt idx="190">
                  <c:v>228.80650986365686</c:v>
                </c:pt>
                <c:pt idx="191">
                  <c:v>228.81957044919096</c:v>
                </c:pt>
                <c:pt idx="192">
                  <c:v>229.03825897052127</c:v>
                </c:pt>
                <c:pt idx="193">
                  <c:v>229.39497735433977</c:v>
                </c:pt>
                <c:pt idx="194">
                  <c:v>231.67780688142031</c:v>
                </c:pt>
                <c:pt idx="195">
                  <c:v>233.25107899218176</c:v>
                </c:pt>
                <c:pt idx="196">
                  <c:v>234.8186720073781</c:v>
                </c:pt>
                <c:pt idx="197">
                  <c:v>236.69326925907939</c:v>
                </c:pt>
                <c:pt idx="198">
                  <c:v>237.53588352368666</c:v>
                </c:pt>
                <c:pt idx="199">
                  <c:v>238.31925270351596</c:v>
                </c:pt>
                <c:pt idx="200">
                  <c:v>238.51975445204229</c:v>
                </c:pt>
                <c:pt idx="201">
                  <c:v>238.82918615969808</c:v>
                </c:pt>
                <c:pt idx="202">
                  <c:v>239.16748329054616</c:v>
                </c:pt>
                <c:pt idx="203">
                  <c:v>239.48597853942755</c:v>
                </c:pt>
                <c:pt idx="204">
                  <c:v>239.7642518989324</c:v>
                </c:pt>
                <c:pt idx="205">
                  <c:v>240.21823173899597</c:v>
                </c:pt>
                <c:pt idx="206">
                  <c:v>241.01281944397471</c:v>
                </c:pt>
                <c:pt idx="207">
                  <c:v>241.98252129272061</c:v>
                </c:pt>
                <c:pt idx="208">
                  <c:v>243.10326145027855</c:v>
                </c:pt>
                <c:pt idx="209">
                  <c:v>245.00727557989887</c:v>
                </c:pt>
                <c:pt idx="210">
                  <c:v>246.17477785198568</c:v>
                </c:pt>
                <c:pt idx="211">
                  <c:v>246.72181197190721</c:v>
                </c:pt>
                <c:pt idx="212">
                  <c:v>247.14710533188665</c:v>
                </c:pt>
                <c:pt idx="213">
                  <c:v>247.05230059349054</c:v>
                </c:pt>
                <c:pt idx="214">
                  <c:v>245.70279070555435</c:v>
                </c:pt>
                <c:pt idx="215">
                  <c:v>244.36910878086047</c:v>
                </c:pt>
                <c:pt idx="216">
                  <c:v>242.81857337479153</c:v>
                </c:pt>
                <c:pt idx="217">
                  <c:v>240.67832729437242</c:v>
                </c:pt>
                <c:pt idx="218">
                  <c:v>238.75461022481804</c:v>
                </c:pt>
                <c:pt idx="219">
                  <c:v>236.3817489676448</c:v>
                </c:pt>
                <c:pt idx="220">
                  <c:v>233.85421670180116</c:v>
                </c:pt>
                <c:pt idx="221">
                  <c:v>231.20309535795764</c:v>
                </c:pt>
                <c:pt idx="222">
                  <c:v>227.99152826126195</c:v>
                </c:pt>
                <c:pt idx="223">
                  <c:v>223.82586998847972</c:v>
                </c:pt>
                <c:pt idx="224">
                  <c:v>218.02529099254565</c:v>
                </c:pt>
                <c:pt idx="225">
                  <c:v>219.25809133903289</c:v>
                </c:pt>
                <c:pt idx="226">
                  <c:v>221.15499234928296</c:v>
                </c:pt>
                <c:pt idx="227">
                  <c:v>223.83767291621155</c:v>
                </c:pt>
                <c:pt idx="228">
                  <c:v>226.91485375050087</c:v>
                </c:pt>
                <c:pt idx="229">
                  <c:v>228.81522520431739</c:v>
                </c:pt>
                <c:pt idx="230">
                  <c:v>230.58784372557545</c:v>
                </c:pt>
                <c:pt idx="231">
                  <c:v>232.13795814227268</c:v>
                </c:pt>
                <c:pt idx="232">
                  <c:v>233.60269453761995</c:v>
                </c:pt>
                <c:pt idx="233">
                  <c:v>235.79560906892496</c:v>
                </c:pt>
                <c:pt idx="234">
                  <c:v>238.14929680261326</c:v>
                </c:pt>
                <c:pt idx="235">
                  <c:v>240.8962872472257</c:v>
                </c:pt>
                <c:pt idx="236">
                  <c:v>241.84318246247375</c:v>
                </c:pt>
                <c:pt idx="237">
                  <c:v>242.88371056118473</c:v>
                </c:pt>
                <c:pt idx="238">
                  <c:v>243.37054519159946</c:v>
                </c:pt>
                <c:pt idx="239">
                  <c:v>243.91596188265819</c:v>
                </c:pt>
                <c:pt idx="240">
                  <c:v>243.776367395959</c:v>
                </c:pt>
                <c:pt idx="241">
                  <c:v>242.27902157138601</c:v>
                </c:pt>
                <c:pt idx="242">
                  <c:v>240.62501827057596</c:v>
                </c:pt>
                <c:pt idx="243">
                  <c:v>238.83740014627352</c:v>
                </c:pt>
                <c:pt idx="244">
                  <c:v>237.42099994245595</c:v>
                </c:pt>
                <c:pt idx="245">
                  <c:v>237.33123259813274</c:v>
                </c:pt>
                <c:pt idx="246">
                  <c:v>237.43914615698881</c:v>
                </c:pt>
                <c:pt idx="247">
                  <c:v>237.49396285101722</c:v>
                </c:pt>
                <c:pt idx="248">
                  <c:v>237.4533341529123</c:v>
                </c:pt>
                <c:pt idx="249">
                  <c:v>237.57803854381768</c:v>
                </c:pt>
                <c:pt idx="250">
                  <c:v>237.8792820794927</c:v>
                </c:pt>
                <c:pt idx="251">
                  <c:v>238.13102203750105</c:v>
                </c:pt>
                <c:pt idx="252">
                  <c:v>238.17007700199082</c:v>
                </c:pt>
                <c:pt idx="253">
                  <c:v>237.35971365531267</c:v>
                </c:pt>
                <c:pt idx="254">
                  <c:v>236.15191080220617</c:v>
                </c:pt>
                <c:pt idx="255">
                  <c:v>233.72755241619521</c:v>
                </c:pt>
                <c:pt idx="256">
                  <c:v>233.11949113595566</c:v>
                </c:pt>
                <c:pt idx="257">
                  <c:v>232.15405101886574</c:v>
                </c:pt>
                <c:pt idx="258">
                  <c:v>231.57937905758672</c:v>
                </c:pt>
                <c:pt idx="259">
                  <c:v>230.15331268142614</c:v>
                </c:pt>
                <c:pt idx="260">
                  <c:v>228.67779468082932</c:v>
                </c:pt>
                <c:pt idx="261">
                  <c:v>227.43354489624861</c:v>
                </c:pt>
                <c:pt idx="262">
                  <c:v>226.34630218580804</c:v>
                </c:pt>
                <c:pt idx="263">
                  <c:v>226.60685722895406</c:v>
                </c:pt>
                <c:pt idx="264">
                  <c:v>226.52555372146998</c:v>
                </c:pt>
                <c:pt idx="265">
                  <c:v>226.97733869930667</c:v>
                </c:pt>
                <c:pt idx="266">
                  <c:v>227.26451366055792</c:v>
                </c:pt>
                <c:pt idx="267">
                  <c:v>227.22673438113205</c:v>
                </c:pt>
                <c:pt idx="268">
                  <c:v>227.36218215153744</c:v>
                </c:pt>
                <c:pt idx="269">
                  <c:v>228.39446790596688</c:v>
                </c:pt>
                <c:pt idx="270">
                  <c:v>241.38143854511884</c:v>
                </c:pt>
                <c:pt idx="271">
                  <c:v>248.01617827680408</c:v>
                </c:pt>
                <c:pt idx="272">
                  <c:v>254.70824718698566</c:v>
                </c:pt>
                <c:pt idx="273">
                  <c:v>261.1704476455289</c:v>
                </c:pt>
                <c:pt idx="274">
                  <c:v>266.26444969468963</c:v>
                </c:pt>
                <c:pt idx="275">
                  <c:v>268.73740004682003</c:v>
                </c:pt>
                <c:pt idx="276">
                  <c:v>270.74093781772348</c:v>
                </c:pt>
                <c:pt idx="277">
                  <c:v>271.93504306415173</c:v>
                </c:pt>
                <c:pt idx="278">
                  <c:v>273.41106333984817</c:v>
                </c:pt>
                <c:pt idx="279">
                  <c:v>274.64195284375546</c:v>
                </c:pt>
                <c:pt idx="280">
                  <c:v>276.11607601633222</c:v>
                </c:pt>
                <c:pt idx="281">
                  <c:v>277.66496369018989</c:v>
                </c:pt>
                <c:pt idx="282">
                  <c:v>279.2050383195168</c:v>
                </c:pt>
                <c:pt idx="283">
                  <c:v>280.39320588769357</c:v>
                </c:pt>
                <c:pt idx="284">
                  <c:v>280.94031264511693</c:v>
                </c:pt>
                <c:pt idx="285">
                  <c:v>280.78391562472524</c:v>
                </c:pt>
                <c:pt idx="286">
                  <c:v>279.79843297914402</c:v>
                </c:pt>
                <c:pt idx="287">
                  <c:v>277.27009316163941</c:v>
                </c:pt>
                <c:pt idx="288">
                  <c:v>273.43722372753132</c:v>
                </c:pt>
                <c:pt idx="289">
                  <c:v>267.70880916298034</c:v>
                </c:pt>
                <c:pt idx="290">
                  <c:v>267.81542191529479</c:v>
                </c:pt>
                <c:pt idx="291">
                  <c:v>268.14692588578157</c:v>
                </c:pt>
                <c:pt idx="292">
                  <c:v>267.89688379458687</c:v>
                </c:pt>
                <c:pt idx="293">
                  <c:v>267.06946515103789</c:v>
                </c:pt>
                <c:pt idx="294">
                  <c:v>266.5138167373168</c:v>
                </c:pt>
                <c:pt idx="295">
                  <c:v>267.09555117504578</c:v>
                </c:pt>
                <c:pt idx="296">
                  <c:v>267.12850037100532</c:v>
                </c:pt>
                <c:pt idx="297">
                  <c:v>267.16297977141181</c:v>
                </c:pt>
                <c:pt idx="298">
                  <c:v>267.36773775560818</c:v>
                </c:pt>
                <c:pt idx="299">
                  <c:v>267.89571864474732</c:v>
                </c:pt>
                <c:pt idx="300">
                  <c:v>267.73975997343388</c:v>
                </c:pt>
                <c:pt idx="301">
                  <c:v>267.06334835147868</c:v>
                </c:pt>
                <c:pt idx="302">
                  <c:v>266.17268452798635</c:v>
                </c:pt>
                <c:pt idx="303">
                  <c:v>264.61557018405955</c:v>
                </c:pt>
                <c:pt idx="304">
                  <c:v>263.18429771804045</c:v>
                </c:pt>
                <c:pt idx="305">
                  <c:v>262.13450218400106</c:v>
                </c:pt>
                <c:pt idx="306">
                  <c:v>260.39019577112219</c:v>
                </c:pt>
                <c:pt idx="307">
                  <c:v>259.46084197252264</c:v>
                </c:pt>
                <c:pt idx="308">
                  <c:v>258.84453552905165</c:v>
                </c:pt>
                <c:pt idx="309">
                  <c:v>258.5847737793016</c:v>
                </c:pt>
                <c:pt idx="310">
                  <c:v>258.4975933593193</c:v>
                </c:pt>
                <c:pt idx="311">
                  <c:v>258.42772249314345</c:v>
                </c:pt>
                <c:pt idx="312">
                  <c:v>258.12748156501692</c:v>
                </c:pt>
                <c:pt idx="313">
                  <c:v>258.01666110920718</c:v>
                </c:pt>
                <c:pt idx="314">
                  <c:v>258.14454715233273</c:v>
                </c:pt>
                <c:pt idx="315">
                  <c:v>259.03140141006338</c:v>
                </c:pt>
                <c:pt idx="316">
                  <c:v>260.14049532884309</c:v>
                </c:pt>
                <c:pt idx="317">
                  <c:v>262.43873958775509</c:v>
                </c:pt>
                <c:pt idx="318">
                  <c:v>261.99110898724092</c:v>
                </c:pt>
                <c:pt idx="319">
                  <c:v>262.20692323176479</c:v>
                </c:pt>
                <c:pt idx="320">
                  <c:v>261.65822974465641</c:v>
                </c:pt>
                <c:pt idx="321">
                  <c:v>260.33437372306287</c:v>
                </c:pt>
                <c:pt idx="322">
                  <c:v>259.8523014895855</c:v>
                </c:pt>
                <c:pt idx="323">
                  <c:v>258.45168109854399</c:v>
                </c:pt>
                <c:pt idx="324">
                  <c:v>258.19419028978859</c:v>
                </c:pt>
                <c:pt idx="325">
                  <c:v>257.82199922765352</c:v>
                </c:pt>
                <c:pt idx="326">
                  <c:v>257.00319527793175</c:v>
                </c:pt>
                <c:pt idx="327">
                  <c:v>256.33778555679214</c:v>
                </c:pt>
                <c:pt idx="328">
                  <c:v>255.02702882953042</c:v>
                </c:pt>
                <c:pt idx="329">
                  <c:v>254.10308158928825</c:v>
                </c:pt>
                <c:pt idx="330">
                  <c:v>253.44371089070009</c:v>
                </c:pt>
                <c:pt idx="331">
                  <c:v>252.11163173965971</c:v>
                </c:pt>
                <c:pt idx="332">
                  <c:v>250.52876692432474</c:v>
                </c:pt>
                <c:pt idx="333">
                  <c:v>248.60538005184588</c:v>
                </c:pt>
                <c:pt idx="334">
                  <c:v>248.99832304808123</c:v>
                </c:pt>
                <c:pt idx="335">
                  <c:v>250.71599740089167</c:v>
                </c:pt>
                <c:pt idx="336">
                  <c:v>251.82799748686739</c:v>
                </c:pt>
                <c:pt idx="337">
                  <c:v>252.51759541042</c:v>
                </c:pt>
                <c:pt idx="338">
                  <c:v>254.77837600526911</c:v>
                </c:pt>
                <c:pt idx="339">
                  <c:v>255.20103878416586</c:v>
                </c:pt>
                <c:pt idx="340">
                  <c:v>256.77855102030662</c:v>
                </c:pt>
                <c:pt idx="341">
                  <c:v>259.32490751255438</c:v>
                </c:pt>
                <c:pt idx="342">
                  <c:v>261.33545896978791</c:v>
                </c:pt>
                <c:pt idx="343">
                  <c:v>265.17947598913617</c:v>
                </c:pt>
                <c:pt idx="344">
                  <c:v>268.38532185661063</c:v>
                </c:pt>
                <c:pt idx="345">
                  <c:v>271.31361732730977</c:v>
                </c:pt>
                <c:pt idx="346">
                  <c:v>273.6651121863427</c:v>
                </c:pt>
                <c:pt idx="347">
                  <c:v>274.79133714355146</c:v>
                </c:pt>
                <c:pt idx="348">
                  <c:v>274.14218912537427</c:v>
                </c:pt>
                <c:pt idx="349">
                  <c:v>273.44486610477674</c:v>
                </c:pt>
                <c:pt idx="350">
                  <c:v>273.39039708815233</c:v>
                </c:pt>
                <c:pt idx="351">
                  <c:v>272.99177910059313</c:v>
                </c:pt>
                <c:pt idx="352">
                  <c:v>272.45737962601805</c:v>
                </c:pt>
                <c:pt idx="353">
                  <c:v>271.12693200532345</c:v>
                </c:pt>
                <c:pt idx="354">
                  <c:v>270.92544004078275</c:v>
                </c:pt>
                <c:pt idx="355">
                  <c:v>271.13826449216577</c:v>
                </c:pt>
                <c:pt idx="356">
                  <c:v>271.10457806090153</c:v>
                </c:pt>
                <c:pt idx="357">
                  <c:v>271.59373314376433</c:v>
                </c:pt>
                <c:pt idx="358">
                  <c:v>272.32912061082141</c:v>
                </c:pt>
                <c:pt idx="359">
                  <c:v>272.60324871970647</c:v>
                </c:pt>
                <c:pt idx="360">
                  <c:v>274.39177101333507</c:v>
                </c:pt>
                <c:pt idx="361">
                  <c:v>277.80162729578956</c:v>
                </c:pt>
                <c:pt idx="362">
                  <c:v>280.27961390517152</c:v>
                </c:pt>
                <c:pt idx="363">
                  <c:v>281.62219783265959</c:v>
                </c:pt>
                <c:pt idx="364">
                  <c:v>283.80864482214878</c:v>
                </c:pt>
                <c:pt idx="365">
                  <c:v>285.9422813721676</c:v>
                </c:pt>
                <c:pt idx="366">
                  <c:v>287.93134375300531</c:v>
                </c:pt>
                <c:pt idx="367">
                  <c:v>289.19244601855758</c:v>
                </c:pt>
                <c:pt idx="368">
                  <c:v>291.64374105817706</c:v>
                </c:pt>
                <c:pt idx="369">
                  <c:v>294.67014438065314</c:v>
                </c:pt>
                <c:pt idx="370">
                  <c:v>296.8431726086099</c:v>
                </c:pt>
                <c:pt idx="371">
                  <c:v>298.52409904837776</c:v>
                </c:pt>
                <c:pt idx="372">
                  <c:v>299.12031713111571</c:v>
                </c:pt>
                <c:pt idx="373">
                  <c:v>300.1466431157636</c:v>
                </c:pt>
                <c:pt idx="374">
                  <c:v>300.63271865090798</c:v>
                </c:pt>
                <c:pt idx="375">
                  <c:v>300.38997340759414</c:v>
                </c:pt>
                <c:pt idx="376">
                  <c:v>300.32928320500429</c:v>
                </c:pt>
                <c:pt idx="377">
                  <c:v>300.01450428877087</c:v>
                </c:pt>
                <c:pt idx="378">
                  <c:v>299.19687924980951</c:v>
                </c:pt>
                <c:pt idx="379">
                  <c:v>298.42810856933966</c:v>
                </c:pt>
                <c:pt idx="380">
                  <c:v>297.81494329139582</c:v>
                </c:pt>
                <c:pt idx="381">
                  <c:v>297.70336114063474</c:v>
                </c:pt>
                <c:pt idx="382">
                  <c:v>297.53142398716955</c:v>
                </c:pt>
                <c:pt idx="383">
                  <c:v>296.81628744722178</c:v>
                </c:pt>
                <c:pt idx="384">
                  <c:v>296.80745163408903</c:v>
                </c:pt>
                <c:pt idx="385">
                  <c:v>296.89256560437804</c:v>
                </c:pt>
                <c:pt idx="386">
                  <c:v>296.8010959688113</c:v>
                </c:pt>
                <c:pt idx="387">
                  <c:v>296.48495393918603</c:v>
                </c:pt>
                <c:pt idx="388">
                  <c:v>296.58789989335185</c:v>
                </c:pt>
                <c:pt idx="389">
                  <c:v>295.92954011423973</c:v>
                </c:pt>
                <c:pt idx="390">
                  <c:v>300.41427875757768</c:v>
                </c:pt>
                <c:pt idx="391">
                  <c:v>302.59414927885052</c:v>
                </c:pt>
                <c:pt idx="392">
                  <c:v>303.31455719537769</c:v>
                </c:pt>
                <c:pt idx="393">
                  <c:v>302.83234994293434</c:v>
                </c:pt>
                <c:pt idx="394">
                  <c:v>302.68495677179129</c:v>
                </c:pt>
                <c:pt idx="395">
                  <c:v>303.50144846711862</c:v>
                </c:pt>
                <c:pt idx="396">
                  <c:v>303.38968225851983</c:v>
                </c:pt>
                <c:pt idx="397">
                  <c:v>302.18410812892375</c:v>
                </c:pt>
                <c:pt idx="398">
                  <c:v>300.88415320870473</c:v>
                </c:pt>
                <c:pt idx="399">
                  <c:v>298.92162372572631</c:v>
                </c:pt>
                <c:pt idx="400">
                  <c:v>297.13516625199139</c:v>
                </c:pt>
                <c:pt idx="401">
                  <c:v>296.29881763845299</c:v>
                </c:pt>
                <c:pt idx="402">
                  <c:v>295.48829744627216</c:v>
                </c:pt>
                <c:pt idx="403">
                  <c:v>294.26818673218503</c:v>
                </c:pt>
                <c:pt idx="404">
                  <c:v>291.97975408195231</c:v>
                </c:pt>
                <c:pt idx="405">
                  <c:v>289.31157615603752</c:v>
                </c:pt>
                <c:pt idx="406">
                  <c:v>284.83570414871605</c:v>
                </c:pt>
                <c:pt idx="407">
                  <c:v>279.74090050846127</c:v>
                </c:pt>
                <c:pt idx="408">
                  <c:v>274.28695440998024</c:v>
                </c:pt>
                <c:pt idx="409">
                  <c:v>267.31107268653341</c:v>
                </c:pt>
                <c:pt idx="410">
                  <c:v>265.75875350312197</c:v>
                </c:pt>
                <c:pt idx="411">
                  <c:v>264.05162512950722</c:v>
                </c:pt>
                <c:pt idx="412">
                  <c:v>261.23485350288007</c:v>
                </c:pt>
                <c:pt idx="413">
                  <c:v>258.07872048297531</c:v>
                </c:pt>
                <c:pt idx="414">
                  <c:v>255.09389444557902</c:v>
                </c:pt>
                <c:pt idx="415">
                  <c:v>253.86655801907548</c:v>
                </c:pt>
                <c:pt idx="416">
                  <c:v>253.03833159621544</c:v>
                </c:pt>
                <c:pt idx="417">
                  <c:v>251.56627651444757</c:v>
                </c:pt>
                <c:pt idx="418">
                  <c:v>250.41710079259104</c:v>
                </c:pt>
                <c:pt idx="419">
                  <c:v>249.09172469951525</c:v>
                </c:pt>
                <c:pt idx="420">
                  <c:v>248.6443510832799</c:v>
                </c:pt>
                <c:pt idx="421">
                  <c:v>251.86719136460951</c:v>
                </c:pt>
                <c:pt idx="422">
                  <c:v>255.18344777212764</c:v>
                </c:pt>
                <c:pt idx="423">
                  <c:v>256.98973931831887</c:v>
                </c:pt>
                <c:pt idx="424">
                  <c:v>258.81859172725785</c:v>
                </c:pt>
                <c:pt idx="425">
                  <c:v>259.49615237485227</c:v>
                </c:pt>
                <c:pt idx="426">
                  <c:v>260.66987681425002</c:v>
                </c:pt>
                <c:pt idx="427">
                  <c:v>261.8456783807373</c:v>
                </c:pt>
                <c:pt idx="428">
                  <c:v>263.20853802197462</c:v>
                </c:pt>
                <c:pt idx="429">
                  <c:v>265.70368539321862</c:v>
                </c:pt>
                <c:pt idx="430">
                  <c:v>267.84992477929069</c:v>
                </c:pt>
                <c:pt idx="431">
                  <c:v>270.97631395199932</c:v>
                </c:pt>
                <c:pt idx="432">
                  <c:v>273.44670711080914</c:v>
                </c:pt>
                <c:pt idx="433">
                  <c:v>274.70231084944248</c:v>
                </c:pt>
                <c:pt idx="434">
                  <c:v>279.02457693509149</c:v>
                </c:pt>
                <c:pt idx="435">
                  <c:v>283.30085858334695</c:v>
                </c:pt>
                <c:pt idx="436">
                  <c:v>285.53345704657113</c:v>
                </c:pt>
                <c:pt idx="437">
                  <c:v>287.41624969625354</c:v>
                </c:pt>
                <c:pt idx="438">
                  <c:v>289.88937451106113</c:v>
                </c:pt>
                <c:pt idx="439">
                  <c:v>292.0594616394967</c:v>
                </c:pt>
                <c:pt idx="440">
                  <c:v>294.08065746017206</c:v>
                </c:pt>
                <c:pt idx="441">
                  <c:v>296.46390741092682</c:v>
                </c:pt>
                <c:pt idx="442">
                  <c:v>299.49100052899394</c:v>
                </c:pt>
                <c:pt idx="443">
                  <c:v>301.01483001145789</c:v>
                </c:pt>
                <c:pt idx="444">
                  <c:v>301.93761392950591</c:v>
                </c:pt>
                <c:pt idx="445">
                  <c:v>300.89863060249115</c:v>
                </c:pt>
                <c:pt idx="446">
                  <c:v>299.80939356262752</c:v>
                </c:pt>
                <c:pt idx="447">
                  <c:v>298.46758551028671</c:v>
                </c:pt>
                <c:pt idx="448">
                  <c:v>297.08306212056738</c:v>
                </c:pt>
                <c:pt idx="449">
                  <c:v>296.19573499550131</c:v>
                </c:pt>
                <c:pt idx="450">
                  <c:v>295.37235300959003</c:v>
                </c:pt>
                <c:pt idx="451">
                  <c:v>295.15314560890465</c:v>
                </c:pt>
                <c:pt idx="452">
                  <c:v>294.78260095620323</c:v>
                </c:pt>
                <c:pt idx="453">
                  <c:v>293.65087705978442</c:v>
                </c:pt>
                <c:pt idx="454">
                  <c:v>293.79121052211747</c:v>
                </c:pt>
                <c:pt idx="455">
                  <c:v>299.51678970370267</c:v>
                </c:pt>
                <c:pt idx="456">
                  <c:v>305.62902443132469</c:v>
                </c:pt>
                <c:pt idx="457">
                  <c:v>310.25612507048993</c:v>
                </c:pt>
                <c:pt idx="458">
                  <c:v>313.06515256481777</c:v>
                </c:pt>
                <c:pt idx="459">
                  <c:v>315.93784499807617</c:v>
                </c:pt>
                <c:pt idx="460">
                  <c:v>317.96723291666268</c:v>
                </c:pt>
                <c:pt idx="461">
                  <c:v>319.37111213126468</c:v>
                </c:pt>
                <c:pt idx="462">
                  <c:v>319.99171006648436</c:v>
                </c:pt>
                <c:pt idx="463">
                  <c:v>321.53856468495667</c:v>
                </c:pt>
                <c:pt idx="464">
                  <c:v>323.87783955866331</c:v>
                </c:pt>
                <c:pt idx="465">
                  <c:v>324.65018591950695</c:v>
                </c:pt>
                <c:pt idx="466">
                  <c:v>325.3896472575841</c:v>
                </c:pt>
                <c:pt idx="467">
                  <c:v>326.23200459591573</c:v>
                </c:pt>
                <c:pt idx="468">
                  <c:v>327.2783579309779</c:v>
                </c:pt>
                <c:pt idx="469">
                  <c:v>325.89919799744115</c:v>
                </c:pt>
                <c:pt idx="470">
                  <c:v>324.86334659095382</c:v>
                </c:pt>
                <c:pt idx="471">
                  <c:v>323.58769885867514</c:v>
                </c:pt>
                <c:pt idx="472">
                  <c:v>322.27677907406803</c:v>
                </c:pt>
                <c:pt idx="473">
                  <c:v>322.11764449175325</c:v>
                </c:pt>
                <c:pt idx="474">
                  <c:v>321.19512679495313</c:v>
                </c:pt>
                <c:pt idx="475">
                  <c:v>321.02327664027166</c:v>
                </c:pt>
                <c:pt idx="476">
                  <c:v>320.09146271675939</c:v>
                </c:pt>
                <c:pt idx="477">
                  <c:v>319.19960139684105</c:v>
                </c:pt>
                <c:pt idx="478">
                  <c:v>318.81377072591556</c:v>
                </c:pt>
                <c:pt idx="479">
                  <c:v>318.62159875957752</c:v>
                </c:pt>
                <c:pt idx="480">
                  <c:v>318.46051283171477</c:v>
                </c:pt>
                <c:pt idx="481">
                  <c:v>318.31819547561605</c:v>
                </c:pt>
                <c:pt idx="482">
                  <c:v>318.36653439381763</c:v>
                </c:pt>
                <c:pt idx="483">
                  <c:v>318.49522226432572</c:v>
                </c:pt>
                <c:pt idx="484">
                  <c:v>317.83622375817851</c:v>
                </c:pt>
                <c:pt idx="485">
                  <c:v>318.1558654584901</c:v>
                </c:pt>
                <c:pt idx="486">
                  <c:v>318.34587938319657</c:v>
                </c:pt>
                <c:pt idx="487">
                  <c:v>318.14760917299469</c:v>
                </c:pt>
                <c:pt idx="488">
                  <c:v>317.34449354664525</c:v>
                </c:pt>
                <c:pt idx="489">
                  <c:v>317.80645718485442</c:v>
                </c:pt>
                <c:pt idx="490">
                  <c:v>318.11488177259685</c:v>
                </c:pt>
                <c:pt idx="491">
                  <c:v>318.10667945443765</c:v>
                </c:pt>
                <c:pt idx="492">
                  <c:v>317.19982745810927</c:v>
                </c:pt>
                <c:pt idx="493">
                  <c:v>315.5574103496532</c:v>
                </c:pt>
                <c:pt idx="494">
                  <c:v>313.76483711225893</c:v>
                </c:pt>
                <c:pt idx="495">
                  <c:v>313.20678504912223</c:v>
                </c:pt>
                <c:pt idx="496">
                  <c:v>313.2088292221203</c:v>
                </c:pt>
                <c:pt idx="497">
                  <c:v>313.20967948974976</c:v>
                </c:pt>
                <c:pt idx="498">
                  <c:v>313.20633826349314</c:v>
                </c:pt>
                <c:pt idx="499">
                  <c:v>312.96042738857085</c:v>
                </c:pt>
                <c:pt idx="500">
                  <c:v>312.97926322149419</c:v>
                </c:pt>
                <c:pt idx="501">
                  <c:v>313.68118839084593</c:v>
                </c:pt>
                <c:pt idx="502">
                  <c:v>315.14842585606135</c:v>
                </c:pt>
                <c:pt idx="503">
                  <c:v>315.27102264099631</c:v>
                </c:pt>
                <c:pt idx="504">
                  <c:v>314.87590653813919</c:v>
                </c:pt>
                <c:pt idx="505">
                  <c:v>314.40446459995508</c:v>
                </c:pt>
                <c:pt idx="506">
                  <c:v>313.48790888657373</c:v>
                </c:pt>
                <c:pt idx="507">
                  <c:v>312.0489286292472</c:v>
                </c:pt>
                <c:pt idx="508">
                  <c:v>312.40023641749173</c:v>
                </c:pt>
                <c:pt idx="509">
                  <c:v>311.58846657997128</c:v>
                </c:pt>
                <c:pt idx="510">
                  <c:v>311.66176901599096</c:v>
                </c:pt>
                <c:pt idx="511">
                  <c:v>311.58124123693079</c:v>
                </c:pt>
                <c:pt idx="512">
                  <c:v>311.82391460778041</c:v>
                </c:pt>
                <c:pt idx="513">
                  <c:v>312.48540717009575</c:v>
                </c:pt>
                <c:pt idx="514">
                  <c:v>312.46692062519094</c:v>
                </c:pt>
                <c:pt idx="515">
                  <c:v>312.45132756223745</c:v>
                </c:pt>
                <c:pt idx="516">
                  <c:v>312.43489092058121</c:v>
                </c:pt>
                <c:pt idx="517">
                  <c:v>312.00328266474878</c:v>
                </c:pt>
                <c:pt idx="518">
                  <c:v>311.51016497735191</c:v>
                </c:pt>
                <c:pt idx="519">
                  <c:v>310.78774682115073</c:v>
                </c:pt>
                <c:pt idx="520">
                  <c:v>311.95234111735675</c:v>
                </c:pt>
                <c:pt idx="521">
                  <c:v>312.80010431465439</c:v>
                </c:pt>
                <c:pt idx="522">
                  <c:v>314.93999689513686</c:v>
                </c:pt>
                <c:pt idx="523">
                  <c:v>314.97016978911319</c:v>
                </c:pt>
                <c:pt idx="524">
                  <c:v>315.25128774927174</c:v>
                </c:pt>
                <c:pt idx="525">
                  <c:v>315.55248806991779</c:v>
                </c:pt>
                <c:pt idx="526">
                  <c:v>315.31379840359369</c:v>
                </c:pt>
                <c:pt idx="527">
                  <c:v>314.84420935308719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55-45DC-A735-74CB4EFD9A2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Data!$M$2:$M$529</c:f>
              <c:numCache>
                <c:formatCode>General</c:formatCode>
                <c:ptCount val="528"/>
                <c:pt idx="19">
                  <c:v>148.75380538213895</c:v>
                </c:pt>
                <c:pt idx="20">
                  <c:v>149.38537009286853</c:v>
                </c:pt>
                <c:pt idx="21">
                  <c:v>150.24050607930019</c:v>
                </c:pt>
                <c:pt idx="22">
                  <c:v>151.39054183248044</c:v>
                </c:pt>
                <c:pt idx="23">
                  <c:v>153.27272186931259</c:v>
                </c:pt>
                <c:pt idx="24">
                  <c:v>155.05953201931788</c:v>
                </c:pt>
                <c:pt idx="25">
                  <c:v>157.36176740979744</c:v>
                </c:pt>
                <c:pt idx="26">
                  <c:v>159.75264322522565</c:v>
                </c:pt>
                <c:pt idx="27">
                  <c:v>162.2662233105136</c:v>
                </c:pt>
                <c:pt idx="28">
                  <c:v>164.30051714984006</c:v>
                </c:pt>
                <c:pt idx="29">
                  <c:v>166.39283392263212</c:v>
                </c:pt>
                <c:pt idx="30">
                  <c:v>169.08156537168651</c:v>
                </c:pt>
                <c:pt idx="31">
                  <c:v>172.10977054624772</c:v>
                </c:pt>
                <c:pt idx="32">
                  <c:v>174.22562996322179</c:v>
                </c:pt>
                <c:pt idx="33">
                  <c:v>176.27123494036866</c:v>
                </c:pt>
                <c:pt idx="34">
                  <c:v>177.80685605780093</c:v>
                </c:pt>
                <c:pt idx="35">
                  <c:v>180.51941413371492</c:v>
                </c:pt>
                <c:pt idx="36">
                  <c:v>180.93176308807529</c:v>
                </c:pt>
                <c:pt idx="37">
                  <c:v>180.90472091608058</c:v>
                </c:pt>
                <c:pt idx="38">
                  <c:v>180.93454224219639</c:v>
                </c:pt>
                <c:pt idx="39">
                  <c:v>181.07985171344299</c:v>
                </c:pt>
                <c:pt idx="40">
                  <c:v>181.17560665323023</c:v>
                </c:pt>
                <c:pt idx="41">
                  <c:v>181.03015930162923</c:v>
                </c:pt>
                <c:pt idx="42">
                  <c:v>179.87818439492438</c:v>
                </c:pt>
                <c:pt idx="43">
                  <c:v>179.56286739739639</c:v>
                </c:pt>
                <c:pt idx="44">
                  <c:v>178.65750975950436</c:v>
                </c:pt>
                <c:pt idx="45">
                  <c:v>178.10268288837386</c:v>
                </c:pt>
                <c:pt idx="46">
                  <c:v>177.87721223713373</c:v>
                </c:pt>
                <c:pt idx="47">
                  <c:v>177.97323159780865</c:v>
                </c:pt>
                <c:pt idx="48">
                  <c:v>177.59904973790671</c:v>
                </c:pt>
                <c:pt idx="49">
                  <c:v>177.84717913251981</c:v>
                </c:pt>
                <c:pt idx="50">
                  <c:v>178.46717418927977</c:v>
                </c:pt>
                <c:pt idx="51">
                  <c:v>178.72210926529249</c:v>
                </c:pt>
                <c:pt idx="52">
                  <c:v>178.92982788793725</c:v>
                </c:pt>
                <c:pt idx="53">
                  <c:v>179.75291388612891</c:v>
                </c:pt>
                <c:pt idx="54">
                  <c:v>181.62350474690297</c:v>
                </c:pt>
                <c:pt idx="55">
                  <c:v>182.57121415106013</c:v>
                </c:pt>
                <c:pt idx="56">
                  <c:v>183.23511609606626</c:v>
                </c:pt>
                <c:pt idx="57">
                  <c:v>184.11272564041397</c:v>
                </c:pt>
                <c:pt idx="58">
                  <c:v>184.83403738286742</c:v>
                </c:pt>
                <c:pt idx="59">
                  <c:v>185.80990285169673</c:v>
                </c:pt>
                <c:pt idx="60">
                  <c:v>187.03263905275949</c:v>
                </c:pt>
                <c:pt idx="61">
                  <c:v>187.34373200430701</c:v>
                </c:pt>
                <c:pt idx="62">
                  <c:v>186.8686648745412</c:v>
                </c:pt>
                <c:pt idx="63">
                  <c:v>186.77388606392364</c:v>
                </c:pt>
                <c:pt idx="64">
                  <c:v>186.29304528667751</c:v>
                </c:pt>
                <c:pt idx="65">
                  <c:v>186.18445127644975</c:v>
                </c:pt>
                <c:pt idx="66">
                  <c:v>186.19849009775453</c:v>
                </c:pt>
                <c:pt idx="67">
                  <c:v>185.99783226629009</c:v>
                </c:pt>
                <c:pt idx="68">
                  <c:v>185.86284032590609</c:v>
                </c:pt>
                <c:pt idx="69">
                  <c:v>185.75561583978256</c:v>
                </c:pt>
                <c:pt idx="70">
                  <c:v>184.22425473504316</c:v>
                </c:pt>
                <c:pt idx="71">
                  <c:v>182.62088825832362</c:v>
                </c:pt>
                <c:pt idx="72">
                  <c:v>181.92531101156416</c:v>
                </c:pt>
                <c:pt idx="73">
                  <c:v>181.34057703656129</c:v>
                </c:pt>
                <c:pt idx="74">
                  <c:v>180.65239541863986</c:v>
                </c:pt>
                <c:pt idx="75">
                  <c:v>179.9591604476378</c:v>
                </c:pt>
                <c:pt idx="76">
                  <c:v>179.39115589688782</c:v>
                </c:pt>
                <c:pt idx="77">
                  <c:v>178.88019288446131</c:v>
                </c:pt>
                <c:pt idx="78">
                  <c:v>178.6769314061336</c:v>
                </c:pt>
                <c:pt idx="79">
                  <c:v>174.63861091960283</c:v>
                </c:pt>
                <c:pt idx="80">
                  <c:v>171.12280834458213</c:v>
                </c:pt>
                <c:pt idx="81">
                  <c:v>168.39688812163919</c:v>
                </c:pt>
                <c:pt idx="82">
                  <c:v>165.81447830649955</c:v>
                </c:pt>
                <c:pt idx="83">
                  <c:v>163.39704547454795</c:v>
                </c:pt>
                <c:pt idx="84">
                  <c:v>161.29980526489516</c:v>
                </c:pt>
                <c:pt idx="85">
                  <c:v>159.84684749412949</c:v>
                </c:pt>
                <c:pt idx="86">
                  <c:v>159.26018672216227</c:v>
                </c:pt>
                <c:pt idx="87">
                  <c:v>158.87165128821152</c:v>
                </c:pt>
                <c:pt idx="88">
                  <c:v>158.60085699627186</c:v>
                </c:pt>
                <c:pt idx="89">
                  <c:v>158.03703044044039</c:v>
                </c:pt>
                <c:pt idx="90">
                  <c:v>157.50738820019697</c:v>
                </c:pt>
                <c:pt idx="91">
                  <c:v>157.10813485727428</c:v>
                </c:pt>
                <c:pt idx="92">
                  <c:v>157.07932927227381</c:v>
                </c:pt>
                <c:pt idx="93">
                  <c:v>157.29762943023218</c:v>
                </c:pt>
                <c:pt idx="94">
                  <c:v>157.58332532815746</c:v>
                </c:pt>
                <c:pt idx="95">
                  <c:v>158.10163409907767</c:v>
                </c:pt>
                <c:pt idx="96">
                  <c:v>159.0134138129971</c:v>
                </c:pt>
                <c:pt idx="97">
                  <c:v>160.35988669790942</c:v>
                </c:pt>
                <c:pt idx="98">
                  <c:v>163.33857463029912</c:v>
                </c:pt>
                <c:pt idx="99">
                  <c:v>163.30554693786715</c:v>
                </c:pt>
                <c:pt idx="100">
                  <c:v>163.3865373160632</c:v>
                </c:pt>
                <c:pt idx="101">
                  <c:v>163.49247796510284</c:v>
                </c:pt>
                <c:pt idx="102">
                  <c:v>163.60411819520792</c:v>
                </c:pt>
                <c:pt idx="103">
                  <c:v>163.84937519649529</c:v>
                </c:pt>
                <c:pt idx="104">
                  <c:v>164.24360155160386</c:v>
                </c:pt>
                <c:pt idx="105">
                  <c:v>164.1573858680182</c:v>
                </c:pt>
                <c:pt idx="106">
                  <c:v>163.834132709567</c:v>
                </c:pt>
                <c:pt idx="107">
                  <c:v>163.7539061086475</c:v>
                </c:pt>
                <c:pt idx="108">
                  <c:v>163.71040085437861</c:v>
                </c:pt>
                <c:pt idx="109">
                  <c:v>163.96568296063757</c:v>
                </c:pt>
                <c:pt idx="110">
                  <c:v>164.12104326740427</c:v>
                </c:pt>
                <c:pt idx="111">
                  <c:v>164.24140084995352</c:v>
                </c:pt>
                <c:pt idx="112">
                  <c:v>164.37961264258348</c:v>
                </c:pt>
                <c:pt idx="113">
                  <c:v>164.4346489605872</c:v>
                </c:pt>
                <c:pt idx="114">
                  <c:v>164.44590466547606</c:v>
                </c:pt>
                <c:pt idx="115">
                  <c:v>164.46455443170106</c:v>
                </c:pt>
                <c:pt idx="116">
                  <c:v>164.46243029016466</c:v>
                </c:pt>
                <c:pt idx="117">
                  <c:v>164.39156349295624</c:v>
                </c:pt>
                <c:pt idx="118">
                  <c:v>164.55512787182184</c:v>
                </c:pt>
                <c:pt idx="119">
                  <c:v>164.07575323856977</c:v>
                </c:pt>
                <c:pt idx="120">
                  <c:v>163.99449502814952</c:v>
                </c:pt>
                <c:pt idx="121">
                  <c:v>163.98782137959404</c:v>
                </c:pt>
                <c:pt idx="122">
                  <c:v>164.2666651009786</c:v>
                </c:pt>
                <c:pt idx="123">
                  <c:v>164.78975552732624</c:v>
                </c:pt>
                <c:pt idx="124">
                  <c:v>164.95690443347442</c:v>
                </c:pt>
                <c:pt idx="125">
                  <c:v>165.30311063404574</c:v>
                </c:pt>
                <c:pt idx="126">
                  <c:v>165.98643028486711</c:v>
                </c:pt>
                <c:pt idx="127">
                  <c:v>166.43125794268147</c:v>
                </c:pt>
                <c:pt idx="128">
                  <c:v>166.64692132634127</c:v>
                </c:pt>
                <c:pt idx="129">
                  <c:v>166.81778791937626</c:v>
                </c:pt>
                <c:pt idx="130">
                  <c:v>166.88799461804248</c:v>
                </c:pt>
                <c:pt idx="131">
                  <c:v>167.19739815018468</c:v>
                </c:pt>
                <c:pt idx="132">
                  <c:v>167.03450844435233</c:v>
                </c:pt>
                <c:pt idx="133">
                  <c:v>167.18495923900721</c:v>
                </c:pt>
                <c:pt idx="134">
                  <c:v>167.10438748389919</c:v>
                </c:pt>
                <c:pt idx="135">
                  <c:v>167.07439418058942</c:v>
                </c:pt>
                <c:pt idx="136">
                  <c:v>167.54205628326676</c:v>
                </c:pt>
                <c:pt idx="137">
                  <c:v>167.82359695988353</c:v>
                </c:pt>
                <c:pt idx="138">
                  <c:v>168.37566203029567</c:v>
                </c:pt>
                <c:pt idx="139">
                  <c:v>168.66772557345081</c:v>
                </c:pt>
                <c:pt idx="140">
                  <c:v>169.45070247791995</c:v>
                </c:pt>
                <c:pt idx="141">
                  <c:v>169.67198082329864</c:v>
                </c:pt>
                <c:pt idx="142">
                  <c:v>170.60294234902406</c:v>
                </c:pt>
                <c:pt idx="143">
                  <c:v>171.45190536294135</c:v>
                </c:pt>
                <c:pt idx="144">
                  <c:v>172.18708740924441</c:v>
                </c:pt>
                <c:pt idx="145">
                  <c:v>172.62748174176633</c:v>
                </c:pt>
                <c:pt idx="146">
                  <c:v>173.76020832740079</c:v>
                </c:pt>
                <c:pt idx="147">
                  <c:v>175.0540701401367</c:v>
                </c:pt>
                <c:pt idx="148">
                  <c:v>175.937148039308</c:v>
                </c:pt>
                <c:pt idx="149">
                  <c:v>177.45895806848156</c:v>
                </c:pt>
                <c:pt idx="150">
                  <c:v>178.83754448731077</c:v>
                </c:pt>
                <c:pt idx="151">
                  <c:v>180.15886006691767</c:v>
                </c:pt>
                <c:pt idx="152">
                  <c:v>180.69103957628545</c:v>
                </c:pt>
                <c:pt idx="153">
                  <c:v>181.37155064646817</c:v>
                </c:pt>
                <c:pt idx="154">
                  <c:v>181.59998680112784</c:v>
                </c:pt>
                <c:pt idx="155">
                  <c:v>181.63053566301926</c:v>
                </c:pt>
                <c:pt idx="156">
                  <c:v>181.86327645715559</c:v>
                </c:pt>
                <c:pt idx="157">
                  <c:v>182.63212620411295</c:v>
                </c:pt>
                <c:pt idx="158">
                  <c:v>183.28199982474223</c:v>
                </c:pt>
                <c:pt idx="159">
                  <c:v>183.99397990168586</c:v>
                </c:pt>
                <c:pt idx="160">
                  <c:v>184.81668321151892</c:v>
                </c:pt>
                <c:pt idx="161">
                  <c:v>184.69710009179568</c:v>
                </c:pt>
                <c:pt idx="162">
                  <c:v>184.61501639297768</c:v>
                </c:pt>
                <c:pt idx="163">
                  <c:v>184.41712478790586</c:v>
                </c:pt>
                <c:pt idx="164">
                  <c:v>184.26635233926288</c:v>
                </c:pt>
                <c:pt idx="165">
                  <c:v>184.1573235980527</c:v>
                </c:pt>
                <c:pt idx="166">
                  <c:v>184.33601337967957</c:v>
                </c:pt>
                <c:pt idx="167">
                  <c:v>184.37239887761797</c:v>
                </c:pt>
                <c:pt idx="168">
                  <c:v>186.12012290027062</c:v>
                </c:pt>
                <c:pt idx="169">
                  <c:v>186.88619645179227</c:v>
                </c:pt>
                <c:pt idx="170">
                  <c:v>188.20356979656884</c:v>
                </c:pt>
                <c:pt idx="171">
                  <c:v>188.60337037360688</c:v>
                </c:pt>
                <c:pt idx="172">
                  <c:v>189.10251755570013</c:v>
                </c:pt>
                <c:pt idx="173">
                  <c:v>190.07463335617066</c:v>
                </c:pt>
                <c:pt idx="174">
                  <c:v>190.21831975911971</c:v>
                </c:pt>
                <c:pt idx="175">
                  <c:v>190.19742804822809</c:v>
                </c:pt>
                <c:pt idx="176">
                  <c:v>189.72492825393081</c:v>
                </c:pt>
                <c:pt idx="177">
                  <c:v>189.40592008252588</c:v>
                </c:pt>
                <c:pt idx="178">
                  <c:v>189.88632993288857</c:v>
                </c:pt>
                <c:pt idx="179">
                  <c:v>190.34337277895557</c:v>
                </c:pt>
                <c:pt idx="180">
                  <c:v>190.96355005700366</c:v>
                </c:pt>
                <c:pt idx="181">
                  <c:v>191.67558311915766</c:v>
                </c:pt>
                <c:pt idx="182">
                  <c:v>192.37746746329907</c:v>
                </c:pt>
                <c:pt idx="183">
                  <c:v>193.05765859623884</c:v>
                </c:pt>
                <c:pt idx="184">
                  <c:v>193.92551474672905</c:v>
                </c:pt>
                <c:pt idx="185">
                  <c:v>194.96626629639746</c:v>
                </c:pt>
                <c:pt idx="186">
                  <c:v>196.53886906676692</c:v>
                </c:pt>
                <c:pt idx="187">
                  <c:v>197.7217966136356</c:v>
                </c:pt>
                <c:pt idx="188">
                  <c:v>199.42458716727884</c:v>
                </c:pt>
                <c:pt idx="189">
                  <c:v>200.75253986133595</c:v>
                </c:pt>
                <c:pt idx="190">
                  <c:v>202.54849013634305</c:v>
                </c:pt>
                <c:pt idx="191">
                  <c:v>205.06142955080901</c:v>
                </c:pt>
                <c:pt idx="192">
                  <c:v>207.20174102947868</c:v>
                </c:pt>
                <c:pt idx="193">
                  <c:v>209.17502264566022</c:v>
                </c:pt>
                <c:pt idx="194">
                  <c:v>209.33319311857966</c:v>
                </c:pt>
                <c:pt idx="195">
                  <c:v>209.90092100781817</c:v>
                </c:pt>
                <c:pt idx="196">
                  <c:v>210.18032799262187</c:v>
                </c:pt>
                <c:pt idx="197">
                  <c:v>210.11573074092064</c:v>
                </c:pt>
                <c:pt idx="198">
                  <c:v>211.15611647631334</c:v>
                </c:pt>
                <c:pt idx="199">
                  <c:v>212.24574729648398</c:v>
                </c:pt>
                <c:pt idx="200">
                  <c:v>213.94424554795776</c:v>
                </c:pt>
                <c:pt idx="201">
                  <c:v>215.08481384030196</c:v>
                </c:pt>
                <c:pt idx="202">
                  <c:v>215.87151670945389</c:v>
                </c:pt>
                <c:pt idx="203">
                  <c:v>216.68102146057248</c:v>
                </c:pt>
                <c:pt idx="204">
                  <c:v>217.55474810106767</c:v>
                </c:pt>
                <c:pt idx="205">
                  <c:v>216.59676826100409</c:v>
                </c:pt>
                <c:pt idx="206">
                  <c:v>215.18518055602533</c:v>
                </c:pt>
                <c:pt idx="207">
                  <c:v>213.39847870727942</c:v>
                </c:pt>
                <c:pt idx="208">
                  <c:v>211.38573854972137</c:v>
                </c:pt>
                <c:pt idx="209">
                  <c:v>207.9987244201011</c:v>
                </c:pt>
                <c:pt idx="210">
                  <c:v>205.23122214801427</c:v>
                </c:pt>
                <c:pt idx="211">
                  <c:v>202.90918802809276</c:v>
                </c:pt>
                <c:pt idx="212">
                  <c:v>200.40389466811328</c:v>
                </c:pt>
                <c:pt idx="213">
                  <c:v>198.39369940650937</c:v>
                </c:pt>
                <c:pt idx="214">
                  <c:v>197.67320929444568</c:v>
                </c:pt>
                <c:pt idx="215">
                  <c:v>197.07389121913945</c:v>
                </c:pt>
                <c:pt idx="216">
                  <c:v>196.67042662520851</c:v>
                </c:pt>
                <c:pt idx="217">
                  <c:v>196.64167270562757</c:v>
                </c:pt>
                <c:pt idx="218">
                  <c:v>196.35538977518192</c:v>
                </c:pt>
                <c:pt idx="219">
                  <c:v>196.45325103235524</c:v>
                </c:pt>
                <c:pt idx="220">
                  <c:v>196.59178329819892</c:v>
                </c:pt>
                <c:pt idx="221">
                  <c:v>196.52190464204244</c:v>
                </c:pt>
                <c:pt idx="222">
                  <c:v>197.36747173873809</c:v>
                </c:pt>
                <c:pt idx="223">
                  <c:v>199.33313001152027</c:v>
                </c:pt>
                <c:pt idx="224">
                  <c:v>203.3187090074544</c:v>
                </c:pt>
                <c:pt idx="225">
                  <c:v>202.48690866096712</c:v>
                </c:pt>
                <c:pt idx="226">
                  <c:v>201.42000765071703</c:v>
                </c:pt>
                <c:pt idx="227">
                  <c:v>200.05932708378839</c:v>
                </c:pt>
                <c:pt idx="228">
                  <c:v>198.8221462494991</c:v>
                </c:pt>
                <c:pt idx="229">
                  <c:v>199.12377479568258</c:v>
                </c:pt>
                <c:pt idx="230">
                  <c:v>199.42015627442453</c:v>
                </c:pt>
                <c:pt idx="231">
                  <c:v>199.78404185772735</c:v>
                </c:pt>
                <c:pt idx="232">
                  <c:v>200.58730546237999</c:v>
                </c:pt>
                <c:pt idx="233">
                  <c:v>200.98639093107502</c:v>
                </c:pt>
                <c:pt idx="234">
                  <c:v>200.74770319738667</c:v>
                </c:pt>
                <c:pt idx="235">
                  <c:v>200.43571275277429</c:v>
                </c:pt>
                <c:pt idx="236">
                  <c:v>201.11681753752617</c:v>
                </c:pt>
                <c:pt idx="237">
                  <c:v>201.89128943881525</c:v>
                </c:pt>
                <c:pt idx="238">
                  <c:v>203.33045480840056</c:v>
                </c:pt>
                <c:pt idx="239">
                  <c:v>204.91903811734184</c:v>
                </c:pt>
                <c:pt idx="240">
                  <c:v>207.24163260404092</c:v>
                </c:pt>
                <c:pt idx="241">
                  <c:v>211.17297842861393</c:v>
                </c:pt>
                <c:pt idx="242">
                  <c:v>214.914981729424</c:v>
                </c:pt>
                <c:pt idx="243">
                  <c:v>217.69459985372652</c:v>
                </c:pt>
                <c:pt idx="244">
                  <c:v>220.04300005754399</c:v>
                </c:pt>
                <c:pt idx="245">
                  <c:v>220.2287674018672</c:v>
                </c:pt>
                <c:pt idx="246">
                  <c:v>220.01685384301115</c:v>
                </c:pt>
                <c:pt idx="247">
                  <c:v>219.79003714898272</c:v>
                </c:pt>
                <c:pt idx="248">
                  <c:v>219.43666584708768</c:v>
                </c:pt>
                <c:pt idx="249">
                  <c:v>218.89796145618232</c:v>
                </c:pt>
                <c:pt idx="250">
                  <c:v>217.88071792050735</c:v>
                </c:pt>
                <c:pt idx="251">
                  <c:v>216.87297796249885</c:v>
                </c:pt>
                <c:pt idx="252">
                  <c:v>215.92792299800902</c:v>
                </c:pt>
                <c:pt idx="253">
                  <c:v>215.65428634468728</c:v>
                </c:pt>
                <c:pt idx="254">
                  <c:v>215.65408919779375</c:v>
                </c:pt>
                <c:pt idx="255">
                  <c:v>216.67044758380476</c:v>
                </c:pt>
                <c:pt idx="256">
                  <c:v>216.59650886404435</c:v>
                </c:pt>
                <c:pt idx="257">
                  <c:v>216.36494898113432</c:v>
                </c:pt>
                <c:pt idx="258">
                  <c:v>215.66762094241324</c:v>
                </c:pt>
                <c:pt idx="259">
                  <c:v>215.64268731857385</c:v>
                </c:pt>
                <c:pt idx="260">
                  <c:v>216.03920531917066</c:v>
                </c:pt>
                <c:pt idx="261">
                  <c:v>216.61645510375141</c:v>
                </c:pt>
                <c:pt idx="262">
                  <c:v>217.28569781419202</c:v>
                </c:pt>
                <c:pt idx="263">
                  <c:v>217.434142771046</c:v>
                </c:pt>
                <c:pt idx="264">
                  <c:v>217.44944627853005</c:v>
                </c:pt>
                <c:pt idx="265">
                  <c:v>217.26566130069338</c:v>
                </c:pt>
                <c:pt idx="266">
                  <c:v>217.26548633944211</c:v>
                </c:pt>
                <c:pt idx="267">
                  <c:v>217.27526561886808</c:v>
                </c:pt>
                <c:pt idx="268">
                  <c:v>217.21681784846263</c:v>
                </c:pt>
                <c:pt idx="269">
                  <c:v>216.76953209403317</c:v>
                </c:pt>
                <c:pt idx="270">
                  <c:v>207.58456145488117</c:v>
                </c:pt>
                <c:pt idx="271">
                  <c:v>204.53682172319591</c:v>
                </c:pt>
                <c:pt idx="272">
                  <c:v>201.92375281301452</c:v>
                </c:pt>
                <c:pt idx="273">
                  <c:v>199.64255235447112</c:v>
                </c:pt>
                <c:pt idx="274">
                  <c:v>198.6115503053104</c:v>
                </c:pt>
                <c:pt idx="275">
                  <c:v>199.08659995317996</c:v>
                </c:pt>
                <c:pt idx="276">
                  <c:v>199.99906218227648</c:v>
                </c:pt>
                <c:pt idx="277">
                  <c:v>201.75695693584828</c:v>
                </c:pt>
                <c:pt idx="278">
                  <c:v>204.01093666015186</c:v>
                </c:pt>
                <c:pt idx="279">
                  <c:v>206.5860471562446</c:v>
                </c:pt>
                <c:pt idx="280">
                  <c:v>209.02792398366782</c:v>
                </c:pt>
                <c:pt idx="281">
                  <c:v>211.34103630981008</c:v>
                </c:pt>
                <c:pt idx="282">
                  <c:v>213.62896168048314</c:v>
                </c:pt>
                <c:pt idx="283">
                  <c:v>216.44679411230643</c:v>
                </c:pt>
                <c:pt idx="284">
                  <c:v>220.04768735488298</c:v>
                </c:pt>
                <c:pt idx="285">
                  <c:v>223.74808437527477</c:v>
                </c:pt>
                <c:pt idx="286">
                  <c:v>228.44056702085604</c:v>
                </c:pt>
                <c:pt idx="287">
                  <c:v>234.33090683836051</c:v>
                </c:pt>
                <c:pt idx="288">
                  <c:v>241.18177627246857</c:v>
                </c:pt>
                <c:pt idx="289">
                  <c:v>249.37019083701961</c:v>
                </c:pt>
                <c:pt idx="290">
                  <c:v>248.68057808470519</c:v>
                </c:pt>
                <c:pt idx="291">
                  <c:v>247.79807411421834</c:v>
                </c:pt>
                <c:pt idx="292">
                  <c:v>247.296116205413</c:v>
                </c:pt>
                <c:pt idx="293">
                  <c:v>246.81253484896206</c:v>
                </c:pt>
                <c:pt idx="294">
                  <c:v>245.90718326268311</c:v>
                </c:pt>
                <c:pt idx="295">
                  <c:v>246.13544882495418</c:v>
                </c:pt>
                <c:pt idx="296">
                  <c:v>246.55849962899472</c:v>
                </c:pt>
                <c:pt idx="297">
                  <c:v>246.49202022858816</c:v>
                </c:pt>
                <c:pt idx="298">
                  <c:v>245.78026224439174</c:v>
                </c:pt>
                <c:pt idx="299">
                  <c:v>244.25128135525273</c:v>
                </c:pt>
                <c:pt idx="300">
                  <c:v>243.32324002656614</c:v>
                </c:pt>
                <c:pt idx="301">
                  <c:v>243.1686516485214</c:v>
                </c:pt>
                <c:pt idx="302">
                  <c:v>242.44731547201366</c:v>
                </c:pt>
                <c:pt idx="303">
                  <c:v>242.80142981594048</c:v>
                </c:pt>
                <c:pt idx="304">
                  <c:v>242.09070228195952</c:v>
                </c:pt>
                <c:pt idx="305">
                  <c:v>241.37949781599889</c:v>
                </c:pt>
                <c:pt idx="306">
                  <c:v>241.78180422887775</c:v>
                </c:pt>
                <c:pt idx="307">
                  <c:v>241.92615802747727</c:v>
                </c:pt>
                <c:pt idx="308">
                  <c:v>241.99246447094819</c:v>
                </c:pt>
                <c:pt idx="309">
                  <c:v>241.55022622069833</c:v>
                </c:pt>
                <c:pt idx="310">
                  <c:v>240.79340664068067</c:v>
                </c:pt>
                <c:pt idx="311">
                  <c:v>240.71027750685647</c:v>
                </c:pt>
                <c:pt idx="312">
                  <c:v>240.72351843498302</c:v>
                </c:pt>
                <c:pt idx="313">
                  <c:v>240.69733889079276</c:v>
                </c:pt>
                <c:pt idx="314">
                  <c:v>240.04945284766725</c:v>
                </c:pt>
                <c:pt idx="315">
                  <c:v>235.75659858993646</c:v>
                </c:pt>
                <c:pt idx="316">
                  <c:v>231.53550467115684</c:v>
                </c:pt>
                <c:pt idx="317">
                  <c:v>226.44526041224481</c:v>
                </c:pt>
                <c:pt idx="318">
                  <c:v>225.46089101275905</c:v>
                </c:pt>
                <c:pt idx="319">
                  <c:v>223.62007676823526</c:v>
                </c:pt>
                <c:pt idx="320">
                  <c:v>222.88177025534364</c:v>
                </c:pt>
                <c:pt idx="321">
                  <c:v>222.81462627693719</c:v>
                </c:pt>
                <c:pt idx="322">
                  <c:v>222.67169851041456</c:v>
                </c:pt>
                <c:pt idx="323">
                  <c:v>222.70031890145606</c:v>
                </c:pt>
                <c:pt idx="324">
                  <c:v>222.50680971021146</c:v>
                </c:pt>
                <c:pt idx="325">
                  <c:v>222.11400077234649</c:v>
                </c:pt>
                <c:pt idx="326">
                  <c:v>222.17780472206832</c:v>
                </c:pt>
                <c:pt idx="327">
                  <c:v>222.40121444320778</c:v>
                </c:pt>
                <c:pt idx="328">
                  <c:v>221.6109711704695</c:v>
                </c:pt>
                <c:pt idx="329">
                  <c:v>221.15491841071173</c:v>
                </c:pt>
                <c:pt idx="330">
                  <c:v>221.0302891092999</c:v>
                </c:pt>
                <c:pt idx="331">
                  <c:v>221.4353682603402</c:v>
                </c:pt>
                <c:pt idx="332">
                  <c:v>222.16623307567525</c:v>
                </c:pt>
                <c:pt idx="333">
                  <c:v>223.05761994815401</c:v>
                </c:pt>
                <c:pt idx="334">
                  <c:v>222.87067695191874</c:v>
                </c:pt>
                <c:pt idx="335">
                  <c:v>223.32300259910838</c:v>
                </c:pt>
                <c:pt idx="336">
                  <c:v>224.54500251313254</c:v>
                </c:pt>
                <c:pt idx="337">
                  <c:v>227.08940458957997</c:v>
                </c:pt>
                <c:pt idx="338">
                  <c:v>226.71162399473084</c:v>
                </c:pt>
                <c:pt idx="339">
                  <c:v>228.25396121583418</c:v>
                </c:pt>
                <c:pt idx="340">
                  <c:v>228.49744897969336</c:v>
                </c:pt>
                <c:pt idx="341">
                  <c:v>227.90409248744555</c:v>
                </c:pt>
                <c:pt idx="342">
                  <c:v>227.60554103021201</c:v>
                </c:pt>
                <c:pt idx="343">
                  <c:v>226.57252401086379</c:v>
                </c:pt>
                <c:pt idx="344">
                  <c:v>226.16167814338937</c:v>
                </c:pt>
                <c:pt idx="345">
                  <c:v>226.45238267269019</c:v>
                </c:pt>
                <c:pt idx="346">
                  <c:v>226.70588781365728</c:v>
                </c:pt>
                <c:pt idx="347">
                  <c:v>227.11866285644848</c:v>
                </c:pt>
                <c:pt idx="348">
                  <c:v>230.67181087462566</c:v>
                </c:pt>
                <c:pt idx="349">
                  <c:v>233.99113389522324</c:v>
                </c:pt>
                <c:pt idx="350">
                  <c:v>236.75260291184767</c:v>
                </c:pt>
                <c:pt idx="351">
                  <c:v>239.2362208994067</c:v>
                </c:pt>
                <c:pt idx="352">
                  <c:v>241.45762037398177</c:v>
                </c:pt>
                <c:pt idx="353">
                  <c:v>244.72806799467648</c:v>
                </c:pt>
                <c:pt idx="354">
                  <c:v>246.76455995921719</c:v>
                </c:pt>
                <c:pt idx="355">
                  <c:v>248.15373550783417</c:v>
                </c:pt>
                <c:pt idx="356">
                  <c:v>249.82742193909851</c:v>
                </c:pt>
                <c:pt idx="357">
                  <c:v>250.68726685623551</c:v>
                </c:pt>
                <c:pt idx="358">
                  <c:v>251.42487938917853</c:v>
                </c:pt>
                <c:pt idx="359">
                  <c:v>253.43875128029356</c:v>
                </c:pt>
                <c:pt idx="360">
                  <c:v>253.90522898666484</c:v>
                </c:pt>
                <c:pt idx="361">
                  <c:v>252.78837270421036</c:v>
                </c:pt>
                <c:pt idx="362">
                  <c:v>252.63138609482843</c:v>
                </c:pt>
                <c:pt idx="363">
                  <c:v>252.34280216734035</c:v>
                </c:pt>
                <c:pt idx="364">
                  <c:v>251.66335517785117</c:v>
                </c:pt>
                <c:pt idx="365">
                  <c:v>250.99371862783235</c:v>
                </c:pt>
                <c:pt idx="366">
                  <c:v>250.63065624699473</c:v>
                </c:pt>
                <c:pt idx="367">
                  <c:v>251.37955398144243</c:v>
                </c:pt>
                <c:pt idx="368">
                  <c:v>252.00925894182311</c:v>
                </c:pt>
                <c:pt idx="369">
                  <c:v>252.49885561934693</c:v>
                </c:pt>
                <c:pt idx="370">
                  <c:v>253.10882739139021</c:v>
                </c:pt>
                <c:pt idx="371">
                  <c:v>254.59690095162247</c:v>
                </c:pt>
                <c:pt idx="372">
                  <c:v>257.10168286888438</c:v>
                </c:pt>
                <c:pt idx="373">
                  <c:v>259.6473568842365</c:v>
                </c:pt>
                <c:pt idx="374">
                  <c:v>261.89128134909214</c:v>
                </c:pt>
                <c:pt idx="375">
                  <c:v>264.37902659240586</c:v>
                </c:pt>
                <c:pt idx="376">
                  <c:v>267.0847167949957</c:v>
                </c:pt>
                <c:pt idx="377">
                  <c:v>269.96049571122916</c:v>
                </c:pt>
                <c:pt idx="378">
                  <c:v>272.93312075019037</c:v>
                </c:pt>
                <c:pt idx="379">
                  <c:v>275.50789143066027</c:v>
                </c:pt>
                <c:pt idx="380">
                  <c:v>277.24005670860424</c:v>
                </c:pt>
                <c:pt idx="381">
                  <c:v>277.55863885936532</c:v>
                </c:pt>
                <c:pt idx="382">
                  <c:v>278.00657601283046</c:v>
                </c:pt>
                <c:pt idx="383">
                  <c:v>279.26971255277823</c:v>
                </c:pt>
                <c:pt idx="384">
                  <c:v>279.28754836591099</c:v>
                </c:pt>
                <c:pt idx="385">
                  <c:v>279.09743439562197</c:v>
                </c:pt>
                <c:pt idx="386">
                  <c:v>279.45490403118879</c:v>
                </c:pt>
                <c:pt idx="387">
                  <c:v>280.14504606081397</c:v>
                </c:pt>
                <c:pt idx="388">
                  <c:v>279.32010010664817</c:v>
                </c:pt>
                <c:pt idx="389">
                  <c:v>278.80045988576029</c:v>
                </c:pt>
                <c:pt idx="390">
                  <c:v>271.26072124242228</c:v>
                </c:pt>
                <c:pt idx="391">
                  <c:v>265.85985072114954</c:v>
                </c:pt>
                <c:pt idx="392">
                  <c:v>262.49044280462238</c:v>
                </c:pt>
                <c:pt idx="393">
                  <c:v>259.73565005706564</c:v>
                </c:pt>
                <c:pt idx="394">
                  <c:v>256.78904322820875</c:v>
                </c:pt>
                <c:pt idx="395">
                  <c:v>252.52255153288141</c:v>
                </c:pt>
                <c:pt idx="396">
                  <c:v>248.44231774148025</c:v>
                </c:pt>
                <c:pt idx="397">
                  <c:v>245.59889187107626</c:v>
                </c:pt>
                <c:pt idx="398">
                  <c:v>242.92384679129526</c:v>
                </c:pt>
                <c:pt idx="399">
                  <c:v>241.10037627427377</c:v>
                </c:pt>
                <c:pt idx="400">
                  <c:v>239.15983374800857</c:v>
                </c:pt>
                <c:pt idx="401">
                  <c:v>235.86418236154714</c:v>
                </c:pt>
                <c:pt idx="402">
                  <c:v>231.92570255372797</c:v>
                </c:pt>
                <c:pt idx="403">
                  <c:v>228.35281326781507</c:v>
                </c:pt>
                <c:pt idx="404">
                  <c:v>226.45624591804781</c:v>
                </c:pt>
                <c:pt idx="405">
                  <c:v>224.63542384396246</c:v>
                </c:pt>
                <c:pt idx="406">
                  <c:v>224.496295851284</c:v>
                </c:pt>
                <c:pt idx="407">
                  <c:v>225.06509949153877</c:v>
                </c:pt>
                <c:pt idx="408">
                  <c:v>226.45104559001973</c:v>
                </c:pt>
                <c:pt idx="409">
                  <c:v>229.48092731346662</c:v>
                </c:pt>
                <c:pt idx="410">
                  <c:v>228.9222464968781</c:v>
                </c:pt>
                <c:pt idx="411">
                  <c:v>228.86637487049279</c:v>
                </c:pt>
                <c:pt idx="412">
                  <c:v>229.30514649712001</c:v>
                </c:pt>
                <c:pt idx="413">
                  <c:v>230.48327951702476</c:v>
                </c:pt>
                <c:pt idx="414">
                  <c:v>231.92610555442107</c:v>
                </c:pt>
                <c:pt idx="415">
                  <c:v>232.41144198092448</c:v>
                </c:pt>
                <c:pt idx="416">
                  <c:v>232.58366840378451</c:v>
                </c:pt>
                <c:pt idx="417">
                  <c:v>233.00772348555239</c:v>
                </c:pt>
                <c:pt idx="418">
                  <c:v>233.49989920740904</c:v>
                </c:pt>
                <c:pt idx="419">
                  <c:v>234.3152753004849</c:v>
                </c:pt>
                <c:pt idx="420">
                  <c:v>234.59964891672013</c:v>
                </c:pt>
                <c:pt idx="421">
                  <c:v>232.75880863539052</c:v>
                </c:pt>
                <c:pt idx="422">
                  <c:v>231.72355222787235</c:v>
                </c:pt>
                <c:pt idx="423">
                  <c:v>232.12826068168104</c:v>
                </c:pt>
                <c:pt idx="424">
                  <c:v>231.99340827274219</c:v>
                </c:pt>
                <c:pt idx="425">
                  <c:v>232.94884762514778</c:v>
                </c:pt>
                <c:pt idx="426">
                  <c:v>233.42712318574991</c:v>
                </c:pt>
                <c:pt idx="427">
                  <c:v>234.05832161926259</c:v>
                </c:pt>
                <c:pt idx="428">
                  <c:v>234.47546197802541</c:v>
                </c:pt>
                <c:pt idx="429">
                  <c:v>234.22531460678147</c:v>
                </c:pt>
                <c:pt idx="430">
                  <c:v>234.77907522070942</c:v>
                </c:pt>
                <c:pt idx="431">
                  <c:v>234.58068604800079</c:v>
                </c:pt>
                <c:pt idx="432">
                  <c:v>235.39129288919088</c:v>
                </c:pt>
                <c:pt idx="433">
                  <c:v>236.62568915055749</c:v>
                </c:pt>
                <c:pt idx="434">
                  <c:v>235.96342306490845</c:v>
                </c:pt>
                <c:pt idx="435">
                  <c:v>235.54514141665305</c:v>
                </c:pt>
                <c:pt idx="436">
                  <c:v>236.94354295342885</c:v>
                </c:pt>
                <c:pt idx="437">
                  <c:v>239.12675030374638</c:v>
                </c:pt>
                <c:pt idx="438">
                  <c:v>240.89262548893882</c:v>
                </c:pt>
                <c:pt idx="439">
                  <c:v>242.67653836050329</c:v>
                </c:pt>
                <c:pt idx="440">
                  <c:v>244.63934253982799</c:v>
                </c:pt>
                <c:pt idx="441">
                  <c:v>245.58909258907318</c:v>
                </c:pt>
                <c:pt idx="442">
                  <c:v>246.03799947100595</c:v>
                </c:pt>
                <c:pt idx="443">
                  <c:v>247.77216998854215</c:v>
                </c:pt>
                <c:pt idx="444">
                  <c:v>249.97138607049408</c:v>
                </c:pt>
                <c:pt idx="445">
                  <c:v>253.4483693975088</c:v>
                </c:pt>
                <c:pt idx="446">
                  <c:v>256.63560643737242</c:v>
                </c:pt>
                <c:pt idx="447">
                  <c:v>259.84041448971317</c:v>
                </c:pt>
                <c:pt idx="448">
                  <c:v>263.39193787943253</c:v>
                </c:pt>
                <c:pt idx="449">
                  <c:v>265.37626500449858</c:v>
                </c:pt>
                <c:pt idx="450">
                  <c:v>267.68764699041003</c:v>
                </c:pt>
                <c:pt idx="451">
                  <c:v>269.13485439109525</c:v>
                </c:pt>
                <c:pt idx="452">
                  <c:v>270.48639904379678</c:v>
                </c:pt>
                <c:pt idx="453">
                  <c:v>273.61612294021563</c:v>
                </c:pt>
                <c:pt idx="454">
                  <c:v>273.83178947788247</c:v>
                </c:pt>
                <c:pt idx="455">
                  <c:v>270.42121029629732</c:v>
                </c:pt>
                <c:pt idx="456">
                  <c:v>267.63797556867536</c:v>
                </c:pt>
                <c:pt idx="457">
                  <c:v>266.05187492951006</c:v>
                </c:pt>
                <c:pt idx="458">
                  <c:v>265.41484743518225</c:v>
                </c:pt>
                <c:pt idx="459">
                  <c:v>264.87615500192391</c:v>
                </c:pt>
                <c:pt idx="460">
                  <c:v>264.75076708333739</c:v>
                </c:pt>
                <c:pt idx="461">
                  <c:v>264.87788786873534</c:v>
                </c:pt>
                <c:pt idx="462">
                  <c:v>264.95528993351576</c:v>
                </c:pt>
                <c:pt idx="463">
                  <c:v>265.13943531504344</c:v>
                </c:pt>
                <c:pt idx="464">
                  <c:v>265.21916044133678</c:v>
                </c:pt>
                <c:pt idx="465">
                  <c:v>267.30281408049325</c:v>
                </c:pt>
                <c:pt idx="466">
                  <c:v>269.75435274241613</c:v>
                </c:pt>
                <c:pt idx="467">
                  <c:v>272.66899540408434</c:v>
                </c:pt>
                <c:pt idx="468">
                  <c:v>275.04564206902228</c:v>
                </c:pt>
                <c:pt idx="469">
                  <c:v>279.31380200255882</c:v>
                </c:pt>
                <c:pt idx="470">
                  <c:v>282.79065340904606</c:v>
                </c:pt>
                <c:pt idx="471">
                  <c:v>285.41830114132483</c:v>
                </c:pt>
                <c:pt idx="472">
                  <c:v>287.51922092593202</c:v>
                </c:pt>
                <c:pt idx="473">
                  <c:v>287.78035550824666</c:v>
                </c:pt>
                <c:pt idx="474">
                  <c:v>289.24287320504675</c:v>
                </c:pt>
                <c:pt idx="475">
                  <c:v>288.41272335972826</c:v>
                </c:pt>
                <c:pt idx="476">
                  <c:v>288.44753728324048</c:v>
                </c:pt>
                <c:pt idx="477">
                  <c:v>288.53039860315886</c:v>
                </c:pt>
                <c:pt idx="478">
                  <c:v>288.41622927408446</c:v>
                </c:pt>
                <c:pt idx="479">
                  <c:v>288.46040124042258</c:v>
                </c:pt>
                <c:pt idx="480">
                  <c:v>288.44748716828514</c:v>
                </c:pt>
                <c:pt idx="481">
                  <c:v>288.29480452438389</c:v>
                </c:pt>
                <c:pt idx="482">
                  <c:v>288.42346560618245</c:v>
                </c:pt>
                <c:pt idx="483">
                  <c:v>288.41677773567432</c:v>
                </c:pt>
                <c:pt idx="484">
                  <c:v>288.62777624182132</c:v>
                </c:pt>
                <c:pt idx="485">
                  <c:v>288.58813454150982</c:v>
                </c:pt>
                <c:pt idx="486">
                  <c:v>288.53312061680333</c:v>
                </c:pt>
                <c:pt idx="487">
                  <c:v>288.62639082700531</c:v>
                </c:pt>
                <c:pt idx="488">
                  <c:v>289.00550645335477</c:v>
                </c:pt>
                <c:pt idx="489">
                  <c:v>288.98154281514547</c:v>
                </c:pt>
                <c:pt idx="490">
                  <c:v>288.97011822740296</c:v>
                </c:pt>
                <c:pt idx="491">
                  <c:v>289.57932054556227</c:v>
                </c:pt>
                <c:pt idx="492">
                  <c:v>291.82317254189064</c:v>
                </c:pt>
                <c:pt idx="493">
                  <c:v>294.65758965034672</c:v>
                </c:pt>
                <c:pt idx="494">
                  <c:v>297.50816288774098</c:v>
                </c:pt>
                <c:pt idx="495">
                  <c:v>298.60121495087765</c:v>
                </c:pt>
                <c:pt idx="496">
                  <c:v>298.5651707778797</c:v>
                </c:pt>
                <c:pt idx="497">
                  <c:v>298.57232051025017</c:v>
                </c:pt>
                <c:pt idx="498">
                  <c:v>298.76366173650689</c:v>
                </c:pt>
                <c:pt idx="499">
                  <c:v>298.72557261142907</c:v>
                </c:pt>
                <c:pt idx="500">
                  <c:v>298.34473677850576</c:v>
                </c:pt>
                <c:pt idx="501">
                  <c:v>297.08581160915412</c:v>
                </c:pt>
                <c:pt idx="502">
                  <c:v>294.50657414393862</c:v>
                </c:pt>
                <c:pt idx="503">
                  <c:v>293.08197735900376</c:v>
                </c:pt>
                <c:pt idx="504">
                  <c:v>292.93009346186085</c:v>
                </c:pt>
                <c:pt idx="505">
                  <c:v>292.15653540004496</c:v>
                </c:pt>
                <c:pt idx="506">
                  <c:v>292.29709111342635</c:v>
                </c:pt>
                <c:pt idx="507">
                  <c:v>292.89107137075297</c:v>
                </c:pt>
                <c:pt idx="508">
                  <c:v>292.68376358250845</c:v>
                </c:pt>
                <c:pt idx="509">
                  <c:v>292.88753342002894</c:v>
                </c:pt>
                <c:pt idx="510">
                  <c:v>292.85123098400919</c:v>
                </c:pt>
                <c:pt idx="511">
                  <c:v>292.40875876306933</c:v>
                </c:pt>
                <c:pt idx="512">
                  <c:v>292.40108539221961</c:v>
                </c:pt>
                <c:pt idx="513">
                  <c:v>290.8295928299043</c:v>
                </c:pt>
                <c:pt idx="514">
                  <c:v>290.50407937480907</c:v>
                </c:pt>
                <c:pt idx="515">
                  <c:v>289.70767243776254</c:v>
                </c:pt>
                <c:pt idx="516">
                  <c:v>288.59010907941877</c:v>
                </c:pt>
                <c:pt idx="517">
                  <c:v>288.19871733525122</c:v>
                </c:pt>
                <c:pt idx="518">
                  <c:v>287.56883502264805</c:v>
                </c:pt>
                <c:pt idx="519">
                  <c:v>287.1332531788492</c:v>
                </c:pt>
                <c:pt idx="520">
                  <c:v>286.68765888264312</c:v>
                </c:pt>
                <c:pt idx="521">
                  <c:v>286.88889568534535</c:v>
                </c:pt>
                <c:pt idx="522">
                  <c:v>287.07200310486309</c:v>
                </c:pt>
                <c:pt idx="523">
                  <c:v>286.97583021088684</c:v>
                </c:pt>
                <c:pt idx="524">
                  <c:v>285.3527122507283</c:v>
                </c:pt>
                <c:pt idx="525">
                  <c:v>284.3675119300824</c:v>
                </c:pt>
                <c:pt idx="526">
                  <c:v>284.22720159640636</c:v>
                </c:pt>
                <c:pt idx="527">
                  <c:v>283.90879064691296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55-45DC-A735-74CB4EFD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470272"/>
        <c:axId val="1296463552"/>
      </c:lineChart>
      <c:dateAx>
        <c:axId val="129647027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63552"/>
        <c:crosses val="autoZero"/>
        <c:auto val="1"/>
        <c:lblOffset val="100"/>
        <c:baseTimeUnit val="days"/>
      </c:dateAx>
      <c:valAx>
        <c:axId val="1296463552"/>
        <c:scaling>
          <c:orientation val="minMax"/>
          <c:min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Data!$AA$2:$AA$529</c:f>
              <c:numCache>
                <c:formatCode>General</c:formatCode>
                <c:ptCount val="528"/>
                <c:pt idx="35">
                  <c:v>-1.5600746296860484</c:v>
                </c:pt>
                <c:pt idx="36">
                  <c:v>-1.4995164379503363</c:v>
                </c:pt>
                <c:pt idx="37">
                  <c:v>-1.3860523129939475</c:v>
                </c:pt>
                <c:pt idx="38">
                  <c:v>-1.2620001331665271</c:v>
                </c:pt>
                <c:pt idx="39">
                  <c:v>-1.1796105970161683</c:v>
                </c:pt>
                <c:pt idx="40">
                  <c:v>-0.9054320597162846</c:v>
                </c:pt>
                <c:pt idx="41">
                  <c:v>-0.41550126938403409</c:v>
                </c:pt>
                <c:pt idx="42">
                  <c:v>-0.19606856981958742</c:v>
                </c:pt>
                <c:pt idx="43">
                  <c:v>0.18227499360515331</c:v>
                </c:pt>
                <c:pt idx="44">
                  <c:v>0.39555031910213501</c:v>
                </c:pt>
                <c:pt idx="45">
                  <c:v>0.43137915289393636</c:v>
                </c:pt>
                <c:pt idx="46">
                  <c:v>0.1214684367164045</c:v>
                </c:pt>
                <c:pt idx="47">
                  <c:v>0.26623145682103111</c:v>
                </c:pt>
                <c:pt idx="48">
                  <c:v>0.23275971124673944</c:v>
                </c:pt>
                <c:pt idx="49">
                  <c:v>-5.0962678486499158E-2</c:v>
                </c:pt>
                <c:pt idx="50">
                  <c:v>-0.4184738989920902</c:v>
                </c:pt>
                <c:pt idx="51">
                  <c:v>-0.62810636506299033</c:v>
                </c:pt>
                <c:pt idx="52">
                  <c:v>-0.66063043101021357</c:v>
                </c:pt>
                <c:pt idx="53">
                  <c:v>-0.6446679009875611</c:v>
                </c:pt>
                <c:pt idx="54">
                  <c:v>-0.76871370463515287</c:v>
                </c:pt>
                <c:pt idx="55">
                  <c:v>-0.90844161556657888</c:v>
                </c:pt>
                <c:pt idx="56">
                  <c:v>-1.1117829645289063</c:v>
                </c:pt>
                <c:pt idx="57">
                  <c:v>-1.2294834279478839</c:v>
                </c:pt>
                <c:pt idx="58">
                  <c:v>-1.119245799945725</c:v>
                </c:pt>
                <c:pt idx="59">
                  <c:v>-1.0059386437459534</c:v>
                </c:pt>
                <c:pt idx="60">
                  <c:v>-0.97667936377296538</c:v>
                </c:pt>
                <c:pt idx="61">
                  <c:v>-0.98792025482670676</c:v>
                </c:pt>
                <c:pt idx="62">
                  <c:v>-0.83216647074260863</c:v>
                </c:pt>
                <c:pt idx="63">
                  <c:v>-0.89582382033443242</c:v>
                </c:pt>
                <c:pt idx="64">
                  <c:v>-0.82614354918529576</c:v>
                </c:pt>
                <c:pt idx="65">
                  <c:v>-0.70784483241447393</c:v>
                </c:pt>
                <c:pt idx="66">
                  <c:v>-0.63960412842399783</c:v>
                </c:pt>
                <c:pt idx="67">
                  <c:v>-0.78099507247441191</c:v>
                </c:pt>
                <c:pt idx="68">
                  <c:v>-0.84483779185382057</c:v>
                </c:pt>
                <c:pt idx="69">
                  <c:v>-1.0775261360261772</c:v>
                </c:pt>
                <c:pt idx="70">
                  <c:v>-1.2348257366454258</c:v>
                </c:pt>
                <c:pt idx="71">
                  <c:v>-1.1091746340669428</c:v>
                </c:pt>
                <c:pt idx="72">
                  <c:v>-1.0112599584875941</c:v>
                </c:pt>
                <c:pt idx="73">
                  <c:v>-0.9960992316366698</c:v>
                </c:pt>
                <c:pt idx="74">
                  <c:v>-0.92028878030997108</c:v>
                </c:pt>
                <c:pt idx="75">
                  <c:v>-0.79493913210434108</c:v>
                </c:pt>
                <c:pt idx="76">
                  <c:v>-0.6452130135509222</c:v>
                </c:pt>
                <c:pt idx="77">
                  <c:v>-0.38320189982380848</c:v>
                </c:pt>
                <c:pt idx="78">
                  <c:v>-1.1549564386166411</c:v>
                </c:pt>
                <c:pt idx="79">
                  <c:v>-1.6757713617106709</c:v>
                </c:pt>
                <c:pt idx="80">
                  <c:v>-1.8754400536706708</c:v>
                </c:pt>
                <c:pt idx="81">
                  <c:v>-1.9567200652190406</c:v>
                </c:pt>
                <c:pt idx="82">
                  <c:v>-1.9895372905701683</c:v>
                </c:pt>
                <c:pt idx="83">
                  <c:v>-1.8561742317551868</c:v>
                </c:pt>
                <c:pt idx="84">
                  <c:v>-1.5729116811460555</c:v>
                </c:pt>
                <c:pt idx="85">
                  <c:v>-1.086981932222308</c:v>
                </c:pt>
                <c:pt idx="86">
                  <c:v>-0.69676938616237827</c:v>
                </c:pt>
                <c:pt idx="87">
                  <c:v>-0.273737124913354</c:v>
                </c:pt>
                <c:pt idx="88">
                  <c:v>-0.18034721855159486</c:v>
                </c:pt>
                <c:pt idx="89">
                  <c:v>-1.0237695601317931E-2</c:v>
                </c:pt>
                <c:pt idx="90">
                  <c:v>0.16906980621981926</c:v>
                </c:pt>
                <c:pt idx="91">
                  <c:v>0.30542870824926549</c:v>
                </c:pt>
                <c:pt idx="92">
                  <c:v>0.47722339740654363</c:v>
                </c:pt>
                <c:pt idx="93">
                  <c:v>0.64900974516698184</c:v>
                </c:pt>
                <c:pt idx="94">
                  <c:v>0.76882483451654782</c:v>
                </c:pt>
                <c:pt idx="95">
                  <c:v>0.90100079462949711</c:v>
                </c:pt>
                <c:pt idx="96">
                  <c:v>1.2016968495178739</c:v>
                </c:pt>
                <c:pt idx="97">
                  <c:v>1.3770033202496061</c:v>
                </c:pt>
                <c:pt idx="98">
                  <c:v>1.2546204740807352</c:v>
                </c:pt>
                <c:pt idx="99">
                  <c:v>1.1559769392283759</c:v>
                </c:pt>
                <c:pt idx="100">
                  <c:v>0.98221348408984177</c:v>
                </c:pt>
                <c:pt idx="101">
                  <c:v>0.6801682463994454</c:v>
                </c:pt>
                <c:pt idx="102">
                  <c:v>0.38794496202811946</c:v>
                </c:pt>
                <c:pt idx="103">
                  <c:v>0.28479114259412563</c:v>
                </c:pt>
                <c:pt idx="104">
                  <c:v>0.12684951589434013</c:v>
                </c:pt>
                <c:pt idx="105">
                  <c:v>7.6575492385715815E-2</c:v>
                </c:pt>
                <c:pt idx="106">
                  <c:v>0.16261672340900857</c:v>
                </c:pt>
                <c:pt idx="107">
                  <c:v>0.28135340733109038</c:v>
                </c:pt>
                <c:pt idx="108">
                  <c:v>0.47689682039187575</c:v>
                </c:pt>
                <c:pt idx="109">
                  <c:v>0.61734611423300167</c:v>
                </c:pt>
                <c:pt idx="110">
                  <c:v>0.62323458150320965</c:v>
                </c:pt>
                <c:pt idx="111">
                  <c:v>0.59027883991708285</c:v>
                </c:pt>
                <c:pt idx="112">
                  <c:v>0.5614383023903371</c:v>
                </c:pt>
                <c:pt idx="113">
                  <c:v>0.53349480230419433</c:v>
                </c:pt>
                <c:pt idx="114">
                  <c:v>0.5191259825504777</c:v>
                </c:pt>
                <c:pt idx="115">
                  <c:v>0.56133697809747241</c:v>
                </c:pt>
                <c:pt idx="116">
                  <c:v>0.78357591514197822</c:v>
                </c:pt>
                <c:pt idx="117">
                  <c:v>0.79697750163294157</c:v>
                </c:pt>
                <c:pt idx="118">
                  <c:v>0.93287370831049277</c:v>
                </c:pt>
                <c:pt idx="119">
                  <c:v>0.81976144567615639</c:v>
                </c:pt>
                <c:pt idx="120">
                  <c:v>0.66185030334756279</c:v>
                </c:pt>
                <c:pt idx="121">
                  <c:v>0.4641224409147976</c:v>
                </c:pt>
                <c:pt idx="122">
                  <c:v>0.44985673316325991</c:v>
                </c:pt>
                <c:pt idx="123">
                  <c:v>0.55349495038598306</c:v>
                </c:pt>
                <c:pt idx="124">
                  <c:v>0.72752953324156888</c:v>
                </c:pt>
                <c:pt idx="125">
                  <c:v>0.69431323429686542</c:v>
                </c:pt>
                <c:pt idx="126">
                  <c:v>0.65005572542930401</c:v>
                </c:pt>
                <c:pt idx="127">
                  <c:v>0.68459373621922714</c:v>
                </c:pt>
                <c:pt idx="128">
                  <c:v>0.58773527959363014</c:v>
                </c:pt>
                <c:pt idx="129">
                  <c:v>0.57307848834357156</c:v>
                </c:pt>
                <c:pt idx="130">
                  <c:v>0.55260855906202755</c:v>
                </c:pt>
                <c:pt idx="131">
                  <c:v>0.78677016677365086</c:v>
                </c:pt>
                <c:pt idx="132">
                  <c:v>0.88119658480776542</c:v>
                </c:pt>
                <c:pt idx="133">
                  <c:v>1.0648761507372093</c:v>
                </c:pt>
                <c:pt idx="134">
                  <c:v>1.2101172198099022</c:v>
                </c:pt>
                <c:pt idx="135">
                  <c:v>1.0739195459900994</c:v>
                </c:pt>
                <c:pt idx="136">
                  <c:v>0.78260614033311349</c:v>
                </c:pt>
                <c:pt idx="137">
                  <c:v>0.59071330660669741</c:v>
                </c:pt>
                <c:pt idx="138">
                  <c:v>0.40922156496008766</c:v>
                </c:pt>
                <c:pt idx="139">
                  <c:v>0.2409158946863692</c:v>
                </c:pt>
                <c:pt idx="140">
                  <c:v>0.60224278087796534</c:v>
                </c:pt>
                <c:pt idx="141">
                  <c:v>0.75255244055034032</c:v>
                </c:pt>
                <c:pt idx="142">
                  <c:v>0.75972953747440908</c:v>
                </c:pt>
                <c:pt idx="143">
                  <c:v>0.66168439503093923</c:v>
                </c:pt>
                <c:pt idx="144">
                  <c:v>0.60087512279852184</c:v>
                </c:pt>
                <c:pt idx="145">
                  <c:v>0.33675554275202568</c:v>
                </c:pt>
                <c:pt idx="146">
                  <c:v>8.2089319171514852E-2</c:v>
                </c:pt>
                <c:pt idx="147">
                  <c:v>-0.48980788594439062</c:v>
                </c:pt>
                <c:pt idx="148">
                  <c:v>-0.63593888323954673</c:v>
                </c:pt>
                <c:pt idx="149">
                  <c:v>-0.72882165495808549</c:v>
                </c:pt>
                <c:pt idx="150">
                  <c:v>-0.41101864334199512</c:v>
                </c:pt>
                <c:pt idx="151">
                  <c:v>-0.29633782023149013</c:v>
                </c:pt>
                <c:pt idx="152">
                  <c:v>-0.3659987018510984</c:v>
                </c:pt>
                <c:pt idx="153">
                  <c:v>-0.32462999901869205</c:v>
                </c:pt>
                <c:pt idx="154">
                  <c:v>-0.22658600146680419</c:v>
                </c:pt>
                <c:pt idx="155">
                  <c:v>-7.8496921053071489E-2</c:v>
                </c:pt>
                <c:pt idx="156">
                  <c:v>-2.1496511047233824E-2</c:v>
                </c:pt>
                <c:pt idx="157">
                  <c:v>4.6948007719298079E-2</c:v>
                </c:pt>
                <c:pt idx="158">
                  <c:v>0.14120667570487377</c:v>
                </c:pt>
                <c:pt idx="159">
                  <c:v>0.2387239989515888</c:v>
                </c:pt>
                <c:pt idx="160">
                  <c:v>0.17755074160164996</c:v>
                </c:pt>
                <c:pt idx="161">
                  <c:v>0.10842198456706464</c:v>
                </c:pt>
                <c:pt idx="162">
                  <c:v>0.14872633753575837</c:v>
                </c:pt>
                <c:pt idx="163">
                  <c:v>0.18305548547901562</c:v>
                </c:pt>
                <c:pt idx="164">
                  <c:v>0.14632866243613218</c:v>
                </c:pt>
                <c:pt idx="165">
                  <c:v>0.11196764280380123</c:v>
                </c:pt>
                <c:pt idx="166">
                  <c:v>0.25868680948854861</c:v>
                </c:pt>
                <c:pt idx="167">
                  <c:v>0.25024659974928642</c:v>
                </c:pt>
                <c:pt idx="168">
                  <c:v>0.37927658877394821</c:v>
                </c:pt>
                <c:pt idx="169">
                  <c:v>0.30923498423441043</c:v>
                </c:pt>
                <c:pt idx="170">
                  <c:v>9.6326220014034014E-2</c:v>
                </c:pt>
                <c:pt idx="171">
                  <c:v>0.10092653031177745</c:v>
                </c:pt>
                <c:pt idx="172">
                  <c:v>0.17756846300340712</c:v>
                </c:pt>
                <c:pt idx="173">
                  <c:v>0.47235538314441428</c:v>
                </c:pt>
                <c:pt idx="174">
                  <c:v>0.7054612024357052</c:v>
                </c:pt>
                <c:pt idx="175">
                  <c:v>0.97925261083284276</c:v>
                </c:pt>
                <c:pt idx="176">
                  <c:v>1.2102681377488338</c:v>
                </c:pt>
                <c:pt idx="177">
                  <c:v>1.0549885246896054</c:v>
                </c:pt>
                <c:pt idx="178">
                  <c:v>0.908381912388176</c:v>
                </c:pt>
                <c:pt idx="179">
                  <c:v>0.65412548898460443</c:v>
                </c:pt>
                <c:pt idx="180">
                  <c:v>0.65438775320773157</c:v>
                </c:pt>
                <c:pt idx="181">
                  <c:v>0.74821632915049108</c:v>
                </c:pt>
                <c:pt idx="182">
                  <c:v>0.7453713145452836</c:v>
                </c:pt>
                <c:pt idx="183">
                  <c:v>0.66698174522937492</c:v>
                </c:pt>
                <c:pt idx="184">
                  <c:v>0.66763770481054152</c:v>
                </c:pt>
                <c:pt idx="185">
                  <c:v>0.41059519298778113</c:v>
                </c:pt>
                <c:pt idx="186">
                  <c:v>0.18517502405468012</c:v>
                </c:pt>
                <c:pt idx="187">
                  <c:v>-0.13475082429478658</c:v>
                </c:pt>
                <c:pt idx="188">
                  <c:v>-0.36217756495917897</c:v>
                </c:pt>
                <c:pt idx="189">
                  <c:v>-0.35231599288590321</c:v>
                </c:pt>
                <c:pt idx="190">
                  <c:v>-0.17493354140963113</c:v>
                </c:pt>
                <c:pt idx="191">
                  <c:v>-3.9298374279214343E-2</c:v>
                </c:pt>
                <c:pt idx="192">
                  <c:v>8.7400465410039985E-2</c:v>
                </c:pt>
                <c:pt idx="193">
                  <c:v>0.4684150570660206</c:v>
                </c:pt>
                <c:pt idx="194">
                  <c:v>0.54361786781190258</c:v>
                </c:pt>
                <c:pt idx="195">
                  <c:v>0.51896535715553593</c:v>
                </c:pt>
                <c:pt idx="196">
                  <c:v>0.54415405220247415</c:v>
                </c:pt>
                <c:pt idx="197">
                  <c:v>0.32360562481095645</c:v>
                </c:pt>
                <c:pt idx="198">
                  <c:v>0.15194904821056809</c:v>
                </c:pt>
                <c:pt idx="199">
                  <c:v>-7.6137360455539316E-2</c:v>
                </c:pt>
                <c:pt idx="200">
                  <c:v>-0.32044275273026912</c:v>
                </c:pt>
                <c:pt idx="201">
                  <c:v>-0.54669858082796541</c:v>
                </c:pt>
                <c:pt idx="202">
                  <c:v>-0.68790777012055848</c:v>
                </c:pt>
                <c:pt idx="203">
                  <c:v>-0.76684107383990607</c:v>
                </c:pt>
                <c:pt idx="204">
                  <c:v>-1.74918594316145</c:v>
                </c:pt>
                <c:pt idx="205">
                  <c:v>-2.5632688469059071</c:v>
                </c:pt>
                <c:pt idx="206">
                  <c:v>-3.0982880100994361</c:v>
                </c:pt>
                <c:pt idx="207">
                  <c:v>-3.4692359313212919</c:v>
                </c:pt>
                <c:pt idx="208">
                  <c:v>-3.9046382578727608</c:v>
                </c:pt>
                <c:pt idx="209">
                  <c:v>-3.8796555580928036</c:v>
                </c:pt>
                <c:pt idx="210">
                  <c:v>-3.5770866800694505</c:v>
                </c:pt>
                <c:pt idx="211">
                  <c:v>-3.3290495365134189</c:v>
                </c:pt>
                <c:pt idx="212">
                  <c:v>-2.9176665963620243</c:v>
                </c:pt>
                <c:pt idx="213">
                  <c:v>-2.1137686635346076</c:v>
                </c:pt>
                <c:pt idx="214">
                  <c:v>-1.480250812315393</c:v>
                </c:pt>
                <c:pt idx="215">
                  <c:v>-0.98718921684084293</c:v>
                </c:pt>
                <c:pt idx="216">
                  <c:v>-0.61724716053176687</c:v>
                </c:pt>
                <c:pt idx="217">
                  <c:v>-0.50583340827985701</c:v>
                </c:pt>
                <c:pt idx="218">
                  <c:v>-0.38437285604901605</c:v>
                </c:pt>
                <c:pt idx="219">
                  <c:v>-0.38910341458983222</c:v>
                </c:pt>
                <c:pt idx="220">
                  <c:v>-0.60389585165182114</c:v>
                </c:pt>
                <c:pt idx="221">
                  <c:v>-0.48460941621066844</c:v>
                </c:pt>
                <c:pt idx="222">
                  <c:v>-0.22106608882779266</c:v>
                </c:pt>
                <c:pt idx="223">
                  <c:v>0.25934382509183607</c:v>
                </c:pt>
                <c:pt idx="224">
                  <c:v>1.0700774756549922</c:v>
                </c:pt>
                <c:pt idx="225">
                  <c:v>1.5815110148526244</c:v>
                </c:pt>
                <c:pt idx="226">
                  <c:v>2.040222017202542</c:v>
                </c:pt>
                <c:pt idx="227">
                  <c:v>2.4078349621066684</c:v>
                </c:pt>
                <c:pt idx="228">
                  <c:v>2.399391158309907</c:v>
                </c:pt>
                <c:pt idx="229">
                  <c:v>2.3033786033707511</c:v>
                </c:pt>
                <c:pt idx="230">
                  <c:v>2.1197159141775885</c:v>
                </c:pt>
                <c:pt idx="231">
                  <c:v>1.9899352512349866</c:v>
                </c:pt>
                <c:pt idx="232">
                  <c:v>2.0799895221165379</c:v>
                </c:pt>
                <c:pt idx="233">
                  <c:v>2.092239505930868</c:v>
                </c:pt>
                <c:pt idx="234">
                  <c:v>2.1798623260365657</c:v>
                </c:pt>
                <c:pt idx="235">
                  <c:v>1.5821115684594664</c:v>
                </c:pt>
                <c:pt idx="236">
                  <c:v>1.2053714592995552</c:v>
                </c:pt>
                <c:pt idx="237">
                  <c:v>0.77228395268343686</c:v>
                </c:pt>
                <c:pt idx="238">
                  <c:v>0.56350002304520697</c:v>
                </c:pt>
                <c:pt idx="239">
                  <c:v>0.27649846156093538</c:v>
                </c:pt>
                <c:pt idx="240">
                  <c:v>-4.8304379251145502E-2</c:v>
                </c:pt>
                <c:pt idx="241">
                  <c:v>-0.30754957242159842</c:v>
                </c:pt>
                <c:pt idx="242">
                  <c:v>-1.0500345556392339</c:v>
                </c:pt>
                <c:pt idx="243">
                  <c:v>-1.2531776655653446</c:v>
                </c:pt>
                <c:pt idx="244">
                  <c:v>-1.3798205262628231</c:v>
                </c:pt>
                <c:pt idx="245">
                  <c:v>-1.5042521622078122</c:v>
                </c:pt>
                <c:pt idx="246">
                  <c:v>-1.3678193728630217</c:v>
                </c:pt>
                <c:pt idx="247">
                  <c:v>-1.1995516383954601</c:v>
                </c:pt>
                <c:pt idx="248">
                  <c:v>-1.1827049782198382</c:v>
                </c:pt>
                <c:pt idx="249">
                  <c:v>-1.2857570385823631</c:v>
                </c:pt>
                <c:pt idx="250">
                  <c:v>-1.3209713638362379</c:v>
                </c:pt>
                <c:pt idx="251">
                  <c:v>-1.2749861950739858</c:v>
                </c:pt>
                <c:pt idx="252">
                  <c:v>-1.0116854977237666</c:v>
                </c:pt>
                <c:pt idx="253">
                  <c:v>-0.79534197457217504</c:v>
                </c:pt>
                <c:pt idx="254">
                  <c:v>-0.53691020518132893</c:v>
                </c:pt>
                <c:pt idx="255">
                  <c:v>-0.39652459596150069</c:v>
                </c:pt>
                <c:pt idx="256">
                  <c:v>-0.50570032796809317</c:v>
                </c:pt>
                <c:pt idx="257">
                  <c:v>-0.69549743130953101</c:v>
                </c:pt>
                <c:pt idx="258">
                  <c:v>-0.75198409888781526</c:v>
                </c:pt>
                <c:pt idx="259">
                  <c:v>-0.59707122848765093</c:v>
                </c:pt>
                <c:pt idx="260">
                  <c:v>-0.29408098337897937</c:v>
                </c:pt>
                <c:pt idx="261">
                  <c:v>5.4599480284090895E-2</c:v>
                </c:pt>
                <c:pt idx="262">
                  <c:v>0.24375985268314493</c:v>
                </c:pt>
                <c:pt idx="263">
                  <c:v>0.29247014299566321</c:v>
                </c:pt>
                <c:pt idx="264">
                  <c:v>0.49115973953272074</c:v>
                </c:pt>
                <c:pt idx="265">
                  <c:v>0.51577136171504334</c:v>
                </c:pt>
                <c:pt idx="266">
                  <c:v>0.46518462123193893</c:v>
                </c:pt>
                <c:pt idx="267">
                  <c:v>0.50945545494118771</c:v>
                </c:pt>
                <c:pt idx="268">
                  <c:v>0.70159671206381369</c:v>
                </c:pt>
                <c:pt idx="269">
                  <c:v>2.676765936850992</c:v>
                </c:pt>
                <c:pt idx="270">
                  <c:v>3.6042930716114432</c:v>
                </c:pt>
                <c:pt idx="271">
                  <c:v>4.303355267503667</c:v>
                </c:pt>
                <c:pt idx="272">
                  <c:v>4.7298028902635938</c:v>
                </c:pt>
                <c:pt idx="273">
                  <c:v>4.6401773373537321</c:v>
                </c:pt>
                <c:pt idx="274">
                  <c:v>3.665995857538733</c:v>
                </c:pt>
                <c:pt idx="275">
                  <c:v>2.7391472512948107</c:v>
                </c:pt>
                <c:pt idx="276">
                  <c:v>1.7585890403200661</c:v>
                </c:pt>
                <c:pt idx="277">
                  <c:v>1.3342111336441844</c:v>
                </c:pt>
                <c:pt idx="278">
                  <c:v>1.0019496130699128</c:v>
                </c:pt>
                <c:pt idx="279">
                  <c:v>0.88742500768216992</c:v>
                </c:pt>
                <c:pt idx="280">
                  <c:v>0.83102984410072622</c:v>
                </c:pt>
                <c:pt idx="281">
                  <c:v>0.79298603189258721</c:v>
                </c:pt>
                <c:pt idx="282">
                  <c:v>0.73216989666798682</c:v>
                </c:pt>
                <c:pt idx="283">
                  <c:v>0.6056311685863669</c:v>
                </c:pt>
                <c:pt idx="284">
                  <c:v>0.20830280299275827</c:v>
                </c:pt>
                <c:pt idx="285">
                  <c:v>-0.10546294313683546</c:v>
                </c:pt>
                <c:pt idx="286">
                  <c:v>-0.63798243181515168</c:v>
                </c:pt>
                <c:pt idx="287">
                  <c:v>-1.1372058487658308</c:v>
                </c:pt>
                <c:pt idx="288">
                  <c:v>-1.6314702590754457</c:v>
                </c:pt>
                <c:pt idx="289">
                  <c:v>-1.9768497040917659</c:v>
                </c:pt>
                <c:pt idx="290">
                  <c:v>-2.2994737248456234</c:v>
                </c:pt>
                <c:pt idx="291">
                  <c:v>-2.249362548165025</c:v>
                </c:pt>
                <c:pt idx="292">
                  <c:v>-2.2745585286833503</c:v>
                </c:pt>
                <c:pt idx="293">
                  <c:v>-2.3915047135300762</c:v>
                </c:pt>
                <c:pt idx="294">
                  <c:v>-1.5645649478931958</c:v>
                </c:pt>
                <c:pt idx="295">
                  <c:v>-1.3019702837463516</c:v>
                </c:pt>
                <c:pt idx="296">
                  <c:v>-1.6151308558420356</c:v>
                </c:pt>
                <c:pt idx="297">
                  <c:v>-1.7183196124451539</c:v>
                </c:pt>
                <c:pt idx="298">
                  <c:v>-1.9683940436357013</c:v>
                </c:pt>
                <c:pt idx="299">
                  <c:v>-1.8857811917504961</c:v>
                </c:pt>
                <c:pt idx="300">
                  <c:v>-1.4625764573713584</c:v>
                </c:pt>
                <c:pt idx="301">
                  <c:v>-1.5237668563199034</c:v>
                </c:pt>
                <c:pt idx="302">
                  <c:v>-1.1569174048592525</c:v>
                </c:pt>
                <c:pt idx="303">
                  <c:v>-1.4516056425523594</c:v>
                </c:pt>
                <c:pt idx="304">
                  <c:v>-1.5346321808900092</c:v>
                </c:pt>
                <c:pt idx="305">
                  <c:v>-1.2199579559560747</c:v>
                </c:pt>
                <c:pt idx="306">
                  <c:v>-0.86947709698873621</c:v>
                </c:pt>
                <c:pt idx="307">
                  <c:v>-0.57740024554287095</c:v>
                </c:pt>
                <c:pt idx="308">
                  <c:v>-0.62757175741586102</c:v>
                </c:pt>
                <c:pt idx="309">
                  <c:v>-0.76566756189779117</c:v>
                </c:pt>
                <c:pt idx="310">
                  <c:v>-0.51146093766748635</c:v>
                </c:pt>
                <c:pt idx="311">
                  <c:v>-0.21370359782171711</c:v>
                </c:pt>
                <c:pt idx="312">
                  <c:v>-3.3959405382038343E-2</c:v>
                </c:pt>
                <c:pt idx="313">
                  <c:v>-0.32873093387086372</c:v>
                </c:pt>
                <c:pt idx="314">
                  <c:v>-1.5122622279807432</c:v>
                </c:pt>
                <c:pt idx="315">
                  <c:v>-2.2741307381664351</c:v>
                </c:pt>
                <c:pt idx="316">
                  <c:v>-2.9212314488043836</c:v>
                </c:pt>
                <c:pt idx="317">
                  <c:v>-2.2413676177463504</c:v>
                </c:pt>
                <c:pt idx="318">
                  <c:v>-2.0392251576973095</c:v>
                </c:pt>
                <c:pt idx="319">
                  <c:v>-1.3964295431204219</c:v>
                </c:pt>
                <c:pt idx="320">
                  <c:v>-0.65792624101531105</c:v>
                </c:pt>
                <c:pt idx="321">
                  <c:v>-2.0455498766915436E-2</c:v>
                </c:pt>
                <c:pt idx="322">
                  <c:v>0.27972675223691601</c:v>
                </c:pt>
                <c:pt idx="323">
                  <c:v>0.50337737106397507</c:v>
                </c:pt>
                <c:pt idx="324">
                  <c:v>0.48558402304720305</c:v>
                </c:pt>
                <c:pt idx="325">
                  <c:v>0.78023870260721573</c:v>
                </c:pt>
                <c:pt idx="326">
                  <c:v>1.247123379320779</c:v>
                </c:pt>
                <c:pt idx="327">
                  <c:v>0.47170099796823894</c:v>
                </c:pt>
                <c:pt idx="328">
                  <c:v>0.18441211588621886</c:v>
                </c:pt>
                <c:pt idx="329">
                  <c:v>0.26047353459374634</c:v>
                </c:pt>
                <c:pt idx="330">
                  <c:v>0.52650976025799157</c:v>
                </c:pt>
                <c:pt idx="331">
                  <c:v>0.84541830264597362</c:v>
                </c:pt>
                <c:pt idx="332">
                  <c:v>0.88589851984076473</c:v>
                </c:pt>
                <c:pt idx="333">
                  <c:v>1.2614562687883106</c:v>
                </c:pt>
                <c:pt idx="334">
                  <c:v>1.6802437310975755</c:v>
                </c:pt>
                <c:pt idx="335">
                  <c:v>1.8648564146268083</c:v>
                </c:pt>
                <c:pt idx="336">
                  <c:v>2.1638189276709632</c:v>
                </c:pt>
                <c:pt idx="337">
                  <c:v>2.2917643384676385</c:v>
                </c:pt>
                <c:pt idx="338">
                  <c:v>1.9361901779712141</c:v>
                </c:pt>
                <c:pt idx="339">
                  <c:v>1.8935827033046746</c:v>
                </c:pt>
                <c:pt idx="340">
                  <c:v>2.0712196225235409</c:v>
                </c:pt>
                <c:pt idx="341">
                  <c:v>2.0110225578198064</c:v>
                </c:pt>
                <c:pt idx="342">
                  <c:v>2.4148919645727513</c:v>
                </c:pt>
                <c:pt idx="343">
                  <c:v>2.5226346279199152</c:v>
                </c:pt>
                <c:pt idx="344">
                  <c:v>2.5335668745799138</c:v>
                </c:pt>
                <c:pt idx="345">
                  <c:v>2.2789996952872311</c:v>
                </c:pt>
                <c:pt idx="346">
                  <c:v>1.5713355434394929</c:v>
                </c:pt>
                <c:pt idx="347">
                  <c:v>0.84166175625592032</c:v>
                </c:pt>
                <c:pt idx="348">
                  <c:v>0.31066189643784359</c:v>
                </c:pt>
                <c:pt idx="349">
                  <c:v>0.20828349509247879</c:v>
                </c:pt>
                <c:pt idx="350">
                  <c:v>-0.10492722348175931</c:v>
                </c:pt>
                <c:pt idx="351">
                  <c:v>-0.44172794430608686</c:v>
                </c:pt>
                <c:pt idx="352">
                  <c:v>-0.65212206933675176</c:v>
                </c:pt>
                <c:pt idx="353">
                  <c:v>-0.48550650596101619</c:v>
                </c:pt>
                <c:pt idx="354">
                  <c:v>-0.31613079931442201</c:v>
                </c:pt>
                <c:pt idx="355">
                  <c:v>-0.21572482726406861</c:v>
                </c:pt>
                <c:pt idx="356">
                  <c:v>-9.8225498048669202E-2</c:v>
                </c:pt>
                <c:pt idx="357">
                  <c:v>6.6809817825395967E-2</c:v>
                </c:pt>
                <c:pt idx="358">
                  <c:v>0.32941726873804811</c:v>
                </c:pt>
                <c:pt idx="359">
                  <c:v>0.69929069912851105</c:v>
                </c:pt>
                <c:pt idx="360">
                  <c:v>1.1868889494808847</c:v>
                </c:pt>
                <c:pt idx="361">
                  <c:v>1.3517810500485297</c:v>
                </c:pt>
                <c:pt idx="362">
                  <c:v>1.0908076450802016</c:v>
                </c:pt>
                <c:pt idx="363">
                  <c:v>1.1114492068282384</c:v>
                </c:pt>
                <c:pt idx="364">
                  <c:v>1.0886444112428295</c:v>
                </c:pt>
                <c:pt idx="365">
                  <c:v>0.96967578117430886</c:v>
                </c:pt>
                <c:pt idx="366">
                  <c:v>0.64129757441641466</c:v>
                </c:pt>
                <c:pt idx="367">
                  <c:v>0.86431257014611518</c:v>
                </c:pt>
                <c:pt idx="368">
                  <c:v>1.1895257954191853</c:v>
                </c:pt>
                <c:pt idx="369">
                  <c:v>1.0906138540775023</c:v>
                </c:pt>
                <c:pt idx="370">
                  <c:v>0.95831146254249511</c:v>
                </c:pt>
                <c:pt idx="371">
                  <c:v>0.61199715018605971</c:v>
                </c:pt>
                <c:pt idx="372">
                  <c:v>0.61481093767722683</c:v>
                </c:pt>
                <c:pt idx="373">
                  <c:v>0.28224170387632697</c:v>
                </c:pt>
                <c:pt idx="374">
                  <c:v>-0.24183403746136278</c:v>
                </c:pt>
                <c:pt idx="375">
                  <c:v>-0.35567322833610771</c:v>
                </c:pt>
                <c:pt idx="376">
                  <c:v>-0.44938928303817427</c:v>
                </c:pt>
                <c:pt idx="377">
                  <c:v>-0.68729058904811069</c:v>
                </c:pt>
                <c:pt idx="378">
                  <c:v>-0.88856949843669231</c:v>
                </c:pt>
                <c:pt idx="379">
                  <c:v>-1.2093945195398517</c:v>
                </c:pt>
                <c:pt idx="380">
                  <c:v>-1.657688055096795</c:v>
                </c:pt>
                <c:pt idx="381">
                  <c:v>-1.9007745299172685</c:v>
                </c:pt>
                <c:pt idx="382">
                  <c:v>-2.0804907365820764</c:v>
                </c:pt>
                <c:pt idx="383">
                  <c:v>-2.1865413313204947</c:v>
                </c:pt>
                <c:pt idx="384">
                  <c:v>-2.1809936393579479</c:v>
                </c:pt>
                <c:pt idx="385">
                  <c:v>-1.8589492509463961</c:v>
                </c:pt>
                <c:pt idx="386">
                  <c:v>-1.6721788913874103</c:v>
                </c:pt>
                <c:pt idx="387">
                  <c:v>-1.6776453348208005</c:v>
                </c:pt>
                <c:pt idx="388">
                  <c:v>-1.620802370366123</c:v>
                </c:pt>
                <c:pt idx="389">
                  <c:v>-2.8994613971203433</c:v>
                </c:pt>
                <c:pt idx="390">
                  <c:v>-3.6198855032363291</c:v>
                </c:pt>
                <c:pt idx="391">
                  <c:v>-3.6712629013877605</c:v>
                </c:pt>
                <c:pt idx="392">
                  <c:v>-3.5660117234729092</c:v>
                </c:pt>
                <c:pt idx="393">
                  <c:v>-3.446132413251096</c:v>
                </c:pt>
                <c:pt idx="394">
                  <c:v>-3.6320499243111302</c:v>
                </c:pt>
                <c:pt idx="395">
                  <c:v>-3.7357018471634298</c:v>
                </c:pt>
                <c:pt idx="396">
                  <c:v>-3.4528404188364474</c:v>
                </c:pt>
                <c:pt idx="397">
                  <c:v>-3.1414474824943701</c:v>
                </c:pt>
                <c:pt idx="398">
                  <c:v>-2.6349877093413951</c:v>
                </c:pt>
                <c:pt idx="399">
                  <c:v>-2.2648474961888665</c:v>
                </c:pt>
                <c:pt idx="400">
                  <c:v>-2.3626189785495306</c:v>
                </c:pt>
                <c:pt idx="401">
                  <c:v>-2.6206283029462352</c:v>
                </c:pt>
                <c:pt idx="402">
                  <c:v>-2.6762229579317287</c:v>
                </c:pt>
                <c:pt idx="403">
                  <c:v>-2.1600593585338963</c:v>
                </c:pt>
                <c:pt idx="404">
                  <c:v>-1.8347976018077663</c:v>
                </c:pt>
                <c:pt idx="405">
                  <c:v>-1.2865939181018131</c:v>
                </c:pt>
                <c:pt idx="406">
                  <c:v>-0.80825476063560941</c:v>
                </c:pt>
                <c:pt idx="407">
                  <c:v>-0.26292139365830636</c:v>
                </c:pt>
                <c:pt idx="408">
                  <c:v>0.26067672903115913</c:v>
                </c:pt>
                <c:pt idx="409">
                  <c:v>0.46053553381743662</c:v>
                </c:pt>
                <c:pt idx="410">
                  <c:v>0.81864938027371359</c:v>
                </c:pt>
                <c:pt idx="411">
                  <c:v>0.91389113239488573</c:v>
                </c:pt>
                <c:pt idx="412">
                  <c:v>1.2112655856594916</c:v>
                </c:pt>
                <c:pt idx="413">
                  <c:v>1.5538038333484696</c:v>
                </c:pt>
                <c:pt idx="414">
                  <c:v>1.8189127019753206</c:v>
                </c:pt>
                <c:pt idx="415">
                  <c:v>1.8176979331720871</c:v>
                </c:pt>
                <c:pt idx="416">
                  <c:v>1.6614318628440881</c:v>
                </c:pt>
                <c:pt idx="417">
                  <c:v>1.705310703821822</c:v>
                </c:pt>
                <c:pt idx="418">
                  <c:v>1.8990820269939146</c:v>
                </c:pt>
                <c:pt idx="419">
                  <c:v>2.0619122906639902</c:v>
                </c:pt>
                <c:pt idx="420">
                  <c:v>2.5884216432955958</c:v>
                </c:pt>
                <c:pt idx="421">
                  <c:v>3.0196457827319865</c:v>
                </c:pt>
                <c:pt idx="422">
                  <c:v>3.0266163959724639</c:v>
                </c:pt>
                <c:pt idx="423">
                  <c:v>2.9110191227072133</c:v>
                </c:pt>
                <c:pt idx="424">
                  <c:v>2.4818983152501208</c:v>
                </c:pt>
                <c:pt idx="425">
                  <c:v>2.279624022558858</c:v>
                </c:pt>
                <c:pt idx="426">
                  <c:v>2.1279377099700425</c:v>
                </c:pt>
                <c:pt idx="427">
                  <c:v>2.0289295558034395</c:v>
                </c:pt>
                <c:pt idx="428">
                  <c:v>2.2417498952120658</c:v>
                </c:pt>
                <c:pt idx="429">
                  <c:v>2.345296657484675</c:v>
                </c:pt>
                <c:pt idx="430">
                  <c:v>2.5974084205500905</c:v>
                </c:pt>
                <c:pt idx="431">
                  <c:v>2.6618492918706989</c:v>
                </c:pt>
                <c:pt idx="432">
                  <c:v>2.2431141300014277</c:v>
                </c:pt>
                <c:pt idx="433">
                  <c:v>2.7266567697635518</c:v>
                </c:pt>
                <c:pt idx="434">
                  <c:v>3.0396199404984952</c:v>
                </c:pt>
                <c:pt idx="435">
                  <c:v>2.7513588904930302</c:v>
                </c:pt>
                <c:pt idx="436">
                  <c:v>2.5335297141195205</c:v>
                </c:pt>
                <c:pt idx="437">
                  <c:v>2.4912112080394166</c:v>
                </c:pt>
                <c:pt idx="438">
                  <c:v>2.293787399993505</c:v>
                </c:pt>
                <c:pt idx="439">
                  <c:v>2.0948889529606278</c:v>
                </c:pt>
                <c:pt idx="440">
                  <c:v>1.8624275420699714</c:v>
                </c:pt>
                <c:pt idx="441">
                  <c:v>1.8338507348203308</c:v>
                </c:pt>
                <c:pt idx="442">
                  <c:v>1.3649586724896938</c:v>
                </c:pt>
                <c:pt idx="443">
                  <c:v>0.84449478933592026</c:v>
                </c:pt>
                <c:pt idx="444">
                  <c:v>-0.26878066351171626</c:v>
                </c:pt>
                <c:pt idx="445">
                  <c:v>-1.0685952971839328</c:v>
                </c:pt>
                <c:pt idx="446">
                  <c:v>-1.6575699145715479</c:v>
                </c:pt>
                <c:pt idx="447">
                  <c:v>-1.7178949807505619</c:v>
                </c:pt>
                <c:pt idx="448">
                  <c:v>-2.0384046666784048</c:v>
                </c:pt>
                <c:pt idx="449">
                  <c:v>-1.8566252198150917</c:v>
                </c:pt>
                <c:pt idx="450">
                  <c:v>-1.5529421616480636</c:v>
                </c:pt>
                <c:pt idx="451">
                  <c:v>-1.4385885053446277</c:v>
                </c:pt>
                <c:pt idx="452">
                  <c:v>-0.99506591708027514</c:v>
                </c:pt>
                <c:pt idx="453">
                  <c:v>-0.87483563040844459</c:v>
                </c:pt>
                <c:pt idx="454">
                  <c:v>0.63197962742923153</c:v>
                </c:pt>
                <c:pt idx="455">
                  <c:v>1.8533980454102554</c:v>
                </c:pt>
                <c:pt idx="456">
                  <c:v>2.4352035799278919</c:v>
                </c:pt>
                <c:pt idx="457">
                  <c:v>2.3350027923344143</c:v>
                </c:pt>
                <c:pt idx="458">
                  <c:v>2.2035720941808385</c:v>
                </c:pt>
                <c:pt idx="459">
                  <c:v>1.7672550337693202</c:v>
                </c:pt>
                <c:pt idx="460">
                  <c:v>1.1567711077960006</c:v>
                </c:pt>
                <c:pt idx="461">
                  <c:v>0.38990762891118891</c:v>
                </c:pt>
                <c:pt idx="462">
                  <c:v>0.18975315363844558</c:v>
                </c:pt>
                <c:pt idx="463">
                  <c:v>0.33763007613425344</c:v>
                </c:pt>
                <c:pt idx="464">
                  <c:v>-5.0903633637057411E-2</c:v>
                </c:pt>
                <c:pt idx="465">
                  <c:v>-0.19420827198973356</c:v>
                </c:pt>
                <c:pt idx="466">
                  <c:v>-5.84286719510132E-2</c:v>
                </c:pt>
                <c:pt idx="467">
                  <c:v>3.2778081201541909E-2</c:v>
                </c:pt>
                <c:pt idx="468">
                  <c:v>-0.63505349338931971</c:v>
                </c:pt>
                <c:pt idx="469">
                  <c:v>-1.0433759179412494</c:v>
                </c:pt>
                <c:pt idx="470">
                  <c:v>-1.86195519048555</c:v>
                </c:pt>
                <c:pt idx="471">
                  <c:v>-2.8075574937738947</c:v>
                </c:pt>
                <c:pt idx="472">
                  <c:v>-3.406663895034157</c:v>
                </c:pt>
                <c:pt idx="473">
                  <c:v>-3.5394626400397442</c:v>
                </c:pt>
                <c:pt idx="474">
                  <c:v>-3.0350227770790301</c:v>
                </c:pt>
                <c:pt idx="475">
                  <c:v>-2.1736745993155822</c:v>
                </c:pt>
                <c:pt idx="476">
                  <c:v>-1.532149890312263</c:v>
                </c:pt>
                <c:pt idx="477">
                  <c:v>-1.1625667706553897</c:v>
                </c:pt>
                <c:pt idx="478">
                  <c:v>-0.55640651607375391</c:v>
                </c:pt>
                <c:pt idx="479">
                  <c:v>-0.36088231217012545</c:v>
                </c:pt>
                <c:pt idx="480">
                  <c:v>-0.49470531809915252</c:v>
                </c:pt>
                <c:pt idx="481">
                  <c:v>-0.52495646818662411</c:v>
                </c:pt>
                <c:pt idx="482">
                  <c:v>-0.19841447120487121</c:v>
                </c:pt>
                <c:pt idx="483">
                  <c:v>-1.0798824115568983E-2</c:v>
                </c:pt>
                <c:pt idx="484">
                  <c:v>0.16225475510045628</c:v>
                </c:pt>
                <c:pt idx="485">
                  <c:v>0.32056860612921723</c:v>
                </c:pt>
                <c:pt idx="486">
                  <c:v>0.51741188751390421</c:v>
                </c:pt>
                <c:pt idx="487">
                  <c:v>0.46397775804625985</c:v>
                </c:pt>
                <c:pt idx="488">
                  <c:v>0.28285979777591974</c:v>
                </c:pt>
                <c:pt idx="489">
                  <c:v>8.9274144782341747E-2</c:v>
                </c:pt>
                <c:pt idx="490">
                  <c:v>-0.41488796319649346</c:v>
                </c:pt>
                <c:pt idx="491">
                  <c:v>-0.72768348125912485</c:v>
                </c:pt>
                <c:pt idx="492">
                  <c:v>-1.0945695004644143</c:v>
                </c:pt>
                <c:pt idx="493">
                  <c:v>-1.2566508242213539</c:v>
                </c:pt>
                <c:pt idx="494">
                  <c:v>-1.1973171906702087</c:v>
                </c:pt>
                <c:pt idx="495">
                  <c:v>-1.0519168747744434</c:v>
                </c:pt>
                <c:pt idx="496">
                  <c:v>-0.87119793265881773</c:v>
                </c:pt>
                <c:pt idx="497">
                  <c:v>-0.69178432507435561</c:v>
                </c:pt>
                <c:pt idx="498">
                  <c:v>-0.51335919759343684</c:v>
                </c:pt>
                <c:pt idx="499">
                  <c:v>-0.62070558182294255</c:v>
                </c:pt>
                <c:pt idx="500">
                  <c:v>-1.0373340020667312</c:v>
                </c:pt>
                <c:pt idx="501">
                  <c:v>-1.5514958063247626</c:v>
                </c:pt>
                <c:pt idx="502">
                  <c:v>-1.5742717719495629</c:v>
                </c:pt>
                <c:pt idx="503">
                  <c:v>-1.0270893908952143</c:v>
                </c:pt>
                <c:pt idx="504">
                  <c:v>-0.99395728912661618</c:v>
                </c:pt>
                <c:pt idx="505">
                  <c:v>-0.53391215682835602</c:v>
                </c:pt>
                <c:pt idx="506">
                  <c:v>-0.1157269504340025</c:v>
                </c:pt>
                <c:pt idx="507">
                  <c:v>0.66682517921904583</c:v>
                </c:pt>
                <c:pt idx="508">
                  <c:v>0.551589000575609</c:v>
                </c:pt>
                <c:pt idx="509">
                  <c:v>0.82866520558266521</c:v>
                </c:pt>
                <c:pt idx="510">
                  <c:v>0.25351232246023203</c:v>
                </c:pt>
                <c:pt idx="511">
                  <c:v>0.37354349575654772</c:v>
                </c:pt>
                <c:pt idx="512">
                  <c:v>-0.48438235651166422</c:v>
                </c:pt>
                <c:pt idx="513">
                  <c:v>-0.60029454512522695</c:v>
                </c:pt>
                <c:pt idx="514">
                  <c:v>-0.82187047758325515</c:v>
                </c:pt>
                <c:pt idx="515">
                  <c:v>-1.0553425072107372</c:v>
                </c:pt>
                <c:pt idx="516">
                  <c:v>-0.89106234887920976</c:v>
                </c:pt>
                <c:pt idx="517">
                  <c:v>-0.88994009277900554</c:v>
                </c:pt>
                <c:pt idx="518">
                  <c:v>-0.8123375971600626</c:v>
                </c:pt>
                <c:pt idx="519">
                  <c:v>0.25420973279639481</c:v>
                </c:pt>
                <c:pt idx="520">
                  <c:v>0.75965172057856112</c:v>
                </c:pt>
                <c:pt idx="521">
                  <c:v>1.5597289527196958</c:v>
                </c:pt>
                <c:pt idx="522">
                  <c:v>0.68336900402146117</c:v>
                </c:pt>
                <c:pt idx="523">
                  <c:v>-0.23189080773027804</c:v>
                </c:pt>
                <c:pt idx="524">
                  <c:v>-0.73373659295616334</c:v>
                </c:pt>
                <c:pt idx="525">
                  <c:v>-0.42517771277388228</c:v>
                </c:pt>
                <c:pt idx="526">
                  <c:v>-0.36607841901711291</c:v>
                </c:pt>
                <c:pt idx="527">
                  <c:v>-0.29286273521369033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E-4C27-8502-C36E6A91E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90339327"/>
        <c:axId val="90325887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Data!$Y$2:$Y$529</c:f>
              <c:numCache>
                <c:formatCode>General</c:formatCode>
                <c:ptCount val="528"/>
                <c:pt idx="25">
                  <c:v>8.2040307721909471</c:v>
                </c:pt>
                <c:pt idx="26">
                  <c:v>7.9222290071394639</c:v>
                </c:pt>
                <c:pt idx="27">
                  <c:v>7.5968033620747804</c:v>
                </c:pt>
                <c:pt idx="28">
                  <c:v>7.0590276759178039</c:v>
                </c:pt>
                <c:pt idx="29">
                  <c:v>6.5468783186618396</c:v>
                </c:pt>
                <c:pt idx="30">
                  <c:v>6.3342612630491999</c:v>
                </c:pt>
                <c:pt idx="31">
                  <c:v>6.156920136708294</c:v>
                </c:pt>
                <c:pt idx="32">
                  <c:v>5.6127705917208459</c:v>
                </c:pt>
                <c:pt idx="33">
                  <c:v>4.8241318246598155</c:v>
                </c:pt>
                <c:pt idx="34">
                  <c:v>4.5110486672796526</c:v>
                </c:pt>
                <c:pt idx="35">
                  <c:v>4.3348034736937393</c:v>
                </c:pt>
                <c:pt idx="36">
                  <c:v>4.020482555941868</c:v>
                </c:pt>
                <c:pt idx="37">
                  <c:v>3.7874336026497701</c:v>
                </c:pt>
                <c:pt idx="38">
                  <c:v>3.5959857491855587</c:v>
                </c:pt>
                <c:pt idx="39">
                  <c:v>3.3834726360818763</c:v>
                </c:pt>
                <c:pt idx="40">
                  <c:v>3.4312931584526893</c:v>
                </c:pt>
                <c:pt idx="41">
                  <c:v>3.8173486314389322</c:v>
                </c:pt>
                <c:pt idx="42">
                  <c:v>3.987764188548482</c:v>
                </c:pt>
                <c:pt idx="43">
                  <c:v>4.4116765003745115</c:v>
                </c:pt>
                <c:pt idx="44">
                  <c:v>4.723839405647027</c:v>
                </c:pt>
                <c:pt idx="45">
                  <c:v>4.8675130276623122</c:v>
                </c:pt>
                <c:pt idx="46">
                  <c:v>4.5879694206638817</c:v>
                </c:pt>
                <c:pt idx="47">
                  <c:v>4.7992903049737663</c:v>
                </c:pt>
                <c:pt idx="48">
                  <c:v>4.8240084872111595</c:v>
                </c:pt>
                <c:pt idx="49">
                  <c:v>4.5275454278562961</c:v>
                </c:pt>
                <c:pt idx="50">
                  <c:v>4.0554157326026825</c:v>
                </c:pt>
                <c:pt idx="51">
                  <c:v>3.6887566752660348</c:v>
                </c:pt>
                <c:pt idx="52">
                  <c:v>3.4910750015662586</c:v>
                </c:pt>
                <c:pt idx="53">
                  <c:v>3.345870556342021</c:v>
                </c:pt>
                <c:pt idx="54">
                  <c:v>3.0296463265356408</c:v>
                </c:pt>
                <c:pt idx="55">
                  <c:v>2.6628080117125705</c:v>
                </c:pt>
                <c:pt idx="56">
                  <c:v>2.1815209216180165</c:v>
                </c:pt>
                <c:pt idx="57">
                  <c:v>1.7564496012120685</c:v>
                </c:pt>
                <c:pt idx="58">
                  <c:v>1.5868757792277961</c:v>
                </c:pt>
                <c:pt idx="59">
                  <c:v>1.448698274491079</c:v>
                </c:pt>
                <c:pt idx="60">
                  <c:v>1.2337877135208259</c:v>
                </c:pt>
                <c:pt idx="61">
                  <c:v>0.97556675876040799</c:v>
                </c:pt>
                <c:pt idx="62">
                  <c:v>0.92327892515885424</c:v>
                </c:pt>
                <c:pt idx="63">
                  <c:v>0.63566562048342234</c:v>
                </c:pt>
                <c:pt idx="64">
                  <c:v>0.49881000433623512</c:v>
                </c:pt>
                <c:pt idx="65">
                  <c:v>0.44014751300343846</c:v>
                </c:pt>
                <c:pt idx="66">
                  <c:v>0.34848718488791519</c:v>
                </c:pt>
                <c:pt idx="67">
                  <c:v>1.1847472718898189E-2</c:v>
                </c:pt>
                <c:pt idx="68">
                  <c:v>-0.26320469462396545</c:v>
                </c:pt>
                <c:pt idx="69">
                  <c:v>-0.76527457280286626</c:v>
                </c:pt>
                <c:pt idx="70">
                  <c:v>-1.2312806075834715</c:v>
                </c:pt>
                <c:pt idx="71">
                  <c:v>-1.3829231635217241</c:v>
                </c:pt>
                <c:pt idx="72">
                  <c:v>-1.5378234775642738</c:v>
                </c:pt>
                <c:pt idx="73">
                  <c:v>-1.7716875586225171</c:v>
                </c:pt>
                <c:pt idx="74">
                  <c:v>-1.9259493023733114</c:v>
                </c:pt>
                <c:pt idx="75">
                  <c:v>-1.9993344371937667</c:v>
                </c:pt>
                <c:pt idx="76">
                  <c:v>-2.0109115720280784</c:v>
                </c:pt>
                <c:pt idx="77">
                  <c:v>-1.8447009332569166</c:v>
                </c:pt>
                <c:pt idx="78">
                  <c:v>-2.9051945817039098</c:v>
                </c:pt>
                <c:pt idx="79">
                  <c:v>-3.8449523452256074</c:v>
                </c:pt>
                <c:pt idx="80">
                  <c:v>-4.513481050603275</c:v>
                </c:pt>
                <c:pt idx="81">
                  <c:v>-5.0839410784564052</c:v>
                </c:pt>
                <c:pt idx="82">
                  <c:v>-5.6141426264500751</c:v>
                </c:pt>
                <c:pt idx="83">
                  <c:v>-5.9448231255738904</c:v>
                </c:pt>
                <c:pt idx="84">
                  <c:v>-6.0547884952512732</c:v>
                </c:pt>
                <c:pt idx="85">
                  <c:v>-5.8406042293831035</c:v>
                </c:pt>
                <c:pt idx="86">
                  <c:v>-5.6245840298637688</c:v>
                </c:pt>
                <c:pt idx="87">
                  <c:v>-5.2699860498430837</c:v>
                </c:pt>
                <c:pt idx="88">
                  <c:v>-5.2216829481192235</c:v>
                </c:pt>
                <c:pt idx="89">
                  <c:v>-5.0541328490692763</c:v>
                </c:pt>
                <c:pt idx="90">
                  <c:v>-4.8325578956931849</c:v>
                </c:pt>
                <c:pt idx="91">
                  <c:v>-4.6198418166014221</c:v>
                </c:pt>
                <c:pt idx="92">
                  <c:v>-4.3287412780925081</c:v>
                </c:pt>
                <c:pt idx="93">
                  <c:v>-3.9947024940403253</c:v>
                </c:pt>
                <c:pt idx="94">
                  <c:v>-3.6826811960616226</c:v>
                </c:pt>
                <c:pt idx="95">
                  <c:v>-3.3252550372912992</c:v>
                </c:pt>
                <c:pt idx="96">
                  <c:v>-2.7241347700234542</c:v>
                </c:pt>
                <c:pt idx="97">
                  <c:v>-2.2045774692293207</c:v>
                </c:pt>
                <c:pt idx="98">
                  <c:v>-2.013305196878008</c:v>
                </c:pt>
                <c:pt idx="99">
                  <c:v>-1.8229544969232734</c:v>
                </c:pt>
                <c:pt idx="100">
                  <c:v>-1.7511645810393475</c:v>
                </c:pt>
                <c:pt idx="101">
                  <c:v>-1.8831677571298826</c:v>
                </c:pt>
                <c:pt idx="102">
                  <c:v>-2.0784048009941785</c:v>
                </c:pt>
                <c:pt idx="103">
                  <c:v>-2.110360834779641</c:v>
                </c:pt>
                <c:pt idx="104">
                  <c:v>-2.2365900825058418</c:v>
                </c:pt>
                <c:pt idx="105">
                  <c:v>-2.2677202329180375</c:v>
                </c:pt>
                <c:pt idx="106">
                  <c:v>-2.1410248210424925</c:v>
                </c:pt>
                <c:pt idx="107">
                  <c:v>-1.9519497852876384</c:v>
                </c:pt>
                <c:pt idx="108">
                  <c:v>-1.6371821671288842</c:v>
                </c:pt>
                <c:pt idx="109">
                  <c:v>-1.342396344729508</c:v>
                </c:pt>
                <c:pt idx="110">
                  <c:v>-1.1806992320834979</c:v>
                </c:pt>
                <c:pt idx="111">
                  <c:v>-1.0660852636903542</c:v>
                </c:pt>
                <c:pt idx="112">
                  <c:v>-0.95456622561951576</c:v>
                </c:pt>
                <c:pt idx="113">
                  <c:v>-0.84913602512961006</c:v>
                </c:pt>
                <c:pt idx="114">
                  <c:v>-0.73372334924570737</c:v>
                </c:pt>
                <c:pt idx="115">
                  <c:v>-0.5511781091743444</c:v>
                </c:pt>
                <c:pt idx="116">
                  <c:v>-0.13304519334434417</c:v>
                </c:pt>
                <c:pt idx="117">
                  <c:v>7.960076855485454E-2</c:v>
                </c:pt>
                <c:pt idx="118">
                  <c:v>0.44871540231002882</c:v>
                </c:pt>
                <c:pt idx="119">
                  <c:v>0.54054350109473148</c:v>
                </c:pt>
                <c:pt idx="120">
                  <c:v>0.54809493460302861</c:v>
                </c:pt>
                <c:pt idx="121">
                  <c:v>0.46639768239896284</c:v>
                </c:pt>
                <c:pt idx="122">
                  <c:v>0.56459615793824014</c:v>
                </c:pt>
                <c:pt idx="123">
                  <c:v>0.80660811275745914</c:v>
                </c:pt>
                <c:pt idx="124">
                  <c:v>1.1625250789234371</c:v>
                </c:pt>
                <c:pt idx="125">
                  <c:v>1.30288708855295</c:v>
                </c:pt>
                <c:pt idx="126">
                  <c:v>1.4211435110427146</c:v>
                </c:pt>
                <c:pt idx="127">
                  <c:v>1.6268299558874446</c:v>
                </c:pt>
                <c:pt idx="128">
                  <c:v>1.6769053191602552</c:v>
                </c:pt>
                <c:pt idx="129">
                  <c:v>1.8055181499960895</c:v>
                </c:pt>
                <c:pt idx="130">
                  <c:v>1.9232003604800525</c:v>
                </c:pt>
                <c:pt idx="131">
                  <c:v>2.3540545098850885</c:v>
                </c:pt>
                <c:pt idx="132">
                  <c:v>2.6687800741211447</c:v>
                </c:pt>
                <c:pt idx="133">
                  <c:v>3.1186786777348914</c:v>
                </c:pt>
                <c:pt idx="134">
                  <c:v>3.5664490517600598</c:v>
                </c:pt>
                <c:pt idx="135">
                  <c:v>3.6987312644377823</c:v>
                </c:pt>
                <c:pt idx="136">
                  <c:v>3.6030693938640752</c:v>
                </c:pt>
                <c:pt idx="137">
                  <c:v>3.5588548867893337</c:v>
                </c:pt>
                <c:pt idx="138">
                  <c:v>3.4796685363827464</c:v>
                </c:pt>
                <c:pt idx="139">
                  <c:v>3.3715918397806206</c:v>
                </c:pt>
                <c:pt idx="140">
                  <c:v>3.8834794211917085</c:v>
                </c:pt>
                <c:pt idx="141">
                  <c:v>4.2219271910016687</c:v>
                </c:pt>
                <c:pt idx="142">
                  <c:v>4.4190366722943395</c:v>
                </c:pt>
                <c:pt idx="143">
                  <c:v>4.4864126286086048</c:v>
                </c:pt>
                <c:pt idx="144">
                  <c:v>4.5758221370758179</c:v>
                </c:pt>
                <c:pt idx="145">
                  <c:v>4.3958914427173283</c:v>
                </c:pt>
                <c:pt idx="146">
                  <c:v>4.1617475489296964</c:v>
                </c:pt>
                <c:pt idx="147">
                  <c:v>3.4673983723276933</c:v>
                </c:pt>
                <c:pt idx="148">
                  <c:v>3.1622826542226505</c:v>
                </c:pt>
                <c:pt idx="149">
                  <c:v>2.8871944687645907</c:v>
                </c:pt>
                <c:pt idx="150">
                  <c:v>3.1022428195451823</c:v>
                </c:pt>
                <c:pt idx="151">
                  <c:v>3.142839187597815</c:v>
                </c:pt>
                <c:pt idx="152">
                  <c:v>2.9816786305154324</c:v>
                </c:pt>
                <c:pt idx="153">
                  <c:v>2.9418898335931658</c:v>
                </c:pt>
                <c:pt idx="154">
                  <c:v>2.983287330778353</c:v>
                </c:pt>
                <c:pt idx="155">
                  <c:v>3.1117521809288178</c:v>
                </c:pt>
                <c:pt idx="156">
                  <c:v>3.1633784631728474</c:v>
                </c:pt>
                <c:pt idx="157">
                  <c:v>3.2435599838692042</c:v>
                </c:pt>
                <c:pt idx="158">
                  <c:v>3.3731203207809983</c:v>
                </c:pt>
                <c:pt idx="159">
                  <c:v>3.5303186437656109</c:v>
                </c:pt>
                <c:pt idx="160">
                  <c:v>3.5135330718160844</c:v>
                </c:pt>
                <c:pt idx="161">
                  <c:v>3.4715098109232656</c:v>
                </c:pt>
                <c:pt idx="162">
                  <c:v>3.5489957482758996</c:v>
                </c:pt>
                <c:pt idx="163">
                  <c:v>3.629088767588911</c:v>
                </c:pt>
                <c:pt idx="164">
                  <c:v>3.6289441101550608</c:v>
                </c:pt>
                <c:pt idx="165">
                  <c:v>3.6225750012236801</c:v>
                </c:pt>
                <c:pt idx="166">
                  <c:v>3.833965870280565</c:v>
                </c:pt>
                <c:pt idx="167">
                  <c:v>3.8880873104786247</c:v>
                </c:pt>
                <c:pt idx="168">
                  <c:v>4.1119364466967738</c:v>
                </c:pt>
                <c:pt idx="169">
                  <c:v>4.1192035882158393</c:v>
                </c:pt>
                <c:pt idx="170">
                  <c:v>3.9303763789989716</c:v>
                </c:pt>
                <c:pt idx="171">
                  <c:v>3.96020832187466</c:v>
                </c:pt>
                <c:pt idx="172">
                  <c:v>4.0812423703171419</c:v>
                </c:pt>
                <c:pt idx="173">
                  <c:v>4.4941181362442535</c:v>
                </c:pt>
                <c:pt idx="174">
                  <c:v>4.9035892561444712</c:v>
                </c:pt>
                <c:pt idx="175">
                  <c:v>5.4221938172498199</c:v>
                </c:pt>
                <c:pt idx="176">
                  <c:v>5.9557763786030193</c:v>
                </c:pt>
                <c:pt idx="177">
                  <c:v>6.0642438967161922</c:v>
                </c:pt>
                <c:pt idx="178">
                  <c:v>6.1447327625118078</c:v>
                </c:pt>
                <c:pt idx="179">
                  <c:v>6.0540077113543873</c:v>
                </c:pt>
                <c:pt idx="180">
                  <c:v>6.2178669138794476</c:v>
                </c:pt>
                <c:pt idx="181">
                  <c:v>6.4987495721098298</c:v>
                </c:pt>
                <c:pt idx="182">
                  <c:v>6.6822473861409435</c:v>
                </c:pt>
                <c:pt idx="183">
                  <c:v>6.7706032531323785</c:v>
                </c:pt>
                <c:pt idx="184">
                  <c:v>6.9381686389161814</c:v>
                </c:pt>
                <c:pt idx="185">
                  <c:v>6.7837749253403672</c:v>
                </c:pt>
                <c:pt idx="186">
                  <c:v>6.6046485124209369</c:v>
                </c:pt>
                <c:pt idx="187">
                  <c:v>6.2510349579977742</c:v>
                </c:pt>
                <c:pt idx="188">
                  <c:v>5.9330638260935871</c:v>
                </c:pt>
                <c:pt idx="189">
                  <c:v>5.8548463999453872</c:v>
                </c:pt>
                <c:pt idx="190">
                  <c:v>5.9884954660692529</c:v>
                </c:pt>
                <c:pt idx="191">
                  <c:v>6.1143060396298665</c:v>
                </c:pt>
                <c:pt idx="192">
                  <c:v>6.2628549956716313</c:v>
                </c:pt>
                <c:pt idx="193">
                  <c:v>6.7609733515941173</c:v>
                </c:pt>
                <c:pt idx="194">
                  <c:v>6.9720806292929751</c:v>
                </c:pt>
                <c:pt idx="195">
                  <c:v>7.0771694579254927</c:v>
                </c:pt>
                <c:pt idx="196">
                  <c:v>7.2383966660230499</c:v>
                </c:pt>
                <c:pt idx="197">
                  <c:v>7.0987496448342711</c:v>
                </c:pt>
                <c:pt idx="198">
                  <c:v>6.9650803302865256</c:v>
                </c:pt>
                <c:pt idx="199">
                  <c:v>6.7179595815065341</c:v>
                </c:pt>
                <c:pt idx="200">
                  <c:v>6.393543501049237</c:v>
                </c:pt>
                <c:pt idx="201">
                  <c:v>6.0306130277445504</c:v>
                </c:pt>
                <c:pt idx="202">
                  <c:v>5.7174268959218182</c:v>
                </c:pt>
                <c:pt idx="203">
                  <c:v>5.4467833237424941</c:v>
                </c:pt>
                <c:pt idx="204">
                  <c:v>4.0271419686305876</c:v>
                </c:pt>
                <c:pt idx="205">
                  <c:v>2.5722418531596531</c:v>
                </c:pt>
                <c:pt idx="206">
                  <c:v>1.2626506874412655</c:v>
                </c:pt>
                <c:pt idx="207">
                  <c:v>2.4393783389086821E-2</c:v>
                </c:pt>
                <c:pt idx="208">
                  <c:v>-1.387168107630572</c:v>
                </c:pt>
                <c:pt idx="209">
                  <c:v>-2.3320992973738157</c:v>
                </c:pt>
                <c:pt idx="210">
                  <c:v>-2.9238020893678254</c:v>
                </c:pt>
                <c:pt idx="211">
                  <c:v>-3.5080273299401483</c:v>
                </c:pt>
                <c:pt idx="212">
                  <c:v>-3.82606103887926</c:v>
                </c:pt>
                <c:pt idx="213">
                  <c:v>-3.5506052719354955</c:v>
                </c:pt>
                <c:pt idx="214">
                  <c:v>-3.2871501237951293</c:v>
                </c:pt>
                <c:pt idx="215">
                  <c:v>-3.0408858325307904</c:v>
                </c:pt>
                <c:pt idx="216">
                  <c:v>-2.8252555663546559</c:v>
                </c:pt>
                <c:pt idx="217">
                  <c:v>-2.8403001661727103</c:v>
                </c:pt>
                <c:pt idx="218">
                  <c:v>-2.8149328279541237</c:v>
                </c:pt>
                <c:pt idx="219">
                  <c:v>-2.9169392401423977</c:v>
                </c:pt>
                <c:pt idx="220">
                  <c:v>-3.2827056401173422</c:v>
                </c:pt>
                <c:pt idx="221">
                  <c:v>-3.2845715587288566</c:v>
                </c:pt>
                <c:pt idx="222">
                  <c:v>-3.0762947535529293</c:v>
                </c:pt>
                <c:pt idx="223">
                  <c:v>-2.5310488833603415</c:v>
                </c:pt>
                <c:pt idx="224">
                  <c:v>-1.4527958638834377</c:v>
                </c:pt>
                <c:pt idx="225">
                  <c:v>-0.54598457097264941</c:v>
                </c:pt>
                <c:pt idx="226">
                  <c:v>0.42278193567790368</c:v>
                </c:pt>
                <c:pt idx="227">
                  <c:v>1.3923536211086969</c:v>
                </c:pt>
                <c:pt idx="228">
                  <c:v>1.9837576068894123</c:v>
                </c:pt>
                <c:pt idx="229">
                  <c:v>2.4635897027929445</c:v>
                </c:pt>
                <c:pt idx="230">
                  <c:v>2.809855992144179</c:v>
                </c:pt>
                <c:pt idx="231">
                  <c:v>3.177559142010324</c:v>
                </c:pt>
                <c:pt idx="232">
                  <c:v>3.7876107934210097</c:v>
                </c:pt>
                <c:pt idx="233">
                  <c:v>4.3229206537180573</c:v>
                </c:pt>
                <c:pt idx="234">
                  <c:v>4.9555090553328967</c:v>
                </c:pt>
                <c:pt idx="235">
                  <c:v>4.7532861898706642</c:v>
                </c:pt>
                <c:pt idx="236">
                  <c:v>4.6778889455356421</c:v>
                </c:pt>
                <c:pt idx="237">
                  <c:v>4.4378724270903831</c:v>
                </c:pt>
                <c:pt idx="238">
                  <c:v>4.3699635032134552</c:v>
                </c:pt>
                <c:pt idx="239">
                  <c:v>4.1520865571194179</c:v>
                </c:pt>
                <c:pt idx="240">
                  <c:v>3.8152076214945509</c:v>
                </c:pt>
                <c:pt idx="241">
                  <c:v>3.479075035218699</c:v>
                </c:pt>
                <c:pt idx="242">
                  <c:v>2.4740814130912554</c:v>
                </c:pt>
                <c:pt idx="243">
                  <c:v>1.9576438867738091</c:v>
                </c:pt>
                <c:pt idx="244">
                  <c:v>1.4860458945106245</c:v>
                </c:pt>
                <c:pt idx="245">
                  <c:v>0.98555121801368273</c:v>
                </c:pt>
                <c:pt idx="246">
                  <c:v>0.78002916414271795</c:v>
                </c:pt>
                <c:pt idx="247">
                  <c:v>0.64840898901141486</c:v>
                </c:pt>
                <c:pt idx="248">
                  <c:v>0.36957940463207706</c:v>
                </c:pt>
                <c:pt idx="249">
                  <c:v>-5.4911915376038678E-2</c:v>
                </c:pt>
                <c:pt idx="250">
                  <c:v>-0.4203690815889729</c:v>
                </c:pt>
                <c:pt idx="251">
                  <c:v>-0.69313046159521718</c:v>
                </c:pt>
                <c:pt idx="252">
                  <c:v>-0.68275113867593973</c:v>
                </c:pt>
                <c:pt idx="253">
                  <c:v>-0.66524310916739182</c:v>
                </c:pt>
                <c:pt idx="254">
                  <c:v>-0.54103889107187797</c:v>
                </c:pt>
                <c:pt idx="255">
                  <c:v>-0.49978443084242485</c:v>
                </c:pt>
                <c:pt idx="256">
                  <c:v>-0.73538524484104073</c:v>
                </c:pt>
                <c:pt idx="257">
                  <c:v>-1.0990567060098613</c:v>
                </c:pt>
                <c:pt idx="258">
                  <c:v>-1.3435393983100994</c:v>
                </c:pt>
                <c:pt idx="259">
                  <c:v>-1.337894335031848</c:v>
                </c:pt>
                <c:pt idx="260">
                  <c:v>-1.1084243357679213</c:v>
                </c:pt>
                <c:pt idx="261">
                  <c:v>-0.74609400203382847</c:v>
                </c:pt>
                <c:pt idx="262">
                  <c:v>-0.49599366646398835</c:v>
                </c:pt>
                <c:pt idx="263">
                  <c:v>-0.37416584040255429</c:v>
                </c:pt>
                <c:pt idx="264">
                  <c:v>-5.2686308982316632E-2</c:v>
                </c:pt>
                <c:pt idx="265">
                  <c:v>0.10086815362876678</c:v>
                </c:pt>
                <c:pt idx="266">
                  <c:v>0.16657756845364702</c:v>
                </c:pt>
                <c:pt idx="267">
                  <c:v>0.33821226589819275</c:v>
                </c:pt>
                <c:pt idx="268">
                  <c:v>0.70575270103677212</c:v>
                </c:pt>
                <c:pt idx="269">
                  <c:v>3.3501134100366983</c:v>
                </c:pt>
                <c:pt idx="270">
                  <c:v>5.1787138127000105</c:v>
                </c:pt>
                <c:pt idx="271">
                  <c:v>6.9536148254681507</c:v>
                </c:pt>
                <c:pt idx="272">
                  <c:v>8.5625131707939772</c:v>
                </c:pt>
                <c:pt idx="273">
                  <c:v>9.6329319522225489</c:v>
                </c:pt>
                <c:pt idx="274">
                  <c:v>9.5752494367922338</c:v>
                </c:pt>
                <c:pt idx="275">
                  <c:v>9.333187643372014</c:v>
                </c:pt>
                <c:pt idx="276">
                  <c:v>8.7922766924772873</c:v>
                </c:pt>
                <c:pt idx="277">
                  <c:v>8.7014515692124519</c:v>
                </c:pt>
                <c:pt idx="278">
                  <c:v>8.6196774519056589</c:v>
                </c:pt>
                <c:pt idx="279">
                  <c:v>8.7270090984384581</c:v>
                </c:pt>
                <c:pt idx="280">
                  <c:v>8.8783713958821977</c:v>
                </c:pt>
                <c:pt idx="281">
                  <c:v>9.0385740916472059</c:v>
                </c:pt>
                <c:pt idx="282">
                  <c:v>9.1608004305896031</c:v>
                </c:pt>
                <c:pt idx="283">
                  <c:v>9.1856694946545758</c:v>
                </c:pt>
                <c:pt idx="284">
                  <c:v>8.8404168298091577</c:v>
                </c:pt>
                <c:pt idx="285">
                  <c:v>8.5002853478953568</c:v>
                </c:pt>
                <c:pt idx="286">
                  <c:v>7.8082702512632522</c:v>
                </c:pt>
                <c:pt idx="287">
                  <c:v>7.0247453721211173</c:v>
                </c:pt>
                <c:pt idx="288">
                  <c:v>6.1226133970426417</c:v>
                </c:pt>
                <c:pt idx="289">
                  <c:v>5.283021526003381</c:v>
                </c:pt>
                <c:pt idx="290">
                  <c:v>4.3855290740381179</c:v>
                </c:pt>
                <c:pt idx="291">
                  <c:v>3.8732996136774602</c:v>
                </c:pt>
                <c:pt idx="292">
                  <c:v>3.2794640009882983</c:v>
                </c:pt>
                <c:pt idx="293">
                  <c:v>2.5646416377590526</c:v>
                </c:pt>
                <c:pt idx="294">
                  <c:v>3.000440166422635</c:v>
                </c:pt>
                <c:pt idx="295">
                  <c:v>2.9375422596328917</c:v>
                </c:pt>
                <c:pt idx="296">
                  <c:v>2.2205989735766991</c:v>
                </c:pt>
                <c:pt idx="297">
                  <c:v>1.6878303138622925</c:v>
                </c:pt>
                <c:pt idx="298">
                  <c:v>0.94565737176282028</c:v>
                </c:pt>
                <c:pt idx="299">
                  <c:v>0.55682492571040143</c:v>
                </c:pt>
                <c:pt idx="300">
                  <c:v>0.61438554574669979</c:v>
                </c:pt>
                <c:pt idx="301">
                  <c:v>0.17225343271817906</c:v>
                </c:pt>
                <c:pt idx="302">
                  <c:v>0.24987353296401693</c:v>
                </c:pt>
                <c:pt idx="303">
                  <c:v>-0.40771611536717955</c:v>
                </c:pt>
                <c:pt idx="304">
                  <c:v>-0.87440069892733163</c:v>
                </c:pt>
                <c:pt idx="305">
                  <c:v>-0.86471596298241593</c:v>
                </c:pt>
                <c:pt idx="306">
                  <c:v>-0.73160437826226143</c:v>
                </c:pt>
                <c:pt idx="307">
                  <c:v>-0.58387758820211388</c:v>
                </c:pt>
                <c:pt idx="308">
                  <c:v>-0.79094203942906915</c:v>
                </c:pt>
                <c:pt idx="309">
                  <c:v>-1.1204547343854472</c:v>
                </c:pt>
                <c:pt idx="310">
                  <c:v>-0.99411334457201406</c:v>
                </c:pt>
                <c:pt idx="311">
                  <c:v>-0.74978190418167401</c:v>
                </c:pt>
                <c:pt idx="312">
                  <c:v>-0.57852756308750486</c:v>
                </c:pt>
                <c:pt idx="313">
                  <c:v>-0.95548182504404622</c:v>
                </c:pt>
                <c:pt idx="314">
                  <c:v>-2.5170786761491115</c:v>
                </c:pt>
                <c:pt idx="315">
                  <c:v>-3.8474798708764126</c:v>
                </c:pt>
                <c:pt idx="316">
                  <c:v>-5.2248884437154572</c:v>
                </c:pt>
                <c:pt idx="317">
                  <c:v>-5.1053665170940121</c:v>
                </c:pt>
                <c:pt idx="318">
                  <c:v>-5.4130303464692986</c:v>
                </c:pt>
                <c:pt idx="319">
                  <c:v>-5.1193421176725167</c:v>
                </c:pt>
                <c:pt idx="320">
                  <c:v>-4.5453203758212339</c:v>
                </c:pt>
                <c:pt idx="321">
                  <c:v>-3.9129635082645677</c:v>
                </c:pt>
                <c:pt idx="322">
                  <c:v>-3.5428495692015076</c:v>
                </c:pt>
                <c:pt idx="323">
                  <c:v>-3.1933546076084554</c:v>
                </c:pt>
                <c:pt idx="324">
                  <c:v>-3.0897519498634267</c:v>
                </c:pt>
                <c:pt idx="325">
                  <c:v>-2.6000375946516101</c:v>
                </c:pt>
                <c:pt idx="326">
                  <c:v>-1.8213720731078524</c:v>
                </c:pt>
                <c:pt idx="327">
                  <c:v>-2.4788692049683334</c:v>
                </c:pt>
                <c:pt idx="328">
                  <c:v>-2.720055058078799</c:v>
                </c:pt>
                <c:pt idx="329">
                  <c:v>-2.5788752557228349</c:v>
                </c:pt>
                <c:pt idx="330">
                  <c:v>-2.181211589994092</c:v>
                </c:pt>
                <c:pt idx="331">
                  <c:v>-1.6509484719446164</c:v>
                </c:pt>
                <c:pt idx="332">
                  <c:v>-1.3889936247896344</c:v>
                </c:pt>
                <c:pt idx="333">
                  <c:v>-0.69807180864501106</c:v>
                </c:pt>
                <c:pt idx="334">
                  <c:v>0.14077658643864766</c:v>
                </c:pt>
                <c:pt idx="335">
                  <c:v>0.79160337362458222</c:v>
                </c:pt>
                <c:pt idx="336">
                  <c:v>1.6315206185864781</c:v>
                </c:pt>
                <c:pt idx="337">
                  <c:v>2.3324071140000626</c:v>
                </c:pt>
                <c:pt idx="338">
                  <c:v>2.4608804979964418</c:v>
                </c:pt>
                <c:pt idx="339">
                  <c:v>2.8916686991560709</c:v>
                </c:pt>
                <c:pt idx="340">
                  <c:v>3.5871105240058228</c:v>
                </c:pt>
                <c:pt idx="341">
                  <c:v>4.02966909875704</c:v>
                </c:pt>
                <c:pt idx="342">
                  <c:v>5.0372614966531728</c:v>
                </c:pt>
                <c:pt idx="343">
                  <c:v>5.775662816980315</c:v>
                </c:pt>
                <c:pt idx="344">
                  <c:v>6.4199867822852923</c:v>
                </c:pt>
                <c:pt idx="345">
                  <c:v>6.7351695268144169</c:v>
                </c:pt>
                <c:pt idx="346">
                  <c:v>6.4203392608265517</c:v>
                </c:pt>
                <c:pt idx="347">
                  <c:v>5.9010809127069592</c:v>
                </c:pt>
                <c:pt idx="348">
                  <c:v>5.4477465269983441</c:v>
                </c:pt>
                <c:pt idx="349">
                  <c:v>5.3974389994261003</c:v>
                </c:pt>
                <c:pt idx="350">
                  <c:v>5.0579964749814224</c:v>
                </c:pt>
                <c:pt idx="351">
                  <c:v>4.6107637680805738</c:v>
                </c:pt>
                <c:pt idx="352">
                  <c:v>4.2373391257157209</c:v>
                </c:pt>
                <c:pt idx="353">
                  <c:v>4.2825780626012033</c:v>
                </c:pt>
                <c:pt idx="354">
                  <c:v>4.372921069419192</c:v>
                </c:pt>
                <c:pt idx="355">
                  <c:v>4.4193958346535283</c:v>
                </c:pt>
                <c:pt idx="356">
                  <c:v>4.512338789356761</c:v>
                </c:pt>
                <c:pt idx="357">
                  <c:v>4.6940765596871756</c:v>
                </c:pt>
                <c:pt idx="358">
                  <c:v>5.0390383277843398</c:v>
                </c:pt>
                <c:pt idx="359">
                  <c:v>5.5837344329569305</c:v>
                </c:pt>
                <c:pt idx="360">
                  <c:v>6.3680549206795263</c:v>
                </c:pt>
                <c:pt idx="361">
                  <c:v>6.8708922837593036</c:v>
                </c:pt>
                <c:pt idx="362">
                  <c:v>6.8826207900610257</c:v>
                </c:pt>
                <c:pt idx="363">
                  <c:v>7.1811246535161217</c:v>
                </c:pt>
                <c:pt idx="364">
                  <c:v>7.4304809607414199</c:v>
                </c:pt>
                <c:pt idx="365">
                  <c:v>7.5539312759664767</c:v>
                </c:pt>
                <c:pt idx="366">
                  <c:v>7.3858774628126866</c:v>
                </c:pt>
                <c:pt idx="367">
                  <c:v>7.8249706010789168</c:v>
                </c:pt>
                <c:pt idx="368">
                  <c:v>8.4475652752067845</c:v>
                </c:pt>
                <c:pt idx="369">
                  <c:v>8.6213067973844772</c:v>
                </c:pt>
                <c:pt idx="370">
                  <c:v>8.7285822714850951</c:v>
                </c:pt>
                <c:pt idx="371">
                  <c:v>8.5352672466751756</c:v>
                </c:pt>
                <c:pt idx="372">
                  <c:v>8.6917837685856512</c:v>
                </c:pt>
                <c:pt idx="373">
                  <c:v>8.4297749607538321</c:v>
                </c:pt>
                <c:pt idx="374">
                  <c:v>7.8452407100508026</c:v>
                </c:pt>
                <c:pt idx="375">
                  <c:v>7.6424832120920314</c:v>
                </c:pt>
                <c:pt idx="376">
                  <c:v>7.4364198366304208</c:v>
                </c:pt>
                <c:pt idx="377">
                  <c:v>7.0266958833584567</c:v>
                </c:pt>
                <c:pt idx="378">
                  <c:v>6.6032745993607023</c:v>
                </c:pt>
                <c:pt idx="379">
                  <c:v>5.9801009483725807</c:v>
                </c:pt>
                <c:pt idx="380">
                  <c:v>5.1173853990414386</c:v>
                </c:pt>
                <c:pt idx="381">
                  <c:v>4.3991052917416482</c:v>
                </c:pt>
                <c:pt idx="382">
                  <c:v>3.6992664009313216</c:v>
                </c:pt>
                <c:pt idx="383">
                  <c:v>3.0465804733627806</c:v>
                </c:pt>
                <c:pt idx="384">
                  <c:v>2.5068797554858406</c:v>
                </c:pt>
                <c:pt idx="385">
                  <c:v>2.3641868311607936</c:v>
                </c:pt>
                <c:pt idx="386">
                  <c:v>2.1329124678729272</c:v>
                </c:pt>
                <c:pt idx="387">
                  <c:v>1.7080346907343369</c:v>
                </c:pt>
                <c:pt idx="388">
                  <c:v>1.3596770625974841</c:v>
                </c:pt>
                <c:pt idx="389">
                  <c:v>-0.64384731343682233</c:v>
                </c:pt>
                <c:pt idx="390">
                  <c:v>-2.2692427953618903</c:v>
                </c:pt>
                <c:pt idx="391">
                  <c:v>-3.2384359188602616</c:v>
                </c:pt>
                <c:pt idx="392">
                  <c:v>-4.0246876718136377</c:v>
                </c:pt>
                <c:pt idx="393">
                  <c:v>-4.766341464904599</c:v>
                </c:pt>
                <c:pt idx="394">
                  <c:v>-5.8602714570424155</c:v>
                </c:pt>
                <c:pt idx="395">
                  <c:v>-6.8978488416855726</c:v>
                </c:pt>
                <c:pt idx="396">
                  <c:v>-7.4781975180677023</c:v>
                </c:pt>
                <c:pt idx="397">
                  <c:v>-7.9521664523492177</c:v>
                </c:pt>
                <c:pt idx="398">
                  <c:v>-8.1044536065315924</c:v>
                </c:pt>
                <c:pt idx="399">
                  <c:v>-8.3005252674262806</c:v>
                </c:pt>
                <c:pt idx="400">
                  <c:v>-8.9889514944243274</c:v>
                </c:pt>
                <c:pt idx="401">
                  <c:v>-9.9021178945575912</c:v>
                </c:pt>
                <c:pt idx="402">
                  <c:v>-10.626768289026018</c:v>
                </c:pt>
                <c:pt idx="403">
                  <c:v>-10.650619529261661</c:v>
                </c:pt>
                <c:pt idx="404">
                  <c:v>-10.784057172987474</c:v>
                </c:pt>
                <c:pt idx="405">
                  <c:v>-10.557501968806974</c:v>
                </c:pt>
                <c:pt idx="406">
                  <c:v>-10.281226501499674</c:v>
                </c:pt>
                <c:pt idx="407">
                  <c:v>-9.8016234829369466</c:v>
                </c:pt>
                <c:pt idx="408">
                  <c:v>-9.2128561779896927</c:v>
                </c:pt>
                <c:pt idx="409">
                  <c:v>-8.8978634897490565</c:v>
                </c:pt>
                <c:pt idx="410">
                  <c:v>-8.3350872982243516</c:v>
                </c:pt>
                <c:pt idx="411">
                  <c:v>-8.0113727630044593</c:v>
                </c:pt>
                <c:pt idx="412">
                  <c:v>-7.411181913324981</c:v>
                </c:pt>
                <c:pt idx="413">
                  <c:v>-6.680192707298886</c:v>
                </c:pt>
                <c:pt idx="414">
                  <c:v>-5.9603556631782055</c:v>
                </c:pt>
                <c:pt idx="415">
                  <c:v>-5.507145948688418</c:v>
                </c:pt>
                <c:pt idx="416">
                  <c:v>-5.2480540533053954</c:v>
                </c:pt>
                <c:pt idx="417">
                  <c:v>-4.7778475363722066</c:v>
                </c:pt>
                <c:pt idx="418">
                  <c:v>-4.1093057064516358</c:v>
                </c:pt>
                <c:pt idx="419">
                  <c:v>-3.4309973701155627</c:v>
                </c:pt>
                <c:pt idx="420">
                  <c:v>-2.2573826066600589</c:v>
                </c:pt>
                <c:pt idx="421">
                  <c:v>-1.0712470215406711</c:v>
                </c:pt>
                <c:pt idx="422">
                  <c:v>-0.30762230930707801</c:v>
                </c:pt>
                <c:pt idx="423">
                  <c:v>0.3045351981044746</c:v>
                </c:pt>
                <c:pt idx="424">
                  <c:v>0.49588896945991223</c:v>
                </c:pt>
                <c:pt idx="425">
                  <c:v>0.86352068240836388</c:v>
                </c:pt>
                <c:pt idx="426">
                  <c:v>1.2438187973120591</c:v>
                </c:pt>
                <c:pt idx="427">
                  <c:v>1.6520430320963158</c:v>
                </c:pt>
                <c:pt idx="428">
                  <c:v>2.4253008453079588</c:v>
                </c:pt>
                <c:pt idx="429">
                  <c:v>3.1151717719517364</c:v>
                </c:pt>
                <c:pt idx="430">
                  <c:v>4.016635640154675</c:v>
                </c:pt>
                <c:pt idx="431">
                  <c:v>4.7465388344429584</c:v>
                </c:pt>
                <c:pt idx="432">
                  <c:v>4.8885822050740444</c:v>
                </c:pt>
                <c:pt idx="433">
                  <c:v>6.0537890372770562</c:v>
                </c:pt>
                <c:pt idx="434">
                  <c:v>7.1266571931366229</c:v>
                </c:pt>
                <c:pt idx="435">
                  <c:v>7.5262358657544155</c:v>
                </c:pt>
                <c:pt idx="436">
                  <c:v>7.9417891179107869</c:v>
                </c:pt>
                <c:pt idx="437">
                  <c:v>8.5222734138405372</c:v>
                </c:pt>
                <c:pt idx="438">
                  <c:v>8.8982964557930018</c:v>
                </c:pt>
                <c:pt idx="439">
                  <c:v>9.2231202470002813</c:v>
                </c:pt>
                <c:pt idx="440">
                  <c:v>9.4562657216271191</c:v>
                </c:pt>
                <c:pt idx="441">
                  <c:v>9.8861515980825629</c:v>
                </c:pt>
                <c:pt idx="442">
                  <c:v>9.7584992038743508</c:v>
                </c:pt>
                <c:pt idx="443">
                  <c:v>9.4491590180545586</c:v>
                </c:pt>
                <c:pt idx="444">
                  <c:v>8.2686883993289939</c:v>
                </c:pt>
                <c:pt idx="445">
                  <c:v>7.2017249413607942</c:v>
                </c:pt>
                <c:pt idx="446">
                  <c:v>6.1983578453302925</c:v>
                </c:pt>
                <c:pt idx="447">
                  <c:v>5.7085590339636383</c:v>
                </c:pt>
                <c:pt idx="448">
                  <c:v>4.8784481813661955</c:v>
                </c:pt>
                <c:pt idx="449">
                  <c:v>4.5960713232757371</c:v>
                </c:pt>
                <c:pt idx="450">
                  <c:v>4.5115188410307496</c:v>
                </c:pt>
                <c:pt idx="451">
                  <c:v>4.2662253709980291</c:v>
                </c:pt>
                <c:pt idx="452">
                  <c:v>4.4609814799923129</c:v>
                </c:pt>
                <c:pt idx="453">
                  <c:v>4.3625028590620332</c:v>
                </c:pt>
                <c:pt idx="454">
                  <c:v>6.0273130237570172</c:v>
                </c:pt>
                <c:pt idx="455">
                  <c:v>7.7120809530906058</c:v>
                </c:pt>
                <c:pt idx="456">
                  <c:v>8.9026873825902157</c:v>
                </c:pt>
                <c:pt idx="457">
                  <c:v>9.3862372930803417</c:v>
                </c:pt>
                <c:pt idx="458">
                  <c:v>9.8056996184719765</c:v>
                </c:pt>
                <c:pt idx="459">
                  <c:v>9.8111963165027873</c:v>
                </c:pt>
                <c:pt idx="460">
                  <c:v>9.4899051674784687</c:v>
                </c:pt>
                <c:pt idx="461">
                  <c:v>8.8205185958214543</c:v>
                </c:pt>
                <c:pt idx="462">
                  <c:v>8.6678024089583232</c:v>
                </c:pt>
                <c:pt idx="463">
                  <c:v>8.9000868504876962</c:v>
                </c:pt>
                <c:pt idx="464">
                  <c:v>8.4988272323071214</c:v>
                </c:pt>
                <c:pt idx="465">
                  <c:v>8.3069705259570128</c:v>
                </c:pt>
                <c:pt idx="466">
                  <c:v>8.4281429580079816</c:v>
                </c:pt>
                <c:pt idx="467">
                  <c:v>8.5275442314609222</c:v>
                </c:pt>
                <c:pt idx="468">
                  <c:v>7.700949283522732</c:v>
                </c:pt>
                <c:pt idx="469">
                  <c:v>7.0317828794854904</c:v>
                </c:pt>
                <c:pt idx="470">
                  <c:v>5.7477148093198025</c:v>
                </c:pt>
                <c:pt idx="471">
                  <c:v>4.1002231325879848</c:v>
                </c:pt>
                <c:pt idx="472">
                  <c:v>2.6494507575691841</c:v>
                </c:pt>
                <c:pt idx="473">
                  <c:v>1.6317863525536609</c:v>
                </c:pt>
                <c:pt idx="474">
                  <c:v>1.3774705212446179</c:v>
                </c:pt>
                <c:pt idx="475">
                  <c:v>1.6954000491791703</c:v>
                </c:pt>
                <c:pt idx="476">
                  <c:v>1.9538872856044236</c:v>
                </c:pt>
                <c:pt idx="477">
                  <c:v>2.0328287125974498</c:v>
                </c:pt>
                <c:pt idx="478">
                  <c:v>2.4998873381606472</c:v>
                </c:pt>
                <c:pt idx="479">
                  <c:v>2.6051909640217445</c:v>
                </c:pt>
                <c:pt idx="480">
                  <c:v>2.3476916285679295</c:v>
                </c:pt>
                <c:pt idx="481">
                  <c:v>2.1862013614338025</c:v>
                </c:pt>
                <c:pt idx="482">
                  <c:v>2.4631397406143378</c:v>
                </c:pt>
                <c:pt idx="483">
                  <c:v>2.648055681674748</c:v>
                </c:pt>
                <c:pt idx="484">
                  <c:v>2.8616729496658877</c:v>
                </c:pt>
                <c:pt idx="485">
                  <c:v>3.1001289522269531</c:v>
                </c:pt>
                <c:pt idx="486">
                  <c:v>3.4263252054901159</c:v>
                </c:pt>
                <c:pt idx="487">
                  <c:v>3.4888855155340366</c:v>
                </c:pt>
                <c:pt idx="488">
                  <c:v>3.3784825047076765</c:v>
                </c:pt>
                <c:pt idx="489">
                  <c:v>3.2072153879096845</c:v>
                </c:pt>
                <c:pt idx="490">
                  <c:v>2.599331289131726</c:v>
                </c:pt>
                <c:pt idx="491">
                  <c:v>2.1046149007543136</c:v>
                </c:pt>
                <c:pt idx="492">
                  <c:v>1.4640865064329205</c:v>
                </c:pt>
                <c:pt idx="493">
                  <c:v>0.98784247662064217</c:v>
                </c:pt>
                <c:pt idx="494">
                  <c:v>0.74784681250423546</c:v>
                </c:pt>
                <c:pt idx="495">
                  <c:v>0.63026790970639013</c:v>
                </c:pt>
                <c:pt idx="496">
                  <c:v>0.59318736865731125</c:v>
                </c:pt>
                <c:pt idx="497">
                  <c:v>0.59965489497318458</c:v>
                </c:pt>
                <c:pt idx="498">
                  <c:v>0.64974022305574408</c:v>
                </c:pt>
                <c:pt idx="499">
                  <c:v>0.38721744337050268</c:v>
                </c:pt>
                <c:pt idx="500">
                  <c:v>-0.28874447738996878</c:v>
                </c:pt>
                <c:pt idx="501">
                  <c:v>-1.1907802332291908</c:v>
                </c:pt>
                <c:pt idx="502">
                  <c:v>-1.607124141841382</c:v>
                </c:pt>
                <c:pt idx="503">
                  <c:v>-1.3167141085108369</c:v>
                </c:pt>
                <c:pt idx="504">
                  <c:v>-1.5320713290238928</c:v>
                </c:pt>
                <c:pt idx="505">
                  <c:v>-1.2055042359327217</c:v>
                </c:pt>
                <c:pt idx="506">
                  <c:v>-0.81625076714686884</c:v>
                </c:pt>
                <c:pt idx="507">
                  <c:v>0.13300765731094089</c:v>
                </c:pt>
                <c:pt idx="508">
                  <c:v>0.15566872881140625</c:v>
                </c:pt>
                <c:pt idx="509">
                  <c:v>0.63991123521412874</c:v>
                </c:pt>
                <c:pt idx="510">
                  <c:v>0.12813643270675357</c:v>
                </c:pt>
                <c:pt idx="511">
                  <c:v>0.3415534799422062</c:v>
                </c:pt>
                <c:pt idx="512">
                  <c:v>-0.63746796145392182</c:v>
                </c:pt>
                <c:pt idx="513">
                  <c:v>-0.90345378634879125</c:v>
                </c:pt>
                <c:pt idx="514">
                  <c:v>-1.3304973382026333</c:v>
                </c:pt>
                <c:pt idx="515">
                  <c:v>-1.8278049946327997</c:v>
                </c:pt>
                <c:pt idx="516">
                  <c:v>-1.8862904235210749</c:v>
                </c:pt>
                <c:pt idx="517">
                  <c:v>-2.107653190615622</c:v>
                </c:pt>
                <c:pt idx="518">
                  <c:v>-2.2331350942866948</c:v>
                </c:pt>
                <c:pt idx="519">
                  <c:v>-1.1030353311311387</c:v>
                </c:pt>
                <c:pt idx="520">
                  <c:v>-0.40768041320433213</c:v>
                </c:pt>
                <c:pt idx="521">
                  <c:v>0.78232905711672629</c:v>
                </c:pt>
                <c:pt idx="522">
                  <c:v>7.6811359423857084E-2</c:v>
                </c:pt>
                <c:pt idx="523">
                  <c:v>-0.89642115426045166</c:v>
                </c:pt>
                <c:pt idx="524">
                  <c:v>-1.5817010877253779</c:v>
                </c:pt>
                <c:pt idx="525">
                  <c:v>-1.3794366357365675</c:v>
                </c:pt>
                <c:pt idx="526">
                  <c:v>-1.4118569467340762</c:v>
                </c:pt>
                <c:pt idx="527">
                  <c:v>-1.4118569467340762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E-4C27-8502-C36E6A91E37A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Data!$Z$2:$Z$529</c:f>
              <c:numCache>
                <c:formatCode>General</c:formatCode>
                <c:ptCount val="528"/>
                <c:pt idx="34">
                  <c:v>6.2848967608012991</c:v>
                </c:pt>
                <c:pt idx="35">
                  <c:v>5.8948781033797877</c:v>
                </c:pt>
                <c:pt idx="36">
                  <c:v>5.5199989938922043</c:v>
                </c:pt>
                <c:pt idx="37">
                  <c:v>5.1734859156437176</c:v>
                </c:pt>
                <c:pt idx="38">
                  <c:v>4.8579858823520858</c:v>
                </c:pt>
                <c:pt idx="39">
                  <c:v>4.5630832330980446</c:v>
                </c:pt>
                <c:pt idx="40">
                  <c:v>4.3367252181689739</c:v>
                </c:pt>
                <c:pt idx="41">
                  <c:v>4.2328499008229663</c:v>
                </c:pt>
                <c:pt idx="42">
                  <c:v>4.1838327583680694</c:v>
                </c:pt>
                <c:pt idx="43">
                  <c:v>4.2294015067693582</c:v>
                </c:pt>
                <c:pt idx="44">
                  <c:v>4.328289086544892</c:v>
                </c:pt>
                <c:pt idx="45">
                  <c:v>4.4361338747683758</c:v>
                </c:pt>
                <c:pt idx="46">
                  <c:v>4.4665009839474772</c:v>
                </c:pt>
                <c:pt idx="47">
                  <c:v>4.5330588481527352</c:v>
                </c:pt>
                <c:pt idx="48">
                  <c:v>4.59124877596442</c:v>
                </c:pt>
                <c:pt idx="49">
                  <c:v>4.5785081063427953</c:v>
                </c:pt>
                <c:pt idx="50">
                  <c:v>4.4738896315947727</c:v>
                </c:pt>
                <c:pt idx="51">
                  <c:v>4.3168630403290251</c:v>
                </c:pt>
                <c:pt idx="52">
                  <c:v>4.1517054325764722</c:v>
                </c:pt>
                <c:pt idx="53">
                  <c:v>3.9905384573295821</c:v>
                </c:pt>
                <c:pt idx="54">
                  <c:v>3.7983600311707937</c:v>
                </c:pt>
                <c:pt idx="55">
                  <c:v>3.5712496272791494</c:v>
                </c:pt>
                <c:pt idx="56">
                  <c:v>3.2933038861469228</c:v>
                </c:pt>
                <c:pt idx="57">
                  <c:v>2.9859330291599524</c:v>
                </c:pt>
                <c:pt idx="58">
                  <c:v>2.7061215791735211</c:v>
                </c:pt>
                <c:pt idx="59">
                  <c:v>2.4546369182370325</c:v>
                </c:pt>
                <c:pt idx="60">
                  <c:v>2.2104670772937913</c:v>
                </c:pt>
                <c:pt idx="61">
                  <c:v>1.9634870135871147</c:v>
                </c:pt>
                <c:pt idx="62">
                  <c:v>1.7554453959014629</c:v>
                </c:pt>
                <c:pt idx="63">
                  <c:v>1.5314894408178548</c:v>
                </c:pt>
                <c:pt idx="64">
                  <c:v>1.3249535535215309</c:v>
                </c:pt>
                <c:pt idx="65">
                  <c:v>1.1479923454179124</c:v>
                </c:pt>
                <c:pt idx="66">
                  <c:v>0.98809131331191302</c:v>
                </c:pt>
                <c:pt idx="67">
                  <c:v>0.7928425451933101</c:v>
                </c:pt>
                <c:pt idx="68">
                  <c:v>0.58163309722985512</c:v>
                </c:pt>
                <c:pt idx="69">
                  <c:v>0.31225156322331082</c:v>
                </c:pt>
                <c:pt idx="70">
                  <c:v>3.5451290619543663E-3</c:v>
                </c:pt>
                <c:pt idx="71">
                  <c:v>-0.27374852945478129</c:v>
                </c:pt>
                <c:pt idx="72">
                  <c:v>-0.52656351907667986</c:v>
                </c:pt>
                <c:pt idx="73">
                  <c:v>-0.77558832698584734</c:v>
                </c:pt>
                <c:pt idx="74">
                  <c:v>-1.0056605220633403</c:v>
                </c:pt>
                <c:pt idx="75">
                  <c:v>-1.2043953050894256</c:v>
                </c:pt>
                <c:pt idx="76">
                  <c:v>-1.3656985584771562</c:v>
                </c:pt>
                <c:pt idx="77">
                  <c:v>-1.4614990334331082</c:v>
                </c:pt>
                <c:pt idx="78">
                  <c:v>-1.7502381430872687</c:v>
                </c:pt>
                <c:pt idx="79">
                  <c:v>-2.1691809835149365</c:v>
                </c:pt>
                <c:pt idx="80">
                  <c:v>-2.6380409969326042</c:v>
                </c:pt>
                <c:pt idx="81">
                  <c:v>-3.1272210132373646</c:v>
                </c:pt>
                <c:pt idx="82">
                  <c:v>-3.6246053358799069</c:v>
                </c:pt>
                <c:pt idx="83">
                  <c:v>-4.0886488938187036</c:v>
                </c:pt>
                <c:pt idx="84">
                  <c:v>-4.4818768141052177</c:v>
                </c:pt>
                <c:pt idx="85">
                  <c:v>-4.7536222971607955</c:v>
                </c:pt>
                <c:pt idx="86">
                  <c:v>-4.9278146437013906</c:v>
                </c:pt>
                <c:pt idx="87">
                  <c:v>-4.9962489249297297</c:v>
                </c:pt>
                <c:pt idx="88">
                  <c:v>-5.0413357295676287</c:v>
                </c:pt>
                <c:pt idx="89">
                  <c:v>-5.0438951534679584</c:v>
                </c:pt>
                <c:pt idx="90">
                  <c:v>-5.0016277019130042</c:v>
                </c:pt>
                <c:pt idx="91">
                  <c:v>-4.9252705248506876</c:v>
                </c:pt>
                <c:pt idx="92">
                  <c:v>-4.8059646754990517</c:v>
                </c:pt>
                <c:pt idx="93">
                  <c:v>-4.6437122392073071</c:v>
                </c:pt>
                <c:pt idx="94">
                  <c:v>-4.4515060305781704</c:v>
                </c:pt>
                <c:pt idx="95">
                  <c:v>-4.2262558319207963</c:v>
                </c:pt>
                <c:pt idx="96">
                  <c:v>-3.9258316195413281</c:v>
                </c:pt>
                <c:pt idx="97">
                  <c:v>-3.5815807894789269</c:v>
                </c:pt>
                <c:pt idx="98">
                  <c:v>-3.2679256709587432</c:v>
                </c:pt>
                <c:pt idx="99">
                  <c:v>-2.9789314361516492</c:v>
                </c:pt>
                <c:pt idx="100">
                  <c:v>-2.7333780651291892</c:v>
                </c:pt>
                <c:pt idx="101">
                  <c:v>-2.563336003529328</c:v>
                </c:pt>
                <c:pt idx="102">
                  <c:v>-2.4663497630222979</c:v>
                </c:pt>
                <c:pt idx="103">
                  <c:v>-2.3951519773737666</c:v>
                </c:pt>
                <c:pt idx="104">
                  <c:v>-2.3634395984001819</c:v>
                </c:pt>
                <c:pt idx="105">
                  <c:v>-2.3442957253037533</c:v>
                </c:pt>
                <c:pt idx="106">
                  <c:v>-2.303641544451501</c:v>
                </c:pt>
                <c:pt idx="107">
                  <c:v>-2.2333031926187288</c:v>
                </c:pt>
                <c:pt idx="108">
                  <c:v>-2.11407898752076</c:v>
                </c:pt>
                <c:pt idx="109">
                  <c:v>-1.9597424589625096</c:v>
                </c:pt>
                <c:pt idx="110">
                  <c:v>-1.8039338135867076</c:v>
                </c:pt>
                <c:pt idx="111">
                  <c:v>-1.656364103607437</c:v>
                </c:pt>
                <c:pt idx="112">
                  <c:v>-1.5160045280098529</c:v>
                </c:pt>
                <c:pt idx="113">
                  <c:v>-1.3826308274338044</c:v>
                </c:pt>
                <c:pt idx="114">
                  <c:v>-1.2528493317961851</c:v>
                </c:pt>
                <c:pt idx="115">
                  <c:v>-1.1125150872718168</c:v>
                </c:pt>
                <c:pt idx="116">
                  <c:v>-0.91662110848632239</c:v>
                </c:pt>
                <c:pt idx="117">
                  <c:v>-0.71737673307808703</c:v>
                </c:pt>
                <c:pt idx="118">
                  <c:v>-0.48415830600046394</c:v>
                </c:pt>
                <c:pt idx="119">
                  <c:v>-0.27921794458142485</c:v>
                </c:pt>
                <c:pt idx="120">
                  <c:v>-0.11375536874453415</c:v>
                </c:pt>
                <c:pt idx="121">
                  <c:v>2.2752414841652469E-3</c:v>
                </c:pt>
                <c:pt idx="122">
                  <c:v>0.11473942477498024</c:v>
                </c:pt>
                <c:pt idx="123">
                  <c:v>0.25311316237147607</c:v>
                </c:pt>
                <c:pt idx="124">
                  <c:v>0.43499554568186827</c:v>
                </c:pt>
                <c:pt idx="125">
                  <c:v>0.60857385425608457</c:v>
                </c:pt>
                <c:pt idx="126">
                  <c:v>0.77108778561341063</c:v>
                </c:pt>
                <c:pt idx="127">
                  <c:v>0.94223621966821747</c:v>
                </c:pt>
                <c:pt idx="128">
                  <c:v>1.0891700395666251</c:v>
                </c:pt>
                <c:pt idx="129">
                  <c:v>1.2324396616525179</c:v>
                </c:pt>
                <c:pt idx="130">
                  <c:v>1.3705918014180249</c:v>
                </c:pt>
                <c:pt idx="131">
                  <c:v>1.5672843431114376</c:v>
                </c:pt>
                <c:pt idx="132">
                  <c:v>1.7875834893133793</c:v>
                </c:pt>
                <c:pt idx="133">
                  <c:v>2.0538025269976821</c:v>
                </c:pt>
                <c:pt idx="134">
                  <c:v>2.3563318319501576</c:v>
                </c:pt>
                <c:pt idx="135">
                  <c:v>2.6248117184476829</c:v>
                </c:pt>
                <c:pt idx="136">
                  <c:v>2.8204632535309617</c:v>
                </c:pt>
                <c:pt idx="137">
                  <c:v>2.9681415801826363</c:v>
                </c:pt>
                <c:pt idx="138">
                  <c:v>3.0704469714226588</c:v>
                </c:pt>
                <c:pt idx="139">
                  <c:v>3.1306759450942514</c:v>
                </c:pt>
                <c:pt idx="140">
                  <c:v>3.2812366403137432</c:v>
                </c:pt>
                <c:pt idx="141">
                  <c:v>3.4693747504513284</c:v>
                </c:pt>
                <c:pt idx="142">
                  <c:v>3.6593071348199304</c:v>
                </c:pt>
                <c:pt idx="143">
                  <c:v>3.8247282335776656</c:v>
                </c:pt>
                <c:pt idx="144">
                  <c:v>3.974947014277296</c:v>
                </c:pt>
                <c:pt idx="145">
                  <c:v>4.0591358999653027</c:v>
                </c:pt>
                <c:pt idx="146">
                  <c:v>4.0796582297581816</c:v>
                </c:pt>
                <c:pt idx="147">
                  <c:v>3.9572062582720839</c:v>
                </c:pt>
                <c:pt idx="148">
                  <c:v>3.7982215374621973</c:v>
                </c:pt>
                <c:pt idx="149">
                  <c:v>3.6160161237226762</c:v>
                </c:pt>
                <c:pt idx="150">
                  <c:v>3.5132614628871774</c:v>
                </c:pt>
                <c:pt idx="151">
                  <c:v>3.4391770078293051</c:v>
                </c:pt>
                <c:pt idx="152">
                  <c:v>3.3476773323665308</c:v>
                </c:pt>
                <c:pt idx="153">
                  <c:v>3.2665198326118579</c:v>
                </c:pt>
                <c:pt idx="154">
                  <c:v>3.2098733322451571</c:v>
                </c:pt>
                <c:pt idx="155">
                  <c:v>3.1902491019818893</c:v>
                </c:pt>
                <c:pt idx="156">
                  <c:v>3.1848749742200813</c:v>
                </c:pt>
                <c:pt idx="157">
                  <c:v>3.1966119761499061</c:v>
                </c:pt>
                <c:pt idx="158">
                  <c:v>3.2319136450761246</c:v>
                </c:pt>
                <c:pt idx="159">
                  <c:v>3.2915946448140221</c:v>
                </c:pt>
                <c:pt idx="160">
                  <c:v>3.3359823302144345</c:v>
                </c:pt>
                <c:pt idx="161">
                  <c:v>3.363087826356201</c:v>
                </c:pt>
                <c:pt idx="162">
                  <c:v>3.4002694107401412</c:v>
                </c:pt>
                <c:pt idx="163">
                  <c:v>3.4460332821098953</c:v>
                </c:pt>
                <c:pt idx="164">
                  <c:v>3.4826154477189286</c:v>
                </c:pt>
                <c:pt idx="165">
                  <c:v>3.5106073584198789</c:v>
                </c:pt>
                <c:pt idx="166">
                  <c:v>3.5752790607920164</c:v>
                </c:pt>
                <c:pt idx="167">
                  <c:v>3.6378407107293382</c:v>
                </c:pt>
                <c:pt idx="168">
                  <c:v>3.7326598579228256</c:v>
                </c:pt>
                <c:pt idx="169">
                  <c:v>3.8099686039814289</c:v>
                </c:pt>
                <c:pt idx="170">
                  <c:v>3.8340501589849376</c:v>
                </c:pt>
                <c:pt idx="171">
                  <c:v>3.8592817915628825</c:v>
                </c:pt>
                <c:pt idx="172">
                  <c:v>3.9036739073137348</c:v>
                </c:pt>
                <c:pt idx="173">
                  <c:v>4.0217627530998392</c:v>
                </c:pt>
                <c:pt idx="174">
                  <c:v>4.198128053708766</c:v>
                </c:pt>
                <c:pt idx="175">
                  <c:v>4.4429412064169771</c:v>
                </c:pt>
                <c:pt idx="176">
                  <c:v>4.7455082408541855</c:v>
                </c:pt>
                <c:pt idx="177">
                  <c:v>5.0092553720265869</c:v>
                </c:pt>
                <c:pt idx="178">
                  <c:v>5.2363508501236318</c:v>
                </c:pt>
                <c:pt idx="179">
                  <c:v>5.3998822223697829</c:v>
                </c:pt>
                <c:pt idx="180">
                  <c:v>5.563479160671716</c:v>
                </c:pt>
                <c:pt idx="181">
                  <c:v>5.7505332429593388</c:v>
                </c:pt>
                <c:pt idx="182">
                  <c:v>5.9368760715956599</c:v>
                </c:pt>
                <c:pt idx="183">
                  <c:v>6.1036215079030036</c:v>
                </c:pt>
                <c:pt idx="184">
                  <c:v>6.2705309341056399</c:v>
                </c:pt>
                <c:pt idx="185">
                  <c:v>6.3731797323525861</c:v>
                </c:pt>
                <c:pt idx="186">
                  <c:v>6.4194734883662568</c:v>
                </c:pt>
                <c:pt idx="187">
                  <c:v>6.3857857822925608</c:v>
                </c:pt>
                <c:pt idx="188">
                  <c:v>6.295241391052766</c:v>
                </c:pt>
                <c:pt idx="189">
                  <c:v>6.2071623928312905</c:v>
                </c:pt>
                <c:pt idx="190">
                  <c:v>6.163429007478884</c:v>
                </c:pt>
                <c:pt idx="191">
                  <c:v>6.1536044139090809</c:v>
                </c:pt>
                <c:pt idx="192">
                  <c:v>6.1754545302615913</c:v>
                </c:pt>
                <c:pt idx="193">
                  <c:v>6.2925582945280967</c:v>
                </c:pt>
                <c:pt idx="194">
                  <c:v>6.4284627614810725</c:v>
                </c:pt>
                <c:pt idx="195">
                  <c:v>6.5582041007699567</c:v>
                </c:pt>
                <c:pt idx="196">
                  <c:v>6.6942426138205757</c:v>
                </c:pt>
                <c:pt idx="197">
                  <c:v>6.7751440200233146</c:v>
                </c:pt>
                <c:pt idx="198">
                  <c:v>6.8131312820759575</c:v>
                </c:pt>
                <c:pt idx="199">
                  <c:v>6.7940969419620734</c:v>
                </c:pt>
                <c:pt idx="200">
                  <c:v>6.7139862537795061</c:v>
                </c:pt>
                <c:pt idx="201">
                  <c:v>6.5773116085725158</c:v>
                </c:pt>
                <c:pt idx="202">
                  <c:v>6.4053346660423767</c:v>
                </c:pt>
                <c:pt idx="203">
                  <c:v>6.2136243975824001</c:v>
                </c:pt>
                <c:pt idx="204">
                  <c:v>5.7763279117920376</c:v>
                </c:pt>
                <c:pt idx="205">
                  <c:v>5.1355107000655602</c:v>
                </c:pt>
                <c:pt idx="206">
                  <c:v>4.3609386975407016</c:v>
                </c:pt>
                <c:pt idx="207">
                  <c:v>3.4936297147103788</c:v>
                </c:pt>
                <c:pt idx="208">
                  <c:v>2.5174701502421888</c:v>
                </c:pt>
                <c:pt idx="209">
                  <c:v>1.5475562607189879</c:v>
                </c:pt>
                <c:pt idx="210">
                  <c:v>0.65328459070162526</c:v>
                </c:pt>
                <c:pt idx="211">
                  <c:v>-0.17897779342672948</c:v>
                </c:pt>
                <c:pt idx="212">
                  <c:v>-0.90839444251723567</c:v>
                </c:pt>
                <c:pt idx="213">
                  <c:v>-1.4368366084008879</c:v>
                </c:pt>
                <c:pt idx="214">
                  <c:v>-1.8068993114797363</c:v>
                </c:pt>
                <c:pt idx="215">
                  <c:v>-2.0536966156899474</c:v>
                </c:pt>
                <c:pt idx="216">
                  <c:v>-2.208008405822889</c:v>
                </c:pt>
                <c:pt idx="217">
                  <c:v>-2.3344667578928533</c:v>
                </c:pt>
                <c:pt idx="218">
                  <c:v>-2.4305599719051076</c:v>
                </c:pt>
                <c:pt idx="219">
                  <c:v>-2.5278358255525655</c:v>
                </c:pt>
                <c:pt idx="220">
                  <c:v>-2.6788097884655211</c:v>
                </c:pt>
                <c:pt idx="221">
                  <c:v>-2.7999621425181882</c:v>
                </c:pt>
                <c:pt idx="222">
                  <c:v>-2.8552286647251366</c:v>
                </c:pt>
                <c:pt idx="223">
                  <c:v>-2.7903927084521776</c:v>
                </c:pt>
                <c:pt idx="224">
                  <c:v>-2.52287333953843</c:v>
                </c:pt>
                <c:pt idx="225">
                  <c:v>-2.1274955858252738</c:v>
                </c:pt>
                <c:pt idx="226">
                  <c:v>-1.6174400815246384</c:v>
                </c:pt>
                <c:pt idx="227">
                  <c:v>-1.0154813409979713</c:v>
                </c:pt>
                <c:pt idx="228">
                  <c:v>-0.41563355142049452</c:v>
                </c:pt>
                <c:pt idx="229">
                  <c:v>0.1602110994221933</c:v>
                </c:pt>
                <c:pt idx="230">
                  <c:v>0.69014007796659049</c:v>
                </c:pt>
                <c:pt idx="231">
                  <c:v>1.1876238907753374</c:v>
                </c:pt>
                <c:pt idx="232">
                  <c:v>1.7076212713044718</c:v>
                </c:pt>
                <c:pt idx="233">
                  <c:v>2.2306811477871893</c:v>
                </c:pt>
                <c:pt idx="234">
                  <c:v>2.7756467292963309</c:v>
                </c:pt>
                <c:pt idx="235">
                  <c:v>3.1711746214111978</c:v>
                </c:pt>
                <c:pt idx="236">
                  <c:v>3.4725174862360868</c:v>
                </c:pt>
                <c:pt idx="237">
                  <c:v>3.6655884744069462</c:v>
                </c:pt>
                <c:pt idx="238">
                  <c:v>3.8064634801682482</c:v>
                </c:pt>
                <c:pt idx="239">
                  <c:v>3.8755880955584825</c:v>
                </c:pt>
                <c:pt idx="240">
                  <c:v>3.8635120007456965</c:v>
                </c:pt>
                <c:pt idx="241">
                  <c:v>3.7866246076402974</c:v>
                </c:pt>
                <c:pt idx="242">
                  <c:v>3.5241159687304893</c:v>
                </c:pt>
                <c:pt idx="243">
                  <c:v>3.2108215523391537</c:v>
                </c:pt>
                <c:pt idx="244">
                  <c:v>2.8658664207734477</c:v>
                </c:pt>
                <c:pt idx="245">
                  <c:v>2.4898033802214949</c:v>
                </c:pt>
                <c:pt idx="246">
                  <c:v>2.1478485370057396</c:v>
                </c:pt>
                <c:pt idx="247">
                  <c:v>1.8479606274068749</c:v>
                </c:pt>
                <c:pt idx="248">
                  <c:v>1.5522843828519153</c:v>
                </c:pt>
                <c:pt idx="249">
                  <c:v>1.2308451232063244</c:v>
                </c:pt>
                <c:pt idx="250">
                  <c:v>0.90060228224726502</c:v>
                </c:pt>
                <c:pt idx="251">
                  <c:v>0.58185573347876862</c:v>
                </c:pt>
                <c:pt idx="252">
                  <c:v>0.32893435904782697</c:v>
                </c:pt>
                <c:pt idx="253">
                  <c:v>0.13009886540478321</c:v>
                </c:pt>
                <c:pt idx="254">
                  <c:v>-4.1286858905490303E-3</c:v>
                </c:pt>
                <c:pt idx="255">
                  <c:v>-0.10325983488092419</c:v>
                </c:pt>
                <c:pt idx="256">
                  <c:v>-0.22968491687294751</c:v>
                </c:pt>
                <c:pt idx="257">
                  <c:v>-0.40355927470033026</c:v>
                </c:pt>
                <c:pt idx="258">
                  <c:v>-0.59155529942228413</c:v>
                </c:pt>
                <c:pt idx="259">
                  <c:v>-0.74082310654419703</c:v>
                </c:pt>
                <c:pt idx="260">
                  <c:v>-0.81434335238894195</c:v>
                </c:pt>
                <c:pt idx="261">
                  <c:v>-0.80069348231791937</c:v>
                </c:pt>
                <c:pt idx="262">
                  <c:v>-0.73975351914713328</c:v>
                </c:pt>
                <c:pt idx="263">
                  <c:v>-0.6666359833982175</c:v>
                </c:pt>
                <c:pt idx="264">
                  <c:v>-0.54384604851503737</c:v>
                </c:pt>
                <c:pt idx="265">
                  <c:v>-0.41490320808627656</c:v>
                </c:pt>
                <c:pt idx="266">
                  <c:v>-0.29860705277829191</c:v>
                </c:pt>
                <c:pt idx="267">
                  <c:v>-0.17124318904299496</c:v>
                </c:pt>
                <c:pt idx="268">
                  <c:v>4.1559889729584631E-3</c:v>
                </c:pt>
                <c:pt idx="269">
                  <c:v>0.67334747318570654</c:v>
                </c:pt>
                <c:pt idx="270">
                  <c:v>1.5744207410885673</c:v>
                </c:pt>
                <c:pt idx="271">
                  <c:v>2.6502595579644841</c:v>
                </c:pt>
                <c:pt idx="272">
                  <c:v>3.832710280530383</c:v>
                </c:pt>
                <c:pt idx="273">
                  <c:v>4.9927546148688169</c:v>
                </c:pt>
                <c:pt idx="274">
                  <c:v>5.9092535792535008</c:v>
                </c:pt>
                <c:pt idx="275">
                  <c:v>6.5940403920772033</c:v>
                </c:pt>
                <c:pt idx="276">
                  <c:v>7.0336876521572211</c:v>
                </c:pt>
                <c:pt idx="277">
                  <c:v>7.3672404355682675</c:v>
                </c:pt>
                <c:pt idx="278">
                  <c:v>7.6177278388357461</c:v>
                </c:pt>
                <c:pt idx="279">
                  <c:v>7.8395840907562881</c:v>
                </c:pt>
                <c:pt idx="280">
                  <c:v>8.0473415517814715</c:v>
                </c:pt>
                <c:pt idx="281">
                  <c:v>8.2455880597546187</c:v>
                </c:pt>
                <c:pt idx="282">
                  <c:v>8.4286305339216163</c:v>
                </c:pt>
                <c:pt idx="283">
                  <c:v>8.5800383260682089</c:v>
                </c:pt>
                <c:pt idx="284">
                  <c:v>8.6321140268163994</c:v>
                </c:pt>
                <c:pt idx="285">
                  <c:v>8.6057482910321923</c:v>
                </c:pt>
                <c:pt idx="286">
                  <c:v>8.4462526830784039</c:v>
                </c:pt>
                <c:pt idx="287">
                  <c:v>8.161951220886948</c:v>
                </c:pt>
                <c:pt idx="288">
                  <c:v>7.7540836561180875</c:v>
                </c:pt>
                <c:pt idx="289">
                  <c:v>7.2598712300951469</c:v>
                </c:pt>
                <c:pt idx="290">
                  <c:v>6.6850027988837413</c:v>
                </c:pt>
                <c:pt idx="291">
                  <c:v>6.1226621618424852</c:v>
                </c:pt>
                <c:pt idx="292">
                  <c:v>5.5540225296716486</c:v>
                </c:pt>
                <c:pt idx="293">
                  <c:v>4.9561463512891288</c:v>
                </c:pt>
                <c:pt idx="294">
                  <c:v>4.5650051143158308</c:v>
                </c:pt>
                <c:pt idx="295">
                  <c:v>4.2395125433792433</c:v>
                </c:pt>
                <c:pt idx="296">
                  <c:v>3.8357298294187347</c:v>
                </c:pt>
                <c:pt idx="297">
                  <c:v>3.4061499263074464</c:v>
                </c:pt>
                <c:pt idx="298">
                  <c:v>2.9140514153985215</c:v>
                </c:pt>
                <c:pt idx="299">
                  <c:v>2.4426061174608975</c:v>
                </c:pt>
                <c:pt idx="300">
                  <c:v>2.0769620031180582</c:v>
                </c:pt>
                <c:pt idx="301">
                  <c:v>1.6960202890380824</c:v>
                </c:pt>
                <c:pt idx="302">
                  <c:v>1.4067909378232695</c:v>
                </c:pt>
                <c:pt idx="303">
                  <c:v>1.0438895271851798</c:v>
                </c:pt>
                <c:pt idx="304">
                  <c:v>0.66023148196267756</c:v>
                </c:pt>
                <c:pt idx="305">
                  <c:v>0.35524199297365888</c:v>
                </c:pt>
                <c:pt idx="306">
                  <c:v>0.1378727187264748</c:v>
                </c:pt>
                <c:pt idx="307">
                  <c:v>-6.4773426592429351E-3</c:v>
                </c:pt>
                <c:pt idx="308">
                  <c:v>-0.16337028201320819</c:v>
                </c:pt>
                <c:pt idx="309">
                  <c:v>-0.35478717248765601</c:v>
                </c:pt>
                <c:pt idx="310">
                  <c:v>-0.48265240690452765</c:v>
                </c:pt>
                <c:pt idx="311">
                  <c:v>-0.5360783063599569</c:v>
                </c:pt>
                <c:pt idx="312">
                  <c:v>-0.54456815770546652</c:v>
                </c:pt>
                <c:pt idx="313">
                  <c:v>-0.6267508911731825</c:v>
                </c:pt>
                <c:pt idx="314">
                  <c:v>-1.0048164481683683</c:v>
                </c:pt>
                <c:pt idx="315">
                  <c:v>-1.5733491327099773</c:v>
                </c:pt>
                <c:pt idx="316">
                  <c:v>-2.3036569949110737</c:v>
                </c:pt>
                <c:pt idx="317">
                  <c:v>-2.8639988993476617</c:v>
                </c:pt>
                <c:pt idx="318">
                  <c:v>-3.3738051887719891</c:v>
                </c:pt>
                <c:pt idx="319">
                  <c:v>-3.7229125745520948</c:v>
                </c:pt>
                <c:pt idx="320">
                  <c:v>-3.8873941348059229</c:v>
                </c:pt>
                <c:pt idx="321">
                  <c:v>-3.8925080094976523</c:v>
                </c:pt>
                <c:pt idx="322">
                  <c:v>-3.8225763214384236</c:v>
                </c:pt>
                <c:pt idx="323">
                  <c:v>-3.6967319786724304</c:v>
                </c:pt>
                <c:pt idx="324">
                  <c:v>-3.5753359729106298</c:v>
                </c:pt>
                <c:pt idx="325">
                  <c:v>-3.3802762972588258</c:v>
                </c:pt>
                <c:pt idx="326">
                  <c:v>-3.0684954524286314</c:v>
                </c:pt>
                <c:pt idx="327">
                  <c:v>-2.9505702029365724</c:v>
                </c:pt>
                <c:pt idx="328">
                  <c:v>-2.9044671739650179</c:v>
                </c:pt>
                <c:pt idx="329">
                  <c:v>-2.8393487903165813</c:v>
                </c:pt>
                <c:pt idx="330">
                  <c:v>-2.7077213502520836</c:v>
                </c:pt>
                <c:pt idx="331">
                  <c:v>-2.49636677459059</c:v>
                </c:pt>
                <c:pt idx="332">
                  <c:v>-2.2748921446303991</c:v>
                </c:pt>
                <c:pt idx="333">
                  <c:v>-1.9595280774333217</c:v>
                </c:pt>
                <c:pt idx="334">
                  <c:v>-1.5394671446589279</c:v>
                </c:pt>
                <c:pt idx="335">
                  <c:v>-1.0732530410022261</c:v>
                </c:pt>
                <c:pt idx="336">
                  <c:v>-0.53229830908448528</c:v>
                </c:pt>
                <c:pt idx="337">
                  <c:v>4.0642775532424291E-2</c:v>
                </c:pt>
                <c:pt idx="338">
                  <c:v>0.52469032002522775</c:v>
                </c:pt>
                <c:pt idx="339">
                  <c:v>0.99808599585139635</c:v>
                </c:pt>
                <c:pt idx="340">
                  <c:v>1.5158909014822819</c:v>
                </c:pt>
                <c:pt idx="341">
                  <c:v>2.0186465409372336</c:v>
                </c:pt>
                <c:pt idx="342">
                  <c:v>2.6223695320804215</c:v>
                </c:pt>
                <c:pt idx="343">
                  <c:v>3.2530281890603998</c:v>
                </c:pt>
                <c:pt idx="344">
                  <c:v>3.8864199077053785</c:v>
                </c:pt>
                <c:pt idx="345">
                  <c:v>4.4561698315271858</c:v>
                </c:pt>
                <c:pt idx="346">
                  <c:v>4.8490037173870588</c:v>
                </c:pt>
                <c:pt idx="347">
                  <c:v>5.0594191564510389</c:v>
                </c:pt>
                <c:pt idx="348">
                  <c:v>5.1370846305605005</c:v>
                </c:pt>
                <c:pt idx="349">
                  <c:v>5.1891555043336215</c:v>
                </c:pt>
                <c:pt idx="350">
                  <c:v>5.1629236984631817</c:v>
                </c:pt>
                <c:pt idx="351">
                  <c:v>5.0524917123866606</c:v>
                </c:pt>
                <c:pt idx="352">
                  <c:v>4.8894611950524727</c:v>
                </c:pt>
                <c:pt idx="353">
                  <c:v>4.7680845685622195</c:v>
                </c:pt>
                <c:pt idx="354">
                  <c:v>4.689051868733614</c:v>
                </c:pt>
                <c:pt idx="355">
                  <c:v>4.6351206619175969</c:v>
                </c:pt>
                <c:pt idx="356">
                  <c:v>4.6105642874054302</c:v>
                </c:pt>
                <c:pt idx="357">
                  <c:v>4.6272667418617797</c:v>
                </c:pt>
                <c:pt idx="358">
                  <c:v>4.7096210590462917</c:v>
                </c:pt>
                <c:pt idx="359">
                  <c:v>4.8844437338284195</c:v>
                </c:pt>
                <c:pt idx="360">
                  <c:v>5.1811659711986415</c:v>
                </c:pt>
                <c:pt idx="361">
                  <c:v>5.5191112337107739</c:v>
                </c:pt>
                <c:pt idx="362">
                  <c:v>5.7918131449808241</c:v>
                </c:pt>
                <c:pt idx="363">
                  <c:v>6.0696754466878833</c:v>
                </c:pt>
                <c:pt idx="364">
                  <c:v>6.3418365494985904</c:v>
                </c:pt>
                <c:pt idx="365">
                  <c:v>6.5842554947921679</c:v>
                </c:pt>
                <c:pt idx="366">
                  <c:v>6.744579888396272</c:v>
                </c:pt>
                <c:pt idx="367">
                  <c:v>6.9606580309328017</c:v>
                </c:pt>
                <c:pt idx="368">
                  <c:v>7.2580394797875991</c:v>
                </c:pt>
                <c:pt idx="369">
                  <c:v>7.5306929433069749</c:v>
                </c:pt>
                <c:pt idx="370">
                  <c:v>7.7702708089426</c:v>
                </c:pt>
                <c:pt idx="371">
                  <c:v>7.9232700964891158</c:v>
                </c:pt>
                <c:pt idx="372">
                  <c:v>8.0769728309084243</c:v>
                </c:pt>
                <c:pt idx="373">
                  <c:v>8.1475332568775052</c:v>
                </c:pt>
                <c:pt idx="374">
                  <c:v>8.0870747475121654</c:v>
                </c:pt>
                <c:pt idx="375">
                  <c:v>7.9981564404281391</c:v>
                </c:pt>
                <c:pt idx="376">
                  <c:v>7.8858091196685951</c:v>
                </c:pt>
                <c:pt idx="377">
                  <c:v>7.7139864724065674</c:v>
                </c:pt>
                <c:pt idx="378">
                  <c:v>7.4918440977973946</c:v>
                </c:pt>
                <c:pt idx="379">
                  <c:v>7.1894954679124323</c:v>
                </c:pt>
                <c:pt idx="380">
                  <c:v>6.7750734541382336</c:v>
                </c:pt>
                <c:pt idx="381">
                  <c:v>6.2998798216589167</c:v>
                </c:pt>
                <c:pt idx="382">
                  <c:v>5.779757137513398</c:v>
                </c:pt>
                <c:pt idx="383">
                  <c:v>5.2331218046832753</c:v>
                </c:pt>
                <c:pt idx="384">
                  <c:v>4.6878733948437885</c:v>
                </c:pt>
                <c:pt idx="385">
                  <c:v>4.2231360821071897</c:v>
                </c:pt>
                <c:pt idx="386">
                  <c:v>3.8050913592603375</c:v>
                </c:pt>
                <c:pt idx="387">
                  <c:v>3.3856800255551374</c:v>
                </c:pt>
                <c:pt idx="388">
                  <c:v>2.9804794329636071</c:v>
                </c:pt>
                <c:pt idx="389">
                  <c:v>2.255614083683521</c:v>
                </c:pt>
                <c:pt idx="390">
                  <c:v>1.3506427078744387</c:v>
                </c:pt>
                <c:pt idx="391">
                  <c:v>0.43282698252749863</c:v>
                </c:pt>
                <c:pt idx="392">
                  <c:v>-0.45867594834072872</c:v>
                </c:pt>
                <c:pt idx="393">
                  <c:v>-1.320209051653503</c:v>
                </c:pt>
                <c:pt idx="394">
                  <c:v>-2.2282215327312853</c:v>
                </c:pt>
                <c:pt idx="395">
                  <c:v>-3.1621469945221428</c:v>
                </c:pt>
                <c:pt idx="396">
                  <c:v>-4.0253570992312548</c:v>
                </c:pt>
                <c:pt idx="397">
                  <c:v>-4.8107189698548476</c:v>
                </c:pt>
                <c:pt idx="398">
                  <c:v>-5.4694658971901973</c:v>
                </c:pt>
                <c:pt idx="399">
                  <c:v>-6.0356777712374141</c:v>
                </c:pt>
                <c:pt idx="400">
                  <c:v>-6.6263325158747968</c:v>
                </c:pt>
                <c:pt idx="401">
                  <c:v>-7.281489591611356</c:v>
                </c:pt>
                <c:pt idx="402">
                  <c:v>-7.9505453310942888</c:v>
                </c:pt>
                <c:pt idx="403">
                  <c:v>-8.4905601707277647</c:v>
                </c:pt>
                <c:pt idx="404">
                  <c:v>-8.9492595711797076</c:v>
                </c:pt>
                <c:pt idx="405">
                  <c:v>-9.2709080507051613</c:v>
                </c:pt>
                <c:pt idx="406">
                  <c:v>-9.4729717408640646</c:v>
                </c:pt>
                <c:pt idx="407">
                  <c:v>-9.5387020892786403</c:v>
                </c:pt>
                <c:pt idx="408">
                  <c:v>-9.4735329070208518</c:v>
                </c:pt>
                <c:pt idx="409">
                  <c:v>-9.3583990235664931</c:v>
                </c:pt>
                <c:pt idx="410">
                  <c:v>-9.1537366784980652</c:v>
                </c:pt>
                <c:pt idx="411">
                  <c:v>-8.9252638953993451</c:v>
                </c:pt>
                <c:pt idx="412">
                  <c:v>-8.6224474989844726</c:v>
                </c:pt>
                <c:pt idx="413">
                  <c:v>-8.2339965406473556</c:v>
                </c:pt>
                <c:pt idx="414">
                  <c:v>-7.7792683651535262</c:v>
                </c:pt>
                <c:pt idx="415">
                  <c:v>-7.3248438818605051</c:v>
                </c:pt>
                <c:pt idx="416">
                  <c:v>-6.9094859161494835</c:v>
                </c:pt>
                <c:pt idx="417">
                  <c:v>-6.4831582401940286</c:v>
                </c:pt>
                <c:pt idx="418">
                  <c:v>-6.0083877334455504</c:v>
                </c:pt>
                <c:pt idx="419">
                  <c:v>-5.4929096607795529</c:v>
                </c:pt>
                <c:pt idx="420">
                  <c:v>-4.8458042499556546</c:v>
                </c:pt>
                <c:pt idx="421">
                  <c:v>-4.0908928042726576</c:v>
                </c:pt>
                <c:pt idx="422">
                  <c:v>-3.3342387052795419</c:v>
                </c:pt>
                <c:pt idx="423">
                  <c:v>-2.6064839246027387</c:v>
                </c:pt>
                <c:pt idx="424">
                  <c:v>-1.9860093457902086</c:v>
                </c:pt>
                <c:pt idx="425">
                  <c:v>-1.4161033401504941</c:v>
                </c:pt>
                <c:pt idx="426">
                  <c:v>-0.88411891265798348</c:v>
                </c:pt>
                <c:pt idx="427">
                  <c:v>-0.37688652370712361</c:v>
                </c:pt>
                <c:pt idx="428">
                  <c:v>0.18355095009589284</c:v>
                </c:pt>
                <c:pt idx="429">
                  <c:v>0.76987511446706169</c:v>
                </c:pt>
                <c:pt idx="430">
                  <c:v>1.4192272196045845</c:v>
                </c:pt>
                <c:pt idx="431">
                  <c:v>2.0846895425722596</c:v>
                </c:pt>
                <c:pt idx="432">
                  <c:v>2.6454680750726167</c:v>
                </c:pt>
                <c:pt idx="433">
                  <c:v>3.3271322675135044</c:v>
                </c:pt>
                <c:pt idx="434">
                  <c:v>4.0870372526381278</c:v>
                </c:pt>
                <c:pt idx="435">
                  <c:v>4.7748769752613853</c:v>
                </c:pt>
                <c:pt idx="436">
                  <c:v>5.4082594037912664</c:v>
                </c:pt>
                <c:pt idx="437">
                  <c:v>6.0310622058011205</c:v>
                </c:pt>
                <c:pt idx="438">
                  <c:v>6.6045090557994968</c:v>
                </c:pt>
                <c:pt idx="439">
                  <c:v>7.1282312940396535</c:v>
                </c:pt>
                <c:pt idx="440">
                  <c:v>7.5938381795571477</c:v>
                </c:pt>
                <c:pt idx="441">
                  <c:v>8.0523008632622322</c:v>
                </c:pt>
                <c:pt idx="442">
                  <c:v>8.3935405313846569</c:v>
                </c:pt>
                <c:pt idx="443">
                  <c:v>8.6046642287186383</c:v>
                </c:pt>
                <c:pt idx="444">
                  <c:v>8.5374690628407102</c:v>
                </c:pt>
                <c:pt idx="445">
                  <c:v>8.270320238544727</c:v>
                </c:pt>
                <c:pt idx="446">
                  <c:v>7.8559277599018404</c:v>
                </c:pt>
                <c:pt idx="447">
                  <c:v>7.4264540147142002</c:v>
                </c:pt>
                <c:pt idx="448">
                  <c:v>6.9168528480446003</c:v>
                </c:pt>
                <c:pt idx="449">
                  <c:v>6.4526965430908287</c:v>
                </c:pt>
                <c:pt idx="450">
                  <c:v>6.0644610026788133</c:v>
                </c:pt>
                <c:pt idx="451">
                  <c:v>5.7048138763426568</c:v>
                </c:pt>
                <c:pt idx="452">
                  <c:v>5.456047397072588</c:v>
                </c:pt>
                <c:pt idx="453">
                  <c:v>5.2373384894704778</c:v>
                </c:pt>
                <c:pt idx="454">
                  <c:v>5.3953333963277856</c:v>
                </c:pt>
                <c:pt idx="455">
                  <c:v>5.8586829076803504</c:v>
                </c:pt>
                <c:pt idx="456">
                  <c:v>6.4674838026623238</c:v>
                </c:pt>
                <c:pt idx="457">
                  <c:v>7.0512345007459274</c:v>
                </c:pt>
                <c:pt idx="458">
                  <c:v>7.6021275242911379</c:v>
                </c:pt>
                <c:pt idx="459">
                  <c:v>8.0439412827334671</c:v>
                </c:pt>
                <c:pt idx="460">
                  <c:v>8.3331340596824681</c:v>
                </c:pt>
                <c:pt idx="461">
                  <c:v>8.4306109669102653</c:v>
                </c:pt>
                <c:pt idx="462">
                  <c:v>8.4780492553198776</c:v>
                </c:pt>
                <c:pt idx="463">
                  <c:v>8.5624567743534428</c:v>
                </c:pt>
                <c:pt idx="464">
                  <c:v>8.5497308659441789</c:v>
                </c:pt>
                <c:pt idx="465">
                  <c:v>8.5011787979467464</c:v>
                </c:pt>
                <c:pt idx="466">
                  <c:v>8.4865716299589948</c:v>
                </c:pt>
                <c:pt idx="467">
                  <c:v>8.4947661502593803</c:v>
                </c:pt>
                <c:pt idx="468">
                  <c:v>8.3360027769120517</c:v>
                </c:pt>
                <c:pt idx="469">
                  <c:v>8.0751587974267398</c:v>
                </c:pt>
                <c:pt idx="470">
                  <c:v>7.6096699998053525</c:v>
                </c:pt>
                <c:pt idx="471">
                  <c:v>6.9077806263618795</c:v>
                </c:pt>
                <c:pt idx="472">
                  <c:v>6.0561146526033411</c:v>
                </c:pt>
                <c:pt idx="473">
                  <c:v>5.1712489925934051</c:v>
                </c:pt>
                <c:pt idx="474">
                  <c:v>4.412493298323648</c:v>
                </c:pt>
                <c:pt idx="475">
                  <c:v>3.8690746484947525</c:v>
                </c:pt>
                <c:pt idx="476">
                  <c:v>3.4860371759166866</c:v>
                </c:pt>
                <c:pt idx="477">
                  <c:v>3.1953954832528395</c:v>
                </c:pt>
                <c:pt idx="478">
                  <c:v>3.0562938542344011</c:v>
                </c:pt>
                <c:pt idx="479">
                  <c:v>2.96607327619187</c:v>
                </c:pt>
                <c:pt idx="480">
                  <c:v>2.842396946667082</c:v>
                </c:pt>
                <c:pt idx="481">
                  <c:v>2.7111578296204266</c:v>
                </c:pt>
                <c:pt idx="482">
                  <c:v>2.661554211819209</c:v>
                </c:pt>
                <c:pt idx="483">
                  <c:v>2.658854505790317</c:v>
                </c:pt>
                <c:pt idx="484">
                  <c:v>2.6994181945654314</c:v>
                </c:pt>
                <c:pt idx="485">
                  <c:v>2.7795603460977358</c:v>
                </c:pt>
                <c:pt idx="486">
                  <c:v>2.9089133179762117</c:v>
                </c:pt>
                <c:pt idx="487">
                  <c:v>3.0249077574877767</c:v>
                </c:pt>
                <c:pt idx="488">
                  <c:v>3.0956227069317568</c:v>
                </c:pt>
                <c:pt idx="489">
                  <c:v>3.1179412431273428</c:v>
                </c:pt>
                <c:pt idx="490">
                  <c:v>3.0142192523282194</c:v>
                </c:pt>
                <c:pt idx="491">
                  <c:v>2.8322983820134384</c:v>
                </c:pt>
                <c:pt idx="492">
                  <c:v>2.5586560068973347</c:v>
                </c:pt>
                <c:pt idx="493">
                  <c:v>2.2444933008419961</c:v>
                </c:pt>
                <c:pt idx="494">
                  <c:v>1.9451640031744442</c:v>
                </c:pt>
                <c:pt idx="495">
                  <c:v>1.6821847844808335</c:v>
                </c:pt>
                <c:pt idx="496">
                  <c:v>1.464385301316129</c:v>
                </c:pt>
                <c:pt idx="497">
                  <c:v>1.2914392200475402</c:v>
                </c:pt>
                <c:pt idx="498">
                  <c:v>1.1630994206491809</c:v>
                </c:pt>
                <c:pt idx="499">
                  <c:v>1.0079230251934452</c:v>
                </c:pt>
                <c:pt idx="500">
                  <c:v>0.74858952467676243</c:v>
                </c:pt>
                <c:pt idx="501">
                  <c:v>0.36071557309557184</c:v>
                </c:pt>
                <c:pt idx="502">
                  <c:v>-3.2852369891818944E-2</c:v>
                </c:pt>
                <c:pt idx="503">
                  <c:v>-0.28962471761562253</c:v>
                </c:pt>
                <c:pt idx="504">
                  <c:v>-0.53811403989727657</c:v>
                </c:pt>
                <c:pt idx="505">
                  <c:v>-0.67159207910436569</c:v>
                </c:pt>
                <c:pt idx="506">
                  <c:v>-0.70052381671286634</c:v>
                </c:pt>
                <c:pt idx="507">
                  <c:v>-0.53381752190810494</c:v>
                </c:pt>
                <c:pt idx="508">
                  <c:v>-0.39592027176420275</c:v>
                </c:pt>
                <c:pt idx="509">
                  <c:v>-0.18875397036853644</c:v>
                </c:pt>
                <c:pt idx="510">
                  <c:v>-0.12537588975347846</c:v>
                </c:pt>
                <c:pt idx="511">
                  <c:v>-3.1990015814341535E-2</c:v>
                </c:pt>
                <c:pt idx="512">
                  <c:v>-0.15308560494225759</c:v>
                </c:pt>
                <c:pt idx="513">
                  <c:v>-0.3031592412235643</c:v>
                </c:pt>
                <c:pt idx="514">
                  <c:v>-0.50862686061937812</c:v>
                </c:pt>
                <c:pt idx="515">
                  <c:v>-0.77246248742206247</c:v>
                </c:pt>
                <c:pt idx="516">
                  <c:v>-0.99522807464186513</c:v>
                </c:pt>
                <c:pt idx="517">
                  <c:v>-1.2177130978366164</c:v>
                </c:pt>
                <c:pt idx="518">
                  <c:v>-1.4207974971266322</c:v>
                </c:pt>
                <c:pt idx="519">
                  <c:v>-1.3572450639275335</c:v>
                </c:pt>
                <c:pt idx="520">
                  <c:v>-1.1673321337828932</c:v>
                </c:pt>
                <c:pt idx="521">
                  <c:v>-0.7773998956029694</c:v>
                </c:pt>
                <c:pt idx="522">
                  <c:v>-0.60655764459760408</c:v>
                </c:pt>
                <c:pt idx="523">
                  <c:v>-0.66453034653017362</c:v>
                </c:pt>
                <c:pt idx="524">
                  <c:v>-0.84796449476921454</c:v>
                </c:pt>
                <c:pt idx="525">
                  <c:v>-0.95425892296268522</c:v>
                </c:pt>
                <c:pt idx="526">
                  <c:v>-1.0457785277169633</c:v>
                </c:pt>
                <c:pt idx="527">
                  <c:v>-1.1189942115203859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E-4C27-8502-C36E6A91E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26367"/>
        <c:axId val="90340767"/>
      </c:lineChart>
      <c:dateAx>
        <c:axId val="90326367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0767"/>
        <c:crosses val="autoZero"/>
        <c:auto val="1"/>
        <c:lblOffset val="100"/>
        <c:baseTimeUnit val="days"/>
      </c:dateAx>
      <c:valAx>
        <c:axId val="90340767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6367"/>
        <c:crosses val="autoZero"/>
        <c:crossBetween val="between"/>
      </c:valAx>
      <c:valAx>
        <c:axId val="90325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9327"/>
        <c:crosses val="max"/>
        <c:crossBetween val="between"/>
      </c:valAx>
      <c:dateAx>
        <c:axId val="903393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32588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m/d/yyyy</c:formatCode>
                <c:ptCount val="105"/>
                <c:pt idx="0">
                  <c:v>36564</c:v>
                </c:pt>
                <c:pt idx="1">
                  <c:v>36654</c:v>
                </c:pt>
                <c:pt idx="2">
                  <c:v>36746</c:v>
                </c:pt>
                <c:pt idx="3">
                  <c:v>36838</c:v>
                </c:pt>
                <c:pt idx="4">
                  <c:v>36929</c:v>
                </c:pt>
                <c:pt idx="5">
                  <c:v>37019</c:v>
                </c:pt>
                <c:pt idx="6">
                  <c:v>37111</c:v>
                </c:pt>
                <c:pt idx="7">
                  <c:v>37202</c:v>
                </c:pt>
                <c:pt idx="8">
                  <c:v>37293</c:v>
                </c:pt>
                <c:pt idx="9">
                  <c:v>37384</c:v>
                </c:pt>
                <c:pt idx="10">
                  <c:v>37475</c:v>
                </c:pt>
                <c:pt idx="11">
                  <c:v>37566</c:v>
                </c:pt>
                <c:pt idx="12">
                  <c:v>37658</c:v>
                </c:pt>
                <c:pt idx="13">
                  <c:v>37748</c:v>
                </c:pt>
                <c:pt idx="14">
                  <c:v>37839</c:v>
                </c:pt>
                <c:pt idx="15">
                  <c:v>37931</c:v>
                </c:pt>
                <c:pt idx="16">
                  <c:v>38023</c:v>
                </c:pt>
                <c:pt idx="17">
                  <c:v>38113</c:v>
                </c:pt>
                <c:pt idx="18">
                  <c:v>38205</c:v>
                </c:pt>
                <c:pt idx="19">
                  <c:v>38299</c:v>
                </c:pt>
                <c:pt idx="20">
                  <c:v>38391</c:v>
                </c:pt>
                <c:pt idx="21">
                  <c:v>38478</c:v>
                </c:pt>
                <c:pt idx="22">
                  <c:v>38572</c:v>
                </c:pt>
                <c:pt idx="23">
                  <c:v>38664</c:v>
                </c:pt>
                <c:pt idx="24">
                  <c:v>38756</c:v>
                </c:pt>
                <c:pt idx="25">
                  <c:v>38845</c:v>
                </c:pt>
                <c:pt idx="26">
                  <c:v>38937</c:v>
                </c:pt>
                <c:pt idx="27">
                  <c:v>39029</c:v>
                </c:pt>
                <c:pt idx="28">
                  <c:v>39120</c:v>
                </c:pt>
                <c:pt idx="29">
                  <c:v>39210</c:v>
                </c:pt>
                <c:pt idx="30">
                  <c:v>39302</c:v>
                </c:pt>
                <c:pt idx="31">
                  <c:v>39393</c:v>
                </c:pt>
                <c:pt idx="32">
                  <c:v>39484</c:v>
                </c:pt>
                <c:pt idx="33">
                  <c:v>39575</c:v>
                </c:pt>
                <c:pt idx="34">
                  <c:v>39666</c:v>
                </c:pt>
                <c:pt idx="35">
                  <c:v>39758</c:v>
                </c:pt>
                <c:pt idx="36">
                  <c:v>39850</c:v>
                </c:pt>
                <c:pt idx="37">
                  <c:v>39939</c:v>
                </c:pt>
                <c:pt idx="38">
                  <c:v>40031</c:v>
                </c:pt>
                <c:pt idx="39">
                  <c:v>40123</c:v>
                </c:pt>
                <c:pt idx="40">
                  <c:v>40217</c:v>
                </c:pt>
                <c:pt idx="41">
                  <c:v>40304</c:v>
                </c:pt>
                <c:pt idx="42">
                  <c:v>40396</c:v>
                </c:pt>
                <c:pt idx="43">
                  <c:v>40490</c:v>
                </c:pt>
                <c:pt idx="44">
                  <c:v>40582</c:v>
                </c:pt>
                <c:pt idx="45">
                  <c:v>40669</c:v>
                </c:pt>
                <c:pt idx="46">
                  <c:v>40763</c:v>
                </c:pt>
                <c:pt idx="47">
                  <c:v>40855</c:v>
                </c:pt>
                <c:pt idx="48">
                  <c:v>40947</c:v>
                </c:pt>
                <c:pt idx="49">
                  <c:v>41037</c:v>
                </c:pt>
                <c:pt idx="50">
                  <c:v>41129</c:v>
                </c:pt>
                <c:pt idx="51">
                  <c:v>41220</c:v>
                </c:pt>
                <c:pt idx="52">
                  <c:v>41311</c:v>
                </c:pt>
                <c:pt idx="53">
                  <c:v>41402</c:v>
                </c:pt>
                <c:pt idx="54">
                  <c:v>41493</c:v>
                </c:pt>
                <c:pt idx="55">
                  <c:v>41584</c:v>
                </c:pt>
                <c:pt idx="56">
                  <c:v>41676</c:v>
                </c:pt>
                <c:pt idx="57">
                  <c:v>41766</c:v>
                </c:pt>
                <c:pt idx="58">
                  <c:v>41857</c:v>
                </c:pt>
                <c:pt idx="59">
                  <c:v>41949</c:v>
                </c:pt>
                <c:pt idx="60">
                  <c:v>42041</c:v>
                </c:pt>
                <c:pt idx="61">
                  <c:v>42130</c:v>
                </c:pt>
                <c:pt idx="62">
                  <c:v>42222</c:v>
                </c:pt>
                <c:pt idx="63">
                  <c:v>42314</c:v>
                </c:pt>
                <c:pt idx="64">
                  <c:v>42408</c:v>
                </c:pt>
                <c:pt idx="65">
                  <c:v>42496</c:v>
                </c:pt>
                <c:pt idx="66">
                  <c:v>42590</c:v>
                </c:pt>
                <c:pt idx="67">
                  <c:v>42682</c:v>
                </c:pt>
                <c:pt idx="68">
                  <c:v>42774</c:v>
                </c:pt>
                <c:pt idx="69">
                  <c:v>42863</c:v>
                </c:pt>
                <c:pt idx="70">
                  <c:v>42955</c:v>
                </c:pt>
                <c:pt idx="71">
                  <c:v>43048</c:v>
                </c:pt>
                <c:pt idx="72">
                  <c:v>43139</c:v>
                </c:pt>
                <c:pt idx="73">
                  <c:v>43229</c:v>
                </c:pt>
                <c:pt idx="74">
                  <c:v>43321</c:v>
                </c:pt>
                <c:pt idx="75">
                  <c:v>43412</c:v>
                </c:pt>
                <c:pt idx="76">
                  <c:v>43503</c:v>
                </c:pt>
                <c:pt idx="77">
                  <c:v>43594</c:v>
                </c:pt>
                <c:pt idx="78">
                  <c:v>43685</c:v>
                </c:pt>
                <c:pt idx="79">
                  <c:v>43776</c:v>
                </c:pt>
                <c:pt idx="80">
                  <c:v>43868</c:v>
                </c:pt>
                <c:pt idx="81">
                  <c:v>43958</c:v>
                </c:pt>
                <c:pt idx="82">
                  <c:v>44050</c:v>
                </c:pt>
                <c:pt idx="83">
                  <c:v>44144</c:v>
                </c:pt>
                <c:pt idx="84">
                  <c:v>44236</c:v>
                </c:pt>
                <c:pt idx="85">
                  <c:v>44323</c:v>
                </c:pt>
                <c:pt idx="86">
                  <c:v>44417</c:v>
                </c:pt>
                <c:pt idx="87">
                  <c:v>44509</c:v>
                </c:pt>
                <c:pt idx="88">
                  <c:v>44602</c:v>
                </c:pt>
                <c:pt idx="89">
                  <c:v>44690</c:v>
                </c:pt>
                <c:pt idx="90">
                  <c:v>44782</c:v>
                </c:pt>
                <c:pt idx="91">
                  <c:v>44874</c:v>
                </c:pt>
                <c:pt idx="92">
                  <c:v>44966</c:v>
                </c:pt>
                <c:pt idx="93">
                  <c:v>45055</c:v>
                </c:pt>
                <c:pt idx="94">
                  <c:v>45147</c:v>
                </c:pt>
                <c:pt idx="95">
                  <c:v>45239</c:v>
                </c:pt>
                <c:pt idx="96">
                  <c:v>45330</c:v>
                </c:pt>
                <c:pt idx="97">
                  <c:v>45421</c:v>
                </c:pt>
                <c:pt idx="98">
                  <c:v>45513</c:v>
                </c:pt>
                <c:pt idx="99">
                  <c:v>45608</c:v>
                </c:pt>
                <c:pt idx="100">
                  <c:v>45698</c:v>
                </c:pt>
                <c:pt idx="101">
                  <c:v>45786</c:v>
                </c:pt>
                <c:pt idx="102">
                  <c:v>45877</c:v>
                </c:pt>
                <c:pt idx="103">
                  <c:v>45971</c:v>
                </c:pt>
                <c:pt idx="104" formatCode="yyyy\-mm\-dd">
                  <c:v>45975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0.11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0.28999999999999998</c:v>
                </c:pt>
                <c:pt idx="28">
                  <c:v>0.28999999999999998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0.48</c:v>
                </c:pt>
                <c:pt idx="34">
                  <c:v>0.48</c:v>
                </c:pt>
                <c:pt idx="35">
                  <c:v>0.48</c:v>
                </c:pt>
                <c:pt idx="36">
                  <c:v>0.48</c:v>
                </c:pt>
                <c:pt idx="37">
                  <c:v>0.53</c:v>
                </c:pt>
                <c:pt idx="38">
                  <c:v>0.53</c:v>
                </c:pt>
                <c:pt idx="39">
                  <c:v>0.53</c:v>
                </c:pt>
                <c:pt idx="40">
                  <c:v>0.53</c:v>
                </c:pt>
                <c:pt idx="41">
                  <c:v>0.62</c:v>
                </c:pt>
                <c:pt idx="42">
                  <c:v>0.62</c:v>
                </c:pt>
                <c:pt idx="43">
                  <c:v>0.62</c:v>
                </c:pt>
                <c:pt idx="44">
                  <c:v>0.62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0.91</c:v>
                </c:pt>
                <c:pt idx="54">
                  <c:v>0.91</c:v>
                </c:pt>
                <c:pt idx="55">
                  <c:v>0.91</c:v>
                </c:pt>
                <c:pt idx="56">
                  <c:v>0.91</c:v>
                </c:pt>
                <c:pt idx="57">
                  <c:v>1.05</c:v>
                </c:pt>
                <c:pt idx="58">
                  <c:v>1.05</c:v>
                </c:pt>
                <c:pt idx="59">
                  <c:v>1.05</c:v>
                </c:pt>
                <c:pt idx="60">
                  <c:v>1.05</c:v>
                </c:pt>
                <c:pt idx="61">
                  <c:v>1.24</c:v>
                </c:pt>
                <c:pt idx="62">
                  <c:v>1.24</c:v>
                </c:pt>
                <c:pt idx="63">
                  <c:v>1.24</c:v>
                </c:pt>
                <c:pt idx="64">
                  <c:v>1.24</c:v>
                </c:pt>
                <c:pt idx="65">
                  <c:v>1.34</c:v>
                </c:pt>
                <c:pt idx="66">
                  <c:v>1.34</c:v>
                </c:pt>
                <c:pt idx="67">
                  <c:v>1.34</c:v>
                </c:pt>
                <c:pt idx="68">
                  <c:v>1.34</c:v>
                </c:pt>
                <c:pt idx="69">
                  <c:v>1.43</c:v>
                </c:pt>
                <c:pt idx="70">
                  <c:v>1.43</c:v>
                </c:pt>
                <c:pt idx="71">
                  <c:v>1.43</c:v>
                </c:pt>
                <c:pt idx="72">
                  <c:v>1.43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1.55</c:v>
                </c:pt>
                <c:pt idx="78">
                  <c:v>1.55</c:v>
                </c:pt>
                <c:pt idx="79">
                  <c:v>1.55</c:v>
                </c:pt>
                <c:pt idx="80">
                  <c:v>1.55</c:v>
                </c:pt>
                <c:pt idx="81">
                  <c:v>1.56</c:v>
                </c:pt>
                <c:pt idx="82">
                  <c:v>1.56</c:v>
                </c:pt>
                <c:pt idx="83">
                  <c:v>1.56</c:v>
                </c:pt>
                <c:pt idx="84">
                  <c:v>1.56</c:v>
                </c:pt>
                <c:pt idx="85">
                  <c:v>1.57</c:v>
                </c:pt>
                <c:pt idx="86">
                  <c:v>1.57</c:v>
                </c:pt>
                <c:pt idx="87">
                  <c:v>1.64</c:v>
                </c:pt>
                <c:pt idx="88">
                  <c:v>1.64</c:v>
                </c:pt>
                <c:pt idx="89">
                  <c:v>1.65</c:v>
                </c:pt>
                <c:pt idx="90">
                  <c:v>1.65</c:v>
                </c:pt>
                <c:pt idx="91">
                  <c:v>1.65</c:v>
                </c:pt>
                <c:pt idx="92">
                  <c:v>1.65</c:v>
                </c:pt>
                <c:pt idx="93">
                  <c:v>1.66</c:v>
                </c:pt>
                <c:pt idx="94">
                  <c:v>1.66</c:v>
                </c:pt>
                <c:pt idx="95">
                  <c:v>1.66</c:v>
                </c:pt>
                <c:pt idx="96">
                  <c:v>1.66</c:v>
                </c:pt>
                <c:pt idx="97">
                  <c:v>1.67</c:v>
                </c:pt>
                <c:pt idx="98">
                  <c:v>1.67</c:v>
                </c:pt>
                <c:pt idx="99">
                  <c:v>1.67</c:v>
                </c:pt>
                <c:pt idx="100">
                  <c:v>1.67</c:v>
                </c:pt>
                <c:pt idx="101">
                  <c:v>1.68</c:v>
                </c:pt>
                <c:pt idx="102">
                  <c:v>1.68</c:v>
                </c:pt>
                <c:pt idx="103">
                  <c:v>1.68</c:v>
                </c:pt>
                <c:pt idx="104" formatCode="General">
                  <c:v>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D-48C6-BAD2-D1DCC537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45295"/>
        <c:axId val="77052015"/>
      </c:barChart>
      <c:dateAx>
        <c:axId val="770452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2015"/>
        <c:crosses val="autoZero"/>
        <c:auto val="1"/>
        <c:lblOffset val="100"/>
        <c:baseTimeUnit val="days"/>
      </c:dateAx>
      <c:valAx>
        <c:axId val="770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IBM Forecast: Excel vs LibreOffice 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Forecast!$A$2:$A$122</c:f>
              <c:numCache>
                <c:formatCode>m/d/yyyy</c:formatCode>
                <c:ptCount val="121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Forecast!$B$2:$B$122</c:f>
              <c:numCache>
                <c:formatCode>General</c:formatCode>
                <c:ptCount val="121"/>
                <c:pt idx="0">
                  <c:v>160.405</c:v>
                </c:pt>
                <c:pt idx="1">
                  <c:v>162.08199999999999</c:v>
                </c:pt>
                <c:pt idx="2">
                  <c:v>167.84</c:v>
                </c:pt>
                <c:pt idx="3">
                  <c:v>179.71</c:v>
                </c:pt>
                <c:pt idx="4">
                  <c:v>186.27199999999999</c:v>
                </c:pt>
                <c:pt idx="5">
                  <c:v>184.25399999999999</c:v>
                </c:pt>
                <c:pt idx="6">
                  <c:v>185.58799999999999</c:v>
                </c:pt>
                <c:pt idx="7">
                  <c:v>183.26749999999998</c:v>
                </c:pt>
                <c:pt idx="8">
                  <c:v>185.506</c:v>
                </c:pt>
                <c:pt idx="9">
                  <c:v>194.732</c:v>
                </c:pt>
                <c:pt idx="10">
                  <c:v>194.142</c:v>
                </c:pt>
                <c:pt idx="11">
                  <c:v>192.346</c:v>
                </c:pt>
                <c:pt idx="12">
                  <c:v>189.76249999999999</c:v>
                </c:pt>
                <c:pt idx="13">
                  <c:v>189.33799999999999</c:v>
                </c:pt>
                <c:pt idx="14">
                  <c:v>186.66800000000001</c:v>
                </c:pt>
                <c:pt idx="15">
                  <c:v>182.23</c:v>
                </c:pt>
                <c:pt idx="16">
                  <c:v>176.846</c:v>
                </c:pt>
                <c:pt idx="17">
                  <c:v>165.69200000000001</c:v>
                </c:pt>
                <c:pt idx="18">
                  <c:v>168.06200000000001</c:v>
                </c:pt>
                <c:pt idx="19">
                  <c:v>168.23599999999999</c:v>
                </c:pt>
                <c:pt idx="20">
                  <c:v>171.72799999999998</c:v>
                </c:pt>
                <c:pt idx="21">
                  <c:v>167.29750000000001</c:v>
                </c:pt>
                <c:pt idx="22">
                  <c:v>167.33599999999998</c:v>
                </c:pt>
                <c:pt idx="23">
                  <c:v>169.40600000000001</c:v>
                </c:pt>
                <c:pt idx="24">
                  <c:v>171.60750000000002</c:v>
                </c:pt>
                <c:pt idx="25">
                  <c:v>172.65600000000001</c:v>
                </c:pt>
                <c:pt idx="26">
                  <c:v>176.03749999999999</c:v>
                </c:pt>
                <c:pt idx="27">
                  <c:v>178.62</c:v>
                </c:pt>
                <c:pt idx="28">
                  <c:v>184.922</c:v>
                </c:pt>
                <c:pt idx="29">
                  <c:v>187.2</c:v>
                </c:pt>
                <c:pt idx="30">
                  <c:v>190.69200000000001</c:v>
                </c:pt>
                <c:pt idx="31">
                  <c:v>188.19400000000002</c:v>
                </c:pt>
                <c:pt idx="32">
                  <c:v>192.10399999999998</c:v>
                </c:pt>
                <c:pt idx="33">
                  <c:v>196.006</c:v>
                </c:pt>
                <c:pt idx="34">
                  <c:v>199.24</c:v>
                </c:pt>
                <c:pt idx="35">
                  <c:v>202.18</c:v>
                </c:pt>
                <c:pt idx="36">
                  <c:v>209.02799999999999</c:v>
                </c:pt>
                <c:pt idx="37">
                  <c:v>215.56399999999999</c:v>
                </c:pt>
                <c:pt idx="38">
                  <c:v>221.39400000000001</c:v>
                </c:pt>
                <c:pt idx="39">
                  <c:v>221.77600000000001</c:v>
                </c:pt>
                <c:pt idx="40">
                  <c:v>231.26400000000001</c:v>
                </c:pt>
                <c:pt idx="41">
                  <c:v>233.39400000000001</c:v>
                </c:pt>
                <c:pt idx="42">
                  <c:v>225.96199999999999</c:v>
                </c:pt>
                <c:pt idx="43">
                  <c:v>208.642</c:v>
                </c:pt>
                <c:pt idx="44">
                  <c:v>210.98</c:v>
                </c:pt>
                <c:pt idx="45">
                  <c:v>209.86600000000001</c:v>
                </c:pt>
                <c:pt idx="46">
                  <c:v>215.66200000000001</c:v>
                </c:pt>
                <c:pt idx="47">
                  <c:v>227.32249999999999</c:v>
                </c:pt>
                <c:pt idx="48">
                  <c:v>232.53399999999999</c:v>
                </c:pt>
                <c:pt idx="49">
                  <c:v>230.98400000000001</c:v>
                </c:pt>
                <c:pt idx="50">
                  <c:v>225.15</c:v>
                </c:pt>
                <c:pt idx="51">
                  <c:v>223.5025</c:v>
                </c:pt>
                <c:pt idx="52">
                  <c:v>220.66750000000002</c:v>
                </c:pt>
                <c:pt idx="53">
                  <c:v>222.39</c:v>
                </c:pt>
                <c:pt idx="54">
                  <c:v>220.52600000000001</c:v>
                </c:pt>
                <c:pt idx="55">
                  <c:v>224.59</c:v>
                </c:pt>
                <c:pt idx="56">
                  <c:v>238.47799999999998</c:v>
                </c:pt>
                <c:pt idx="57">
                  <c:v>258.85399999999998</c:v>
                </c:pt>
                <c:pt idx="58">
                  <c:v>256.05</c:v>
                </c:pt>
                <c:pt idx="59">
                  <c:v>263.40250000000003</c:v>
                </c:pt>
                <c:pt idx="60">
                  <c:v>256.226</c:v>
                </c:pt>
                <c:pt idx="61">
                  <c:v>252.99600000000001</c:v>
                </c:pt>
                <c:pt idx="62">
                  <c:v>249.92599999999999</c:v>
                </c:pt>
                <c:pt idx="63">
                  <c:v>247.88</c:v>
                </c:pt>
                <c:pt idx="64">
                  <c:v>247.78</c:v>
                </c:pt>
                <c:pt idx="65">
                  <c:v>243.99</c:v>
                </c:pt>
                <c:pt idx="66">
                  <c:v>229.43</c:v>
                </c:pt>
                <c:pt idx="67">
                  <c:v>239.285</c:v>
                </c:pt>
                <c:pt idx="68">
                  <c:v>236.86799999999999</c:v>
                </c:pt>
                <c:pt idx="69">
                  <c:v>240.51599999999999</c:v>
                </c:pt>
                <c:pt idx="70">
                  <c:v>251.00200000000001</c:v>
                </c:pt>
                <c:pt idx="71">
                  <c:v>260.70799999999997</c:v>
                </c:pt>
                <c:pt idx="72">
                  <c:v>262.64600000000002</c:v>
                </c:pt>
                <c:pt idx="73">
                  <c:v>260.30500000000001</c:v>
                </c:pt>
                <c:pt idx="74">
                  <c:v>266.07</c:v>
                </c:pt>
                <c:pt idx="75">
                  <c:v>277.61799999999999</c:v>
                </c:pt>
                <c:pt idx="76">
                  <c:v>282.26499999999999</c:v>
                </c:pt>
                <c:pt idx="77">
                  <c:v>291.13200000000001</c:v>
                </c:pt>
                <c:pt idx="78">
                  <c:v>291.39999999999998</c:v>
                </c:pt>
                <c:pt idx="79">
                  <c:v>288.81</c:v>
                </c:pt>
                <c:pt idx="80">
                  <c:v>283.25600000000003</c:v>
                </c:pt>
                <c:pt idx="81">
                  <c:v>273.78199999999998</c:v>
                </c:pt>
                <c:pt idx="82">
                  <c:v>257.81600000000003</c:v>
                </c:pt>
                <c:pt idx="83">
                  <c:v>249.47200000000001</c:v>
                </c:pt>
                <c:pt idx="84">
                  <c:v>237.59399999999999</c:v>
                </c:pt>
                <c:pt idx="85">
                  <c:v>240.95400000000001</c:v>
                </c:pt>
                <c:pt idx="86">
                  <c:v>243.22399999999999</c:v>
                </c:pt>
                <c:pt idx="87">
                  <c:v>245.32749999999999</c:v>
                </c:pt>
                <c:pt idx="88">
                  <c:v>256.50599999999997</c:v>
                </c:pt>
                <c:pt idx="89">
                  <c:v>260.84800000000001</c:v>
                </c:pt>
                <c:pt idx="90">
                  <c:v>275.37799999999999</c:v>
                </c:pt>
                <c:pt idx="91">
                  <c:v>284.70800000000003</c:v>
                </c:pt>
                <c:pt idx="92">
                  <c:v>287.76</c:v>
                </c:pt>
                <c:pt idx="93">
                  <c:v>278.274</c:v>
                </c:pt>
                <c:pt idx="94">
                  <c:v>289.13400000000001</c:v>
                </c:pt>
                <c:pt idx="95">
                  <c:v>310.26799999999997</c:v>
                </c:pt>
                <c:pt idx="96">
                  <c:v>306.23</c:v>
                </c:pt>
                <c:pt idx="97">
                  <c:v>309.67599999999999</c:v>
                </c:pt>
                <c:pt idx="98">
                  <c:v>292.69799999999998</c:v>
                </c:pt>
                <c:pt idx="99">
                  <c:v>305.09749999999997</c:v>
                </c:pt>
                <c:pt idx="100">
                  <c:v>305.2</c:v>
                </c:pt>
                <c:pt idx="101">
                  <c:v>310.46199999999999</c:v>
                </c:pt>
                <c:pt idx="102">
                  <c:v>303.31799999999998</c:v>
                </c:pt>
                <c:pt idx="103">
                  <c:v>304.05500000000001</c:v>
                </c:pt>
                <c:pt idx="104">
                  <c:v>298.875</c:v>
                </c:pt>
                <c:pt idx="105">
                  <c:v>300.22200000000004</c:v>
                </c:pt>
                <c:pt idx="106">
                  <c:v>305.59800000000001</c:v>
                </c:pt>
                <c:pt idx="107">
                  <c:v>294</c:v>
                </c:pt>
                <c:pt idx="108">
                  <c:v>300.05799999999999</c:v>
                </c:pt>
                <c:pt idx="109">
                  <c:v>297.38200000000001</c:v>
                </c:pt>
                <c:pt idx="110">
                  <c:v>296.33999999999997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F-41C4-8DFB-3D878989D918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Forecast!$A$2:$A$122</c:f>
              <c:numCache>
                <c:formatCode>m/d/yyyy</c:formatCode>
                <c:ptCount val="121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Forecast!$C$2:$C$122</c:f>
              <c:numCache>
                <c:formatCode>General</c:formatCode>
                <c:ptCount val="121"/>
                <c:pt idx="110">
                  <c:v>291.23768497848266</c:v>
                </c:pt>
                <c:pt idx="111">
                  <c:v>298.39317918652642</c:v>
                </c:pt>
                <c:pt idx="112">
                  <c:v>300.65770737133647</c:v>
                </c:pt>
                <c:pt idx="113">
                  <c:v>305.25054970767405</c:v>
                </c:pt>
                <c:pt idx="114">
                  <c:v>309.78088127830443</c:v>
                </c:pt>
                <c:pt idx="115">
                  <c:v>307.5039225187424</c:v>
                </c:pt>
                <c:pt idx="116">
                  <c:v>311.37200023875977</c:v>
                </c:pt>
                <c:pt idx="117">
                  <c:v>316.1200232068843</c:v>
                </c:pt>
                <c:pt idx="118">
                  <c:v>320.24440470794116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F-41C4-8DFB-3D878989D918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Forecast!$A$2:$A$122</c:f>
              <c:numCache>
                <c:formatCode>m/d/yyyy</c:formatCode>
                <c:ptCount val="121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Forecast!$D$2:$D$122</c:f>
              <c:numCache>
                <c:formatCode>General</c:formatCode>
                <c:ptCount val="121"/>
                <c:pt idx="110">
                  <c:v>298.63866972477098</c:v>
                </c:pt>
                <c:pt idx="111">
                  <c:v>299.89533944954098</c:v>
                </c:pt>
                <c:pt idx="112">
                  <c:v>301.15200917431201</c:v>
                </c:pt>
                <c:pt idx="113">
                  <c:v>302.40867889908299</c:v>
                </c:pt>
                <c:pt idx="114">
                  <c:v>303.66534862385299</c:v>
                </c:pt>
                <c:pt idx="115">
                  <c:v>304.92201834862402</c:v>
                </c:pt>
                <c:pt idx="116">
                  <c:v>306.17868807339499</c:v>
                </c:pt>
                <c:pt idx="117">
                  <c:v>307.435357798165</c:v>
                </c:pt>
                <c:pt idx="118">
                  <c:v>308.69202752293597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AF-41C4-8DFB-3D878989D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950015"/>
        <c:axId val="243946655"/>
      </c:lineChart>
      <c:dateAx>
        <c:axId val="243950015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46655"/>
        <c:crosses val="autoZero"/>
        <c:auto val="1"/>
        <c:lblOffset val="100"/>
        <c:baseTimeUnit val="days"/>
      </c:dateAx>
      <c:valAx>
        <c:axId val="243946655"/>
        <c:scaling>
          <c:orientation val="minMax"/>
          <c:min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533399</xdr:colOff>
      <xdr:row>1</xdr:row>
      <xdr:rowOff>19050</xdr:rowOff>
    </xdr:from>
    <xdr:to>
      <xdr:col>12</xdr:col>
      <xdr:colOff>371475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32ABCD-4D14-4BC0-B8F8-0E85337FB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16</xdr:row>
      <xdr:rowOff>171450</xdr:rowOff>
    </xdr:from>
    <xdr:to>
      <xdr:col>12</xdr:col>
      <xdr:colOff>381000</xdr:colOff>
      <xdr:row>31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510EB6-6C6B-47F9-BCA9-57FC4AC7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32</xdr:row>
      <xdr:rowOff>180975</xdr:rowOff>
    </xdr:from>
    <xdr:to>
      <xdr:col>12</xdr:col>
      <xdr:colOff>409575</xdr:colOff>
      <xdr:row>47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F14FF-DDEB-4554-BB9B-82F469772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600075</xdr:colOff>
      <xdr:row>48</xdr:row>
      <xdr:rowOff>152400</xdr:rowOff>
    </xdr:from>
    <xdr:to>
      <xdr:col>12</xdr:col>
      <xdr:colOff>409575</xdr:colOff>
      <xdr:row>63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7527C-1B43-44C0-A83E-9F6E4F5DA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590551</xdr:colOff>
      <xdr:row>79</xdr:row>
      <xdr:rowOff>171450</xdr:rowOff>
    </xdr:from>
    <xdr:to>
      <xdr:col>12</xdr:col>
      <xdr:colOff>476251</xdr:colOff>
      <xdr:row>94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8321DE-0527-4A2C-B079-054CE5F39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65</xdr:row>
      <xdr:rowOff>0</xdr:rowOff>
    </xdr:from>
    <xdr:to>
      <xdr:col>12</xdr:col>
      <xdr:colOff>438150</xdr:colOff>
      <xdr:row>79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56091D-AC34-4278-8DAD-A88F8564C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805B64-4236-42AD-8921-39685A2A6896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8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  <v t="i">770</v>
  </a>
  <a r="1" c="528">
    <v>161.5</v>
    <v>160.1</v>
    <v>160.86000000000001</v>
    <v>159.16</v>
    <v>161.13999999999999</v>
    <v>160.08000000000001</v>
    <v>161.22999999999999</v>
    <v>162.16</v>
    <v>165.8</v>
    <v>166.96</v>
    <v>166.08</v>
    <v>166.84</v>
    <v>171.48</v>
    <v>172.83</v>
    <v>173.94</v>
    <v>173.93</v>
    <v>190.43</v>
    <v>187.42</v>
    <v>187.14</v>
    <v>187.87</v>
    <v>183.66</v>
    <v>186.9</v>
    <v>185.79</v>
    <v>183.42</v>
    <v>183.41</v>
    <v>183.74</v>
    <v>184.36</v>
    <v>186.34</v>
    <v>186.16</v>
    <v>183.7</v>
    <v>183.57</v>
    <v>186.87</v>
    <v>187.64</v>
    <v>183.44</v>
    <v>179.7</v>
    <v>184.21</v>
    <v>185.72</v>
    <v>184.13</v>
    <v>184.87</v>
    <v>185.3</v>
    <v>185.03</v>
    <v>188.2</v>
    <v>193.06</v>
    <v>191.95</v>
    <v>196.16</v>
    <v>196.54</v>
    <v>195.95</v>
    <v>191.73</v>
    <v>197.78</v>
    <v>196.7</v>
    <v>193.43</v>
    <v>191.07</v>
    <v>191.69</v>
    <v>193.34</v>
    <v>193.96</v>
    <v>191.9</v>
    <v>190.84</v>
    <v>188.79</v>
    <v>188.5</v>
    <v>190.8</v>
    <v>190.96</v>
    <v>189.83</v>
    <v>188.88</v>
    <v>190.9</v>
    <v>187.94</v>
    <v>189.14</v>
    <v>189.82</v>
    <v>189.31</v>
    <v>186.04</v>
    <v>185.9</v>
    <v>182.27</v>
    <v>181.25</v>
    <v>183.75</v>
    <v>183.1</v>
    <v>181.47</v>
    <v>181.58</v>
    <v>181.9</v>
    <v>182.19</v>
    <v>184.1</v>
    <v>168.91</v>
    <v>167.13</v>
    <v>167.43</v>
    <v>166.2</v>
    <v>164.43</v>
    <v>164.69</v>
    <v>165.71</v>
    <v>168.61</v>
    <v>168.38</v>
    <v>169.9</v>
    <v>166.27</v>
    <v>167.15</v>
    <v>167.56</v>
    <v>167.36</v>
    <v>168.26</v>
    <v>168.97</v>
    <v>169.03</v>
    <v>169.92</v>
    <v>173.47</v>
    <v>173.69</v>
    <v>170.67</v>
    <v>170.89</v>
    <v>169.66</v>
    <v>167.05</v>
    <v>165.63</v>
    <v>166.85</v>
    <v>165.28</v>
    <v>165.81</v>
    <v>167.38</v>
    <v>168.2</v>
    <v>170.01</v>
    <v>170.38</v>
    <v>169.32</v>
    <v>169</v>
    <v>169.12</v>
    <v>169.21</v>
    <v>169.5</v>
    <v>170.55</v>
    <v>173.92</v>
    <v>172.46</v>
    <v>175.01</v>
    <v>172.6</v>
    <v>171.87</v>
    <v>170.85</v>
    <v>172.95</v>
    <v>175.1</v>
    <v>177.3</v>
    <v>175.73</v>
    <v>176.02</v>
    <v>177.64</v>
    <v>176.48</v>
    <v>177.84</v>
    <v>178.31</v>
    <v>182.83</v>
    <v>182.88</v>
    <v>185.81</v>
    <v>187.45</v>
    <v>185.22</v>
    <v>183.25</v>
    <v>184.15</v>
    <v>184.1</v>
    <v>184.02</v>
    <v>191.98</v>
    <v>191.75</v>
    <v>191.5</v>
    <v>191.04</v>
    <v>192.14</v>
    <v>189.66</v>
    <v>189.12</v>
    <v>183.31</v>
    <v>186.8</v>
    <v>186.8</v>
    <v>192.61</v>
    <v>191.45</v>
    <v>189.48</v>
    <v>190.99</v>
    <v>192.32</v>
    <v>193.95</v>
    <v>193.78</v>
    <v>194.73</v>
    <v>196.03</v>
    <v>197.21</v>
    <v>195.96</v>
    <v>196.1</v>
    <v>197.98</v>
    <v>198.73</v>
    <v>198.46</v>
    <v>198.9</v>
    <v>202.13</v>
    <v>201.28</v>
    <v>204.11</v>
    <v>202.59</v>
    <v>200.74</v>
    <v>203.53</v>
    <v>205.32</v>
    <v>209.89</v>
    <v>211.61</v>
    <v>214.79</v>
    <v>217.16</v>
    <v>214.13</v>
    <v>214.94</v>
    <v>213.89</v>
    <v>217.7</v>
    <v>220.5</v>
    <v>220.97</v>
    <v>221.23</v>
    <v>223.43</v>
    <v>220.84</v>
    <v>221.08</v>
    <v>219.35</v>
    <v>219.73</v>
    <v>222.72</v>
    <v>226</v>
    <v>227.12</v>
    <v>228.62</v>
    <v>234.3</v>
    <v>233.02</v>
    <v>233.26</v>
    <v>235.26</v>
    <v>232.96</v>
    <v>233.67</v>
    <v>232.88</v>
    <v>232.2</v>
    <v>231.75</v>
    <v>232.25</v>
    <v>232.75</v>
    <v>218.39</v>
    <v>214.67</v>
    <v>212.91</v>
    <v>210.43</v>
    <v>204.9</v>
    <v>206.72</v>
    <v>208.25</v>
    <v>206.32</v>
    <v>207.57</v>
    <v>213.6</v>
    <v>213.69</v>
    <v>213.72</v>
    <v>213.57</v>
    <v>210.86</v>
    <v>210.92</v>
    <v>208.99</v>
    <v>204.99</v>
    <v>208.09</v>
    <v>210.25</v>
    <v>214.6</v>
    <v>222.4</v>
    <v>222.97</v>
    <v>226.13</v>
    <v>228.83</v>
    <v>226.92</v>
    <v>227.41</v>
    <v>227.39</v>
    <v>229</v>
    <v>233.49</v>
    <v>234.75</v>
    <v>238.04</v>
    <v>230</v>
    <v>231.72</v>
    <v>230.12</v>
    <v>232.26</v>
    <v>230.82</v>
    <v>229.33</v>
    <v>228.97</v>
    <v>220.17</v>
    <v>223.92</v>
    <v>223.36</v>
    <v>221.93</v>
    <v>224.41</v>
    <v>224.89</v>
    <v>222.78</v>
    <v>220.25</v>
    <v>219.83</v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  <v>305.74</v>
    <v>302.05</v>
    <v>296.20999999999998</v>
    <v>291.5</v>
    <v>294.97000000000003</v>
    <v>302.47000000000003</v>
    <v>296.73</v>
    <v>302.72000000000003</v>
    <v>304.22000000000003</v>
    <v>312.18</v>
    <v>303.16000000000003</v>
    <v>309.02999999999997</v>
    <v>297.95</v>
    <v>305.67</v>
    <v>291.35000000000002</v>
    <v>297.54000000000002</v>
    <v>294.67</v>
    <v>292.44</v>
    <v>296.33</v>
    <v>293.86</v>
    <v>294.16000000000003</v>
    <v>309.24</v>
    <v>306.7</v>
    <v>314.73</v>
    <v>294.31</v>
    <v>289.05</v>
    <v>289.89</v>
    <v>298.93</v>
    <v>296.33999999999997</v>
  </a>
  <a r="1" c="528">
    <v>3825044</v>
    <v>4086065</v>
    <v>3212004</v>
    <v>4199504</v>
    <v>3321698</v>
    <v>2617186</v>
    <v>2967852</v>
    <v>3778395</v>
    <v>4958261</v>
    <v>4869635</v>
    <v>4288604</v>
    <v>3776990</v>
    <v>6929079</v>
    <v>4925964</v>
    <v>3983461</v>
    <v>9097827</v>
    <v>29596239</v>
    <v>9895941</v>
    <v>6107908</v>
    <v>4575058</v>
    <v>8876055</v>
    <v>4669444</v>
    <v>4055411</v>
    <v>4379602</v>
    <v>3338196</v>
    <v>4841188</v>
    <v>5161185</v>
    <v>5064641</v>
    <v>4724021</v>
    <v>4290453</v>
    <v>3173391</v>
    <v>4714301</v>
    <v>4842840</v>
    <v>4247181</v>
    <v>4728473</v>
    <v>5078398</v>
    <v>3433800</v>
    <v>4620815</v>
    <v>3641378</v>
    <v>3216345</v>
    <v>6458487</v>
    <v>4018354</v>
    <v>7938266</v>
    <v>5653641</v>
    <v>6945818</v>
    <v>4604458</v>
    <v>3943113</v>
    <v>4725057</v>
    <v>5880075</v>
    <v>3993258</v>
    <v>4109636</v>
    <v>8828184</v>
    <v>5410562</v>
    <v>5317341</v>
    <v>3238643</v>
    <v>6013561</v>
    <v>3988398</v>
    <v>3718289</v>
    <v>4229535</v>
    <v>3693305</v>
    <v>3742169</v>
    <v>2364320</v>
    <v>2693455</v>
    <v>2826193</v>
    <v>2983853</v>
    <v>2014264</v>
    <v>2678284</v>
    <v>2794381</v>
    <v>3081915</v>
    <v>2861736</v>
    <v>3547378</v>
    <v>3528140</v>
    <v>4473654</v>
    <v>3003033</v>
    <v>2886733</v>
    <v>3037990</v>
    <v>3076451</v>
    <v>5950229</v>
    <v>7616643</v>
    <v>16702150</v>
    <v>8983796</v>
    <v>5263342</v>
    <v>6011634</v>
    <v>4030960</v>
    <v>3829853</v>
    <v>3400405</v>
    <v>4222266</v>
    <v>3155260</v>
    <v>3522011</v>
    <v>4266616</v>
    <v>2255370</v>
    <v>2414859</v>
    <v>2600967</v>
    <v>4468823</v>
    <v>3492267</v>
    <v>2956387</v>
    <v>2726261</v>
    <v>6459800</v>
    <v>3294900</v>
    <v>3341335</v>
    <v>2587829</v>
    <v>2629645</v>
    <v>4206576</v>
    <v>3852963</v>
    <v>4905002</v>
    <v>2776058</v>
    <v>2594203</v>
    <v>3049377</v>
    <v>2207263</v>
    <v>3475495</v>
    <v>3444684</v>
    <v>2951251</v>
    <v>3522698</v>
    <v>3525717</v>
    <v>2777717</v>
    <v>3239815</v>
    <v>3386442</v>
    <v>4723078</v>
    <v>10182025</v>
    <v>4864735</v>
    <v>4119267</v>
    <v>2779016</v>
    <v>2894001</v>
    <v>4193459</v>
    <v>3320961</v>
    <v>2883275</v>
    <v>1649049</v>
    <v>2085970</v>
    <v>2503038</v>
    <v>2513305</v>
    <v>3462182</v>
    <v>2807145</v>
    <v>4785565</v>
    <v>2925794</v>
    <v>3374526</v>
    <v>4225302</v>
    <v>3487808</v>
    <v>3816039</v>
    <v>2488525</v>
    <v>2180225</v>
    <v>6962071</v>
    <v>9532802</v>
    <v>4294875</v>
    <v>3336806</v>
    <v>3064978</v>
    <v>5558405</v>
    <v>4085354</v>
    <v>4548824</v>
    <v>4975002</v>
    <v>3632517</v>
    <v>3801942</v>
    <v>3712698</v>
    <v>2773706</v>
    <v>2290421</v>
    <v>2178862</v>
    <v>1895114</v>
    <v>2471985</v>
    <v>2494472</v>
    <v>2361378</v>
    <v>1790371</v>
    <v>2579343</v>
    <v>1969496</v>
    <v>2321961</v>
    <v>2567217</v>
    <v>2617229</v>
    <v>2645244</v>
    <v>2989594</v>
    <v>4750999</v>
    <v>3874697</v>
    <v>3142476</v>
    <v>3229345</v>
    <v>3304491</v>
    <v>3705004</v>
    <v>3070644</v>
    <v>5554309</v>
    <v>4616446</v>
    <v>4572344</v>
    <v>4176257</v>
    <v>5635210</v>
    <v>3482764</v>
    <v>5279559</v>
    <v>9958980</v>
    <v>4074755</v>
    <v>3184114</v>
    <v>2537751</v>
    <v>2673210</v>
    <v>3830335</v>
    <v>3544264</v>
    <v>3548374</v>
    <v>3343399</v>
    <v>3788265</v>
    <v>3554328</v>
    <v>3457952</v>
    <v>3245342</v>
    <v>5083566</v>
    <v>3142031</v>
    <v>3469322</v>
    <v>2524389</v>
    <v>3350556</v>
    <v>2846669</v>
    <v>5040092</v>
    <v>4715688</v>
    <v>2733336</v>
    <v>3180807</v>
    <v>5791002</v>
    <v>11193440</v>
    <v>8482235</v>
    <v>4993343</v>
    <v>5258366</v>
    <v>6956624</v>
    <v>5925250</v>
    <v>3334308</v>
    <v>2594119</v>
    <v>2441535</v>
    <v>3934386</v>
    <v>3675812</v>
    <v>3201038</v>
    <v>3012987</v>
    <v>2818216</v>
    <v>3247830</v>
    <v>6372853</v>
    <v>3986460</v>
    <v>3406045</v>
    <v>2860746</v>
    <v>4562901</v>
    <v>5236434</v>
    <v>5320740</v>
    <v>7189260</v>
    <v>4449543</v>
    <v>2995121</v>
    <v>2640253</v>
    <v>2656181</v>
    <v>3163815</v>
    <v>4104195</v>
    <v>4791116</v>
    <v>4028430</v>
    <v>4970449</v>
    <v>4769531</v>
    <v>3872680</v>
    <v>4515741</v>
    <v>2757683</v>
    <v>3610257</v>
    <v>3651346</v>
    <v>4152517</v>
    <v>4430120</v>
    <v>12423200</v>
    <v>2988137</v>
    <v>1186216</v>
    <v>3287238</v>
    <v>1810760</v>
    <v>2095565</v>
    <v>2270512</v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  <v>4381913</v>
    <v>6042686</v>
    <v>5310150</v>
    <v>3592455</v>
    <v>3909741</v>
    <v>4861928</v>
    <v>3595912</v>
    <v>5597028</v>
    <v>5710903</v>
    <v>6050640</v>
    <v>2825322</v>
    <v>2196446</v>
    <v>1689031</v>
    <v>3166555</v>
    <v>4261100</v>
    <v>3953390</v>
    <v>2962463</v>
    <v>2344667</v>
    <v>3630157</v>
    <v>2935669</v>
    <v>3411524</v>
    <v>2755749</v>
    <v>2953374</v>
    <v>3566732</v>
    <v>3366878</v>
    <v>3130954</v>
    <v>5411669</v>
    <v>11031341</v>
    <v>2612100</v>
    <v>2923037</v>
    <v>1210642</v>
    <v>2814732</v>
    <v>4664711</v>
    <v>1883651</v>
    <v>3430133</v>
    <v>4662804</v>
    <v>4189960</v>
    <v>4147315</v>
    <v>2833274</v>
    <v>3343273</v>
    <v>2718828</v>
    <v>3895197</v>
    <v>4507760</v>
    <v>3779045</v>
    <v>4932480</v>
    <v>6199635</v>
    <v>7275490</v>
    <v>5185023</v>
    <v>3670152</v>
    <v>3298424</v>
    <v>3726890</v>
    <v>2954936</v>
    <v>5790347</v>
    <v>10124929</v>
    <v>5940669</v>
    <v>4581189</v>
    <v>11466529</v>
    <v>8708033</v>
    <v>5532797</v>
    <v>3744313</v>
    <v>4627815</v>
  </a>
</arrayData>
</file>

<file path=xl/richData/rdrichvalue.xml><?xml version="1.0" encoding="utf-8"?>
<rvData xmlns="http://schemas.microsoft.com/office/spreadsheetml/2017/richdata" count="1576">
  <rv s="0">
    <fb>45293</fb>
    <v>0</v>
  </rv>
  <rv s="0">
    <fb>161.5</fb>
    <v>1</v>
  </rv>
  <rv s="0">
    <fb>3825044</fb>
    <v>2</v>
  </rv>
  <rv s="0">
    <fb>45294</fb>
    <v>0</v>
  </rv>
  <rv s="0">
    <fb>160.1</fb>
    <v>1</v>
  </rv>
  <rv s="0">
    <fb>4086065</fb>
    <v>2</v>
  </rv>
  <rv s="0">
    <fb>45295</fb>
    <v>0</v>
  </rv>
  <rv s="0">
    <fb>160.86000000000001</fb>
    <v>1</v>
  </rv>
  <rv s="0">
    <fb>3212004</fb>
    <v>2</v>
  </rv>
  <rv s="0">
    <fb>45296</fb>
    <v>0</v>
  </rv>
  <rv s="0">
    <fb>159.16</fb>
    <v>1</v>
  </rv>
  <rv s="0">
    <fb>4199504</fb>
    <v>2</v>
  </rv>
  <rv s="0">
    <fb>45299</fb>
    <v>0</v>
  </rv>
  <rv s="0">
    <fb>161.13999999999999</fb>
    <v>1</v>
  </rv>
  <rv s="0">
    <fb>3321698</fb>
    <v>2</v>
  </rv>
  <rv s="0">
    <fb>45300</fb>
    <v>0</v>
  </rv>
  <rv s="0">
    <fb>160.08000000000001</fb>
    <v>1</v>
  </rv>
  <rv s="0">
    <fb>2617186</fb>
    <v>2</v>
  </rv>
  <rv s="0">
    <fb>45301</fb>
    <v>0</v>
  </rv>
  <rv s="0">
    <fb>161.22999999999999</fb>
    <v>1</v>
  </rv>
  <rv s="0">
    <fb>2967852</fb>
    <v>2</v>
  </rv>
  <rv s="0">
    <fb>45302</fb>
    <v>0</v>
  </rv>
  <rv s="0">
    <fb>162.16</fb>
    <v>1</v>
  </rv>
  <rv s="0">
    <fb>3778395</fb>
    <v>2</v>
  </rv>
  <rv s="0">
    <fb>45303</fb>
    <v>0</v>
  </rv>
  <rv s="0">
    <fb>165.8</fb>
    <v>1</v>
  </rv>
  <rv s="0">
    <fb>4958261</fb>
    <v>2</v>
  </rv>
  <rv s="0">
    <fb>45307</fb>
    <v>0</v>
  </rv>
  <rv s="0">
    <fb>166.96</fb>
    <v>1</v>
  </rv>
  <rv s="0">
    <fb>4869635</fb>
    <v>2</v>
  </rv>
  <rv s="0">
    <fb>45308</fb>
    <v>0</v>
  </rv>
  <rv s="0">
    <fb>166.08</fb>
    <v>1</v>
  </rv>
  <rv s="0">
    <fb>4288604</fb>
    <v>2</v>
  </rv>
  <rv s="0">
    <fb>45309</fb>
    <v>0</v>
  </rv>
  <rv s="0">
    <fb>166.84</fb>
    <v>1</v>
  </rv>
  <rv s="0">
    <fb>3776990</fb>
    <v>2</v>
  </rv>
  <rv s="0">
    <fb>45310</fb>
    <v>0</v>
  </rv>
  <rv s="0">
    <fb>171.48</fb>
    <v>1</v>
  </rv>
  <rv s="0">
    <fb>6929079</fb>
    <v>2</v>
  </rv>
  <rv s="0">
    <fb>45313</fb>
    <v>0</v>
  </rv>
  <rv s="0">
    <fb>172.83</fb>
    <v>1</v>
  </rv>
  <rv s="0">
    <fb>4925964</fb>
    <v>2</v>
  </rv>
  <rv s="0">
    <fb>45314</fb>
    <v>0</v>
  </rv>
  <rv s="0">
    <fb>173.94</fb>
    <v>1</v>
  </rv>
  <rv s="0">
    <fb>3983461</fb>
    <v>2</v>
  </rv>
  <rv s="0">
    <fb>45315</fb>
    <v>0</v>
  </rv>
  <rv s="0">
    <fb>173.93</fb>
    <v>1</v>
  </rv>
  <rv s="0">
    <fb>9097827</fb>
    <v>2</v>
  </rv>
  <rv s="0">
    <fb>45316</fb>
    <v>0</v>
  </rv>
  <rv s="0">
    <fb>190.43</fb>
    <v>1</v>
  </rv>
  <rv s="0">
    <fb>29596239</fb>
    <v>2</v>
  </rv>
  <rv s="0">
    <fb>45317</fb>
    <v>0</v>
  </rv>
  <rv s="0">
    <fb>187.42</fb>
    <v>1</v>
  </rv>
  <rv s="0">
    <fb>9895941</fb>
    <v>2</v>
  </rv>
  <rv s="0">
    <fb>45320</fb>
    <v>0</v>
  </rv>
  <rv s="0">
    <fb>187.14</fb>
    <v>1</v>
  </rv>
  <rv s="0">
    <fb>6107908</fb>
    <v>2</v>
  </rv>
  <rv s="0">
    <fb>45321</fb>
    <v>0</v>
  </rv>
  <rv s="0">
    <fb>187.87</fb>
    <v>1</v>
  </rv>
  <rv s="0">
    <fb>4575058</fb>
    <v>2</v>
  </rv>
  <rv s="0">
    <fb>45322</fb>
    <v>0</v>
  </rv>
  <rv s="0">
    <fb>183.66</fb>
    <v>1</v>
  </rv>
  <rv s="0">
    <fb>8876055</fb>
    <v>2</v>
  </rv>
  <rv s="0">
    <fb>45323</fb>
    <v>0</v>
  </rv>
  <rv s="0">
    <fb>186.9</fb>
    <v>1</v>
  </rv>
  <rv s="0">
    <fb>4669444</fb>
    <v>2</v>
  </rv>
  <rv s="0">
    <fb>45324</fb>
    <v>0</v>
  </rv>
  <rv s="0">
    <fb>185.79</fb>
    <v>1</v>
  </rv>
  <rv s="0">
    <fb>4055411</fb>
    <v>2</v>
  </rv>
  <rv s="0">
    <fb>45327</fb>
    <v>0</v>
  </rv>
  <rv s="0">
    <fb>183.42</fb>
    <v>1</v>
  </rv>
  <rv s="0">
    <fb>4379602</fb>
    <v>2</v>
  </rv>
  <rv s="0">
    <fb>45328</fb>
    <v>0</v>
  </rv>
  <rv s="0">
    <fb>183.41</fb>
    <v>1</v>
  </rv>
  <rv s="0">
    <fb>3338196</fb>
    <v>2</v>
  </rv>
  <rv s="0">
    <fb>45329</fb>
    <v>0</v>
  </rv>
  <rv s="0">
    <fb>183.74</fb>
    <v>1</v>
  </rv>
  <rv s="0">
    <fb>4841188</fb>
    <v>2</v>
  </rv>
  <rv s="0">
    <fb>45330</fb>
    <v>0</v>
  </rv>
  <rv s="0">
    <fb>184.36</fb>
    <v>1</v>
  </rv>
  <rv s="0">
    <fb>5161185</fb>
    <v>2</v>
  </rv>
  <rv s="0">
    <fb>45331</fb>
    <v>0</v>
  </rv>
  <rv s="0">
    <fb>186.34</fb>
    <v>1</v>
  </rv>
  <rv s="0">
    <fb>5064641</fb>
    <v>2</v>
  </rv>
  <rv s="0">
    <fb>45334</fb>
    <v>0</v>
  </rv>
  <rv s="0">
    <fb>186.16</fb>
    <v>1</v>
  </rv>
  <rv s="0">
    <fb>4724021</fb>
    <v>2</v>
  </rv>
  <rv s="0">
    <fb>45335</fb>
    <v>0</v>
  </rv>
  <rv s="0">
    <fb>183.7</fb>
    <v>1</v>
  </rv>
  <rv s="0">
    <fb>4290453</fb>
    <v>2</v>
  </rv>
  <rv s="0">
    <fb>45336</fb>
    <v>0</v>
  </rv>
  <rv s="0">
    <fb>183.57</fb>
    <v>1</v>
  </rv>
  <rv s="0">
    <fb>3173391</fb>
    <v>2</v>
  </rv>
  <rv s="0">
    <fb>45337</fb>
    <v>0</v>
  </rv>
  <rv s="0">
    <fb>186.87</fb>
    <v>1</v>
  </rv>
  <rv s="0">
    <fb>4714301</fb>
    <v>2</v>
  </rv>
  <rv s="0">
    <fb>45338</fb>
    <v>0</v>
  </rv>
  <rv s="0">
    <fb>187.64</fb>
    <v>1</v>
  </rv>
  <rv s="0">
    <fb>4842840</fb>
    <v>2</v>
  </rv>
  <rv s="0">
    <fb>45342</fb>
    <v>0</v>
  </rv>
  <rv s="0">
    <fb>183.44</fb>
    <v>1</v>
  </rv>
  <rv s="0">
    <fb>4247181</fb>
    <v>2</v>
  </rv>
  <rv s="0">
    <fb>45343</fb>
    <v>0</v>
  </rv>
  <rv s="0">
    <fb>179.7</fb>
    <v>1</v>
  </rv>
  <rv s="0">
    <fb>4728473</fb>
    <v>2</v>
  </rv>
  <rv s="0">
    <fb>45344</fb>
    <v>0</v>
  </rv>
  <rv s="0">
    <fb>184.21</fb>
    <v>1</v>
  </rv>
  <rv s="0">
    <fb>5078398</fb>
    <v>2</v>
  </rv>
  <rv s="0">
    <fb>45345</fb>
    <v>0</v>
  </rv>
  <rv s="0">
    <fb>185.72</fb>
    <v>1</v>
  </rv>
  <rv s="0">
    <fb>3433800</fb>
    <v>2</v>
  </rv>
  <rv s="0">
    <fb>45348</fb>
    <v>0</v>
  </rv>
  <rv s="0">
    <fb>184.13</fb>
    <v>1</v>
  </rv>
  <rv s="0">
    <fb>4620815</fb>
    <v>2</v>
  </rv>
  <rv s="0">
    <fb>45349</fb>
    <v>0</v>
  </rv>
  <rv s="0">
    <fb>184.87</fb>
    <v>1</v>
  </rv>
  <rv s="0">
    <fb>3641378</fb>
    <v>2</v>
  </rv>
  <rv s="0">
    <fb>45350</fb>
    <v>0</v>
  </rv>
  <rv s="0">
    <fb>185.3</fb>
    <v>1</v>
  </rv>
  <rv s="0">
    <fb>3216345</fb>
    <v>2</v>
  </rv>
  <rv s="0">
    <fb>45351</fb>
    <v>0</v>
  </rv>
  <rv s="0">
    <fb>185.03</fb>
    <v>1</v>
  </rv>
  <rv s="0">
    <fb>6458487</fb>
    <v>2</v>
  </rv>
  <rv s="0">
    <fb>45352</fb>
    <v>0</v>
  </rv>
  <rv s="0">
    <fb>188.2</fb>
    <v>1</v>
  </rv>
  <rv s="0">
    <fb>4018354</fb>
    <v>2</v>
  </rv>
  <rv s="0">
    <fb>45355</fb>
    <v>0</v>
  </rv>
  <rv s="0">
    <fb>193.06</fb>
    <v>1</v>
  </rv>
  <rv s="0">
    <fb>7938266</fb>
    <v>2</v>
  </rv>
  <rv s="0">
    <fb>45356</fb>
    <v>0</v>
  </rv>
  <rv s="0">
    <fb>191.95</fb>
    <v>1</v>
  </rv>
  <rv s="0">
    <fb>5653641</fb>
    <v>2</v>
  </rv>
  <rv s="0">
    <fb>45357</fb>
    <v>0</v>
  </rv>
  <rv s="0">
    <fb>196.16</fb>
    <v>1</v>
  </rv>
  <rv s="0">
    <fb>6945818</fb>
    <v>2</v>
  </rv>
  <rv s="0">
    <fb>45358</fb>
    <v>0</v>
  </rv>
  <rv s="0">
    <fb>196.54</fb>
    <v>1</v>
  </rv>
  <rv s="0">
    <fb>4604458</fb>
    <v>2</v>
  </rv>
  <rv s="0">
    <fb>45359</fb>
    <v>0</v>
  </rv>
  <rv s="0">
    <fb>195.95</fb>
    <v>1</v>
  </rv>
  <rv s="0">
    <fb>3943113</fb>
    <v>2</v>
  </rv>
  <rv s="0">
    <fb>45362</fb>
    <v>0</v>
  </rv>
  <rv s="0">
    <fb>191.73</fb>
    <v>1</v>
  </rv>
  <rv s="0">
    <fb>4725057</fb>
    <v>2</v>
  </rv>
  <rv s="0">
    <fb>45363</fb>
    <v>0</v>
  </rv>
  <rv s="0">
    <fb>197.78</fb>
    <v>1</v>
  </rv>
  <rv s="0">
    <fb>5880075</fb>
    <v>2</v>
  </rv>
  <rv s="0">
    <fb>45364</fb>
    <v>0</v>
  </rv>
  <rv s="0">
    <fb>196.7</fb>
    <v>1</v>
  </rv>
  <rv s="0">
    <fb>3993258</fb>
    <v>2</v>
  </rv>
  <rv s="0">
    <fb>45365</fb>
    <v>0</v>
  </rv>
  <rv s="0">
    <fb>193.43</fb>
    <v>1</v>
  </rv>
  <rv s="0">
    <fb>4109636</fb>
    <v>2</v>
  </rv>
  <rv s="0">
    <fb>45366</fb>
    <v>0</v>
  </rv>
  <rv s="0">
    <fb>191.07</fb>
    <v>1</v>
  </rv>
  <rv s="0">
    <fb>8828184</fb>
    <v>2</v>
  </rv>
  <rv s="0">
    <fb>45369</fb>
    <v>0</v>
  </rv>
  <rv s="0">
    <fb>191.69</fb>
    <v>1</v>
  </rv>
  <rv s="0">
    <fb>5410562</fb>
    <v>2</v>
  </rv>
  <rv s="0">
    <fb>45370</fb>
    <v>0</v>
  </rv>
  <rv s="0">
    <fb>193.34</fb>
    <v>1</v>
  </rv>
  <rv s="0">
    <fb>5317341</fb>
    <v>2</v>
  </rv>
  <rv s="0">
    <fb>45371</fb>
    <v>0</v>
  </rv>
  <rv s="0">
    <fb>193.96</fb>
    <v>1</v>
  </rv>
  <rv s="0">
    <fb>3238643</fb>
    <v>2</v>
  </rv>
  <rv s="0">
    <fb>45372</fb>
    <v>0</v>
  </rv>
  <rv s="0">
    <fb>191.9</fb>
    <v>1</v>
  </rv>
  <rv s="0">
    <fb>6013561</fb>
    <v>2</v>
  </rv>
  <rv s="0">
    <fb>45373</fb>
    <v>0</v>
  </rv>
  <rv s="0">
    <fb>190.84</fb>
    <v>1</v>
  </rv>
  <rv s="0">
    <fb>3988398</fb>
    <v>2</v>
  </rv>
  <rv s="0">
    <fb>45376</fb>
    <v>0</v>
  </rv>
  <rv s="0">
    <fb>188.79</fb>
    <v>1</v>
  </rv>
  <rv s="0">
    <fb>3718289</fb>
    <v>2</v>
  </rv>
  <rv s="0">
    <fb>45377</fb>
    <v>0</v>
  </rv>
  <rv s="0">
    <fb>188.5</fb>
    <v>1</v>
  </rv>
  <rv s="0">
    <fb>4229535</fb>
    <v>2</v>
  </rv>
  <rv s="0">
    <fb>45378</fb>
    <v>0</v>
  </rv>
  <rv s="0">
    <fb>190.8</fb>
    <v>1</v>
  </rv>
  <rv s="0">
    <fb>3693305</fb>
    <v>2</v>
  </rv>
  <rv s="0">
    <fb>45379</fb>
    <v>0</v>
  </rv>
  <rv s="0">
    <fb>190.96</fb>
    <v>1</v>
  </rv>
  <rv s="0">
    <fb>3742169</fb>
    <v>2</v>
  </rv>
  <rv s="0">
    <fb>45383</fb>
    <v>0</v>
  </rv>
  <rv s="0">
    <fb>189.83</fb>
    <v>1</v>
  </rv>
  <rv s="0">
    <fb>2364320</fb>
    <v>2</v>
  </rv>
  <rv s="0">
    <fb>45384</fb>
    <v>0</v>
  </rv>
  <rv s="0">
    <fb>188.88</fb>
    <v>1</v>
  </rv>
  <rv s="0">
    <fb>2693455</fb>
    <v>2</v>
  </rv>
  <rv s="0">
    <fb>45385</fb>
    <v>0</v>
  </rv>
  <rv s="0">
    <fb>190.9</fb>
    <v>1</v>
  </rv>
  <rv s="0">
    <fb>2826193</fb>
    <v>2</v>
  </rv>
  <rv s="0">
    <fb>45386</fb>
    <v>0</v>
  </rv>
  <rv s="0">
    <fb>187.94</fb>
    <v>1</v>
  </rv>
  <rv s="0">
    <fb>2983853</fb>
    <v>2</v>
  </rv>
  <rv s="0">
    <fb>45387</fb>
    <v>0</v>
  </rv>
  <rv s="0">
    <fb>189.14</fb>
    <v>1</v>
  </rv>
  <rv s="0">
    <fb>2014264</fb>
    <v>2</v>
  </rv>
  <rv s="0">
    <fb>45390</fb>
    <v>0</v>
  </rv>
  <rv s="0">
    <fb>189.82</fb>
    <v>1</v>
  </rv>
  <rv s="0">
    <fb>2678284</fb>
    <v>2</v>
  </rv>
  <rv s="0">
    <fb>45391</fb>
    <v>0</v>
  </rv>
  <rv s="0">
    <fb>189.31</fb>
    <v>1</v>
  </rv>
  <rv s="0">
    <fb>2794381</fb>
    <v>2</v>
  </rv>
  <rv s="0">
    <fb>45392</fb>
    <v>0</v>
  </rv>
  <rv s="0">
    <fb>186.04</fb>
    <v>1</v>
  </rv>
  <rv s="0">
    <fb>3081915</fb>
    <v>2</v>
  </rv>
  <rv s="0">
    <fb>45393</fb>
    <v>0</v>
  </rv>
  <rv s="0">
    <fb>185.9</fb>
    <v>1</v>
  </rv>
  <rv s="0">
    <fb>2861736</fb>
    <v>2</v>
  </rv>
  <rv s="0">
    <fb>45394</fb>
    <v>0</v>
  </rv>
  <rv s="0">
    <fb>182.27</fb>
    <v>1</v>
  </rv>
  <rv s="0">
    <fb>3547378</fb>
    <v>2</v>
  </rv>
  <rv s="0">
    <fb>45397</fb>
    <v>0</v>
  </rv>
  <rv s="0">
    <fb>181.25</fb>
    <v>1</v>
  </rv>
  <rv s="0">
    <fb>3528140</fb>
    <v>2</v>
  </rv>
  <rv s="0">
    <fb>45398</fb>
    <v>0</v>
  </rv>
  <rv s="0">
    <fb>183.75</fb>
    <v>1</v>
  </rv>
  <rv s="0">
    <fb>4473654</fb>
    <v>2</v>
  </rv>
  <rv s="0">
    <fb>45399</fb>
    <v>0</v>
  </rv>
  <rv s="0">
    <fb>183.1</fb>
    <v>1</v>
  </rv>
  <rv s="0">
    <fb>3003033</fb>
    <v>2</v>
  </rv>
  <rv s="0">
    <fb>45400</fb>
    <v>0</v>
  </rv>
  <rv s="0">
    <fb>181.47</fb>
    <v>1</v>
  </rv>
  <rv s="0">
    <fb>2886733</fb>
    <v>2</v>
  </rv>
  <rv s="0">
    <fb>45401</fb>
    <v>0</v>
  </rv>
  <rv s="0">
    <fb>181.58</fb>
    <v>1</v>
  </rv>
  <rv s="0">
    <fb>3037990</fb>
    <v>2</v>
  </rv>
  <rv s="0">
    <fb>45404</fb>
    <v>0</v>
  </rv>
  <rv s="0">
    <fb>181.9</fb>
    <v>1</v>
  </rv>
  <rv s="0">
    <fb>3076451</fb>
    <v>2</v>
  </rv>
  <rv s="0">
    <fb>45405</fb>
    <v>0</v>
  </rv>
  <rv s="0">
    <fb>182.19</fb>
    <v>1</v>
  </rv>
  <rv s="0">
    <fb>5950229</fb>
    <v>2</v>
  </rv>
  <rv s="0">
    <fb>45406</fb>
    <v>0</v>
  </rv>
  <rv s="0">
    <fb>184.1</fb>
    <v>1</v>
  </rv>
  <rv s="0">
    <fb>7616643</fb>
    <v>2</v>
  </rv>
  <rv s="0">
    <fb>45407</fb>
    <v>0</v>
  </rv>
  <rv s="0">
    <fb>168.91</fb>
    <v>1</v>
  </rv>
  <rv s="0">
    <fb>16702150</fb>
    <v>2</v>
  </rv>
  <rv s="0">
    <fb>45408</fb>
    <v>0</v>
  </rv>
  <rv s="0">
    <fb>167.13</fb>
    <v>1</v>
  </rv>
  <rv s="0">
    <fb>8983796</fb>
    <v>2</v>
  </rv>
  <rv s="0">
    <fb>45411</fb>
    <v>0</v>
  </rv>
  <rv s="0">
    <fb>167.43</fb>
    <v>1</v>
  </rv>
  <rv s="0">
    <fb>5263342</fb>
    <v>2</v>
  </rv>
  <rv s="0">
    <fb>45412</fb>
    <v>0</v>
  </rv>
  <rv s="0">
    <fb>166.2</fb>
    <v>1</v>
  </rv>
  <rv s="0">
    <fb>6011634</fb>
    <v>2</v>
  </rv>
  <rv s="0">
    <fb>45413</fb>
    <v>0</v>
  </rv>
  <rv s="0">
    <fb>164.43</fb>
    <v>1</v>
  </rv>
  <rv s="0">
    <fb>4030960</fb>
    <v>2</v>
  </rv>
  <rv s="0">
    <fb>45414</fb>
    <v>0</v>
  </rv>
  <rv s="0">
    <fb>164.69</fb>
    <v>1</v>
  </rv>
  <rv s="0">
    <fb>3829853</fb>
    <v>2</v>
  </rv>
  <rv s="0">
    <fb>45415</fb>
    <v>0</v>
  </rv>
  <rv s="0">
    <fb>165.71</fb>
    <v>1</v>
  </rv>
  <rv s="0">
    <fb>3400405</fb>
    <v>2</v>
  </rv>
  <rv s="0">
    <fb>45418</fb>
    <v>0</v>
  </rv>
  <rv s="0">
    <fb>168.61</fb>
    <v>1</v>
  </rv>
  <rv s="0">
    <fb>4222266</fb>
    <v>2</v>
  </rv>
  <rv s="0">
    <fb>45419</fb>
    <v>0</v>
  </rv>
  <rv s="0">
    <fb>168.38</fb>
    <v>1</v>
  </rv>
  <rv s="0">
    <fb>3155260</fb>
    <v>2</v>
  </rv>
  <rv s="0">
    <fb>45420</fb>
    <v>0</v>
  </rv>
  <rv s="0">
    <fb>169.9</fb>
    <v>1</v>
  </rv>
  <rv s="0">
    <fb>3522011</fb>
    <v>2</v>
  </rv>
  <rv s="0">
    <fb>45421</fb>
    <v>0</v>
  </rv>
  <rv s="0">
    <fb>166.27</fb>
    <v>1</v>
  </rv>
  <rv s="0">
    <fb>4266616</fb>
    <v>2</v>
  </rv>
  <rv s="0">
    <fb>45422</fb>
    <v>0</v>
  </rv>
  <rv s="0">
    <fb>167.15</fb>
    <v>1</v>
  </rv>
  <rv s="0">
    <fb>2255370</fb>
    <v>2</v>
  </rv>
  <rv s="0">
    <fb>45425</fb>
    <v>0</v>
  </rv>
  <rv s="0">
    <fb>167.56</fb>
    <v>1</v>
  </rv>
  <rv s="0">
    <fb>2414859</fb>
    <v>2</v>
  </rv>
  <rv s="0">
    <fb>45426</fb>
    <v>0</v>
  </rv>
  <rv s="0">
    <fb>167.36</fb>
    <v>1</v>
  </rv>
  <rv s="0">
    <fb>2600967</fb>
    <v>2</v>
  </rv>
  <rv s="0">
    <fb>45427</fb>
    <v>0</v>
  </rv>
  <rv s="0">
    <fb>168.26</fb>
    <v>1</v>
  </rv>
  <rv s="0">
    <fb>4468823</fb>
    <v>2</v>
  </rv>
  <rv s="0">
    <fb>45428</fb>
    <v>0</v>
  </rv>
  <rv s="0">
    <fb>168.97</fb>
    <v>1</v>
  </rv>
  <rv s="0">
    <fb>3492267</fb>
    <v>2</v>
  </rv>
  <rv s="0">
    <fb>45429</fb>
    <v>0</v>
  </rv>
  <rv s="0">
    <fb>169.03</fb>
    <v>1</v>
  </rv>
  <rv s="0">
    <fb>2956387</fb>
    <v>2</v>
  </rv>
  <rv s="0">
    <fb>45432</fb>
    <v>0</v>
  </rv>
  <rv s="0">
    <fb>169.92</fb>
    <v>1</v>
  </rv>
  <rv s="0">
    <fb>2726261</fb>
    <v>2</v>
  </rv>
  <rv s="0">
    <fb>45433</fb>
    <v>0</v>
  </rv>
  <rv s="0">
    <fb>173.47</fb>
    <v>1</v>
  </rv>
  <rv s="0">
    <fb>6459800</fb>
    <v>2</v>
  </rv>
  <rv s="0">
    <fb>45434</fb>
    <v>0</v>
  </rv>
  <rv s="0">
    <fb>173.69</fb>
    <v>1</v>
  </rv>
  <rv s="0">
    <fb>3294900</fb>
    <v>2</v>
  </rv>
  <rv s="0">
    <fb>45435</fb>
    <v>0</v>
  </rv>
  <rv s="0">
    <fb>170.67</fb>
    <v>1</v>
  </rv>
  <rv s="0">
    <fb>3341335</fb>
    <v>2</v>
  </rv>
  <rv s="0">
    <fb>45436</fb>
    <v>0</v>
  </rv>
  <rv s="0">
    <fb>170.89</fb>
    <v>1</v>
  </rv>
  <rv s="0">
    <fb>2587829</fb>
    <v>2</v>
  </rv>
  <rv s="0">
    <fb>45440</fb>
    <v>0</v>
  </rv>
  <rv s="0">
    <fb>169.66</fb>
    <v>1</v>
  </rv>
  <rv s="0">
    <fb>2629645</fb>
    <v>2</v>
  </rv>
  <rv s="0">
    <fb>45441</fb>
    <v>0</v>
  </rv>
  <rv s="0">
    <fb>167.05</fb>
    <v>1</v>
  </rv>
  <rv s="0">
    <fb>4206576</fb>
    <v>2</v>
  </rv>
  <rv s="0">
    <fb>45442</fb>
    <v>0</v>
  </rv>
  <rv s="0">
    <fb>165.63</fb>
    <v>1</v>
  </rv>
  <rv s="0">
    <fb>3852963</fb>
    <v>2</v>
  </rv>
  <rv s="0">
    <fb>45443</fb>
    <v>0</v>
  </rv>
  <rv s="0">
    <fb>166.85</fb>
    <v>1</v>
  </rv>
  <rv s="0">
    <fb>4905002</fb>
    <v>2</v>
  </rv>
  <rv s="0">
    <fb>45446</fb>
    <v>0</v>
  </rv>
  <rv s="0">
    <fb>165.28</fb>
    <v>1</v>
  </rv>
  <rv s="0">
    <fb>2776058</fb>
    <v>2</v>
  </rv>
  <rv s="0">
    <fb>45447</fb>
    <v>0</v>
  </rv>
  <rv s="0">
    <fb>165.81</fb>
    <v>1</v>
  </rv>
  <rv s="0">
    <fb>2594203</fb>
    <v>2</v>
  </rv>
  <rv s="0">
    <fb>45448</fb>
    <v>0</v>
  </rv>
  <rv s="0">
    <fb>167.38</fb>
    <v>1</v>
  </rv>
  <rv s="0">
    <fb>3049377</fb>
    <v>2</v>
  </rv>
  <rv s="0">
    <fb>45449</fb>
    <v>0</v>
  </rv>
  <rv s="0">
    <fb>168.2</fb>
    <v>1</v>
  </rv>
  <rv s="0">
    <fb>2207263</fb>
    <v>2</v>
  </rv>
  <rv s="0">
    <fb>45450</fb>
    <v>0</v>
  </rv>
  <rv s="0">
    <fb>170.01</fb>
    <v>1</v>
  </rv>
  <rv s="0">
    <fb>3475495</fb>
    <v>2</v>
  </rv>
  <rv s="0">
    <fb>45453</fb>
    <v>0</v>
  </rv>
  <rv s="0">
    <fb>170.38</fb>
    <v>1</v>
  </rv>
  <rv s="0">
    <fb>3444684</fb>
    <v>2</v>
  </rv>
  <rv s="0">
    <fb>45454</fb>
    <v>0</v>
  </rv>
  <rv s="0">
    <fb>169.32</fb>
    <v>1</v>
  </rv>
  <rv s="0">
    <fb>2951251</fb>
    <v>2</v>
  </rv>
  <rv s="0">
    <fb>45455</fb>
    <v>0</v>
  </rv>
  <rv s="0">
    <fb>169</fb>
    <v>1</v>
  </rv>
  <rv s="0">
    <fb>3522698</fb>
    <v>2</v>
  </rv>
  <rv s="0">
    <fb>45456</fb>
    <v>0</v>
  </rv>
  <rv s="0">
    <fb>169.12</fb>
    <v>1</v>
  </rv>
  <rv s="0">
    <fb>3525717</fb>
    <v>2</v>
  </rv>
  <rv s="0">
    <fb>45457</fb>
    <v>0</v>
  </rv>
  <rv s="0">
    <fb>169.21</fb>
    <v>1</v>
  </rv>
  <rv s="0">
    <fb>2777717</fb>
    <v>2</v>
  </rv>
  <rv s="0">
    <fb>45460</fb>
    <v>0</v>
  </rv>
  <rv s="0">
    <fb>169.5</fb>
    <v>1</v>
  </rv>
  <rv s="0">
    <fb>3239815</fb>
    <v>2</v>
  </rv>
  <rv s="0">
    <fb>45461</fb>
    <v>0</v>
  </rv>
  <rv s="0">
    <fb>170.55</fb>
    <v>1</v>
  </rv>
  <rv s="0">
    <fb>3386442</fb>
    <v>2</v>
  </rv>
  <rv s="0">
    <fb>45463</fb>
    <v>0</v>
  </rv>
  <rv s="0">
    <fb>173.92</fb>
    <v>1</v>
  </rv>
  <rv s="0">
    <fb>4723078</fb>
    <v>2</v>
  </rv>
  <rv s="0">
    <fb>45464</fb>
    <v>0</v>
  </rv>
  <rv s="0">
    <fb>172.46</fb>
    <v>1</v>
  </rv>
  <rv s="0">
    <fb>10182025</fb>
    <v>2</v>
  </rv>
  <rv s="0">
    <fb>45467</fb>
    <v>0</v>
  </rv>
  <rv s="0">
    <fb>175.01</fb>
    <v>1</v>
  </rv>
  <rv s="0">
    <fb>4864735</fb>
    <v>2</v>
  </rv>
  <rv s="0">
    <fb>45468</fb>
    <v>0</v>
  </rv>
  <rv s="0">
    <fb>172.6</fb>
    <v>1</v>
  </rv>
  <rv s="0">
    <fb>4119267</fb>
    <v>2</v>
  </rv>
  <rv s="0">
    <fb>45469</fb>
    <v>0</v>
  </rv>
  <rv s="0">
    <fb>171.87</fb>
    <v>1</v>
  </rv>
  <rv s="0">
    <fb>2779016</fb>
    <v>2</v>
  </rv>
  <rv s="0">
    <fb>45470</fb>
    <v>0</v>
  </rv>
  <rv s="0">
    <fb>170.85</fb>
    <v>1</v>
  </rv>
  <rv s="0">
    <fb>2894001</fb>
    <v>2</v>
  </rv>
  <rv s="0">
    <fb>45471</fb>
    <v>0</v>
  </rv>
  <rv s="0">
    <fb>172.95</fb>
    <v>1</v>
  </rv>
  <rv s="0">
    <fb>4193459</fb>
    <v>2</v>
  </rv>
  <rv s="0">
    <fb>45474</fb>
    <v>0</v>
  </rv>
  <rv s="0">
    <fb>175.1</fb>
    <v>1</v>
  </rv>
  <rv s="0">
    <fb>3320961</fb>
    <v>2</v>
  </rv>
  <rv s="0">
    <fb>45475</fb>
    <v>0</v>
  </rv>
  <rv s="0">
    <fb>177.3</fb>
    <v>1</v>
  </rv>
  <rv s="0">
    <fb>2883275</fb>
    <v>2</v>
  </rv>
  <rv s="0">
    <fb>45476</fb>
    <v>0</v>
  </rv>
  <rv s="0">
    <fb>175.73</fb>
    <v>1</v>
  </rv>
  <rv s="0">
    <fb>1649049</fb>
    <v>2</v>
  </rv>
  <rv s="0">
    <fb>45478</fb>
    <v>0</v>
  </rv>
  <rv s="0">
    <fb>176.02</fb>
    <v>1</v>
  </rv>
  <rv s="0">
    <fb>2085970</fb>
    <v>2</v>
  </rv>
  <rv s="0">
    <fb>45481</fb>
    <v>0</v>
  </rv>
  <rv s="0">
    <fb>177.64</fb>
    <v>1</v>
  </rv>
  <rv s="0">
    <fb>2503038</fb>
    <v>2</v>
  </rv>
  <rv s="0">
    <fb>45482</fb>
    <v>0</v>
  </rv>
  <rv s="0">
    <fb>176.48</fb>
    <v>1</v>
  </rv>
  <rv s="0">
    <fb>2513305</fb>
    <v>2</v>
  </rv>
  <rv s="0">
    <fb>45483</fb>
    <v>0</v>
  </rv>
  <rv s="0">
    <fb>177.84</fb>
    <v>1</v>
  </rv>
  <rv s="0">
    <fb>3462182</fb>
    <v>2</v>
  </rv>
  <rv s="0">
    <fb>45484</fb>
    <v>0</v>
  </rv>
  <rv s="0">
    <fb>178.31</fb>
    <v>1</v>
  </rv>
  <rv s="0">
    <fb>2807145</fb>
    <v>2</v>
  </rv>
  <rv s="0">
    <fb>45485</fb>
    <v>0</v>
  </rv>
  <rv s="0">
    <fb>182.83</fb>
    <v>1</v>
  </rv>
  <rv s="0">
    <fb>4785565</fb>
    <v>2</v>
  </rv>
  <rv s="0">
    <fb>45488</fb>
    <v>0</v>
  </rv>
  <rv s="0">
    <fb>182.88</fb>
    <v>1</v>
  </rv>
  <rv s="0">
    <fb>2925794</fb>
    <v>2</v>
  </rv>
  <rv s="0">
    <fb>45489</fb>
    <v>0</v>
  </rv>
  <rv s="0">
    <fb>185.81</fb>
    <v>1</v>
  </rv>
  <rv s="0">
    <fb>3374526</fb>
    <v>2</v>
  </rv>
  <rv s="0">
    <fb>45490</fb>
    <v>0</v>
  </rv>
  <rv s="0">
    <fb>187.45</fb>
    <v>1</v>
  </rv>
  <rv s="0">
    <fb>4225302</fb>
    <v>2</v>
  </rv>
  <rv s="0">
    <fb>45491</fb>
    <v>0</v>
  </rv>
  <rv s="0">
    <fb>185.22</fb>
    <v>1</v>
  </rv>
  <rv s="0">
    <fb>3487808</fb>
    <v>2</v>
  </rv>
  <rv s="0">
    <fb>45492</fb>
    <v>0</v>
  </rv>
  <rv s="0">
    <fb>183.25</fb>
    <v>1</v>
  </rv>
  <rv s="0">
    <fb>3816039</fb>
    <v>2</v>
  </rv>
  <rv s="0">
    <fb>45495</fb>
    <v>0</v>
  </rv>
  <rv s="0">
    <fb>184.15</fb>
    <v>1</v>
  </rv>
  <rv s="0">
    <fb>2488525</fb>
    <v>2</v>
  </rv>
  <rv s="0">
    <fb>45496</fb>
    <v>0</v>
  </rv>
  <rv s="0">
    <fb>2180225</fb>
    <v>2</v>
  </rv>
  <rv s="0">
    <fb>45497</fb>
    <v>0</v>
  </rv>
  <rv s="0">
    <fb>184.02</fb>
    <v>1</v>
  </rv>
  <rv s="0">
    <fb>6962071</fb>
    <v>2</v>
  </rv>
  <rv s="0">
    <fb>45498</fb>
    <v>0</v>
  </rv>
  <rv s="0">
    <fb>191.98</fb>
    <v>1</v>
  </rv>
  <rv s="0">
    <fb>9532802</fb>
    <v>2</v>
  </rv>
  <rv s="0">
    <fb>45499</fb>
    <v>0</v>
  </rv>
  <rv s="0">
    <fb>191.75</fb>
    <v>1</v>
  </rv>
  <rv s="0">
    <fb>4294875</fb>
    <v>2</v>
  </rv>
  <rv s="0">
    <fb>45502</fb>
    <v>0</v>
  </rv>
  <rv s="0">
    <fb>191.5</fb>
    <v>1</v>
  </rv>
  <rv s="0">
    <fb>3336806</fb>
    <v>2</v>
  </rv>
  <rv s="0">
    <fb>45503</fb>
    <v>0</v>
  </rv>
  <rv s="0">
    <fb>191.04</fb>
    <v>1</v>
  </rv>
  <rv s="0">
    <fb>3064978</fb>
    <v>2</v>
  </rv>
  <rv s="0">
    <fb>45504</fb>
    <v>0</v>
  </rv>
  <rv s="0">
    <fb>192.14</fb>
    <v>1</v>
  </rv>
  <rv s="0">
    <fb>5558405</fb>
    <v>2</v>
  </rv>
  <rv s="0">
    <fb>45505</fb>
    <v>0</v>
  </rv>
  <rv s="0">
    <fb>189.66</fb>
    <v>1</v>
  </rv>
  <rv s="0">
    <fb>4085354</fb>
    <v>2</v>
  </rv>
  <rv s="0">
    <fb>45506</fb>
    <v>0</v>
  </rv>
  <rv s="0">
    <fb>189.12</fb>
    <v>1</v>
  </rv>
  <rv s="0">
    <fb>4548824</fb>
    <v>2</v>
  </rv>
  <rv s="0">
    <fb>45509</fb>
    <v>0</v>
  </rv>
  <rv s="0">
    <fb>183.31</fb>
    <v>1</v>
  </rv>
  <rv s="0">
    <fb>4975002</fb>
    <v>2</v>
  </rv>
  <rv s="0">
    <fb>45510</fb>
    <v>0</v>
  </rv>
  <rv s="0">
    <fb>186.8</fb>
    <v>1</v>
  </rv>
  <rv s="0">
    <fb>3632517</fb>
    <v>2</v>
  </rv>
  <rv s="0">
    <fb>45511</fb>
    <v>0</v>
  </rv>
  <rv s="0">
    <fb>3801942</fb>
    <v>2</v>
  </rv>
  <rv s="0">
    <fb>45512</fb>
    <v>0</v>
  </rv>
  <rv s="0">
    <fb>192.61</fb>
    <v>1</v>
  </rv>
  <rv s="0">
    <fb>3712698</fb>
    <v>2</v>
  </rv>
  <rv s="0">
    <fb>45513</fb>
    <v>0</v>
  </rv>
  <rv s="0">
    <fb>191.45</fb>
    <v>1</v>
  </rv>
  <rv s="0">
    <fb>2773706</fb>
    <v>2</v>
  </rv>
  <rv s="0">
    <fb>45516</fb>
    <v>0</v>
  </rv>
  <rv s="0">
    <fb>189.48</fb>
    <v>1</v>
  </rv>
  <rv s="0">
    <fb>2290421</fb>
    <v>2</v>
  </rv>
  <rv s="0">
    <fb>45517</fb>
    <v>0</v>
  </rv>
  <rv s="0">
    <fb>190.99</fb>
    <v>1</v>
  </rv>
  <rv s="0">
    <fb>2178862</fb>
    <v>2</v>
  </rv>
  <rv s="0">
    <fb>45518</fb>
    <v>0</v>
  </rv>
  <rv s="0">
    <fb>192.32</fb>
    <v>1</v>
  </rv>
  <rv s="0">
    <fb>1895114</fb>
    <v>2</v>
  </rv>
  <rv s="0">
    <fb>45519</fb>
    <v>0</v>
  </rv>
  <rv s="0">
    <fb>193.95</fb>
    <v>1</v>
  </rv>
  <rv s="0">
    <fb>2471985</fb>
    <v>2</v>
  </rv>
  <rv s="0">
    <fb>45520</fb>
    <v>0</v>
  </rv>
  <rv s="0">
    <fb>193.78</fb>
    <v>1</v>
  </rv>
  <rv s="0">
    <fb>2494472</fb>
    <v>2</v>
  </rv>
  <rv s="0">
    <fb>45523</fb>
    <v>0</v>
  </rv>
  <rv s="0">
    <fb>194.73</fb>
    <v>1</v>
  </rv>
  <rv s="0">
    <fb>2361378</fb>
    <v>2</v>
  </rv>
  <rv s="0">
    <fb>45524</fb>
    <v>0</v>
  </rv>
  <rv s="0">
    <fb>196.03</fb>
    <v>1</v>
  </rv>
  <rv s="0">
    <fb>1790371</fb>
    <v>2</v>
  </rv>
  <rv s="0">
    <fb>45525</fb>
    <v>0</v>
  </rv>
  <rv s="0">
    <fb>197.21</fb>
    <v>1</v>
  </rv>
  <rv s="0">
    <fb>2579343</fb>
    <v>2</v>
  </rv>
  <rv s="0">
    <fb>45526</fb>
    <v>0</v>
  </rv>
  <rv s="0">
    <fb>195.96</fb>
    <v>1</v>
  </rv>
  <rv s="0">
    <fb>1969496</fb>
    <v>2</v>
  </rv>
  <rv s="0">
    <fb>45527</fb>
    <v>0</v>
  </rv>
  <rv s="0">
    <fb>196.1</fb>
    <v>1</v>
  </rv>
  <rv s="0">
    <fb>2321961</fb>
    <v>2</v>
  </rv>
  <rv s="0">
    <fb>45530</fb>
    <v>0</v>
  </rv>
  <rv s="0">
    <fb>197.98</fb>
    <v>1</v>
  </rv>
  <rv s="0">
    <fb>2567217</fb>
    <v>2</v>
  </rv>
  <rv s="0">
    <fb>45531</fb>
    <v>0</v>
  </rv>
  <rv s="0">
    <fb>198.73</fb>
    <v>1</v>
  </rv>
  <rv s="0">
    <fb>2617229</fb>
    <v>2</v>
  </rv>
  <rv s="0">
    <fb>45532</fb>
    <v>0</v>
  </rv>
  <rv s="0">
    <fb>198.46</fb>
    <v>1</v>
  </rv>
  <rv s="0">
    <fb>2645244</fb>
    <v>2</v>
  </rv>
  <rv s="0">
    <fb>45533</fb>
    <v>0</v>
  </rv>
  <rv s="0">
    <fb>198.9</fb>
    <v>1</v>
  </rv>
  <rv s="0">
    <fb>2989594</fb>
    <v>2</v>
  </rv>
  <rv s="0">
    <fb>45534</fb>
    <v>0</v>
  </rv>
  <rv s="0">
    <fb>202.13</fb>
    <v>1</v>
  </rv>
  <rv s="0">
    <fb>4750999</fb>
    <v>2</v>
  </rv>
  <rv s="0">
    <fb>45538</fb>
    <v>0</v>
  </rv>
  <rv s="0">
    <fb>201.28</fb>
    <v>1</v>
  </rv>
  <rv s="0">
    <fb>3874697</fb>
    <v>2</v>
  </rv>
  <rv s="0">
    <fb>45539</fb>
    <v>0</v>
  </rv>
  <rv s="0">
    <fb>204.11</fb>
    <v>1</v>
  </rv>
  <rv s="0">
    <fb>3142476</fb>
    <v>2</v>
  </rv>
  <rv s="0">
    <fb>45540</fb>
    <v>0</v>
  </rv>
  <rv s="0">
    <fb>202.59</fb>
    <v>1</v>
  </rv>
  <rv s="0">
    <fb>3229345</fb>
    <v>2</v>
  </rv>
  <rv s="0">
    <fb>45541</fb>
    <v>0</v>
  </rv>
  <rv s="0">
    <fb>200.74</fb>
    <v>1</v>
  </rv>
  <rv s="0">
    <fb>3304491</fb>
    <v>2</v>
  </rv>
  <rv s="0">
    <fb>45544</fb>
    <v>0</v>
  </rv>
  <rv s="0">
    <fb>203.53</fb>
    <v>1</v>
  </rv>
  <rv s="0">
    <fb>3705004</fb>
    <v>2</v>
  </rv>
  <rv s="0">
    <fb>45545</fb>
    <v>0</v>
  </rv>
  <rv s="0">
    <fb>205.32</fb>
    <v>1</v>
  </rv>
  <rv s="0">
    <fb>3070644</fb>
    <v>2</v>
  </rv>
  <rv s="0">
    <fb>45546</fb>
    <v>0</v>
  </rv>
  <rv s="0">
    <fb>209.89</fb>
    <v>1</v>
  </rv>
  <rv s="0">
    <fb>5554309</fb>
    <v>2</v>
  </rv>
  <rv s="0">
    <fb>45547</fb>
    <v>0</v>
  </rv>
  <rv s="0">
    <fb>211.61</fb>
    <v>1</v>
  </rv>
  <rv s="0">
    <fb>4616446</fb>
    <v>2</v>
  </rv>
  <rv s="0">
    <fb>45548</fb>
    <v>0</v>
  </rv>
  <rv s="0">
    <fb>214.79</fb>
    <v>1</v>
  </rv>
  <rv s="0">
    <fb>4572344</fb>
    <v>2</v>
  </rv>
  <rv s="0">
    <fb>45551</fb>
    <v>0</v>
  </rv>
  <rv s="0">
    <fb>217.16</fb>
    <v>1</v>
  </rv>
  <rv s="0">
    <fb>4176257</fb>
    <v>2</v>
  </rv>
  <rv s="0">
    <fb>45552</fb>
    <v>0</v>
  </rv>
  <rv s="0">
    <fb>214.13</fb>
    <v>1</v>
  </rv>
  <rv s="0">
    <fb>5635210</fb>
    <v>2</v>
  </rv>
  <rv s="0">
    <fb>45553</fb>
    <v>0</v>
  </rv>
  <rv s="0">
    <fb>214.94</fb>
    <v>1</v>
  </rv>
  <rv s="0">
    <fb>3482764</fb>
    <v>2</v>
  </rv>
  <rv s="0">
    <fb>45554</fb>
    <v>0</v>
  </rv>
  <rv s="0">
    <fb>213.89</fb>
    <v>1</v>
  </rv>
  <rv s="0">
    <fb>5279559</fb>
    <v>2</v>
  </rv>
  <rv s="0">
    <fb>45555</fb>
    <v>0</v>
  </rv>
  <rv s="0">
    <fb>217.7</fb>
    <v>1</v>
  </rv>
  <rv s="0">
    <fb>9958980</fb>
    <v>2</v>
  </rv>
  <rv s="0">
    <fb>45558</fb>
    <v>0</v>
  </rv>
  <rv s="0">
    <fb>220.5</fb>
    <v>1</v>
  </rv>
  <rv s="0">
    <fb>4074755</fb>
    <v>2</v>
  </rv>
  <rv s="0">
    <fb>45559</fb>
    <v>0</v>
  </rv>
  <rv s="0">
    <fb>220.97</fb>
    <v>1</v>
  </rv>
  <rv s="0">
    <fb>3184114</fb>
    <v>2</v>
  </rv>
  <rv s="0">
    <fb>45560</fb>
    <v>0</v>
  </rv>
  <rv s="0">
    <fb>221.23</fb>
    <v>1</v>
  </rv>
  <rv s="0">
    <fb>2537751</fb>
    <v>2</v>
  </rv>
  <rv s="0">
    <fb>45561</fb>
    <v>0</v>
  </rv>
  <rv s="0">
    <fb>223.43</fb>
    <v>1</v>
  </rv>
  <rv s="0">
    <fb>2673210</fb>
    <v>2</v>
  </rv>
  <rv s="0">
    <fb>45562</fb>
    <v>0</v>
  </rv>
  <rv s="0">
    <fb>220.84</fb>
    <v>1</v>
  </rv>
  <rv s="0">
    <fb>3830335</fb>
    <v>2</v>
  </rv>
  <rv s="0">
    <fb>45565</fb>
    <v>0</v>
  </rv>
  <rv s="0">
    <fb>221.08</fb>
    <v>1</v>
  </rv>
  <rv s="0">
    <fb>3544264</fb>
    <v>2</v>
  </rv>
  <rv s="0">
    <fb>45566</fb>
    <v>0</v>
  </rv>
  <rv s="0">
    <fb>219.35</fb>
    <v>1</v>
  </rv>
  <rv s="0">
    <fb>3548374</fb>
    <v>2</v>
  </rv>
  <rv s="0">
    <fb>45567</fb>
    <v>0</v>
  </rv>
  <rv s="0">
    <fb>219.73</fb>
    <v>1</v>
  </rv>
  <rv s="0">
    <fb>3343399</fb>
    <v>2</v>
  </rv>
  <rv s="0">
    <fb>45568</fb>
    <v>0</v>
  </rv>
  <rv s="0">
    <fb>222.72</fb>
    <v>1</v>
  </rv>
  <rv s="0">
    <fb>3788265</fb>
    <v>2</v>
  </rv>
  <rv s="0">
    <fb>45569</fb>
    <v>0</v>
  </rv>
  <rv s="0">
    <fb>226</fb>
    <v>1</v>
  </rv>
  <rv s="0">
    <fb>3554328</fb>
    <v>2</v>
  </rv>
  <rv s="0">
    <fb>45572</fb>
    <v>0</v>
  </rv>
  <rv s="0">
    <fb>227.12</fb>
    <v>1</v>
  </rv>
  <rv s="0">
    <fb>3457952</fb>
    <v>2</v>
  </rv>
  <rv s="0">
    <fb>45573</fb>
    <v>0</v>
  </rv>
  <rv s="0">
    <fb>228.62</fb>
    <v>1</v>
  </rv>
  <rv s="0">
    <fb>3245342</fb>
    <v>2</v>
  </rv>
  <rv s="0">
    <fb>45574</fb>
    <v>0</v>
  </rv>
  <rv s="0">
    <fb>234.3</fb>
    <v>1</v>
  </rv>
  <rv s="0">
    <fb>5083566</fb>
    <v>2</v>
  </rv>
  <rv s="0">
    <fb>45575</fb>
    <v>0</v>
  </rv>
  <rv s="0">
    <fb>233.02</fb>
    <v>1</v>
  </rv>
  <rv s="0">
    <fb>3142031</fb>
    <v>2</v>
  </rv>
  <rv s="0">
    <fb>45576</fb>
    <v>0</v>
  </rv>
  <rv s="0">
    <fb>233.26</fb>
    <v>1</v>
  </rv>
  <rv s="0">
    <fb>3469322</fb>
    <v>2</v>
  </rv>
  <rv s="0">
    <fb>45579</fb>
    <v>0</v>
  </rv>
  <rv s="0">
    <fb>235.26</fb>
    <v>1</v>
  </rv>
  <rv s="0">
    <fb>2524389</fb>
    <v>2</v>
  </rv>
  <rv s="0">
    <fb>45580</fb>
    <v>0</v>
  </rv>
  <rv s="0">
    <fb>232.96</fb>
    <v>1</v>
  </rv>
  <rv s="0">
    <fb>3350556</fb>
    <v>2</v>
  </rv>
  <rv s="0">
    <fb>45581</fb>
    <v>0</v>
  </rv>
  <rv s="0">
    <fb>233.67</fb>
    <v>1</v>
  </rv>
  <rv s="0">
    <fb>2846669</fb>
    <v>2</v>
  </rv>
  <rv s="0">
    <fb>45582</fb>
    <v>0</v>
  </rv>
  <rv s="0">
    <fb>232.88</fb>
    <v>1</v>
  </rv>
  <rv s="0">
    <fb>5040092</fb>
    <v>2</v>
  </rv>
  <rv s="0">
    <fb>45583</fb>
    <v>0</v>
  </rv>
  <rv s="0">
    <fb>232.2</fb>
    <v>1</v>
  </rv>
  <rv s="0">
    <fb>4715688</fb>
    <v>2</v>
  </rv>
  <rv s="0">
    <fb>45586</fb>
    <v>0</v>
  </rv>
  <rv s="0">
    <fb>231.75</fb>
    <v>1</v>
  </rv>
  <rv s="0">
    <fb>2733336</fb>
    <v>2</v>
  </rv>
  <rv s="0">
    <fb>45587</fb>
    <v>0</v>
  </rv>
  <rv s="0">
    <fb>232.25</fb>
    <v>1</v>
  </rv>
  <rv s="0">
    <fb>3180807</fb>
    <v>2</v>
  </rv>
  <rv s="0">
    <fb>45588</fb>
    <v>0</v>
  </rv>
  <rv s="0">
    <fb>232.75</fb>
    <v>1</v>
  </rv>
  <rv s="0">
    <fb>5791002</fb>
    <v>2</v>
  </rv>
  <rv s="0">
    <fb>45589</fb>
    <v>0</v>
  </rv>
  <rv s="0">
    <fb>218.39</fb>
    <v>1</v>
  </rv>
  <rv s="0">
    <fb>11193440</fb>
    <v>2</v>
  </rv>
  <rv s="0">
    <fb>45590</fb>
    <v>0</v>
  </rv>
  <rv s="0">
    <fb>214.67</fb>
    <v>1</v>
  </rv>
  <rv s="0">
    <fb>8482235</fb>
    <v>2</v>
  </rv>
  <rv s="0">
    <fb>45593</fb>
    <v>0</v>
  </rv>
  <rv s="0">
    <fb>212.91</fb>
    <v>1</v>
  </rv>
  <rv s="0">
    <fb>4993343</fb>
    <v>2</v>
  </rv>
  <rv s="0">
    <fb>45594</fb>
    <v>0</v>
  </rv>
  <rv s="0">
    <fb>210.43</fb>
    <v>1</v>
  </rv>
  <rv s="0">
    <fb>5258366</fb>
    <v>2</v>
  </rv>
  <rv s="0">
    <fb>45595</fb>
    <v>0</v>
  </rv>
  <rv s="0">
    <fb>204.9</fb>
    <v>1</v>
  </rv>
  <rv s="0">
    <fb>6956624</fb>
    <v>2</v>
  </rv>
  <rv s="0">
    <fb>45596</fb>
    <v>0</v>
  </rv>
  <rv s="0">
    <fb>206.72</fb>
    <v>1</v>
  </rv>
  <rv s="0">
    <fb>5925250</fb>
    <v>2</v>
  </rv>
  <rv s="0">
    <fb>45597</fb>
    <v>0</v>
  </rv>
  <rv s="0">
    <fb>208.25</fb>
    <v>1</v>
  </rv>
  <rv s="0">
    <fb>3334308</fb>
    <v>2</v>
  </rv>
  <rv s="0">
    <fb>45600</fb>
    <v>0</v>
  </rv>
  <rv s="0">
    <fb>206.32</fb>
    <v>1</v>
  </rv>
  <rv s="0">
    <fb>2594119</fb>
    <v>2</v>
  </rv>
  <rv s="0">
    <fb>45601</fb>
    <v>0</v>
  </rv>
  <rv s="0">
    <fb>207.57</fb>
    <v>1</v>
  </rv>
  <rv s="0">
    <fb>2441535</fb>
    <v>2</v>
  </rv>
  <rv s="0">
    <fb>45602</fb>
    <v>0</v>
  </rv>
  <rv s="0">
    <fb>213.6</fb>
    <v>1</v>
  </rv>
  <rv s="0">
    <fb>3934386</fb>
    <v>2</v>
  </rv>
  <rv s="0">
    <fb>45603</fb>
    <v>0</v>
  </rv>
  <rv s="0">
    <fb>213.69</fb>
    <v>1</v>
  </rv>
  <rv s="0">
    <fb>3675812</fb>
    <v>2</v>
  </rv>
  <rv s="0">
    <fb>45604</fb>
    <v>0</v>
  </rv>
  <rv s="0">
    <fb>213.72</fb>
    <v>1</v>
  </rv>
  <rv s="0">
    <fb>3201038</fb>
    <v>2</v>
  </rv>
  <rv s="0">
    <fb>45607</fb>
    <v>0</v>
  </rv>
  <rv s="0">
    <fb>213.57</fb>
    <v>1</v>
  </rv>
  <rv s="0">
    <fb>3012987</fb>
    <v>2</v>
  </rv>
  <rv s="0">
    <fb>45608</fb>
    <v>0</v>
  </rv>
  <rv s="0">
    <fb>210.86</fb>
    <v>1</v>
  </rv>
  <rv s="0">
    <fb>2818216</fb>
    <v>2</v>
  </rv>
  <rv s="0">
    <fb>45609</fb>
    <v>0</v>
  </rv>
  <rv s="0">
    <fb>210.92</fb>
    <v>1</v>
  </rv>
  <rv s="0">
    <fb>3247830</fb>
    <v>2</v>
  </rv>
  <rv s="0">
    <fb>45610</fb>
    <v>0</v>
  </rv>
  <rv s="0">
    <fb>208.99</fb>
    <v>1</v>
  </rv>
  <rv s="0">
    <fb>6372853</fb>
    <v>2</v>
  </rv>
  <rv s="0">
    <fb>45611</fb>
    <v>0</v>
  </rv>
  <rv s="0">
    <fb>204.99</fb>
    <v>1</v>
  </rv>
  <rv s="0">
    <fb>3986460</fb>
    <v>2</v>
  </rv>
  <rv s="0">
    <fb>45614</fb>
    <v>0</v>
  </rv>
  <rv s="0">
    <fb>208.09</fb>
    <v>1</v>
  </rv>
  <rv s="0">
    <fb>3406045</fb>
    <v>2</v>
  </rv>
  <rv s="0">
    <fb>45615</fb>
    <v>0</v>
  </rv>
  <rv s="0">
    <fb>210.25</fb>
    <v>1</v>
  </rv>
  <rv s="0">
    <fb>2860746</fb>
    <v>2</v>
  </rv>
  <rv s="0">
    <fb>45616</fb>
    <v>0</v>
  </rv>
  <rv s="0">
    <fb>214.6</fb>
    <v>1</v>
  </rv>
  <rv s="0">
    <fb>4562901</fb>
    <v>2</v>
  </rv>
  <rv s="0">
    <fb>45617</fb>
    <v>0</v>
  </rv>
  <rv s="0">
    <fb>222.4</fb>
    <v>1</v>
  </rv>
  <rv s="0">
    <fb>5236434</fb>
    <v>2</v>
  </rv>
  <rv s="0">
    <fb>45618</fb>
    <v>0</v>
  </rv>
  <rv s="0">
    <fb>222.97</fb>
    <v>1</v>
  </rv>
  <rv s="0">
    <fb>5320740</fb>
    <v>2</v>
  </rv>
  <rv s="0">
    <fb>45621</fb>
    <v>0</v>
  </rv>
  <rv s="0">
    <fb>226.13</fb>
    <v>1</v>
  </rv>
  <rv s="0">
    <fb>7189260</fb>
    <v>2</v>
  </rv>
  <rv s="0">
    <fb>45622</fb>
    <v>0</v>
  </rv>
  <rv s="0">
    <fb>228.83</fb>
    <v>1</v>
  </rv>
  <rv s="0">
    <fb>4449543</fb>
    <v>2</v>
  </rv>
  <rv s="0">
    <fb>45623</fb>
    <v>0</v>
  </rv>
  <rv s="0">
    <fb>226.92</fb>
    <v>1</v>
  </rv>
  <rv s="0">
    <fb>2995121</fb>
    <v>2</v>
  </rv>
  <rv s="0">
    <fb>45625</fb>
    <v>0</v>
  </rv>
  <rv s="0">
    <fb>227.41</fb>
    <v>1</v>
  </rv>
  <rv s="0">
    <fb>2640253</fb>
    <v>2</v>
  </rv>
  <rv s="0">
    <fb>45628</fb>
    <v>0</v>
  </rv>
  <rv s="0">
    <fb>227.39</fb>
    <v>1</v>
  </rv>
  <rv s="0">
    <fb>2656181</fb>
    <v>2</v>
  </rv>
  <rv s="0">
    <fb>45629</fb>
    <v>0</v>
  </rv>
  <rv s="0">
    <fb>229</fb>
    <v>1</v>
  </rv>
  <rv s="0">
    <fb>3163815</fb>
    <v>2</v>
  </rv>
  <rv s="0">
    <fb>45630</fb>
    <v>0</v>
  </rv>
  <rv s="0">
    <fb>233.49</fb>
    <v>1</v>
  </rv>
  <rv s="0">
    <fb>4104195</fb>
    <v>2</v>
  </rv>
  <rv s="0">
    <fb>45631</fb>
    <v>0</v>
  </rv>
  <rv s="0">
    <fb>234.75</fb>
    <v>1</v>
  </rv>
  <rv s="0">
    <fb>4791116</fb>
    <v>2</v>
  </rv>
  <rv s="0">
    <fb>45632</fb>
    <v>0</v>
  </rv>
  <rv s="0">
    <fb>238.04</fb>
    <v>1</v>
  </rv>
  <rv s="0">
    <fb>4028430</fb>
    <v>2</v>
  </rv>
  <rv s="0">
    <fb>45635</fb>
    <v>0</v>
  </rv>
  <rv s="0">
    <fb>230</fb>
    <v>1</v>
  </rv>
  <rv s="0">
    <fb>4970449</fb>
    <v>2</v>
  </rv>
  <rv s="0">
    <fb>45636</fb>
    <v>0</v>
  </rv>
  <rv s="0">
    <fb>231.72</fb>
    <v>1</v>
  </rv>
  <rv s="0">
    <fb>4769531</fb>
    <v>2</v>
  </rv>
  <rv s="0">
    <fb>45637</fb>
    <v>0</v>
  </rv>
  <rv s="0">
    <fb>230.12</fb>
    <v>1</v>
  </rv>
  <rv s="0">
    <fb>3872680</fb>
    <v>2</v>
  </rv>
  <rv s="0">
    <fb>45638</fb>
    <v>0</v>
  </rv>
  <rv s="0">
    <fb>232.26</fb>
    <v>1</v>
  </rv>
  <rv s="0">
    <fb>4515741</fb>
    <v>2</v>
  </rv>
  <rv s="0">
    <fb>45639</fb>
    <v>0</v>
  </rv>
  <rv s="0">
    <fb>230.82</fb>
    <v>1</v>
  </rv>
  <rv s="0">
    <fb>2757683</fb>
    <v>2</v>
  </rv>
  <rv s="0">
    <fb>45642</fb>
    <v>0</v>
  </rv>
  <rv s="0">
    <fb>229.33</fb>
    <v>1</v>
  </rv>
  <rv s="0">
    <fb>3610257</fb>
    <v>2</v>
  </rv>
  <rv s="0">
    <fb>45643</fb>
    <v>0</v>
  </rv>
  <rv s="0">
    <fb>228.97</fb>
    <v>1</v>
  </rv>
  <rv s="0">
    <fb>3651346</fb>
    <v>2</v>
  </rv>
  <rv s="0">
    <fb>45644</fb>
    <v>0</v>
  </rv>
  <rv s="0">
    <fb>220.17</fb>
    <v>1</v>
  </rv>
  <rv s="0">
    <fb>4152517</fb>
    <v>2</v>
  </rv>
  <rv s="0">
    <fb>45645</fb>
    <v>0</v>
  </rv>
  <rv s="0">
    <fb>223.92</fb>
    <v>1</v>
  </rv>
  <rv s="0">
    <fb>4430120</fb>
    <v>2</v>
  </rv>
  <rv s="0">
    <fb>45646</fb>
    <v>0</v>
  </rv>
  <rv s="0">
    <fb>223.36</fb>
    <v>1</v>
  </rv>
  <rv s="0">
    <fb>12423200</fb>
    <v>2</v>
  </rv>
  <rv s="0">
    <fb>45649</fb>
    <v>0</v>
  </rv>
  <rv s="0">
    <fb>221.93</fb>
    <v>1</v>
  </rv>
  <rv s="0">
    <fb>2988137</fb>
    <v>2</v>
  </rv>
  <rv s="0">
    <fb>45650</fb>
    <v>0</v>
  </rv>
  <rv s="0">
    <fb>224.41</fb>
    <v>1</v>
  </rv>
  <rv s="0">
    <fb>1186216</fb>
    <v>2</v>
  </rv>
  <rv s="0">
    <fb>45652</fb>
    <v>0</v>
  </rv>
  <rv s="0">
    <fb>224.89</fb>
    <v>1</v>
  </rv>
  <rv s="0">
    <fb>3287238</fb>
    <v>2</v>
  </rv>
  <rv s="0">
    <fb>45653</fb>
    <v>0</v>
  </rv>
  <rv s="0">
    <fb>222.78</fb>
    <v>1</v>
  </rv>
  <rv s="0">
    <fb>1810760</fb>
    <v>2</v>
  </rv>
  <rv s="0">
    <fb>45656</fb>
    <v>0</v>
  </rv>
  <rv s="0">
    <fb>220.25</fb>
    <v>1</v>
  </rv>
  <rv s="0">
    <fb>2095565</fb>
    <v>2</v>
  </rv>
  <rv s="0">
    <fb>45657</fb>
    <v>0</v>
  </rv>
  <rv s="0">
    <fb>219.83</fb>
    <v>1</v>
  </rv>
  <rv s="0">
    <fb>2270512</fb>
    <v>2</v>
  </rv>
  <rv s="0">
    <fb>45659</fb>
    <v>0</v>
  </rv>
  <rv s="0">
    <fb>219.94</fb>
    <v>1</v>
  </rv>
  <rv s="0">
    <fb>2579498</fb>
    <v>2</v>
  </rv>
  <rv s="0">
    <fb>45660</fb>
    <v>0</v>
  </rv>
  <rv s="0">
    <fb>222.65</fb>
    <v>1</v>
  </rv>
  <rv s="0">
    <fb>3873578</fb>
    <v>2</v>
  </rv>
  <rv s="0">
    <fb>45663</fb>
    <v>0</v>
  </rv>
  <rv s="0">
    <fb>222.67</fb>
    <v>1</v>
  </rv>
  <rv s="0">
    <fb>2847128</fb>
    <v>2</v>
  </rv>
  <rv s="0">
    <fb>45664</fb>
    <v>0</v>
  </rv>
  <rv s="0">
    <fb>223.96</fb>
    <v>1</v>
  </rv>
  <rv s="0">
    <fb>3299701</fb>
    <v>2</v>
  </rv>
  <rv s="0">
    <fb>45665</fb>
    <v>0</v>
  </rv>
  <rv s="0">
    <fb>223.18</fb>
    <v>1</v>
  </rv>
  <rv s="0">
    <fb>2619768</fb>
    <v>2</v>
  </rv>
  <rv s="0">
    <fb>45667</fb>
    <v>0</v>
  </rv>
  <rv s="0">
    <fb>219.75</fb>
    <v>1</v>
  </rv>
  <rv s="0">
    <fb>3570497</fb>
    <v>2</v>
  </rv>
  <rv s="0">
    <fb>45670</fb>
    <v>0</v>
  </rv>
  <rv s="0">
    <fb>217.4</fb>
    <v>1</v>
  </rv>
  <rv s="0">
    <fb>3716816</fb>
    <v>2</v>
  </rv>
  <rv s="0">
    <fb>45671</fb>
    <v>0</v>
  </rv>
  <rv s="0">
    <fb>217.75</fb>
    <v>1</v>
  </rv>
  <rv s="0">
    <fb>3485829</fb>
    <v>2</v>
  </rv>
  <rv s="0">
    <fb>45672</fb>
    <v>0</v>
  </rv>
  <rv s="0">
    <fb>220.03</fb>
    <v>1</v>
  </rv>
  <rv s="0">
    <fb>2951825</fb>
    <v>2</v>
  </rv>
  <rv s="0">
    <fb>45673</fb>
    <v>0</v>
  </rv>
  <rv s="0">
    <fb>222.66</fb>
    <v>1</v>
  </rv>
  <rv s="0">
    <fb>3329060</fb>
    <v>2</v>
  </rv>
  <rv s="0">
    <fb>45674</fb>
    <v>0</v>
  </rv>
  <rv s="0">
    <fb>224.79</fb>
    <v>1</v>
  </rv>
  <rv s="0">
    <fb>5506837</fb>
    <v>2</v>
  </rv>
  <rv s="0">
    <fb>45678</fb>
    <v>0</v>
  </rv>
  <rv s="0">
    <fb>224.26</fb>
    <v>1</v>
  </rv>
  <rv s="0">
    <fb>3982203</fb>
    <v>2</v>
  </rv>
  <rv s="0">
    <fb>45679</fb>
    <v>0</v>
  </rv>
  <rv s="0">
    <fb>223.26</fb>
    <v>1</v>
  </rv>
  <rv s="0">
    <fb>4759490</fb>
    <v>2</v>
  </rv>
  <rv s="0">
    <fb>45680</fb>
    <v>0</v>
  </rv>
  <rv s="0">
    <fb>226.04</fb>
    <v>1</v>
  </rv>
  <rv s="0">
    <fb>3619651</fb>
    <v>2</v>
  </rv>
  <rv s="0">
    <fb>45681</fb>
    <v>0</v>
  </rv>
  <rv s="0">
    <fb>224.8</fb>
    <v>1</v>
  </rv>
  <rv s="0">
    <fb>3233293</fb>
    <v>2</v>
  </rv>
  <rv s="0">
    <fb>45684</fb>
    <v>0</v>
  </rv>
  <rv s="0">
    <fb>224.13</fb>
    <v>1</v>
  </rv>
  <rv s="0">
    <fb>4898355</fb>
    <v>2</v>
  </rv>
  <rv s="0">
    <fb>45685</fb>
    <v>0</v>
  </rv>
  <rv s="0">
    <fb>225.66</fb>
    <v>1</v>
  </rv>
  <rv s="0">
    <fb>4485429</fb>
    <v>2</v>
  </rv>
  <rv s="0">
    <fb>45686</fb>
    <v>0</v>
  </rv>
  <rv s="0">
    <fb>228.63</fb>
    <v>1</v>
  </rv>
  <rv s="0">
    <fb>7079804</fb>
    <v>2</v>
  </rv>
  <rv s="0">
    <fb>45687</fb>
    <v>0</v>
  </rv>
  <rv s="0">
    <fb>258.27</fb>
    <v>1</v>
  </rv>
  <rv s="0">
    <fb>15381890</fb>
    <v>2</v>
  </rv>
  <rv s="0">
    <fb>45688</fb>
    <v>0</v>
  </rv>
  <rv s="0">
    <fb>255.7</fb>
    <v>1</v>
  </rv>
  <rv s="0">
    <fb>7203519</fb>
    <v>2</v>
  </rv>
  <rv s="0">
    <fb>45691</fb>
    <v>0</v>
  </rv>
  <rv s="0">
    <fb>260.73</fb>
    <v>1</v>
  </rv>
  <rv s="0">
    <fb>8408523</fb>
    <v>2</v>
  </rv>
  <rv s="0">
    <fb>45692</fb>
    <v>0</v>
  </rv>
  <rv s="0">
    <fb>264.45999999999998</fb>
    <v>1</v>
  </rv>
  <rv s="0">
    <fb>6077652</fb>
    <v>2</v>
  </rv>
  <rv s="0">
    <fb>45693</fb>
    <v>0</v>
  </rv>
  <rv s="0">
    <fb>263.3</fb>
    <v>1</v>
  </rv>
  <rv s="0">
    <fb>6165096</fb>
    <v>2</v>
  </rv>
  <rv s="0">
    <fb>45694</fb>
    <v>0</v>
  </rv>
  <rv s="0">
    <fb>253.44</fb>
    <v>1</v>
  </rv>
  <rv s="0">
    <fb>6128293</fb>
    <v>2</v>
  </rv>
  <rv s="0">
    <fb>45695</fb>
    <v>0</v>
  </rv>
  <rv s="0">
    <fb>252.34</fb>
    <v>1</v>
  </rv>
  <rv s="0">
    <fb>3370284</fb>
    <v>2</v>
  </rv>
  <rv s="0">
    <fb>45698</fb>
    <v>0</v>
  </rv>
  <rv s="0">
    <fb>249.27</fb>
    <v>1</v>
  </rv>
  <rv s="0">
    <fb>3564400</fb>
    <v>2</v>
  </rv>
  <rv s="0">
    <fb>45699</fb>
    <v>0</v>
  </rv>
  <rv s="0">
    <fb>254.7</fb>
    <v>1</v>
  </rv>
  <rv s="0">
    <fb>4801550</fb>
    <v>2</v>
  </rv>
  <rv s="0">
    <fb>45700</fb>
    <v>0</v>
  </rv>
  <rv s="0">
    <fb>255.81</fb>
    <v>1</v>
  </rv>
  <rv s="0">
    <fb>3075308</fb>
    <v>2</v>
  </rv>
  <rv s="0">
    <fb>45701</fb>
    <v>0</v>
  </rv>
  <rv s="0">
    <fb>259.19</fb>
    <v>1</v>
  </rv>
  <rv s="0">
    <fb>4531538</fb>
    <v>2</v>
  </rv>
  <rv s="0">
    <fb>45702</fb>
    <v>0</v>
  </rv>
  <rv s="0">
    <fb>261.27999999999997</fb>
    <v>1</v>
  </rv>
  <rv s="0">
    <fb>3925277</fb>
    <v>2</v>
  </rv>
  <rv s="0">
    <fb>45706</fb>
    <v>0</v>
  </rv>
  <rv s="0">
    <fb>263.07</fb>
    <v>1</v>
  </rv>
  <rv s="0">
    <fb>4262812</fb>
    <v>2</v>
  </rv>
  <rv s="0">
    <fb>45707</fb>
    <v>0</v>
  </rv>
  <rv s="0">
    <fb>264.32</fb>
    <v>1</v>
  </rv>
  <rv s="0">
    <fb>3718678</fb>
    <v>2</v>
  </rv>
  <rv s="0">
    <fb>45708</fb>
    <v>0</v>
  </rv>
  <rv s="0">
    <fb>264.74</fb>
    <v>1</v>
  </rv>
  <rv s="0">
    <fb>4884805</fb>
    <v>2</v>
  </rv>
  <rv s="0">
    <fb>45709</fb>
    <v>0</v>
  </rv>
  <rv s="0">
    <fb>261.48</fb>
    <v>1</v>
  </rv>
  <rv s="0">
    <fb>5667874</fb>
    <v>2</v>
  </rv>
  <rv s="0">
    <fb>45712</fb>
    <v>0</v>
  </rv>
  <rv s="0">
    <fb>261.87</fb>
    <v>1</v>
  </rv>
  <rv s="0">
    <fb>4398107</fb>
    <v>2</v>
  </rv>
  <rv s="0">
    <fb>45713</fb>
    <v>0</v>
  </rv>
  <rv s="0">
    <fb>257.75</fb>
    <v>1</v>
  </rv>
  <rv s="0">
    <fb>6292487</fb>
    <v>2</v>
  </rv>
  <rv s="0">
    <fb>45714</fb>
    <v>0</v>
  </rv>
  <rv s="0">
    <fb>255.84</fb>
    <v>1</v>
  </rv>
  <rv s="0">
    <fb>3460124</fb>
    <v>2</v>
  </rv>
  <rv s="0">
    <fb>45715</fb>
    <v>0</v>
  </rv>
  <rv s="0">
    <fb>253.23</fb>
    <v>1</v>
  </rv>
  <rv s="0">
    <fb>3402234</fb>
    <v>2</v>
  </rv>
  <rv s="0">
    <fb>45716</fb>
    <v>0</v>
  </rv>
  <rv s="0">
    <fb>252.44</fb>
    <v>1</v>
  </rv>
  <rv s="0">
    <fb>7988809</fb>
    <v>2</v>
  </rv>
  <rv s="0">
    <fb>45719</fb>
    <v>0</v>
  </rv>
  <rv s="0">
    <fb>250.19</fb>
    <v>1</v>
  </rv>
  <rv s="0">
    <fb>2977699</fb>
    <v>2</v>
  </rv>
  <rv s="0">
    <fb>45720</fb>
    <v>0</v>
  </rv>
  <rv s="0">
    <fb>253.21</fb>
    <v>1</v>
  </rv>
  <rv s="0">
    <fb>5342106</fb>
    <v>2</v>
  </rv>
  <rv s="0">
    <fb>45721</fb>
    <v>0</v>
  </rv>
  <rv s="0">
    <fb>251.35</fb>
    <v>1</v>
  </rv>
  <rv s="0">
    <fb>4009813</fb>
    <v>2</v>
  </rv>
  <rv s="0">
    <fb>45722</fb>
    <v>0</v>
  </rv>
  <rv s="0">
    <fb>248.69</fb>
    <v>1</v>
  </rv>
  <rv s="0">
    <fb>3254358</fb>
    <v>2</v>
  </rv>
  <rv s="0">
    <fb>45723</fb>
    <v>0</v>
  </rv>
  <rv s="0">
    <fb>261.54000000000002</fb>
    <v>1</v>
  </rv>
  <rv s="0">
    <fb>6700184</fb>
    <v>2</v>
  </rv>
  <rv s="0">
    <fb>45726</fb>
    <v>0</v>
  </rv>
  <rv s="0">
    <fb>256.89999999999998</fb>
    <v>1</v>
  </rv>
  <rv s="0">
    <fb>8165503</fb>
    <v>2</v>
  </rv>
  <rv s="0">
    <fb>45727</fb>
    <v>0</v>
  </rv>
  <rv s="0">
    <fb>248.95</fb>
    <v>1</v>
  </rv>
  <rv s="0">
    <fb>5630570</fb>
    <v>2</v>
  </rv>
  <rv s="0">
    <fb>45728</fb>
    <v>0</v>
  </rv>
  <rv s="0">
    <fb>249.63</fb>
    <v>1</v>
  </rv>
  <rv s="0">
    <fb>3849206</fb>
    <v>2</v>
  </rv>
  <rv s="0">
    <fb>45729</fb>
    <v>0</v>
  </rv>
  <rv s="0">
    <fb>245.8</fb>
    <v>1</v>
  </rv>
  <rv s="0">
    <fb>3862416</fb>
    <v>2</v>
  </rv>
  <rv s="0">
    <fb>45730</fb>
    <v>0</v>
  </rv>
  <rv s="0">
    <fb>248.35</fb>
    <v>1</v>
  </rv>
  <rv s="0">
    <fb>4045284</fb>
    <v>2</v>
  </rv>
  <rv s="0">
    <fb>45733</fb>
    <v>0</v>
  </rv>
  <rv s="0">
    <fb>252.97</fb>
    <v>1</v>
  </rv>
  <rv s="0">
    <fb>3234149</fb>
    <v>2</v>
  </rv>
  <rv s="0">
    <fb>45734</fb>
    <v>0</v>
  </rv>
  <rv s="0">
    <fb>246.95</fb>
    <v>1</v>
  </rv>
  <rv s="0">
    <fb>4172239</fb>
    <v>2</v>
  </rv>
  <rv s="0">
    <fb>45735</fb>
    <v>0</v>
  </rv>
  <rv s="0">
    <fb>252.29</fb>
    <v>1</v>
  </rv>
  <rv s="0">
    <fb>3853598</fb>
    <v>2</v>
  </rv>
  <rv s="0">
    <fb>45736</fb>
    <v>0</v>
  </rv>
  <rv s="0">
    <fb>243.32</fb>
    <v>1</v>
  </rv>
  <rv s="0">
    <fb>7026796</fb>
    <v>2</v>
  </rv>
  <rv s="0">
    <fb>45737</fb>
    <v>0</v>
  </rv>
  <rv s="0">
    <fb>243.87</fb>
    <v>1</v>
  </rv>
  <rv s="0">
    <fb>9580084</fb>
    <v>2</v>
  </rv>
  <rv s="0">
    <fb>45740</fb>
    <v>0</v>
  </rv>
  <rv s="0">
    <fb>248.45</fb>
    <v>1</v>
  </rv>
  <rv s="0">
    <fb>4753331</fb>
    <v>2</v>
  </rv>
  <rv s="0">
    <fb>45741</fb>
    <v>0</v>
  </rv>
  <rv s="0">
    <fb>249.9</fb>
    <v>1</v>
  </rv>
  <rv s="0">
    <fb>3133809</fb>
    <v>2</v>
  </rv>
  <rv s="0">
    <fb>45742</fb>
    <v>0</v>
  </rv>
  <rv s="0">
    <fb>250.34</fb>
    <v>1</v>
  </rv>
  <rv s="0">
    <fb>4452220</fb>
    <v>2</v>
  </rv>
  <rv s="0">
    <fb>45743</fb>
    <v>0</v>
  </rv>
  <rv s="0">
    <fb>246.21</fb>
    <v>1</v>
  </rv>
  <rv s="0">
    <fb>2889328</fb>
    <v>2</v>
  </rv>
  <rv s="0">
    <fb>45744</fb>
    <v>0</v>
  </rv>
  <rv s="0">
    <fb>244</fb>
    <v>1</v>
  </rv>
  <rv s="0">
    <fb>3125594</fb>
    <v>2</v>
  </rv>
  <rv s="0">
    <fb>45747</fb>
    <v>0</v>
  </rv>
  <rv s="0">
    <fb>248.66</fb>
    <v>1</v>
  </rv>
  <rv s="0">
    <fb>6794972</fb>
    <v>2</v>
  </rv>
  <rv s="0">
    <fb>45748</fb>
    <v>0</v>
  </rv>
  <rv s="0">
    <fb>4413139</fb>
    <v>2</v>
  </rv>
  <rv s="0">
    <fb>45749</fb>
    <v>0</v>
  </rv>
  <rv s="0">
    <fb>249.98</fb>
    <v>1</v>
  </rv>
  <rv s="0">
    <fb>4080832</fb>
    <v>2</v>
  </rv>
  <rv s="0">
    <fb>45750</fb>
    <v>0</v>
  </rv>
  <rv s="0">
    <fb>243.49</fb>
    <v>1</v>
  </rv>
  <rv s="0">
    <fb>5309626</fb>
    <v>2</v>
  </rv>
  <rv s="0">
    <fb>45751</fb>
    <v>0</v>
  </rv>
  <rv s="0">
    <fb>227.48</fb>
    <v>1</v>
  </rv>
  <rv s="0">
    <fb>7407096</fb>
    <v>2</v>
  </rv>
  <rv s="0">
    <fb>45754</fb>
    <v>0</v>
  </rv>
  <rv s="0">
    <fb>225.78</fb>
    <v>1</v>
  </rv>
  <rv s="0">
    <fb>7797889</fb>
    <v>2</v>
  </rv>
  <rv s="0">
    <fb>45755</fb>
    <v>0</v>
  </rv>
  <rv s="0">
    <fb>221.03</fb>
    <v>1</v>
  </rv>
  <rv s="0">
    <fb>6849996</fb>
    <v>2</v>
  </rv>
  <rv s="0">
    <fb>45756</fb>
    <v>0</v>
  </rv>
  <rv s="0">
    <fb>235.31</fb>
    <v>1</v>
  </rv>
  <rv s="0">
    <fb>7302808</fb>
    <v>2</v>
  </rv>
  <rv s="0">
    <fb>45757</fb>
    <v>0</v>
  </rv>
  <rv s="0">
    <fb>229.55</fb>
    <v>1</v>
  </rv>
  <rv s="0">
    <fb>5656108</fb>
    <v>2</v>
  </rv>
  <rv s="0">
    <fb>45758</fb>
    <v>0</v>
  </rv>
  <rv s="0">
    <fb>235.48</fb>
    <v>1</v>
  </rv>
  <rv s="0">
    <fb>4325895</fb>
    <v>2</v>
  </rv>
  <rv s="0">
    <fb>45761</fb>
    <v>0</v>
  </rv>
  <rv s="0">
    <fb>239.06</fb>
    <v>1</v>
  </rv>
  <rv s="0">
    <fb>3321717</fb>
    <v>2</v>
  </rv>
  <rv s="0">
    <fb>45762</fb>
    <v>0</v>
  </rv>
  <rv s="0">
    <fb>240.7</fb>
    <v>1</v>
  </rv>
  <rv s="0">
    <fb>3363708</fb>
    <v>2</v>
  </rv>
  <rv s="0">
    <fb>45763</fb>
    <v>0</v>
  </rv>
  <rv s="0">
    <fb>238.57</fb>
    <v>1</v>
  </rv>
  <rv s="0">
    <fb>4870299</fb>
    <v>2</v>
  </rv>
  <rv s="0">
    <fb>45764</fb>
    <v>0</v>
  </rv>
  <rv s="0">
    <fb>238.81</fb>
    <v>1</v>
  </rv>
  <rv s="0">
    <fb>4635204</fb>
    <v>2</v>
  </rv>
  <rv s="0">
    <fb>45768</fb>
    <v>0</v>
  </rv>
  <rv s="0">
    <fb>236.22</fb>
    <v>1</v>
  </rv>
  <rv s="0">
    <fb>4908923</fb>
    <v>2</v>
  </rv>
  <rv s="0">
    <fb>45769</fb>
    <v>0</v>
  </rv>
  <rv s="0">
    <fb>240.9</fb>
    <v>1</v>
  </rv>
  <rv s="0">
    <fb>4232658</fb>
    <v>2</v>
  </rv>
  <rv s="0">
    <fb>45770</fb>
    <v>0</v>
  </rv>
  <rv s="0">
    <fb>245.48</fb>
    <v>1</v>
  </rv>
  <rv s="0">
    <fb>7948259</fb>
    <v>2</v>
  </rv>
  <rv s="0">
    <fb>45771</fb>
    <v>0</v>
  </rv>
  <rv s="0">
    <fb>15428144</fb>
    <v>2</v>
  </rv>
  <rv s="0">
    <fb>45772</fb>
    <v>0</v>
  </rv>
  <rv s="0">
    <fb>232.41</fb>
    <v>1</v>
  </rv>
  <rv s="0">
    <fb>6700068</fb>
    <v>2</v>
  </rv>
  <rv s="0">
    <fb>45775</fb>
    <v>0</v>
  </rv>
  <rv s="0">
    <fb>236.16</fb>
    <v>1</v>
  </rv>
  <rv s="0">
    <fb>3653461</fb>
    <v>2</v>
  </rv>
  <rv s="0">
    <fb>45776</fb>
    <v>0</v>
  </rv>
  <rv s="0">
    <fb>239.39</fb>
    <v>1</v>
  </rv>
  <rv s="0">
    <fb>3426508</fb>
    <v>2</v>
  </rv>
  <rv s="0">
    <fb>45777</fb>
    <v>0</v>
  </rv>
  <rv s="0">
    <fb>241.82</fb>
    <v>1</v>
  </rv>
  <rv s="0">
    <fb>5142993</fb>
    <v>2</v>
  </rv>
  <rv s="0">
    <fb>45778</fb>
    <v>0</v>
  </rv>
  <rv s="0">
    <fb>239.66</fb>
    <v>1</v>
  </rv>
  <rv s="0">
    <fb>4243294</fb>
    <v>2</v>
  </rv>
  <rv s="0">
    <fb>45779</fb>
    <v>0</v>
  </rv>
  <rv s="0">
    <fb>245.55</fb>
    <v>1</v>
  </rv>
  <rv s="0">
    <fb>3731946</fb>
    <v>2</v>
  </rv>
  <rv s="0">
    <fb>45782</fb>
    <v>0</v>
  </rv>
  <rv s="0">
    <fb>249.18</fb>
    <v>1</v>
  </rv>
  <rv s="0">
    <fb>4138168</fb>
    <v>2</v>
  </rv>
  <rv s="0">
    <fb>45783</fb>
    <v>0</v>
  </rv>
  <rv s="0">
    <fb>249.12</fb>
    <v>1</v>
  </rv>
  <rv s="0">
    <fb>2900556</fb>
    <v>2</v>
  </rv>
  <rv s="0">
    <fb>45784</fb>
    <v>0</v>
  </rv>
  <rv s="0">
    <fb>253.37</fb>
    <v>1</v>
  </rv>
  <rv s="0">
    <fb>3400001</fb>
    <v>2</v>
  </rv>
  <rv s="0">
    <fb>45785</fb>
    <v>0</v>
  </rv>
  <rv s="0">
    <fb>254.14</fb>
    <v>1</v>
  </rv>
  <rv s="0">
    <fb>3637012</fb>
    <v>2</v>
  </rv>
  <rv s="0">
    <fb>45786</fb>
    <v>0</v>
  </rv>
  <rv s="0">
    <fb>249.2</fb>
    <v>1</v>
  </rv>
  <rv s="0">
    <fb>2901346</fb>
    <v>2</v>
  </rv>
  <rv s="0">
    <fb>45789</fb>
    <v>0</v>
  </rv>
  <rv s="0">
    <fb>253.69</fb>
    <v>1</v>
  </rv>
  <rv s="0">
    <fb>4609520</fb>
    <v>2</v>
  </rv>
  <rv s="0">
    <fb>45790</fb>
    <v>0</v>
  </rv>
  <rv s="0">
    <fb>258.58999999999997</fb>
    <v>1</v>
  </rv>
  <rv s="0">
    <fb>3521389</fb>
    <v>2</v>
  </rv>
  <rv s="0">
    <fb>45791</fb>
    <v>0</v>
  </rv>
  <rv s="0">
    <fb>257.82</fb>
    <v>1</v>
  </rv>
  <rv s="0">
    <fb>3635124</fb>
    <v>2</v>
  </rv>
  <rv s="0">
    <fb>45792</fb>
    <v>0</v>
  </rv>
  <rv s="0">
    <fb>266.68</fb>
    <v>1</v>
  </rv>
  <rv s="0">
    <fb>4856276</fb>
    <v>2</v>
  </rv>
  <rv s="0">
    <fb>45793</fb>
    <v>0</v>
  </rv>
  <rv s="0">
    <fb>266.76</fb>
    <v>1</v>
  </rv>
  <rv s="0">
    <fb>3817937</fb>
    <v>2</v>
  </rv>
  <rv s="0">
    <fb>45796</fb>
    <v>0</v>
  </rv>
  <rv s="0">
    <fb>268.41000000000003</fb>
    <v>1</v>
  </rv>
  <rv s="0">
    <fb>3198903</fb>
    <v>2</v>
  </rv>
  <rv s="0">
    <fb>45797</fb>
    <v>0</v>
  </rv>
  <rv s="0">
    <fb>266.95</fb>
    <v>1</v>
  </rv>
  <rv s="0">
    <fb>2437860</fb>
    <v>2</v>
  </rv>
  <rv s="0">
    <fb>45798</fb>
    <v>0</v>
  </rv>
  <rv s="0">
    <fb>260.87</fb>
    <v>1</v>
  </rv>
  <rv s="0">
    <fb>3753904</fb>
    <v>2</v>
  </rv>
  <rv s="0">
    <fb>45799</fb>
    <v>0</v>
  </rv>
  <rv s="0">
    <fb>258.37</fb>
    <v>1</v>
  </rv>
  <rv s="0">
    <fb>3091253</fb>
    <v>2</v>
  </rv>
  <rv s="0">
    <fb>45800</fb>
    <v>0</v>
  </rv>
  <rv s="0">
    <fb>258.63</fb>
    <v>1</v>
  </rv>
  <rv s="0">
    <fb>2722721</fb>
    <v>2</v>
  </rv>
  <rv s="0">
    <fb>45804</fb>
    <v>0</v>
  </rv>
  <rv s="0">
    <fb>263.23</fb>
    <v>1</v>
  </rv>
  <rv s="0">
    <fb>3284216</fb>
    <v>2</v>
  </rv>
  <rv s="0">
    <fb>45805</fb>
    <v>0</v>
  </rv>
  <rv s="0">
    <fb>260.24</fb>
    <v>1</v>
  </rv>
  <rv s="0">
    <fb>2318437</fb>
    <v>2</v>
  </rv>
  <rv s="0">
    <fb>45806</fb>
    <v>0</v>
  </rv>
  <rv s="0">
    <fb>258.69</fb>
    <v>1</v>
  </rv>
  <rv s="0">
    <fb>2295228</fb>
    <v>2</v>
  </rv>
  <rv s="0">
    <fb>45807</fb>
    <v>0</v>
  </rv>
  <rv s="0">
    <fb>259.06</fb>
    <v>1</v>
  </rv>
  <rv s="0">
    <fb>9668923</fb>
    <v>2</v>
  </rv>
  <rv s="0">
    <fb>45810</fb>
    <v>0</v>
  </rv>
  <rv s="0">
    <fb>263.89999999999998</fb>
    <v>1</v>
  </rv>
  <rv s="0">
    <fb>2831881</fb>
    <v>2</v>
  </rv>
  <rv s="0">
    <fb>45811</fb>
    <v>0</v>
  </rv>
  <rv s="0">
    <fb>265.2</fb>
    <v>1</v>
  </rv>
  <rv s="0">
    <fb>2494922</fb>
    <v>2</v>
  </rv>
  <rv s="0">
    <fb>45812</fb>
    <v>0</v>
  </rv>
  <rv s="0">
    <fb>265.52</fb>
    <v>1</v>
  </rv>
  <rv s="0">
    <fb>2588741</fb>
    <v>2</v>
  </rv>
  <rv s="0">
    <fb>45813</fb>
    <v>0</v>
  </rv>
  <rv s="0">
    <fb>266.86</fb>
    <v>1</v>
  </rv>
  <rv s="0">
    <fb>2659478</fb>
    <v>2</v>
  </rv>
  <rv s="0">
    <fb>45814</fb>
    <v>0</v>
  </rv>
  <rv s="0">
    <fb>268.87</fb>
    <v>1</v>
  </rv>
  <rv s="0">
    <fb>2495543</fb>
    <v>2</v>
  </rv>
  <rv s="0">
    <fb>45817</fb>
    <v>0</v>
  </rv>
  <rv s="0">
    <fb>272.08</fb>
    <v>1</v>
  </rv>
  <rv s="0">
    <fb>4331464</fb>
    <v>2</v>
  </rv>
  <rv s="0">
    <fb>45818</fb>
    <v>0</v>
  </rv>
  <rv s="0">
    <fb>276.24</fb>
    <v>1</v>
  </rv>
  <rv s="0">
    <fb>5163507</fb>
    <v>2</v>
  </rv>
  <rv s="0">
    <fb>45819</fb>
    <v>0</v>
  </rv>
  <rv s="0">
    <fb>281.52</fb>
    <v>1</v>
  </rv>
  <rv s="0">
    <fb>4656034</fb>
    <v>2</v>
  </rv>
  <rv s="0">
    <fb>45820</fb>
    <v>0</v>
  </rv>
  <rv s="0">
    <fb>281.02999999999997</fb>
    <v>1</v>
  </rv>
  <rv s="0">
    <fb>3418007</fb>
    <v>2</v>
  </rv>
  <rv s="0">
    <fb>45821</fb>
    <v>0</v>
  </rv>
  <rv s="0">
    <fb>277.22000000000003</fb>
    <v>1</v>
  </rv>
  <rv s="0">
    <fb>3243824</fb>
    <v>2</v>
  </rv>
  <rv s="0">
    <fb>45824</fb>
    <v>0</v>
  </rv>
  <rv s="0">
    <fb>281.83</fb>
    <v>1</v>
  </rv>
  <rv s="0">
    <fb>3685321</fb>
    <v>2</v>
  </rv>
  <rv s="0">
    <fb>45825</fb>
    <v>0</v>
  </rv>
  <rv s="0">
    <fb>283.05</fb>
    <v>1</v>
  </rv>
  <rv s="0">
    <fb>3069556</fb>
    <v>2</v>
  </rv>
  <rv s="0">
    <fb>45826</fb>
    <v>0</v>
  </rv>
  <rv s="0">
    <fb>283.20999999999998</fb>
    <v>1</v>
  </rv>
  <rv s="0">
    <fb>3534110</fb>
    <v>2</v>
  </rv>
  <rv s="0">
    <fb>45828</fb>
    <v>0</v>
  </rv>
  <rv s="0">
    <fb>280.97000000000003</fb>
    <v>1</v>
  </rv>
  <rv s="0">
    <fb>7676962</fb>
    <v>2</v>
  </rv>
  <rv s="0">
    <fb>45831</fb>
    <v>0</v>
  </rv>
  <rv s="0">
    <fb>289.18</fb>
    <v>1</v>
  </rv>
  <rv s="0">
    <fb>3786159</fb>
    <v>2</v>
  </rv>
  <rv s="0">
    <fb>45832</fb>
    <v>0</v>
  </rv>
  <rv s="0">
    <fb>293.79000000000002</fb>
    <v>1</v>
  </rv>
  <rv s="0">
    <fb>4219120</fb>
    <v>2</v>
  </rv>
  <rv s="0">
    <fb>45833</fb>
    <v>0</v>
  </rv>
  <rv s="0">
    <fb>291.06</fb>
    <v>1</v>
  </rv>
  <rv s="0">
    <fb>3862309</fb>
    <v>2</v>
  </rv>
  <rv s="0">
    <fb>45834</fb>
    <v>0</v>
  </rv>
  <rv s="0">
    <fb>291.93</fb>
    <v>1</v>
  </rv>
  <rv s="0">
    <fb>3621110</fb>
    <v>2</v>
  </rv>
  <rv s="0">
    <fb>45835</fb>
    <v>0</v>
  </rv>
  <rv s="0">
    <fb>289.7</fb>
    <v>1</v>
  </rv>
  <rv s="0">
    <fb>3562501</fb>
    <v>2</v>
  </rv>
  <rv s="0">
    <fb>45838</fb>
    <v>0</v>
  </rv>
  <rv s="0">
    <fb>294.77999999999997</fb>
    <v>1</v>
  </rv>
  <rv s="0">
    <fb>3495386</fb>
    <v>2</v>
  </rv>
  <rv s="0">
    <fb>45839</fb>
    <v>0</v>
  </rv>
  <rv s="0">
    <fb>291.2</fb>
    <v>1</v>
  </rv>
  <rv s="0">
    <fb>3272797</fb>
    <v>2</v>
  </rv>
  <rv s="0">
    <fb>45840</fb>
    <v>0</v>
  </rv>
  <rv s="0">
    <fb>287.64999999999998</fb>
    <v>1</v>
  </rv>
  <rv s="0">
    <fb>3257515</fb>
    <v>2</v>
  </rv>
  <rv s="0">
    <fb>45841</fb>
    <v>0</v>
  </rv>
  <rv s="0">
    <fb>291.97000000000003</fb>
    <v>1</v>
  </rv>
  <rv s="0">
    <fb>1853289</fb>
    <v>2</v>
  </rv>
  <rv s="0">
    <fb>45845</fb>
    <v>0</v>
  </rv>
  <rv s="0">
    <fb>292.47000000000003</fb>
    <v>1</v>
  </rv>
  <rv s="0">
    <fb>4488064</fb>
    <v>2</v>
  </rv>
  <rv s="0">
    <fb>45846</fb>
    <v>0</v>
  </rv>
  <rv s="0">
    <fb>290.42</fb>
    <v>1</v>
  </rv>
  <rv s="0">
    <fb>2925329</fb>
    <v>2</v>
  </rv>
  <rv s="0">
    <fb>45847</fb>
    <v>0</v>
  </rv>
  <rv s="0">
    <fb>290.14</fb>
    <v>1</v>
  </rv>
  <rv s="0">
    <fb>2971309</fb>
    <v>2</v>
  </rv>
  <rv s="0">
    <fb>45848</fb>
    <v>0</v>
  </rv>
  <rv s="0">
    <fb>287.43</fb>
    <v>1</v>
  </rv>
  <rv s="0">
    <fb>3489068</fb>
    <v>2</v>
  </rv>
  <rv s="0">
    <fb>45849</fb>
    <v>0</v>
  </rv>
  <rv s="0">
    <fb>283.58999999999997</fb>
    <v>1</v>
  </rv>
  <rv s="0">
    <fb>3790679</fb>
    <v>2</v>
  </rv>
  <rv s="0">
    <fb>45852</fb>
    <v>0</v>
  </rv>
  <rv s="0">
    <fb>283.79000000000002</fb>
    <v>1</v>
  </rv>
  <rv s="0">
    <fb>2857401</fb>
    <v>2</v>
  </rv>
  <rv s="0">
    <fb>45853</fb>
    <v>0</v>
  </rv>
  <rv s="0">
    <fb>282.7</fb>
    <v>1</v>
  </rv>
  <rv s="0">
    <fb>2864106</fb>
    <v>2</v>
  </rv>
  <rv s="0">
    <fb>45854</fb>
    <v>0</v>
  </rv>
  <rv s="0">
    <fb>281.92</fb>
    <v>1</v>
  </rv>
  <rv s="0">
    <fb>2804831</fb>
    <v>2</v>
  </rv>
  <rv s="0">
    <fb>45855</fb>
    <v>0</v>
  </rv>
  <rv s="0">
    <fb>282</fb>
    <v>1</v>
  </rv>
  <rv s="0">
    <fb>3337168</fb>
    <v>2</v>
  </rv>
  <rv s="0">
    <fb>45856</fb>
    <v>0</v>
  </rv>
  <rv s="0">
    <fb>285.87</fb>
    <v>1</v>
  </rv>
  <rv s="0">
    <fb>4478165</fb>
    <v>2</v>
  </rv>
  <rv s="0">
    <fb>45859</fb>
    <v>0</v>
  </rv>
  <rv s="0">
    <fb>284.70999999999998</fb>
    <v>1</v>
  </rv>
  <rv s="0">
    <fb>3051791</fb>
    <v>2</v>
  </rv>
  <rv s="0">
    <fb>45860</fb>
    <v>0</v>
  </rv>
  <rv s="0">
    <fb>281.95999999999998</fb>
    <v>1</v>
  </rv>
  <rv s="0">
    <fb>4824219</fb>
    <v>2</v>
  </rv>
  <rv s="0">
    <fb>45861</fb>
    <v>0</v>
  </rv>
  <rv s="0">
    <fb>282.01</fb>
    <v>1</v>
  </rv>
  <rv s="0">
    <fb>8105906</fb>
    <v>2</v>
  </rv>
  <rv s="0">
    <fb>45862</fb>
    <v>0</v>
  </rv>
  <rv s="0">
    <fb>260.51</fb>
    <v>1</v>
  </rv>
  <rv s="0">
    <fb>22647720</fb>
    <v>2</v>
  </rv>
  <rv s="0">
    <fb>45863</fb>
    <v>0</v>
  </rv>
  <rv s="0">
    <fb>259.72000000000003</fb>
    <v>1</v>
  </rv>
  <rv s="0">
    <fb>7758653</fb>
    <v>2</v>
  </rv>
  <rv s="0">
    <fb>45866</fb>
    <v>0</v>
  </rv>
  <rv s="0">
    <fb>263.20999999999998</fb>
    <v>1</v>
  </rv>
  <rv s="0">
    <fb>5192516</fb>
    <v>2</v>
  </rv>
  <rv s="0">
    <fb>45867</fb>
    <v>0</v>
  </rv>
  <rv s="0">
    <fb>262.41000000000003</fb>
    <v>1</v>
  </rv>
  <rv s="0">
    <fb>4627265</fb>
    <v>2</v>
  </rv>
  <rv s="0">
    <fb>45868</fb>
    <v>0</v>
  </rv>
  <rv s="0">
    <fb>260.26</fb>
    <v>1</v>
  </rv>
  <rv s="0">
    <fb>3718290</fb>
    <v>2</v>
  </rv>
  <rv s="0">
    <fb>45869</fb>
    <v>0</v>
  </rv>
  <rv s="0">
    <fb>253.15</fb>
    <v>1</v>
  </rv>
  <rv s="0">
    <fb>6739092</fb>
    <v>2</v>
  </rv>
  <rv s="0">
    <fb>45870</fb>
    <v>0</v>
  </rv>
  <rv s="0">
    <fb>250.05</fb>
    <v>1</v>
  </rv>
  <rv s="0">
    <fb>9683404</fb>
    <v>2</v>
  </rv>
  <rv s="0">
    <fb>45873</fb>
    <v>0</v>
  </rv>
  <rv s="0">
    <fb>251.98</fb>
    <v>1</v>
  </rv>
  <rv s="0">
    <fb>5280588</fb>
    <v>2</v>
  </rv>
  <rv s="0">
    <fb>45874</fb>
    <v>0</v>
  </rv>
  <rv s="0">
    <fb>250.67</fb>
    <v>1</v>
  </rv>
  <rv s="0">
    <fb>5823016</fb>
    <v>2</v>
  </rv>
  <rv s="0">
    <fb>45875</fb>
    <v>0</v>
  </rv>
  <rv s="0">
    <fb>252.28</fb>
    <v>1</v>
  </rv>
  <rv s="0">
    <fb>3692105</fb>
    <v>2</v>
  </rv>
  <rv s="0">
    <fb>45876</fb>
    <v>0</v>
  </rv>
  <rv s="0">
    <fb>250.16</fb>
    <v>1</v>
  </rv>
  <rv s="0">
    <fb>6251285</fb>
    <v>2</v>
  </rv>
  <rv s="0">
    <fb>45877</fb>
    <v>0</v>
  </rv>
  <rv s="0">
    <fb>242.27</fb>
    <v>1</v>
  </rv>
  <rv s="0">
    <fb>6828390</fb>
    <v>2</v>
  </rv>
  <rv s="0">
    <fb>45880</fb>
    <v>0</v>
  </rv>
  <rv s="0">
    <fb>236.3</fb>
    <v>1</v>
  </rv>
  <rv s="0">
    <fb>9381960</fb>
    <v>2</v>
  </rv>
  <rv s="0">
    <fb>45881</fb>
    <v>0</v>
  </rv>
  <rv s="0">
    <fb>234.77</fb>
    <v>1</v>
  </rv>
  <rv s="0">
    <fb>8800597</fb>
    <v>2</v>
  </rv>
  <rv s="0">
    <fb>45882</fb>
    <v>0</v>
  </rv>
  <rv s="0">
    <fb>240.07</fb>
    <v>1</v>
  </rv>
  <rv s="0">
    <fb>5663562</fb>
    <v>2</v>
  </rv>
  <rv s="0">
    <fb>45883</fb>
    <v>0</v>
  </rv>
  <rv s="0">
    <fb>237.11</fb>
    <v>1</v>
  </rv>
  <rv s="0">
    <fb>4556725</fb>
    <v>2</v>
  </rv>
  <rv s="0">
    <fb>45884</fb>
    <v>0</v>
  </rv>
  <rv s="0">
    <fb>239.72</fb>
    <v>1</v>
  </rv>
  <rv s="0">
    <fb>4344322</fb>
    <v>2</v>
  </rv>
  <rv s="0">
    <fb>45887</fb>
    <v>0</v>
  </rv>
  <rv s="0">
    <fb>239.45</fb>
    <v>1</v>
  </rv>
  <rv s="0">
    <fb>3569594</fb>
    <v>2</v>
  </rv>
  <rv s="0">
    <fb>45888</fb>
    <v>0</v>
  </rv>
  <rv s="0">
    <fb>241.28</fb>
    <v>1</v>
  </rv>
  <rv s="0">
    <fb>3328305</fb>
    <v>2</v>
  </rv>
  <rv s="0">
    <fb>45889</fb>
    <v>0</v>
  </rv>
  <rv s="0">
    <fb>242.55</fb>
    <v>1</v>
  </rv>
  <rv s="0">
    <fb>3240064</fb>
    <v>2</v>
  </rv>
  <rv s="0">
    <fb>45890</fb>
    <v>0</v>
  </rv>
  <rv s="0">
    <fb>239.4</fb>
    <v>1</v>
  </rv>
  <rv s="0">
    <fb>2991902</fb>
    <v>2</v>
  </rv>
  <rv s="0">
    <fb>45891</fb>
    <v>0</v>
  </rv>
  <rv s="0">
    <fb>242.09</fb>
    <v>1</v>
  </rv>
  <rv s="0">
    <fb>3134882</fb>
    <v>2</v>
  </rv>
  <rv s="0">
    <fb>45894</fb>
    <v>0</v>
  </rv>
  <rv s="0">
    <fb>239.43</fb>
    <v>1</v>
  </rv>
  <rv s="0">
    <fb>3513327</fb>
    <v>2</v>
  </rv>
  <rv s="0">
    <fb>45895</fb>
    <v>0</v>
  </rv>
  <rv s="0">
    <fb>242.63</fb>
    <v>1</v>
  </rv>
  <rv s="0">
    <fb>5386582</fb>
    <v>2</v>
  </rv>
  <rv s="0">
    <fb>45896</fb>
    <v>0</v>
  </rv>
  <rv s="0">
    <fb>244.84</fb>
    <v>1</v>
  </rv>
  <rv s="0">
    <fb>3698372</fb>
    <v>2</v>
  </rv>
  <rv s="0">
    <fb>45897</fb>
    <v>0</v>
  </rv>
  <rv s="0">
    <fb>245.73</fb>
    <v>1</v>
  </rv>
  <rv s="0">
    <fb>2820817</fb>
    <v>2</v>
  </rv>
  <rv s="0">
    <fb>45898</fb>
    <v>0</v>
  </rv>
  <rv s="0">
    <fb>2967558</fb>
    <v>2</v>
  </rv>
  <rv s="0">
    <fb>45902</fb>
    <v>0</v>
  </rv>
  <rv s="0">
    <fb>241.5</fb>
    <v>1</v>
  </rv>
  <rv s="0">
    <fb>3469501</fb>
    <v>2</v>
  </rv>
  <rv s="0">
    <fb>45903</fb>
    <v>0</v>
  </rv>
  <rv s="0">
    <fb>244.1</fb>
    <v>1</v>
  </rv>
  <rv s="0">
    <fb>3163225</fb>
    <v>2</v>
  </rv>
  <rv s="0">
    <fb>45904</fb>
    <v>0</v>
  </rv>
  <rv s="0">
    <fb>247.18</fb>
    <v>1</v>
  </rv>
  <rv s="0">
    <fb>4765087</fb>
    <v>2</v>
  </rv>
  <rv s="0">
    <fb>45905</fb>
    <v>0</v>
  </rv>
  <rv s="0">
    <fb>248.53</fb>
    <v>1</v>
  </rv>
  <rv s="0">
    <fb>3147478</fb>
    <v>2</v>
  </rv>
  <rv s="0">
    <fb>45908</fb>
    <v>0</v>
  </rv>
  <rv s="0">
    <fb>256.08999999999997</fb>
    <v>1</v>
  </rv>
  <rv s="0">
    <fb>6940270</fb>
    <v>2</v>
  </rv>
  <rv s="0">
    <fb>45909</fb>
    <v>0</v>
  </rv>
  <rv s="0">
    <fb>259.11</fb>
    <v>1</v>
  </rv>
  <rv s="0">
    <fb>4931105</fb>
    <v>2</v>
  </rv>
  <rv s="0">
    <fb>45910</fb>
    <v>0</v>
  </rv>
  <rv s="0">
    <fb>256.88</fb>
    <v>1</v>
  </rv>
  <rv s="0">
    <fb>5185420</fb>
    <v>2</v>
  </rv>
  <rv s="0">
    <fb>45911</fb>
    <v>0</v>
  </rv>
  <rv s="0">
    <fb>257.01</fb>
    <v>1</v>
  </rv>
  <rv s="0">
    <fb>3576048</fb>
    <v>2</v>
  </rv>
  <rv s="0">
    <fb>45912</fb>
    <v>0</v>
  </rv>
  <rv s="0">
    <fb>3433300</fb>
    <v>2</v>
  </rv>
  <rv s="0">
    <fb>45915</fb>
    <v>0</v>
  </rv>
  <rv s="0">
    <fb>256.24</fb>
    <v>1</v>
  </rv>
  <rv s="0">
    <fb>4028365</fb>
    <v>2</v>
  </rv>
  <rv s="0">
    <fb>45916</fb>
    <v>0</v>
  </rv>
  <rv s="0">
    <fb>257.52</fb>
    <v>1</v>
  </rv>
  <rv s="0">
    <fb>2719918</fb>
    <v>2</v>
  </rv>
  <rv s="0">
    <fb>45917</fb>
    <v>0</v>
  </rv>
  <rv s="0">
    <fb>259.08</fb>
    <v>1</v>
  </rv>
  <rv s="0">
    <fb>3974785</fb>
    <v>2</v>
  </rv>
  <rv s="0">
    <fb>45918</fb>
    <v>0</v>
  </rv>
  <rv s="0">
    <fb>265</fb>
    <v>1</v>
  </rv>
  <rv s="0">
    <fb>4988421</fb>
    <v>2</v>
  </rv>
  <rv s="0">
    <fb>45919</fb>
    <v>0</v>
  </rv>
  <rv s="0">
    <fb>266.39999999999998</fb>
    <v>1</v>
  </rv>
  <rv s="0">
    <fb>9858112</fb>
    <v>2</v>
  </rv>
  <rv s="0">
    <fb>45922</fb>
    <v>0</v>
  </rv>
  <rv s="0">
    <fb>271.37</fb>
    <v>1</v>
  </rv>
  <rv s="0">
    <fb>5030540</fb>
    <v>2</v>
  </rv>
  <rv s="0">
    <fb>45923</fb>
    <v>0</v>
  </rv>
  <rv s="0">
    <fb>272.24</fb>
    <v>1</v>
  </rv>
  <rv s="0">
    <fb>5394121</fb>
    <v>2</v>
  </rv>
  <rv s="0">
    <fb>45924</fb>
    <v>0</v>
  </rv>
  <rv s="0">
    <fb>267.52999999999997</fb>
    <v>1</v>
  </rv>
  <rv s="0">
    <fb>3159924</fb>
    <v>2</v>
  </rv>
  <rv s="0">
    <fb>45925</fb>
    <v>0</v>
  </rv>
  <rv s="0">
    <fb>281.44</fb>
    <v>1</v>
  </rv>
  <rv s="0">
    <fb>11506192</fb>
    <v>2</v>
  </rv>
  <rv s="0">
    <fb>45926</fb>
    <v>0</v>
  </rv>
  <rv s="0">
    <fb>284.31</fb>
    <v>1</v>
  </rv>
  <rv s="0">
    <fb>9063938</fb>
    <v>2</v>
  </rv>
  <rv s="0">
    <fb>45929</fb>
    <v>0</v>
  </rv>
  <rv s="0">
    <fb>279.8</fb>
    <v>1</v>
  </rv>
  <rv s="0">
    <fb>6022125</fb>
    <v>2</v>
  </rv>
  <rv s="0">
    <fb>45930</fb>
    <v>0</v>
  </rv>
  <rv s="0">
    <fb>282.16000000000003</fb>
    <v>1</v>
  </rv>
  <rv s="0">
    <fb>5926924</fb>
    <v>2</v>
  </rv>
  <rv s="0">
    <fb>45931</fb>
    <v>0</v>
  </rv>
  <rv s="0">
    <fb>286.49</fb>
    <v>1</v>
  </rv>
  <rv s="0">
    <fb>4381338</fb>
    <v>2</v>
  </rv>
  <rv s="0">
    <fb>45932</fb>
    <v>0</v>
  </rv>
  <rv s="0">
    <fb>286.72000000000003</fb>
    <v>1</v>
  </rv>
  <rv s="0">
    <fb>3814232</fb>
    <v>2</v>
  </rv>
  <rv s="0">
    <fb>45933</fb>
    <v>0</v>
  </rv>
  <rv s="0">
    <fb>288.37</fb>
    <v>1</v>
  </rv>
  <rv s="0">
    <fb>4375082</fb>
    <v>2</v>
  </rv>
  <rv s="0">
    <fb>45936</fb>
    <v>0</v>
  </rv>
  <rv s="0">
    <fb>289.42</fb>
    <v>1</v>
  </rv>
  <rv s="0">
    <fb>2881947</fb>
    <v>2</v>
  </rv>
  <rv s="0">
    <fb>45937</fb>
    <v>0</v>
  </rv>
  <rv s="0">
    <fb>293.87</fb>
    <v>1</v>
  </rv>
  <rv s="0">
    <fb>7190126</fb>
    <v>2</v>
  </rv>
  <rv s="0">
    <fb>45938</fb>
    <v>0</v>
  </rv>
  <rv s="0">
    <fb>289.45999999999998</fb>
    <v>1</v>
  </rv>
  <rv s="0">
    <fb>5297030</fb>
    <v>2</v>
  </rv>
  <rv s="0">
    <fb>45939</fb>
    <v>0</v>
  </rv>
  <rv s="0">
    <fb>288.23</fb>
    <v>1</v>
  </rv>
  <rv s="0">
    <fb>4912375</fb>
    <v>2</v>
  </rv>
  <rv s="0">
    <fb>45940</fb>
    <v>0</v>
  </rv>
  <rv s="0">
    <fb>277.82</fb>
    <v>1</v>
  </rv>
  <rv s="0">
    <fb>4508506</fb>
    <v>2</v>
  </rv>
  <rv s="0">
    <fb>45943</fb>
    <v>0</v>
  </rv>
  <rv s="0">
    <fb>4333836</fb>
    <v>2</v>
  </rv>
  <rv s="0">
    <fb>45944</fb>
    <v>0</v>
  </rv>
  <rv s="0">
    <fb>276.14999999999998</fb>
    <v>1</v>
  </rv>
  <rv s="0">
    <fb>3058149</fb>
    <v>2</v>
  </rv>
  <rv s="0">
    <fb>45945</fb>
    <v>0</v>
  </rv>
  <rv s="0">
    <fb>280.75</fb>
    <v>1</v>
  </rv>
  <rv s="0">
    <fb>3346753</fb>
    <v>2</v>
  </rv>
  <rv s="0">
    <fb>45946</fb>
    <v>0</v>
  </rv>
  <rv s="0">
    <fb>275.97000000000003</fb>
    <v>1</v>
  </rv>
  <rv s="0">
    <fb>2956923</fb>
    <v>2</v>
  </rv>
  <rv s="0">
    <fb>45947</fb>
    <v>0</v>
  </rv>
  <rv s="0">
    <fb>281.27999999999997</fb>
    <v>1</v>
  </rv>
  <rv s="0">
    <fb>5309565</fb>
    <v>2</v>
  </rv>
  <rv s="0">
    <fb>45950</fb>
    <v>0</v>
  </rv>
  <rv s="0">
    <fb>283.64999999999998</fb>
    <v>1</v>
  </rv>
  <rv s="0">
    <fb>3494336</fb>
    <v>2</v>
  </rv>
  <rv s="0">
    <fb>45951</fb>
    <v>0</v>
  </rv>
  <rv s="0">
    <fb>282.05</fb>
    <v>1</v>
  </rv>
  <rv s="0">
    <fb>4080981</fb>
    <v>2</v>
  </rv>
  <rv s="0">
    <fb>45952</fb>
    <v>0</v>
  </rv>
  <rv s="0">
    <fb>287.51</fb>
    <v>1</v>
  </rv>
  <rv s="0">
    <fb>10538480</fb>
    <v>2</v>
  </rv>
  <rv s="0">
    <fb>45953</fb>
    <v>0</v>
  </rv>
  <rv s="0">
    <fb>285</fb>
    <v>1</v>
  </rv>
  <rv s="0">
    <fb>16676394</fb>
    <v>2</v>
  </rv>
  <rv s="0">
    <fb>45954</fb>
    <v>0</v>
  </rv>
  <rv s="0">
    <fb>307.45999999999998</fb>
    <v>1</v>
  </rv>
  <rv s="0">
    <fb>16914243</fb>
    <v>2</v>
  </rv>
  <rv s="0">
    <fb>45957</fb>
    <v>0</v>
  </rv>
  <rv s="0">
    <fb>313.08999999999997</fb>
    <v>1</v>
  </rv>
  <rv s="0">
    <fb>9868151</fb>
    <v>2</v>
  </rv>
  <rv s="0">
    <fb>45958</fb>
    <v>0</v>
  </rv>
  <rv s="0">
    <fb>312.57</fb>
    <v>1</v>
  </rv>
  <rv s="0">
    <fb>6044770</fb>
    <v>2</v>
  </rv>
  <rv s="0">
    <fb>45959</fb>
    <v>0</v>
  </rv>
  <rv s="0">
    <fb>308.20999999999998</fb>
    <v>1</v>
  </rv>
  <rv s="0">
    <fb>4135948</fb>
    <v>2</v>
  </rv>
  <rv s="0">
    <fb>45960</fb>
    <v>0</v>
  </rv>
  <rv s="0">
    <fb>310.06</fb>
    <v>1</v>
  </rv>
  <rv s="0">
    <fb>4694275</fb>
    <v>2</v>
  </rv>
  <rv s="0">
    <fb>45961</fb>
    <v>0</v>
  </rv>
  <rv s="0">
    <fb>307.41000000000003</fb>
    <v>1</v>
  </rv>
  <rv s="0">
    <fb>7697499</fb>
    <v>2</v>
  </rv>
  <rv s="0">
    <fb>45964</fb>
    <v>0</v>
  </rv>
  <rv s="0">
    <fb>304.73</fb>
    <v>1</v>
  </rv>
  <rv s="0">
    <fb>4957958</fb>
    <v>2</v>
  </rv>
  <rv s="0">
    <fb>45965</fb>
    <v>0</v>
  </rv>
  <rv s="0">
    <fb>300.85000000000002</fb>
    <v>1</v>
  </rv>
  <rv s="0">
    <fb>5677330</fb>
    <v>2</v>
  </rv>
  <rv s="0">
    <fb>45966</fb>
    <v>0</v>
  </rv>
  <rv s="0">
    <fb>306.77</fb>
    <v>1</v>
  </rv>
  <rv s="0">
    <fb>4650368</fb>
    <v>2</v>
  </rv>
  <rv s="0">
    <fb>45967</fb>
    <v>0</v>
  </rv>
  <rv s="0">
    <fb>312.42</fb>
    <v>1</v>
  </rv>
  <rv s="0">
    <fb>6818521</fb>
    <v>2</v>
  </rv>
  <rv s="0">
    <fb>45968</fb>
    <v>0</v>
  </rv>
  <rv s="0">
    <fb>306.38</fb>
    <v>1</v>
  </rv>
  <rv s="0">
    <fb>5070773</fb>
    <v>2</v>
  </rv>
  <rv s="0">
    <fb>45971</fb>
    <v>0</v>
  </rv>
  <rv s="0">
    <fb>309.13</fb>
    <v>1</v>
  </rv>
  <rv s="0">
    <fb>2975188</fb>
    <v>2</v>
  </rv>
  <rv s="0">
    <fb>45972</fb>
    <v>0</v>
  </rv>
  <rv s="0">
    <fb>313.72000000000003</fb>
    <v>1</v>
  </rv>
  <rv s="0">
    <fb>4381913</fb>
    <v>2</v>
  </rv>
  <rv s="0">
    <fb>45973</fb>
    <v>0</v>
  </rv>
  <rv s="0">
    <fb>314.98</fb>
    <v>1</v>
  </rv>
  <rv s="0">
    <fb>6042686</fb>
    <v>2</v>
  </rv>
  <rv s="0">
    <fb>45974</fb>
    <v>0</v>
  </rv>
  <rv s="0">
    <fb>304.86</fb>
    <v>1</v>
  </rv>
  <rv s="0">
    <fb>5310150</fb>
    <v>2</v>
  </rv>
  <rv s="0">
    <fb>45975</fb>
    <v>0</v>
  </rv>
  <rv s="0">
    <fb>305.69</fb>
    <v>1</v>
  </rv>
  <rv s="0">
    <fb>3592455</fb>
    <v>2</v>
  </rv>
  <rv s="0">
    <fb>45978</fb>
    <v>0</v>
  </rv>
  <rv s="0">
    <fb>297.17</fb>
    <v>1</v>
  </rv>
  <rv s="0">
    <fb>3909741</fb>
    <v>2</v>
  </rv>
  <rv s="0">
    <fb>45979</fb>
    <v>0</v>
  </rv>
  <rv s="0">
    <fb>289.95</fb>
    <v>1</v>
  </rv>
  <rv s="0">
    <fb>4861928</fb>
    <v>2</v>
  </rv>
  <rv s="0">
    <fb>45980</fb>
    <v>0</v>
  </rv>
  <rv s="0">
    <fb>288.52999999999997</fb>
    <v>1</v>
  </rv>
  <rv s="0">
    <fb>3595912</fb>
    <v>2</v>
  </rv>
  <rv s="0">
    <fb>45981</fb>
    <v>0</v>
  </rv>
  <rv s="0">
    <fb>290.39999999999998</fb>
    <v>1</v>
  </rv>
  <rv s="0">
    <fb>5597028</fb>
    <v>2</v>
  </rv>
  <rv s="0">
    <fb>45982</fb>
    <v>0</v>
  </rv>
  <rv s="0">
    <fb>297.44</fb>
    <v>1</v>
  </rv>
  <rv s="0">
    <fb>5710903</fb>
    <v>2</v>
  </rv>
  <rv s="0">
    <fb>45985</fb>
    <v>0</v>
  </rv>
  <rv s="0">
    <fb>304.12</fb>
    <v>1</v>
  </rv>
  <rv s="0">
    <fb>6050640</fb>
    <v>2</v>
  </rv>
  <rv s="0">
    <fb>45986</fb>
    <v>0</v>
  </rv>
  <rv s="0">
    <fb>304.48</fb>
    <v>1</v>
  </rv>
  <rv s="0">
    <fb>2825322</fb>
    <v>2</v>
  </rv>
  <rv s="0">
    <fb>45987</fb>
    <v>0</v>
  </rv>
  <rv s="0">
    <fb>303.20999999999998</fb>
    <v>1</v>
  </rv>
  <rv s="0">
    <fb>2196446</fb>
    <v>2</v>
  </rv>
  <rv s="0">
    <fb>45989</fb>
    <v>0</v>
  </rv>
  <rv s="0">
    <fb>308.58</fb>
    <v>1</v>
  </rv>
  <rv s="0">
    <fb>1689031</fb>
    <v>2</v>
  </rv>
  <rv s="0">
    <fb>45992</fb>
    <v>0</v>
  </rv>
  <rv s="0">
    <fb>305.67</fb>
    <v>1</v>
  </rv>
  <rv s="0">
    <fb>3166555</fb>
    <v>2</v>
  </rv>
  <rv s="0">
    <fb>45993</fb>
    <v>0</v>
  </rv>
  <rv s="0">
    <fb>301.77999999999997</fb>
    <v>1</v>
  </rv>
  <rv s="0">
    <fb>4261100</fb>
    <v>2</v>
  </rv>
  <rv s="0">
    <fb>45994</fb>
    <v>0</v>
  </rv>
  <rv s="0">
    <fb>302.62</fb>
    <v>1</v>
  </rv>
  <rv s="0">
    <fb>3953390</fb>
    <v>2</v>
  </rv>
  <rv s="0">
    <fb>45995</fb>
    <v>0</v>
  </rv>
  <rv s="0">
    <fb>307.99</fb>
    <v>1</v>
  </rv>
  <rv s="0">
    <fb>2962463</fb>
    <v>2</v>
  </rv>
  <rv s="0">
    <fb>45996</fb>
    <v>0</v>
  </rv>
  <rv s="0">
    <fb>307.94</fb>
    <v>1</v>
  </rv>
  <rv s="0">
    <fb>2344667</fb>
    <v>2</v>
  </rv>
  <rv s="0">
    <fb>45999</fb>
    <v>0</v>
  </rv>
  <rv s="0">
    <fb>309.18</fb>
    <v>1</v>
  </rv>
  <rv s="0">
    <fb>3630157</fb>
    <v>2</v>
  </rv>
  <rv s="0">
    <fb>46000</fb>
    <v>0</v>
  </rv>
  <rv s="0">
    <fb>310.48</fb>
    <v>1</v>
  </rv>
  <rv s="0">
    <fb>2935669</fb>
    <v>2</v>
  </rv>
  <rv s="0">
    <fb>46001</fb>
    <v>0</v>
  </rv>
  <rv s="0">
    <fb>312.67</fb>
    <v>1</v>
  </rv>
  <rv s="0">
    <fb>3411524</fb>
    <v>2</v>
  </rv>
  <rv s="0">
    <fb>46002</fb>
    <v>0</v>
  </rv>
  <rv s="0">
    <fb>310.74</fb>
    <v>1</v>
  </rv>
  <rv s="0">
    <fb>2755749</fb>
    <v>2</v>
  </rv>
  <rv s="0">
    <fb>46003</fb>
    <v>0</v>
  </rv>
  <rv s="0">
    <fb>309.24</fb>
    <v>1</v>
  </rv>
  <rv s="0">
    <fb>2953374</fb>
    <v>2</v>
  </rv>
  <rv s="0">
    <fb>46006</fb>
    <v>0</v>
  </rv>
  <rv s="0">
    <fb>308.66000000000003</fb>
    <v>1</v>
  </rv>
  <rv s="0">
    <fb>3566732</fb>
    <v>2</v>
  </rv>
  <rv s="0">
    <fb>46007</fb>
    <v>0</v>
  </rv>
  <rv s="0">
    <fb>303.18</fb>
    <v>1</v>
  </rv>
  <rv s="0">
    <fb>3366878</fb>
    <v>2</v>
  </rv>
  <rv s="0">
    <fb>46008</fb>
    <v>0</v>
  </rv>
  <rv s="0">
    <fb>303.32</fb>
    <v>1</v>
  </rv>
  <rv s="0">
    <fb>3130954</fb>
    <v>2</v>
  </rv>
  <rv s="0">
    <fb>46009</fb>
    <v>0</v>
  </rv>
  <rv s="0">
    <fb>300.45</fb>
    <v>1</v>
  </rv>
  <rv s="0">
    <fb>5411669</fb>
    <v>2</v>
  </rv>
  <rv s="0">
    <fb>46010</fb>
    <v>0</v>
  </rv>
  <rv s="0">
    <fb>300.98</fb>
    <v>1</v>
  </rv>
  <rv s="0">
    <fb>11031341</fb>
    <v>2</v>
  </rv>
  <rv s="0">
    <fb>46013</fb>
    <v>0</v>
  </rv>
  <rv s="0">
    <fb>302.79000000000002</fb>
    <v>1</v>
  </rv>
  <rv s="0">
    <fb>2612100</fb>
    <v>2</v>
  </rv>
  <rv s="0">
    <fb>46014</fb>
    <v>0</v>
  </rv>
  <rv s="0">
    <fb>303.77999999999997</fb>
    <v>1</v>
  </rv>
  <rv s="0">
    <fb>2923037</fb>
    <v>2</v>
  </rv>
  <rv s="0">
    <fb>46015</fb>
    <v>0</v>
  </rv>
  <rv s="0">
    <fb>304.56</fb>
    <v>1</v>
  </rv>
  <rv s="0">
    <fb>1210642</fb>
    <v>2</v>
  </rv>
  <rv s="0">
    <fb>46017</fb>
    <v>0</v>
  </rv>
  <rv s="0">
    <fb>305.08999999999997</fb>
    <v>1</v>
  </rv>
  <rv s="0">
    <fb>2814732</fb>
    <v>2</v>
  </rv>
  <rv s="0">
    <fb>46020</fb>
    <v>0</v>
  </rv>
  <rv s="0">
    <fb>305.74</fb>
    <v>1</v>
  </rv>
  <rv s="0">
    <fb>4664711</fb>
    <v>2</v>
  </rv>
  <rv s="0">
    <fb>46021</fb>
    <v>0</v>
  </rv>
  <rv s="0">
    <fb>302.05</fb>
    <v>1</v>
  </rv>
  <rv s="0">
    <fb>1883651</fb>
    <v>2</v>
  </rv>
  <rv s="0">
    <fb>46022</fb>
    <v>0</v>
  </rv>
  <rv s="0">
    <fb>296.20999999999998</fb>
    <v>1</v>
  </rv>
  <rv s="0">
    <fb>3430133</fb>
    <v>2</v>
  </rv>
  <rv s="0">
    <fb>46024</fb>
    <v>0</v>
  </rv>
  <rv s="0">
    <fb>291.5</fb>
    <v>1</v>
  </rv>
  <rv s="0">
    <fb>4662804</fb>
    <v>2</v>
  </rv>
  <rv s="0">
    <fb>46027</fb>
    <v>0</v>
  </rv>
  <rv s="0">
    <fb>294.97000000000003</fb>
    <v>1</v>
  </rv>
  <rv s="0">
    <fb>4189960</fb>
    <v>2</v>
  </rv>
  <rv s="0">
    <fb>46028</fb>
    <v>0</v>
  </rv>
  <rv s="0">
    <fb>302.47000000000003</fb>
    <v>1</v>
  </rv>
  <rv s="0">
    <fb>4147315</fb>
    <v>2</v>
  </rv>
  <rv s="0">
    <fb>46029</fb>
    <v>0</v>
  </rv>
  <rv s="0">
    <fb>296.73</fb>
    <v>1</v>
  </rv>
  <rv s="0">
    <fb>2833274</fb>
    <v>2</v>
  </rv>
  <rv s="0">
    <fb>46030</fb>
    <v>0</v>
  </rv>
  <rv s="0">
    <fb>302.72000000000003</fb>
    <v>1</v>
  </rv>
  <rv s="0">
    <fb>3343273</fb>
    <v>2</v>
  </rv>
  <rv s="0">
    <fb>46031</fb>
    <v>0</v>
  </rv>
  <rv s="0">
    <fb>304.22000000000003</fb>
    <v>1</v>
  </rv>
  <rv s="0">
    <fb>2718828</fb>
    <v>2</v>
  </rv>
  <rv s="0">
    <fb>46034</fb>
    <v>0</v>
  </rv>
  <rv s="0">
    <fb>312.18</fb>
    <v>1</v>
  </rv>
  <rv s="0">
    <fb>3895197</fb>
    <v>2</v>
  </rv>
  <rv s="0">
    <fb>46035</fb>
    <v>0</v>
  </rv>
  <rv s="0">
    <fb>303.16000000000003</fb>
    <v>1</v>
  </rv>
  <rv s="0">
    <fb>4507760</fb>
    <v>2</v>
  </rv>
  <rv s="0">
    <fb>46036</fb>
    <v>0</v>
  </rv>
  <rv s="0">
    <fb>309.02999999999997</fb>
    <v>1</v>
  </rv>
  <rv s="0">
    <fb>3779045</fb>
    <v>2</v>
  </rv>
  <rv s="0">
    <fb>46037</fb>
    <v>0</v>
  </rv>
  <rv s="0">
    <fb>297.95</fb>
    <v>1</v>
  </rv>
  <rv s="0">
    <fb>4932480</fb>
    <v>2</v>
  </rv>
  <rv s="0">
    <fb>46038</fb>
    <v>0</v>
  </rv>
  <rv s="0">
    <fb>6199635</fb>
    <v>2</v>
  </rv>
  <rv s="0">
    <fb>46042</fb>
    <v>0</v>
  </rv>
  <rv s="0">
    <fb>291.35000000000002</fb>
    <v>1</v>
  </rv>
  <rv s="0">
    <fb>7275490</fb>
    <v>2</v>
  </rv>
  <rv s="0">
    <fb>46043</fb>
    <v>0</v>
  </rv>
  <rv s="0">
    <fb>297.54000000000002</fb>
    <v>1</v>
  </rv>
  <rv s="0">
    <fb>5185023</fb>
    <v>2</v>
  </rv>
  <rv s="0">
    <fb>46044</fb>
    <v>0</v>
  </rv>
  <rv s="0">
    <fb>294.67</fb>
    <v>1</v>
  </rv>
  <rv s="0">
    <fb>3670152</fb>
    <v>2</v>
  </rv>
  <rv s="0">
    <fb>46045</fb>
    <v>0</v>
  </rv>
  <rv s="0">
    <fb>292.44</fb>
    <v>1</v>
  </rv>
  <rv s="0">
    <fb>3298424</fb>
    <v>2</v>
  </rv>
  <rv s="0">
    <fb>46048</fb>
    <v>0</v>
  </rv>
  <rv s="0">
    <fb>296.33</fb>
    <v>1</v>
  </rv>
  <rv s="0">
    <fb>3726890</fb>
    <v>2</v>
  </rv>
  <rv s="0">
    <fb>46049</fb>
    <v>0</v>
  </rv>
  <rv s="0">
    <fb>293.86</fb>
    <v>1</v>
  </rv>
  <rv s="0">
    <fb>2954936</fb>
    <v>2</v>
  </rv>
  <rv s="0">
    <fb>46050</fb>
    <v>0</v>
  </rv>
  <rv s="0">
    <fb>294.16000000000003</fb>
    <v>1</v>
  </rv>
  <rv s="0">
    <fb>5790347</fb>
    <v>2</v>
  </rv>
  <rv s="0">
    <fb>46051</fb>
    <v>0</v>
  </rv>
  <rv s="0">
    <fb>10124929</fb>
    <v>2</v>
  </rv>
  <rv s="0">
    <fb>46052</fb>
    <v>0</v>
  </rv>
  <rv s="0">
    <fb>306.7</fb>
    <v>1</v>
  </rv>
  <rv s="0">
    <fb>5940669</fb>
    <v>2</v>
  </rv>
  <rv s="0">
    <fb>46055</fb>
    <v>0</v>
  </rv>
  <rv s="0">
    <fb>314.73</fb>
    <v>1</v>
  </rv>
  <rv s="0">
    <fb>4581189</fb>
    <v>2</v>
  </rv>
  <rv s="0">
    <fb>46056</fb>
    <v>0</v>
  </rv>
  <rv s="0">
    <fb>294.31</fb>
    <v>1</v>
  </rv>
  <rv s="0">
    <fb>11466529</fb>
    <v>2</v>
  </rv>
  <rv s="0">
    <fb>46057</fb>
    <v>0</v>
  </rv>
  <rv s="0">
    <fb>289.05</fb>
    <v>1</v>
  </rv>
  <rv s="0">
    <fb>8708033</fb>
    <v>2</v>
  </rv>
  <rv s="0">
    <fb>46058</fb>
    <v>0</v>
  </rv>
  <rv s="0">
    <fb>289.89</fb>
    <v>1</v>
  </rv>
  <rv s="0">
    <fb>5532797</fb>
    <v>2</v>
  </rv>
  <rv s="0">
    <fb>46059</fb>
    <v>0</v>
  </rv>
  <rv s="0">
    <fb>298.93</fb>
    <v>1</v>
  </rv>
  <rv s="0">
    <fb>3744313</fb>
    <v>2</v>
  </rv>
  <rv s="0">
    <fb>46062</fb>
    <v>0</v>
  </rv>
  <rv s="0">
    <fb>296.33999999999997</fb>
    <v>1</v>
  </rv>
  <rv s="0">
    <fb>4627815</fb>
    <v>2</v>
  </rv>
  <rv s="1">
    <v>3</v>
    <v>IBM</v>
    <v>Daily</v>
    <v>45292</v>
    <v>46063</v>
    <v>0</v>
    <v>1</v>
    <v>639061920000000000,639063696686416205,0</v>
    <v>0</v>
    <v>a1v6nm</v>
    <v>XNYS:IBM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BE7B02-0EBC-4C50-A42E-E61A2E2C7D1C}" name="Weekly" displayName="Weekly" ref="A1:D122" tableType="queryTable" totalsRowShown="0">
  <autoFilter ref="A1:D122" xr:uid="{AFBE7B02-0EBC-4C50-A42E-E61A2E2C7D1C}"/>
  <tableColumns count="4">
    <tableColumn id="1" xr3:uid="{7AA0E252-5BA0-4DA4-A37C-7A4B15DE9A72}" uniqueName="1" name="Week" queryTableFieldId="1" dataDxfId="0"/>
    <tableColumn id="2" xr3:uid="{A846636C-CD5A-4558-B5CA-B564FBD1B103}" uniqueName="2" name="Average" queryTableFieldId="2"/>
    <tableColumn id="3" xr3:uid="{398464FA-27E5-47F3-BCE9-3E280D355109}" uniqueName="3" name="XL Forecast" queryTableFieldId="3"/>
    <tableColumn id="4" xr3:uid="{8F4314CF-A5C1-43ED-BACD-B2CF366CAC9C}" uniqueName="4" name="Calc Foreca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47" workbookViewId="0">
      <selection activeCell="O84" sqref="O84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9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9" ca="1">_xlfn.STOCKHISTORY("IBM","2024-01-01",TODAY(),0,1,0,1,5)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161.5</v>
      </c>
      <c r="D2" vm="3">
        <f ca="1"/>
        <v>3825044</v>
      </c>
      <c r="E2">
        <f ca="1">C2*D2</f>
        <v>617744606</v>
      </c>
      <c r="F2">
        <f ca="1">SUM($E$2:E2)/SUM($D$2:D2)</f>
        <v>161.5</v>
      </c>
      <c r="G2">
        <f ca="1">_xlfn.STDEV.P($C$2:C2)</f>
        <v>0</v>
      </c>
      <c r="H2">
        <f ca="1">F2 + G2</f>
        <v>161.5</v>
      </c>
      <c r="I2">
        <f ca="1">F2 - G2</f>
        <v>161.5</v>
      </c>
      <c r="AC2" t="s">
        <v>39</v>
      </c>
      <c r="AD2">
        <f ca="1">MIN(C:C)</f>
        <v>159.16</v>
      </c>
      <c r="AE2" s="18">
        <f ca="1">MIN(D:D)</f>
        <v>1186216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160.1</v>
      </c>
      <c r="D3" vm="6">
        <f ca="1"/>
        <v>4086065</v>
      </c>
      <c r="E3">
        <f t="shared" ref="E3:E66" ca="1" si="1">C3*D3</f>
        <v>654179006.5</v>
      </c>
      <c r="F3">
        <f ca="1">SUM($E$2:E3)/SUM($D$2:D3)</f>
        <v>160.77690403456708</v>
      </c>
      <c r="G3">
        <f ca="1">_xlfn.STDEV.P($C$2:C3)</f>
        <v>0.70000000000000284</v>
      </c>
      <c r="H3">
        <f t="shared" ref="H3:H66" ca="1" si="2">F3 + G3</f>
        <v>161.4769040345671</v>
      </c>
      <c r="I3">
        <f t="shared" ref="I3:I66" ca="1" si="3">F3 - G3</f>
        <v>160.07690403456706</v>
      </c>
      <c r="N3">
        <f ca="1">C3-C2</f>
        <v>-1.4000000000000057</v>
      </c>
      <c r="O3">
        <f ca="1">MAX(N3,0)</f>
        <v>0</v>
      </c>
      <c r="P3">
        <f ca="1">MAX(-N3,0)</f>
        <v>1.4000000000000057</v>
      </c>
      <c r="AC3" t="s">
        <v>40</v>
      </c>
      <c r="AD3">
        <f ca="1">MAX(C:C)</f>
        <v>314.98</v>
      </c>
      <c r="AE3" s="18">
        <f ca="1">MAX(D:D)</f>
        <v>29596239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160.86000000000001</v>
      </c>
      <c r="D4" vm="9">
        <f ca="1"/>
        <v>3212004</v>
      </c>
      <c r="E4">
        <f t="shared" ca="1" si="1"/>
        <v>516682963.44000006</v>
      </c>
      <c r="F4">
        <f ca="1">SUM($E$2:E4)/SUM($D$2:D4)</f>
        <v>160.80089952695798</v>
      </c>
      <c r="G4">
        <f ca="1">_xlfn.STDEV.P($C$2:C4)</f>
        <v>0.57224703290333423</v>
      </c>
      <c r="H4">
        <f t="shared" ca="1" si="2"/>
        <v>161.37314655986131</v>
      </c>
      <c r="I4">
        <f t="shared" ca="1" si="3"/>
        <v>160.22865249405464</v>
      </c>
      <c r="N4">
        <f t="shared" ref="N4:N67" ca="1" si="4">C4-C3</f>
        <v>0.76000000000001933</v>
      </c>
      <c r="O4">
        <f t="shared" ref="O4:O67" ca="1" si="5">MAX(N4,0)</f>
        <v>0.76000000000001933</v>
      </c>
      <c r="P4">
        <f t="shared" ref="P4:P67" ca="1" si="6">MAX(-N4,0)</f>
        <v>0</v>
      </c>
      <c r="AC4" t="s">
        <v>41</v>
      </c>
      <c r="AD4">
        <f ca="1">MEDIAN(C:C)</f>
        <v>232.33499999999998</v>
      </c>
      <c r="AE4" s="18">
        <f ca="1">MEDIAN(D:D)</f>
        <v>3830094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159.16</v>
      </c>
      <c r="D5" vm="12">
        <f ca="1"/>
        <v>4199504</v>
      </c>
      <c r="E5">
        <f t="shared" ca="1" si="1"/>
        <v>668393056.63999999</v>
      </c>
      <c r="F5">
        <f ca="1">SUM($E$2:E5)/SUM($D$2:D5)</f>
        <v>160.35117451411858</v>
      </c>
      <c r="G5">
        <f ca="1">_xlfn.STDEV.P($C$2:C5)</f>
        <v>0.87308361569783566</v>
      </c>
      <c r="H5">
        <f t="shared" ca="1" si="2"/>
        <v>161.22425812981641</v>
      </c>
      <c r="I5">
        <f t="shared" ca="1" si="3"/>
        <v>159.47809089842076</v>
      </c>
      <c r="N5">
        <f t="shared" ca="1" si="4"/>
        <v>-1.7000000000000171</v>
      </c>
      <c r="O5">
        <f t="shared" ca="1" si="5"/>
        <v>0</v>
      </c>
      <c r="P5">
        <f t="shared" ca="1" si="6"/>
        <v>1.7000000000000171</v>
      </c>
      <c r="AC5" t="s">
        <v>42</v>
      </c>
      <c r="AD5">
        <f ca="1">AVERAGE(C:C)</f>
        <v>233.38357954545444</v>
      </c>
      <c r="AE5" s="18">
        <f ca="1">AVERAGE(D:D)</f>
        <v>4512469.0378787881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161.13999999999999</v>
      </c>
      <c r="D6" vm="15">
        <f ca="1"/>
        <v>3321698</v>
      </c>
      <c r="E6">
        <f t="shared" ca="1" si="1"/>
        <v>535258415.71999997</v>
      </c>
      <c r="F6">
        <f ca="1">SUM($E$2:E6)/SUM($D$2:D6)</f>
        <v>160.49171279824438</v>
      </c>
      <c r="G6">
        <f ca="1">_xlfn.STDEV.P($C$2:C6)</f>
        <v>0.83441955873529317</v>
      </c>
      <c r="H6">
        <f t="shared" ca="1" si="2"/>
        <v>161.32613235697968</v>
      </c>
      <c r="I6">
        <f t="shared" ca="1" si="3"/>
        <v>159.65729323950907</v>
      </c>
      <c r="N6">
        <f t="shared" ca="1" si="4"/>
        <v>1.9799999999999898</v>
      </c>
      <c r="O6">
        <f t="shared" ca="1" si="5"/>
        <v>1.9799999999999898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160.08000000000001</v>
      </c>
      <c r="D7" vm="18">
        <f ca="1"/>
        <v>2617186</v>
      </c>
      <c r="E7">
        <f t="shared" ca="1" si="1"/>
        <v>418959134.88000005</v>
      </c>
      <c r="F7">
        <f ca="1">SUM($E$2:E7)/SUM($D$2:D7)</f>
        <v>160.44103298163191</v>
      </c>
      <c r="G7">
        <f ca="1">_xlfn.STDEV.P($C$2:C7)</f>
        <v>0.78176438621592037</v>
      </c>
      <c r="H7">
        <f t="shared" ca="1" si="2"/>
        <v>161.22279736784782</v>
      </c>
      <c r="I7">
        <f t="shared" ca="1" si="3"/>
        <v>159.65926859541599</v>
      </c>
      <c r="N7">
        <f t="shared" ca="1" si="4"/>
        <v>-1.0599999999999739</v>
      </c>
      <c r="O7">
        <f t="shared" ca="1" si="5"/>
        <v>0</v>
      </c>
      <c r="P7">
        <f t="shared" ca="1" si="6"/>
        <v>1.0599999999999739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161.22999999999999</v>
      </c>
      <c r="D8" vm="21">
        <f ca="1"/>
        <v>2967852</v>
      </c>
      <c r="E8">
        <f t="shared" ca="1" si="1"/>
        <v>478506777.95999998</v>
      </c>
      <c r="F8">
        <f ca="1">SUM($E$2:E8)/SUM($D$2:D8)</f>
        <v>160.53767350452981</v>
      </c>
      <c r="G8">
        <f ca="1">_xlfn.STDEV.P($C$2:C8)</f>
        <v>0.77068482665796245</v>
      </c>
      <c r="H8">
        <f t="shared" ca="1" si="2"/>
        <v>161.30835833118778</v>
      </c>
      <c r="I8">
        <f t="shared" ca="1" si="3"/>
        <v>159.76698867787184</v>
      </c>
      <c r="N8">
        <f t="shared" ca="1" si="4"/>
        <v>1.1499999999999773</v>
      </c>
      <c r="O8">
        <f t="shared" ca="1" si="5"/>
        <v>1.1499999999999773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162.16</v>
      </c>
      <c r="D9" vm="24">
        <f ca="1"/>
        <v>3778395</v>
      </c>
      <c r="E9">
        <f t="shared" ca="1" si="1"/>
        <v>612704533.19999993</v>
      </c>
      <c r="F9">
        <f ca="1">SUM($E$2:E9)/SUM($D$2:D9)</f>
        <v>160.75653402551322</v>
      </c>
      <c r="G9">
        <f ca="1">_xlfn.STDEV.P($C$2:C9)</f>
        <v>0.89009040973375109</v>
      </c>
      <c r="H9">
        <f t="shared" ca="1" si="2"/>
        <v>161.64662443524696</v>
      </c>
      <c r="I9">
        <f t="shared" ca="1" si="3"/>
        <v>159.86644361577947</v>
      </c>
      <c r="N9">
        <f t="shared" ca="1" si="4"/>
        <v>0.93000000000000682</v>
      </c>
      <c r="O9">
        <f t="shared" ca="1" si="5"/>
        <v>0.93000000000000682</v>
      </c>
      <c r="P9">
        <f t="shared" ca="1" si="6"/>
        <v>0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165.8</v>
      </c>
      <c r="D10" vm="27">
        <f ca="1"/>
        <v>4958261</v>
      </c>
      <c r="E10">
        <f t="shared" ca="1" si="1"/>
        <v>822079673.80000007</v>
      </c>
      <c r="F10">
        <f ca="1">SUM($E$2:E10)/SUM($D$2:D10)</f>
        <v>161.51509781302312</v>
      </c>
      <c r="G10">
        <f ca="1">_xlfn.STDEV.P($C$2:C10)</f>
        <v>1.7872884490199139</v>
      </c>
      <c r="H10">
        <f t="shared" ca="1" si="2"/>
        <v>163.30238626204303</v>
      </c>
      <c r="I10">
        <f t="shared" ca="1" si="3"/>
        <v>159.72780936400321</v>
      </c>
      <c r="N10">
        <f t="shared" ca="1" si="4"/>
        <v>3.6400000000000148</v>
      </c>
      <c r="O10">
        <f t="shared" ca="1" si="5"/>
        <v>3.6400000000000148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166.96</v>
      </c>
      <c r="D11" vm="30">
        <f ca="1"/>
        <v>4869635</v>
      </c>
      <c r="E11">
        <f t="shared" ca="1" si="1"/>
        <v>813034259.60000002</v>
      </c>
      <c r="F11">
        <f ca="1">SUM($E$2:E11)/SUM($D$2:D11)</f>
        <v>162.21588372435264</v>
      </c>
      <c r="G11">
        <f ca="1">_xlfn.STDEV.P($C$2:C11)</f>
        <v>2.391846357941918</v>
      </c>
      <c r="H11">
        <f t="shared" ca="1" si="2"/>
        <v>164.60773008229455</v>
      </c>
      <c r="I11">
        <f t="shared" ca="1" si="3"/>
        <v>159.82403736641072</v>
      </c>
      <c r="N11">
        <f t="shared" ca="1" si="4"/>
        <v>1.1599999999999966</v>
      </c>
      <c r="O11">
        <f t="shared" ca="1" si="5"/>
        <v>1.1599999999999966</v>
      </c>
      <c r="P11">
        <f t="shared" ca="1" si="6"/>
        <v>0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166.08</v>
      </c>
      <c r="D12" vm="33">
        <f ca="1"/>
        <v>4288604</v>
      </c>
      <c r="E12">
        <f t="shared" ca="1" si="1"/>
        <v>712251352.32000005</v>
      </c>
      <c r="F12">
        <f ca="1">SUM($E$2:E12)/SUM($D$2:D12)</f>
        <v>162.6092833766433</v>
      </c>
      <c r="G12">
        <f ca="1">_xlfn.STDEV.P($C$2:C12)</f>
        <v>2.5778936241028458</v>
      </c>
      <c r="H12">
        <f t="shared" ca="1" si="2"/>
        <v>165.18717700074615</v>
      </c>
      <c r="I12">
        <f t="shared" ca="1" si="3"/>
        <v>160.03138975254046</v>
      </c>
      <c r="N12">
        <f t="shared" ca="1" si="4"/>
        <v>-0.87999999999999545</v>
      </c>
      <c r="O12">
        <f t="shared" ca="1" si="5"/>
        <v>0</v>
      </c>
      <c r="P12">
        <f t="shared" ca="1" si="6"/>
        <v>0.87999999999999545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166.84</v>
      </c>
      <c r="D13" vm="36">
        <f ca="1"/>
        <v>3776990</v>
      </c>
      <c r="E13">
        <f t="shared" ca="1" si="1"/>
        <v>630153011.60000002</v>
      </c>
      <c r="F13">
        <f ca="1">SUM($E$2:E13)/SUM($D$2:D13)</f>
        <v>162.9574085051911</v>
      </c>
      <c r="G13">
        <f ca="1">_xlfn.STDEV.P($C$2:C13)</f>
        <v>2.7714209903144593</v>
      </c>
      <c r="H13">
        <f t="shared" ca="1" si="2"/>
        <v>165.72882949550555</v>
      </c>
      <c r="I13">
        <f t="shared" ca="1" si="3"/>
        <v>160.18598751487664</v>
      </c>
      <c r="N13">
        <f t="shared" ca="1" si="4"/>
        <v>0.75999999999999091</v>
      </c>
      <c r="O13">
        <f t="shared" ca="1" si="5"/>
        <v>0.75999999999999091</v>
      </c>
      <c r="P13">
        <f t="shared" ca="1" si="6"/>
        <v>0</v>
      </c>
      <c r="W13" s="9">
        <f ca="1">AVERAGE(C2:C13)</f>
        <v>162.65916666666666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171.48</v>
      </c>
      <c r="D14" vm="39">
        <f ca="1"/>
        <v>6929079</v>
      </c>
      <c r="E14">
        <f t="shared" ca="1" si="1"/>
        <v>1188198466.9199998</v>
      </c>
      <c r="F14">
        <f ca="1">SUM($E$2:E14)/SUM($D$2:D14)</f>
        <v>164.07520815330335</v>
      </c>
      <c r="G14">
        <f ca="1">_xlfn.STDEV.P($C$2:C14)</f>
        <v>3.5517193103019276</v>
      </c>
      <c r="H14">
        <f t="shared" ca="1" si="2"/>
        <v>167.62692746360528</v>
      </c>
      <c r="I14">
        <f t="shared" ca="1" si="3"/>
        <v>160.52348884300142</v>
      </c>
      <c r="N14">
        <f t="shared" ca="1" si="4"/>
        <v>4.6399999999999864</v>
      </c>
      <c r="O14">
        <f t="shared" ca="1" si="5"/>
        <v>4.6399999999999864</v>
      </c>
      <c r="P14">
        <f t="shared" ca="1" si="6"/>
        <v>0</v>
      </c>
      <c r="W14">
        <f ca="1">C14*(2/(12+1)) + W13*(1-(2/(12+1)))</f>
        <v>164.01621794871795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172.83</v>
      </c>
      <c r="D15" vm="42">
        <f ca="1"/>
        <v>4925964</v>
      </c>
      <c r="E15">
        <f t="shared" ca="1" si="1"/>
        <v>851354358.12</v>
      </c>
      <c r="F15">
        <f ca="1">SUM($E$2:E15)/SUM($D$2:D15)</f>
        <v>164.82189385947478</v>
      </c>
      <c r="G15">
        <f ca="1">_xlfn.STDEV.P($C$2:C15)</f>
        <v>4.205940890634368</v>
      </c>
      <c r="H15">
        <f t="shared" ca="1" si="2"/>
        <v>169.02783475010915</v>
      </c>
      <c r="I15">
        <f t="shared" ca="1" si="3"/>
        <v>160.61595296884042</v>
      </c>
      <c r="N15">
        <f t="shared" ca="1" si="4"/>
        <v>1.3500000000000227</v>
      </c>
      <c r="O15">
        <f t="shared" ca="1" si="5"/>
        <v>1.3500000000000227</v>
      </c>
      <c r="P15">
        <f t="shared" ca="1" si="6"/>
        <v>0</v>
      </c>
      <c r="Q15" s="2">
        <f ca="1">AVERAGE(O3:O16)</f>
        <v>1.2485714285714278</v>
      </c>
      <c r="R15" s="2">
        <f ca="1">AVERAGE(P3:P16)</f>
        <v>0.35999999999999943</v>
      </c>
      <c r="S15">
        <f ca="1">IF(R15=0,NA(),Q15/R15)</f>
        <v>3.4682539682539715</v>
      </c>
      <c r="T15">
        <f ca="1">100-(100/(1+S15))</f>
        <v>77.619893428063961</v>
      </c>
      <c r="U15">
        <f>70</f>
        <v>70</v>
      </c>
      <c r="V15">
        <f>30</f>
        <v>30</v>
      </c>
      <c r="W15">
        <f t="shared" ref="W15:W78" ca="1" si="7">C15*(2/(12+1)) + W14*(1-(2/(12+1)))</f>
        <v>165.37218441814596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173.94</v>
      </c>
      <c r="D16" vm="45">
        <f ca="1"/>
        <v>3983461</v>
      </c>
      <c r="E16">
        <f t="shared" ca="1" si="1"/>
        <v>692883206.34000003</v>
      </c>
      <c r="F16">
        <f ca="1">SUM($E$2:E16)/SUM($D$2:D16)</f>
        <v>165.41019596486169</v>
      </c>
      <c r="G16">
        <f ca="1">_xlfn.STDEV.P($C$2:C16)</f>
        <v>4.7580422678053456</v>
      </c>
      <c r="H16">
        <f t="shared" ca="1" si="2"/>
        <v>170.16823823266702</v>
      </c>
      <c r="I16">
        <f t="shared" ca="1" si="3"/>
        <v>160.65215369705635</v>
      </c>
      <c r="N16">
        <f t="shared" ca="1" si="4"/>
        <v>1.1099999999999852</v>
      </c>
      <c r="O16">
        <f t="shared" ca="1" si="5"/>
        <v>1.1099999999999852</v>
      </c>
      <c r="P16">
        <f t="shared" ca="1" si="6"/>
        <v>0</v>
      </c>
      <c r="Q16">
        <f ca="1">(Q15*13+O16)/14</f>
        <v>1.2386734693877535</v>
      </c>
      <c r="R16">
        <f ca="1">(R15*13+P16)/14</f>
        <v>0.33428571428571374</v>
      </c>
      <c r="S16">
        <f t="shared" ref="S16:S79" ca="1" si="8">IF(R16=0,NA(),Q16/R16)</f>
        <v>3.7054334554334565</v>
      </c>
      <c r="T16">
        <f t="shared" ref="T16:T79" ca="1" si="9">100-(100/(1+S16))</f>
        <v>78.747972753811226</v>
      </c>
      <c r="U16">
        <f>70</f>
        <v>70</v>
      </c>
      <c r="V16">
        <f>30</f>
        <v>30</v>
      </c>
      <c r="W16">
        <f t="shared" ca="1" si="7"/>
        <v>166.69030989227736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173.93</v>
      </c>
      <c r="D17" vm="48">
        <f ca="1"/>
        <v>9097827</v>
      </c>
      <c r="E17">
        <f t="shared" ca="1" si="1"/>
        <v>1582385050.1100001</v>
      </c>
      <c r="F17">
        <f ca="1">SUM($E$2:E17)/SUM($D$2:D17)</f>
        <v>166.50441340173603</v>
      </c>
      <c r="G17">
        <f ca="1">_xlfn.STDEV.P($C$2:C17)</f>
        <v>5.1225335147146689</v>
      </c>
      <c r="H17">
        <f t="shared" ca="1" si="2"/>
        <v>171.62694691645069</v>
      </c>
      <c r="I17">
        <f t="shared" ca="1" si="3"/>
        <v>161.38187988702137</v>
      </c>
      <c r="N17">
        <f t="shared" ca="1" si="4"/>
        <v>-9.9999999999909051E-3</v>
      </c>
      <c r="O17">
        <f t="shared" ca="1" si="5"/>
        <v>0</v>
      </c>
      <c r="P17">
        <f t="shared" ca="1" si="6"/>
        <v>9.9999999999909051E-3</v>
      </c>
      <c r="Q17">
        <f t="shared" ref="Q17:Q80" ca="1" si="10">(Q16*13+O17)/14</f>
        <v>1.150196793002914</v>
      </c>
      <c r="R17">
        <f t="shared" ref="R17:R80" ca="1" si="11">(R16*13+P17)/14</f>
        <v>0.31112244897959068</v>
      </c>
      <c r="S17">
        <f t="shared" ca="1" si="8"/>
        <v>3.696926392728304</v>
      </c>
      <c r="T17">
        <f t="shared" ca="1" si="9"/>
        <v>78.709481129017021</v>
      </c>
      <c r="U17">
        <f>70</f>
        <v>70</v>
      </c>
      <c r="V17">
        <f>30</f>
        <v>30</v>
      </c>
      <c r="W17">
        <f t="shared" ca="1" si="7"/>
        <v>167.80410837038855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190.43</v>
      </c>
      <c r="D18" vm="51">
        <f ca="1"/>
        <v>29596239</v>
      </c>
      <c r="E18">
        <f t="shared" ca="1" si="1"/>
        <v>5636011792.7700005</v>
      </c>
      <c r="F18">
        <f ca="1">SUM($E$2:E18)/SUM($D$2:D18)</f>
        <v>173.55490161161669</v>
      </c>
      <c r="G18">
        <f ca="1">_xlfn.STDEV.P($C$2:C18)</f>
        <v>7.7319634072781227</v>
      </c>
      <c r="H18">
        <f t="shared" ca="1" si="2"/>
        <v>181.28686501889482</v>
      </c>
      <c r="I18">
        <f t="shared" ca="1" si="3"/>
        <v>165.82293820433856</v>
      </c>
      <c r="N18">
        <f t="shared" ca="1" si="4"/>
        <v>16.5</v>
      </c>
      <c r="O18">
        <f t="shared" ca="1" si="5"/>
        <v>16.5</v>
      </c>
      <c r="P18">
        <f t="shared" ca="1" si="6"/>
        <v>0</v>
      </c>
      <c r="Q18">
        <f t="shared" ca="1" si="10"/>
        <v>2.2466113077884202</v>
      </c>
      <c r="R18">
        <f t="shared" ca="1" si="11"/>
        <v>0.2888994169096199</v>
      </c>
      <c r="S18">
        <f t="shared" ca="1" si="8"/>
        <v>7.7764480517842527</v>
      </c>
      <c r="T18">
        <f t="shared" ca="1" si="9"/>
        <v>88.605868865176049</v>
      </c>
      <c r="U18">
        <f>70</f>
        <v>70</v>
      </c>
      <c r="V18">
        <f>30</f>
        <v>30</v>
      </c>
      <c r="W18">
        <f t="shared" ca="1" si="7"/>
        <v>171.28501477494416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187.42</v>
      </c>
      <c r="D19" vm="54">
        <f ca="1"/>
        <v>9895941</v>
      </c>
      <c r="E19">
        <f t="shared" ca="1" si="1"/>
        <v>1854697262.2199998</v>
      </c>
      <c r="F19">
        <f ca="1">SUM($E$2:E19)/SUM($D$2:D19)</f>
        <v>174.79852082451492</v>
      </c>
      <c r="G19">
        <f ca="1">_xlfn.STDEV.P($C$2:C19)</f>
        <v>8.883057045248318</v>
      </c>
      <c r="H19">
        <f t="shared" ca="1" si="2"/>
        <v>183.68157786976323</v>
      </c>
      <c r="I19">
        <f t="shared" ca="1" si="3"/>
        <v>165.91546377926662</v>
      </c>
      <c r="N19">
        <f t="shared" ca="1" si="4"/>
        <v>-3.0100000000000193</v>
      </c>
      <c r="O19">
        <f t="shared" ca="1" si="5"/>
        <v>0</v>
      </c>
      <c r="P19">
        <f t="shared" ca="1" si="6"/>
        <v>3.0100000000000193</v>
      </c>
      <c r="Q19">
        <f t="shared" ca="1" si="10"/>
        <v>2.086139071517819</v>
      </c>
      <c r="R19">
        <f t="shared" ca="1" si="11"/>
        <v>0.48326374427321983</v>
      </c>
      <c r="S19">
        <f t="shared" ca="1" si="8"/>
        <v>4.3167713205035954</v>
      </c>
      <c r="T19">
        <f t="shared" ca="1" si="9"/>
        <v>81.191592797237675</v>
      </c>
      <c r="U19">
        <f>70</f>
        <v>70</v>
      </c>
      <c r="V19">
        <f>30</f>
        <v>30</v>
      </c>
      <c r="W19">
        <f t="shared" ca="1" si="7"/>
        <v>173.76732019418353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187.14</v>
      </c>
      <c r="D20" vm="57">
        <f ca="1"/>
        <v>6107908</v>
      </c>
      <c r="E20">
        <f t="shared" ca="1" si="1"/>
        <v>1143033903.1199999</v>
      </c>
      <c r="F20">
        <f ca="1">SUM($E$2:E20)/SUM($D$2:D20)</f>
        <v>175.44591120774615</v>
      </c>
      <c r="G20">
        <f ca="1">_xlfn.STDEV.P($C$2:C20)</f>
        <v>9.6561351616673115</v>
      </c>
      <c r="H20">
        <f t="shared" ca="1" si="2"/>
        <v>185.10204636941347</v>
      </c>
      <c r="I20">
        <f t="shared" ca="1" si="3"/>
        <v>165.78977604607883</v>
      </c>
      <c r="N20">
        <f t="shared" ca="1" si="4"/>
        <v>-0.28000000000000114</v>
      </c>
      <c r="O20">
        <f t="shared" ca="1" si="5"/>
        <v>0</v>
      </c>
      <c r="P20">
        <f t="shared" ca="1" si="6"/>
        <v>0.28000000000000114</v>
      </c>
      <c r="Q20">
        <f t="shared" ca="1" si="10"/>
        <v>1.9371291378379747</v>
      </c>
      <c r="R20">
        <f t="shared" ca="1" si="11"/>
        <v>0.46874490539656133</v>
      </c>
      <c r="S20">
        <f t="shared" ca="1" si="8"/>
        <v>4.1325870756913092</v>
      </c>
      <c r="T20">
        <f t="shared" ca="1" si="9"/>
        <v>80.516648129826223</v>
      </c>
      <c r="U20">
        <f>70</f>
        <v>70</v>
      </c>
      <c r="V20">
        <f>30</f>
        <v>30</v>
      </c>
      <c r="W20">
        <f t="shared" ca="1" si="7"/>
        <v>175.82465554892451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187.87</v>
      </c>
      <c r="D21" vm="60">
        <f ca="1"/>
        <v>4575058</v>
      </c>
      <c r="E21">
        <f t="shared" ca="1" si="1"/>
        <v>859516146.46000004</v>
      </c>
      <c r="F21">
        <f ca="1">SUM($E$2:E21)/SUM($D$2:D21)</f>
        <v>175.91562157513781</v>
      </c>
      <c r="G21">
        <f ca="1">_xlfn.STDEV.P($C$2:C21)</f>
        <v>10.279795170624752</v>
      </c>
      <c r="H21">
        <f t="shared" ca="1" si="2"/>
        <v>186.19541674576254</v>
      </c>
      <c r="I21">
        <f t="shared" ca="1" si="3"/>
        <v>165.63582640451307</v>
      </c>
      <c r="J21">
        <f ca="1">AVERAGE(C2:C21)</f>
        <v>169.84749999999997</v>
      </c>
      <c r="K21">
        <f ca="1">_xlfn.STDEV.S(C2:C21)</f>
        <v>10.546847308930509</v>
      </c>
      <c r="L21">
        <f ca="1">J21 + 2*K21</f>
        <v>190.94119461786099</v>
      </c>
      <c r="M21">
        <f ca="1">J21-2*K21</f>
        <v>148.75380538213895</v>
      </c>
      <c r="N21">
        <f t="shared" ca="1" si="4"/>
        <v>0.73000000000001819</v>
      </c>
      <c r="O21">
        <f t="shared" ca="1" si="5"/>
        <v>0.73000000000001819</v>
      </c>
      <c r="P21">
        <f t="shared" ca="1" si="6"/>
        <v>0</v>
      </c>
      <c r="Q21">
        <f t="shared" ca="1" si="10"/>
        <v>1.8509056279924063</v>
      </c>
      <c r="R21">
        <f t="shared" ca="1" si="11"/>
        <v>0.43526312643966408</v>
      </c>
      <c r="S21">
        <f t="shared" ca="1" si="8"/>
        <v>4.2523832494893812</v>
      </c>
      <c r="T21">
        <f t="shared" ca="1" si="9"/>
        <v>80.961023739133722</v>
      </c>
      <c r="U21">
        <f>70</f>
        <v>70</v>
      </c>
      <c r="V21">
        <f>30</f>
        <v>30</v>
      </c>
      <c r="W21">
        <f t="shared" ca="1" si="7"/>
        <v>177.6777854644746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183.66</v>
      </c>
      <c r="D22" vm="63">
        <f ca="1"/>
        <v>8876055</v>
      </c>
      <c r="E22">
        <f t="shared" ca="1" si="1"/>
        <v>1630176261.3</v>
      </c>
      <c r="F22">
        <f ca="1">SUM($E$2:E22)/SUM($D$2:D22)</f>
        <v>176.44483998901521</v>
      </c>
      <c r="G22">
        <f ca="1">_xlfn.STDEV.P($C$2:C22)</f>
        <v>10.454399674890867</v>
      </c>
      <c r="H22">
        <f t="shared" ca="1" si="2"/>
        <v>186.89923966390609</v>
      </c>
      <c r="I22">
        <f t="shared" ca="1" si="3"/>
        <v>165.99044031412433</v>
      </c>
      <c r="J22">
        <f t="shared" ref="J22:J85" ca="1" si="12">AVERAGE(C3:C22)</f>
        <v>170.95549999999997</v>
      </c>
      <c r="K22">
        <f t="shared" ref="K22:K85" ca="1" si="13">_xlfn.STDEV.S(C3:C22)</f>
        <v>10.785064953565721</v>
      </c>
      <c r="L22">
        <f t="shared" ref="L22:L85" ca="1" si="14">J22 + 2*K22</f>
        <v>192.52562990713142</v>
      </c>
      <c r="M22">
        <f t="shared" ref="M22:M85" ca="1" si="15">J22-2*K22</f>
        <v>149.38537009286853</v>
      </c>
      <c r="N22">
        <f t="shared" ca="1" si="4"/>
        <v>-4.210000000000008</v>
      </c>
      <c r="O22">
        <f t="shared" ca="1" si="5"/>
        <v>0</v>
      </c>
      <c r="P22">
        <f t="shared" ca="1" si="6"/>
        <v>4.210000000000008</v>
      </c>
      <c r="Q22">
        <f t="shared" ca="1" si="10"/>
        <v>1.7186980831358059</v>
      </c>
      <c r="R22">
        <f t="shared" ca="1" si="11"/>
        <v>0.70488718883683155</v>
      </c>
      <c r="S22">
        <f t="shared" ca="1" si="8"/>
        <v>2.4382597816423828</v>
      </c>
      <c r="T22">
        <f t="shared" ca="1" si="9"/>
        <v>70.915519375841882</v>
      </c>
      <c r="U22">
        <f>70</f>
        <v>70</v>
      </c>
      <c r="V22">
        <f>30</f>
        <v>30</v>
      </c>
      <c r="W22">
        <f t="shared" ca="1" si="7"/>
        <v>178.59812616224775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186.9</v>
      </c>
      <c r="D23" vm="66">
        <f ca="1"/>
        <v>4669444</v>
      </c>
      <c r="E23">
        <f t="shared" ca="1" si="1"/>
        <v>872719083.60000002</v>
      </c>
      <c r="F23">
        <f ca="1">SUM($E$2:E23)/SUM($D$2:D23)</f>
        <v>176.80765532916482</v>
      </c>
      <c r="G23">
        <f ca="1">_xlfn.STDEV.P($C$2:C23)</f>
        <v>10.76981154442729</v>
      </c>
      <c r="H23">
        <f t="shared" ca="1" si="2"/>
        <v>187.5774668735921</v>
      </c>
      <c r="I23">
        <f t="shared" ca="1" si="3"/>
        <v>166.03784378473753</v>
      </c>
      <c r="J23">
        <f t="shared" ca="1" si="12"/>
        <v>172.29549999999998</v>
      </c>
      <c r="K23">
        <f t="shared" ca="1" si="13"/>
        <v>11.0274969603499</v>
      </c>
      <c r="L23">
        <f t="shared" ca="1" si="14"/>
        <v>194.35049392069976</v>
      </c>
      <c r="M23">
        <f t="shared" ca="1" si="15"/>
        <v>150.24050607930019</v>
      </c>
      <c r="N23">
        <f t="shared" ca="1" si="4"/>
        <v>3.2400000000000091</v>
      </c>
      <c r="O23">
        <f t="shared" ca="1" si="5"/>
        <v>3.2400000000000091</v>
      </c>
      <c r="P23">
        <f t="shared" ca="1" si="6"/>
        <v>0</v>
      </c>
      <c r="Q23">
        <f t="shared" ca="1" si="10"/>
        <v>1.8273625057689633</v>
      </c>
      <c r="R23">
        <f t="shared" ca="1" si="11"/>
        <v>0.65453810391991496</v>
      </c>
      <c r="S23">
        <f t="shared" ca="1" si="8"/>
        <v>2.7918351809088069</v>
      </c>
      <c r="T23">
        <f t="shared" ca="1" si="9"/>
        <v>73.627545705709565</v>
      </c>
      <c r="U23">
        <f>70</f>
        <v>70</v>
      </c>
      <c r="V23">
        <f>30</f>
        <v>30</v>
      </c>
      <c r="W23">
        <f t="shared" ca="1" si="7"/>
        <v>179.87533752190194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185.79</v>
      </c>
      <c r="D24" vm="69">
        <f ca="1"/>
        <v>4055411</v>
      </c>
      <c r="E24">
        <f t="shared" ca="1" si="1"/>
        <v>753454809.68999994</v>
      </c>
      <c r="F24">
        <f ca="1">SUM($E$2:E24)/SUM($D$2:D24)</f>
        <v>177.07045128002386</v>
      </c>
      <c r="G24">
        <f ca="1">_xlfn.STDEV.P($C$2:C24)</f>
        <v>10.942461458004974</v>
      </c>
      <c r="H24">
        <f t="shared" ca="1" si="2"/>
        <v>188.01291273802883</v>
      </c>
      <c r="I24">
        <f t="shared" ca="1" si="3"/>
        <v>166.12798982201889</v>
      </c>
      <c r="J24">
        <f t="shared" ca="1" si="12"/>
        <v>173.54199999999997</v>
      </c>
      <c r="K24">
        <f t="shared" ca="1" si="13"/>
        <v>11.075729083759771</v>
      </c>
      <c r="L24">
        <f t="shared" ca="1" si="14"/>
        <v>195.69345816751951</v>
      </c>
      <c r="M24">
        <f t="shared" ca="1" si="15"/>
        <v>151.39054183248044</v>
      </c>
      <c r="N24">
        <f t="shared" ca="1" si="4"/>
        <v>-1.1100000000000136</v>
      </c>
      <c r="O24">
        <f t="shared" ca="1" si="5"/>
        <v>0</v>
      </c>
      <c r="P24">
        <f t="shared" ca="1" si="6"/>
        <v>1.1100000000000136</v>
      </c>
      <c r="Q24">
        <f t="shared" ca="1" si="10"/>
        <v>1.6968366124997516</v>
      </c>
      <c r="R24">
        <f t="shared" ca="1" si="11"/>
        <v>0.68707109649706488</v>
      </c>
      <c r="S24">
        <f t="shared" ca="1" si="8"/>
        <v>2.4696667072022587</v>
      </c>
      <c r="T24">
        <f t="shared" ca="1" si="9"/>
        <v>71.178787924378383</v>
      </c>
      <c r="U24">
        <f>70</f>
        <v>70</v>
      </c>
      <c r="V24">
        <f>30</f>
        <v>30</v>
      </c>
      <c r="W24">
        <f t="shared" ca="1" si="7"/>
        <v>180.78528559545549</v>
      </c>
    </row>
    <row r="25" spans="1:25" x14ac:dyDescent="0.25">
      <c r="A25" s="20">
        <f t="shared" ca="1" si="0"/>
        <v>45327</v>
      </c>
      <c r="B25" vm="70">
        <f ca="1"/>
        <v>45327</v>
      </c>
      <c r="C25" vm="71">
        <f ca="1"/>
        <v>183.42</v>
      </c>
      <c r="D25" vm="72">
        <f ca="1"/>
        <v>4379602</v>
      </c>
      <c r="E25">
        <f t="shared" ca="1" si="1"/>
        <v>803306598.83999991</v>
      </c>
      <c r="F25">
        <f ca="1">SUM($E$2:E25)/SUM($D$2:D25)</f>
        <v>177.26492549993293</v>
      </c>
      <c r="G25">
        <f ca="1">_xlfn.STDEV.P($C$2:C25)</f>
        <v>10.957354328892027</v>
      </c>
      <c r="H25">
        <f t="shared" ca="1" si="2"/>
        <v>188.22227982882495</v>
      </c>
      <c r="I25">
        <f t="shared" ca="1" si="3"/>
        <v>166.30757117104091</v>
      </c>
      <c r="J25">
        <f t="shared" ca="1" si="12"/>
        <v>174.755</v>
      </c>
      <c r="K25">
        <f t="shared" ca="1" si="13"/>
        <v>10.741139065343701</v>
      </c>
      <c r="L25">
        <f t="shared" ca="1" si="14"/>
        <v>196.2372781306874</v>
      </c>
      <c r="M25">
        <f t="shared" ca="1" si="15"/>
        <v>153.27272186931259</v>
      </c>
      <c r="N25">
        <f t="shared" ca="1" si="4"/>
        <v>-2.3700000000000045</v>
      </c>
      <c r="O25">
        <f t="shared" ca="1" si="5"/>
        <v>0</v>
      </c>
      <c r="P25">
        <f t="shared" ca="1" si="6"/>
        <v>2.3700000000000045</v>
      </c>
      <c r="Q25">
        <f t="shared" ca="1" si="10"/>
        <v>1.5756339973211979</v>
      </c>
      <c r="R25">
        <f t="shared" ca="1" si="11"/>
        <v>0.80728030389013206</v>
      </c>
      <c r="S25">
        <f t="shared" ca="1" si="8"/>
        <v>1.9517805522177536</v>
      </c>
      <c r="T25">
        <f t="shared" ca="1" si="9"/>
        <v>66.122142811440625</v>
      </c>
      <c r="U25">
        <f>70</f>
        <v>70</v>
      </c>
      <c r="V25">
        <f>30</f>
        <v>30</v>
      </c>
      <c r="W25">
        <f t="shared" ca="1" si="7"/>
        <v>181.19062627307773</v>
      </c>
    </row>
    <row r="26" spans="1:25" x14ac:dyDescent="0.25">
      <c r="A26" s="20">
        <f t="shared" ca="1" si="0"/>
        <v>45327</v>
      </c>
      <c r="B26" vm="73">
        <f ca="1"/>
        <v>45328</v>
      </c>
      <c r="C26" vm="74">
        <f ca="1"/>
        <v>183.41</v>
      </c>
      <c r="D26" vm="75">
        <f ca="1"/>
        <v>3338196</v>
      </c>
      <c r="E26">
        <f t="shared" ca="1" si="1"/>
        <v>612258528.36000001</v>
      </c>
      <c r="F26">
        <f ca="1">SUM($E$2:E26)/SUM($D$2:D26)</f>
        <v>177.40511044924369</v>
      </c>
      <c r="G26">
        <f ca="1">_xlfn.STDEV.P($C$2:C26)</f>
        <v>10.952030723112493</v>
      </c>
      <c r="H26">
        <f t="shared" ca="1" si="2"/>
        <v>188.35714117235619</v>
      </c>
      <c r="I26">
        <f t="shared" ca="1" si="3"/>
        <v>166.45307972613119</v>
      </c>
      <c r="J26">
        <f t="shared" ca="1" si="12"/>
        <v>175.86849999999998</v>
      </c>
      <c r="K26">
        <f t="shared" ca="1" si="13"/>
        <v>10.404483990341044</v>
      </c>
      <c r="L26">
        <f t="shared" ca="1" si="14"/>
        <v>196.67746798068208</v>
      </c>
      <c r="M26">
        <f t="shared" ca="1" si="15"/>
        <v>155.05953201931788</v>
      </c>
      <c r="N26">
        <f t="shared" ca="1" si="4"/>
        <v>-9.9999999999909051E-3</v>
      </c>
      <c r="O26">
        <f t="shared" ca="1" si="5"/>
        <v>0</v>
      </c>
      <c r="P26">
        <f t="shared" ca="1" si="6"/>
        <v>9.9999999999909051E-3</v>
      </c>
      <c r="Q26">
        <f t="shared" ca="1" si="10"/>
        <v>1.4630887117982552</v>
      </c>
      <c r="R26">
        <f t="shared" ca="1" si="11"/>
        <v>0.75033171075512206</v>
      </c>
      <c r="S26">
        <f t="shared" ca="1" si="8"/>
        <v>1.949922535362161</v>
      </c>
      <c r="T26">
        <f t="shared" ca="1" si="9"/>
        <v>66.100804749531136</v>
      </c>
      <c r="U26">
        <f>70</f>
        <v>70</v>
      </c>
      <c r="V26">
        <f>30</f>
        <v>30</v>
      </c>
      <c r="W26">
        <f t="shared" ca="1" si="7"/>
        <v>181.53206838491192</v>
      </c>
    </row>
    <row r="27" spans="1:25" x14ac:dyDescent="0.25">
      <c r="A27" s="20">
        <f t="shared" ca="1" si="0"/>
        <v>45327</v>
      </c>
      <c r="B27" vm="76">
        <f ca="1"/>
        <v>45329</v>
      </c>
      <c r="C27" vm="77">
        <f ca="1"/>
        <v>183.74</v>
      </c>
      <c r="D27" vm="78">
        <f ca="1"/>
        <v>4841188</v>
      </c>
      <c r="E27">
        <f t="shared" ca="1" si="1"/>
        <v>889519883.12</v>
      </c>
      <c r="F27">
        <f ca="1">SUM($E$2:E27)/SUM($D$2:D27)</f>
        <v>177.60798047359251</v>
      </c>
      <c r="G27">
        <f ca="1">_xlfn.STDEV.P($C$2:C27)</f>
        <v>10.943289891026977</v>
      </c>
      <c r="H27">
        <f t="shared" ca="1" si="2"/>
        <v>188.55127036461948</v>
      </c>
      <c r="I27">
        <f t="shared" ca="1" si="3"/>
        <v>166.66469058256553</v>
      </c>
      <c r="J27">
        <f t="shared" ca="1" si="12"/>
        <v>177.05149999999998</v>
      </c>
      <c r="K27">
        <f t="shared" ca="1" si="13"/>
        <v>9.8448662951012693</v>
      </c>
      <c r="L27">
        <f t="shared" ca="1" si="14"/>
        <v>196.74123259020251</v>
      </c>
      <c r="M27">
        <f t="shared" ca="1" si="15"/>
        <v>157.36176740979744</v>
      </c>
      <c r="N27">
        <f t="shared" ca="1" si="4"/>
        <v>0.33000000000001251</v>
      </c>
      <c r="O27">
        <f t="shared" ca="1" si="5"/>
        <v>0.33000000000001251</v>
      </c>
      <c r="P27">
        <f t="shared" ca="1" si="6"/>
        <v>0</v>
      </c>
      <c r="Q27">
        <f t="shared" ca="1" si="10"/>
        <v>1.3821538038126664</v>
      </c>
      <c r="R27">
        <f t="shared" ca="1" si="11"/>
        <v>0.69673658855832765</v>
      </c>
      <c r="S27">
        <f t="shared" ca="1" si="8"/>
        <v>1.983753726315119</v>
      </c>
      <c r="T27">
        <f t="shared" ca="1" si="9"/>
        <v>66.485169631108221</v>
      </c>
      <c r="U27">
        <f>70</f>
        <v>70</v>
      </c>
      <c r="V27">
        <f>30</f>
        <v>30</v>
      </c>
      <c r="W27">
        <f t="shared" ca="1" si="7"/>
        <v>181.87175017184853</v>
      </c>
      <c r="X27" s="9">
        <f ca="1">AVERAGE(C2:C27)</f>
        <v>173.2257692307692</v>
      </c>
      <c r="Y27">
        <f ca="1">W28-X28</f>
        <v>8.2040307721909471</v>
      </c>
    </row>
    <row r="28" spans="1:25" x14ac:dyDescent="0.25">
      <c r="A28" s="20">
        <f t="shared" ca="1" si="0"/>
        <v>45327</v>
      </c>
      <c r="B28" vm="79">
        <f ca="1"/>
        <v>45330</v>
      </c>
      <c r="C28" vm="80">
        <f ca="1"/>
        <v>184.36</v>
      </c>
      <c r="D28" vm="81">
        <f ca="1"/>
        <v>5161185</v>
      </c>
      <c r="E28">
        <f t="shared" ca="1" si="1"/>
        <v>951516066.60000002</v>
      </c>
      <c r="F28">
        <f ca="1">SUM($E$2:E28)/SUM($D$2:D28)</f>
        <v>177.83089082817381</v>
      </c>
      <c r="G28">
        <f ca="1">_xlfn.STDEV.P($C$2:C28)</f>
        <v>10.942653560312282</v>
      </c>
      <c r="H28">
        <f t="shared" ca="1" si="2"/>
        <v>188.7735443884861</v>
      </c>
      <c r="I28">
        <f t="shared" ca="1" si="3"/>
        <v>166.88823726786151</v>
      </c>
      <c r="J28">
        <f t="shared" ca="1" si="12"/>
        <v>178.20800000000003</v>
      </c>
      <c r="K28">
        <f t="shared" ca="1" si="13"/>
        <v>9.2276783873871864</v>
      </c>
      <c r="L28">
        <f t="shared" ca="1" si="14"/>
        <v>196.6633567747744</v>
      </c>
      <c r="M28">
        <f t="shared" ca="1" si="15"/>
        <v>159.75264322522565</v>
      </c>
      <c r="N28">
        <f t="shared" ca="1" si="4"/>
        <v>0.62000000000000455</v>
      </c>
      <c r="O28">
        <f t="shared" ca="1" si="5"/>
        <v>0.62000000000000455</v>
      </c>
      <c r="P28">
        <f t="shared" ca="1" si="6"/>
        <v>0</v>
      </c>
      <c r="Q28">
        <f t="shared" ca="1" si="10"/>
        <v>1.3277142463974763</v>
      </c>
      <c r="R28">
        <f t="shared" ca="1" si="11"/>
        <v>0.64696968937558996</v>
      </c>
      <c r="S28">
        <f t="shared" ca="1" si="8"/>
        <v>2.0522047140707524</v>
      </c>
      <c r="T28">
        <f t="shared" ca="1" si="9"/>
        <v>67.236797866474319</v>
      </c>
      <c r="U28">
        <f>70</f>
        <v>70</v>
      </c>
      <c r="V28">
        <f>30</f>
        <v>30</v>
      </c>
      <c r="W28">
        <f t="shared" ca="1" si="7"/>
        <v>182.25455783771798</v>
      </c>
      <c r="X28">
        <f ca="1">C28*(2/(26+1)) + X27*(1-(2/(26+1)))</f>
        <v>174.05052706552704</v>
      </c>
      <c r="Y28">
        <f t="shared" ref="Y28:Y91" ca="1" si="16">W29-X29</f>
        <v>7.9222290071394639</v>
      </c>
    </row>
    <row r="29" spans="1:25" x14ac:dyDescent="0.25">
      <c r="A29" s="20">
        <f t="shared" ca="1" si="0"/>
        <v>45327</v>
      </c>
      <c r="B29" vm="82">
        <f ca="1"/>
        <v>45331</v>
      </c>
      <c r="C29" vm="83">
        <f ca="1"/>
        <v>186.34</v>
      </c>
      <c r="D29" vm="84">
        <f ca="1"/>
        <v>5064641</v>
      </c>
      <c r="E29">
        <f t="shared" ca="1" si="1"/>
        <v>943745203.94000006</v>
      </c>
      <c r="F29">
        <f ca="1">SUM($E$2:E29)/SUM($D$2:D29)</f>
        <v>178.09790446217266</v>
      </c>
      <c r="G29">
        <f ca="1">_xlfn.STDEV.P($C$2:C29)</f>
        <v>11.000974000245689</v>
      </c>
      <c r="H29">
        <f t="shared" ca="1" si="2"/>
        <v>189.09887846241836</v>
      </c>
      <c r="I29">
        <f t="shared" ca="1" si="3"/>
        <v>167.09693046192697</v>
      </c>
      <c r="J29">
        <f t="shared" ca="1" si="12"/>
        <v>179.41700000000003</v>
      </c>
      <c r="K29">
        <f t="shared" ca="1" si="13"/>
        <v>8.5753883447432209</v>
      </c>
      <c r="L29">
        <f t="shared" ca="1" si="14"/>
        <v>196.56777668948646</v>
      </c>
      <c r="M29">
        <f t="shared" ca="1" si="15"/>
        <v>162.2662233105136</v>
      </c>
      <c r="N29">
        <f t="shared" ca="1" si="4"/>
        <v>1.9799999999999898</v>
      </c>
      <c r="O29">
        <f t="shared" ca="1" si="5"/>
        <v>1.9799999999999898</v>
      </c>
      <c r="P29">
        <f t="shared" ca="1" si="6"/>
        <v>0</v>
      </c>
      <c r="Q29">
        <f t="shared" ca="1" si="10"/>
        <v>1.374306085940513</v>
      </c>
      <c r="R29">
        <f t="shared" ca="1" si="11"/>
        <v>0.60075756870590502</v>
      </c>
      <c r="S29">
        <f t="shared" ca="1" si="8"/>
        <v>2.2876217588084873</v>
      </c>
      <c r="T29">
        <f t="shared" ca="1" si="9"/>
        <v>69.582875605421719</v>
      </c>
      <c r="U29">
        <f>70</f>
        <v>70</v>
      </c>
      <c r="V29">
        <f>30</f>
        <v>30</v>
      </c>
      <c r="W29">
        <f t="shared" ca="1" si="7"/>
        <v>182.88308740114599</v>
      </c>
      <c r="X29">
        <f t="shared" ref="X29:X92" ca="1" si="17">C29*(2/(26+1)) + X28*(1-(2/(26+1)))</f>
        <v>174.96085839400652</v>
      </c>
      <c r="Y29">
        <f t="shared" ca="1" si="16"/>
        <v>7.5968033620747804</v>
      </c>
    </row>
    <row r="30" spans="1:25" x14ac:dyDescent="0.25">
      <c r="A30" s="20">
        <f t="shared" ca="1" si="0"/>
        <v>45334</v>
      </c>
      <c r="B30" vm="85">
        <f ca="1"/>
        <v>45334</v>
      </c>
      <c r="C30" vm="86">
        <f ca="1"/>
        <v>186.16</v>
      </c>
      <c r="D30" vm="87">
        <f ca="1"/>
        <v>4724021</v>
      </c>
      <c r="E30">
        <f t="shared" ca="1" si="1"/>
        <v>879423749.36000001</v>
      </c>
      <c r="F30">
        <f ca="1">SUM($E$2:E30)/SUM($D$2:D30)</f>
        <v>178.32716611097817</v>
      </c>
      <c r="G30">
        <f ca="1">_xlfn.STDEV.P($C$2:C30)</f>
        <v>11.031646758401045</v>
      </c>
      <c r="H30">
        <f t="shared" ca="1" si="2"/>
        <v>189.35881286937922</v>
      </c>
      <c r="I30">
        <f t="shared" ca="1" si="3"/>
        <v>167.29551935257712</v>
      </c>
      <c r="J30">
        <f t="shared" ca="1" si="12"/>
        <v>180.435</v>
      </c>
      <c r="K30">
        <f t="shared" ca="1" si="13"/>
        <v>8.0672414250799687</v>
      </c>
      <c r="L30">
        <f t="shared" ca="1" si="14"/>
        <v>196.56948285015994</v>
      </c>
      <c r="M30">
        <f t="shared" ca="1" si="15"/>
        <v>164.30051714984006</v>
      </c>
      <c r="N30">
        <f t="shared" ca="1" si="4"/>
        <v>-0.18000000000000682</v>
      </c>
      <c r="O30">
        <f t="shared" ca="1" si="5"/>
        <v>0</v>
      </c>
      <c r="P30">
        <f t="shared" ca="1" si="6"/>
        <v>0.18000000000000682</v>
      </c>
      <c r="Q30">
        <f t="shared" ca="1" si="10"/>
        <v>1.2761413655161906</v>
      </c>
      <c r="R30">
        <f t="shared" ca="1" si="11"/>
        <v>0.57070345665548372</v>
      </c>
      <c r="S30">
        <f t="shared" ca="1" si="8"/>
        <v>2.2360848714581349</v>
      </c>
      <c r="T30">
        <f t="shared" ca="1" si="9"/>
        <v>69.09846188461016</v>
      </c>
      <c r="U30">
        <f>70</f>
        <v>70</v>
      </c>
      <c r="V30">
        <f>30</f>
        <v>30</v>
      </c>
      <c r="W30">
        <f t="shared" ca="1" si="7"/>
        <v>183.3872278009697</v>
      </c>
      <c r="X30">
        <f t="shared" ca="1" si="17"/>
        <v>175.79042443889492</v>
      </c>
      <c r="Y30">
        <f t="shared" ca="1" si="16"/>
        <v>7.0590276759178039</v>
      </c>
    </row>
    <row r="31" spans="1:25" x14ac:dyDescent="0.25">
      <c r="A31" s="20">
        <f t="shared" ca="1" si="0"/>
        <v>45334</v>
      </c>
      <c r="B31" vm="88">
        <f ca="1"/>
        <v>45335</v>
      </c>
      <c r="C31" vm="89">
        <f ca="1"/>
        <v>183.7</v>
      </c>
      <c r="D31" vm="90">
        <f ca="1"/>
        <v>4290453</v>
      </c>
      <c r="E31">
        <f t="shared" ca="1" si="1"/>
        <v>788156216.0999999</v>
      </c>
      <c r="F31">
        <f ca="1">SUM($E$2:E31)/SUM($D$2:D31)</f>
        <v>178.46243691377347</v>
      </c>
      <c r="G31">
        <f ca="1">_xlfn.STDEV.P($C$2:C31)</f>
        <v>10.971018391906721</v>
      </c>
      <c r="H31">
        <f t="shared" ca="1" si="2"/>
        <v>189.43345530568018</v>
      </c>
      <c r="I31">
        <f t="shared" ca="1" si="3"/>
        <v>167.49141852186676</v>
      </c>
      <c r="J31">
        <f t="shared" ca="1" si="12"/>
        <v>181.27199999999999</v>
      </c>
      <c r="K31">
        <f t="shared" ca="1" si="13"/>
        <v>7.4395830386839314</v>
      </c>
      <c r="L31">
        <f t="shared" ca="1" si="14"/>
        <v>196.15116607736786</v>
      </c>
      <c r="M31">
        <f t="shared" ca="1" si="15"/>
        <v>166.39283392263212</v>
      </c>
      <c r="N31">
        <f t="shared" ca="1" si="4"/>
        <v>-2.460000000000008</v>
      </c>
      <c r="O31">
        <f t="shared" ca="1" si="5"/>
        <v>0</v>
      </c>
      <c r="P31">
        <f t="shared" ca="1" si="6"/>
        <v>2.460000000000008</v>
      </c>
      <c r="Q31">
        <f t="shared" ca="1" si="10"/>
        <v>1.1849884108364626</v>
      </c>
      <c r="R31">
        <f t="shared" ca="1" si="11"/>
        <v>0.70565320975152113</v>
      </c>
      <c r="S31">
        <f t="shared" ca="1" si="8"/>
        <v>1.6792787086644556</v>
      </c>
      <c r="T31">
        <f t="shared" ca="1" si="9"/>
        <v>62.676521977123031</v>
      </c>
      <c r="U31">
        <f>70</f>
        <v>70</v>
      </c>
      <c r="V31">
        <f>30</f>
        <v>30</v>
      </c>
      <c r="W31">
        <f t="shared" ca="1" si="7"/>
        <v>183.43534660082051</v>
      </c>
      <c r="X31">
        <f t="shared" ca="1" si="17"/>
        <v>176.37631892490271</v>
      </c>
      <c r="Y31">
        <f t="shared" ca="1" si="16"/>
        <v>6.5468783186618396</v>
      </c>
    </row>
    <row r="32" spans="1:25" x14ac:dyDescent="0.25">
      <c r="A32" s="20">
        <f t="shared" ca="1" si="0"/>
        <v>45334</v>
      </c>
      <c r="B32" vm="91">
        <f ca="1"/>
        <v>45336</v>
      </c>
      <c r="C32" vm="92">
        <f ca="1"/>
        <v>183.57</v>
      </c>
      <c r="D32" vm="93">
        <f ca="1"/>
        <v>3173391</v>
      </c>
      <c r="E32">
        <f t="shared" ca="1" si="1"/>
        <v>582539385.87</v>
      </c>
      <c r="F32">
        <f ca="1">SUM($E$2:E32)/SUM($D$2:D32)</f>
        <v>178.55581003448069</v>
      </c>
      <c r="G32">
        <f ca="1">_xlfn.STDEV.P($C$2:C32)</f>
        <v>10.902923664452686</v>
      </c>
      <c r="H32">
        <f t="shared" ca="1" si="2"/>
        <v>189.45873369893337</v>
      </c>
      <c r="I32">
        <f t="shared" ca="1" si="3"/>
        <v>167.652886370028</v>
      </c>
      <c r="J32">
        <f t="shared" ca="1" si="12"/>
        <v>182.1465</v>
      </c>
      <c r="K32">
        <f t="shared" ca="1" si="13"/>
        <v>6.53246731415675</v>
      </c>
      <c r="L32">
        <f t="shared" ca="1" si="14"/>
        <v>195.2114346283135</v>
      </c>
      <c r="M32">
        <f t="shared" ca="1" si="15"/>
        <v>169.08156537168651</v>
      </c>
      <c r="N32">
        <f t="shared" ca="1" si="4"/>
        <v>-0.12999999999999545</v>
      </c>
      <c r="O32">
        <f t="shared" ca="1" si="5"/>
        <v>0</v>
      </c>
      <c r="P32">
        <f t="shared" ca="1" si="6"/>
        <v>0.12999999999999545</v>
      </c>
      <c r="Q32">
        <f t="shared" ca="1" si="10"/>
        <v>1.1003463814910011</v>
      </c>
      <c r="R32">
        <f t="shared" ca="1" si="11"/>
        <v>0.66453512334069786</v>
      </c>
      <c r="S32">
        <f t="shared" ca="1" si="8"/>
        <v>1.6558137302952893</v>
      </c>
      <c r="T32">
        <f t="shared" ca="1" si="9"/>
        <v>62.346756905695564</v>
      </c>
      <c r="U32">
        <f>70</f>
        <v>70</v>
      </c>
      <c r="V32">
        <f>30</f>
        <v>30</v>
      </c>
      <c r="W32">
        <f t="shared" ca="1" si="7"/>
        <v>183.45606250838657</v>
      </c>
      <c r="X32">
        <f t="shared" ca="1" si="17"/>
        <v>176.90918418972473</v>
      </c>
      <c r="Y32">
        <f t="shared" ca="1" si="16"/>
        <v>6.3342612630491999</v>
      </c>
    </row>
    <row r="33" spans="1:27" x14ac:dyDescent="0.25">
      <c r="A33" s="20">
        <f t="shared" ca="1" si="0"/>
        <v>45334</v>
      </c>
      <c r="B33" vm="94">
        <f ca="1"/>
        <v>45337</v>
      </c>
      <c r="C33" vm="95">
        <f ca="1"/>
        <v>186.87</v>
      </c>
      <c r="D33" vm="96">
        <f ca="1"/>
        <v>4714301</v>
      </c>
      <c r="E33">
        <f t="shared" ca="1" si="1"/>
        <v>880961427.87</v>
      </c>
      <c r="F33">
        <f ca="1">SUM($E$2:E33)/SUM($D$2:D33)</f>
        <v>178.77563875860807</v>
      </c>
      <c r="G33">
        <f ca="1">_xlfn.STDEV.P($C$2:C33)</f>
        <v>10.924976254086035</v>
      </c>
      <c r="H33">
        <f t="shared" ca="1" si="2"/>
        <v>189.7006150126941</v>
      </c>
      <c r="I33">
        <f t="shared" ca="1" si="3"/>
        <v>167.85066250452203</v>
      </c>
      <c r="J33">
        <f t="shared" ca="1" si="12"/>
        <v>183.148</v>
      </c>
      <c r="K33">
        <f t="shared" ca="1" si="13"/>
        <v>5.5191147268761362</v>
      </c>
      <c r="L33">
        <f t="shared" ca="1" si="14"/>
        <v>194.18622945375228</v>
      </c>
      <c r="M33">
        <f t="shared" ca="1" si="15"/>
        <v>172.10977054624772</v>
      </c>
      <c r="N33">
        <f t="shared" ca="1" si="4"/>
        <v>3.3000000000000114</v>
      </c>
      <c r="O33">
        <f t="shared" ca="1" si="5"/>
        <v>3.3000000000000114</v>
      </c>
      <c r="P33">
        <f t="shared" ca="1" si="6"/>
        <v>0</v>
      </c>
      <c r="Q33">
        <f t="shared" ca="1" si="10"/>
        <v>1.2574644970987876</v>
      </c>
      <c r="R33">
        <f t="shared" ca="1" si="11"/>
        <v>0.61706832881636231</v>
      </c>
      <c r="S33">
        <f t="shared" ca="1" si="8"/>
        <v>2.0378043052554804</v>
      </c>
      <c r="T33">
        <f t="shared" ca="1" si="9"/>
        <v>67.081487169203953</v>
      </c>
      <c r="U33">
        <f>70</f>
        <v>70</v>
      </c>
      <c r="V33">
        <f>30</f>
        <v>30</v>
      </c>
      <c r="W33">
        <f t="shared" ca="1" si="7"/>
        <v>183.98128366094247</v>
      </c>
      <c r="X33">
        <f t="shared" ca="1" si="17"/>
        <v>177.64702239789327</v>
      </c>
      <c r="Y33">
        <f t="shared" ca="1" si="16"/>
        <v>6.156920136708294</v>
      </c>
    </row>
    <row r="34" spans="1:27" x14ac:dyDescent="0.25">
      <c r="A34" s="20">
        <f t="shared" ca="1" si="0"/>
        <v>45334</v>
      </c>
      <c r="B34" vm="97">
        <f ca="1"/>
        <v>45338</v>
      </c>
      <c r="C34" vm="98">
        <f ca="1"/>
        <v>187.64</v>
      </c>
      <c r="D34" vm="99">
        <f ca="1"/>
        <v>4842840</v>
      </c>
      <c r="E34">
        <f t="shared" ca="1" si="1"/>
        <v>908710497.5999999</v>
      </c>
      <c r="F34">
        <f ca="1">SUM($E$2:E34)/SUM($D$2:D34)</f>
        <v>179.01003799502661</v>
      </c>
      <c r="G34">
        <f ca="1">_xlfn.STDEV.P($C$2:C34)</f>
        <v>10.958751261028873</v>
      </c>
      <c r="H34">
        <f t="shared" ca="1" si="2"/>
        <v>189.96878925605549</v>
      </c>
      <c r="I34">
        <f t="shared" ca="1" si="3"/>
        <v>168.05128673399773</v>
      </c>
      <c r="J34">
        <f t="shared" ca="1" si="12"/>
        <v>183.95600000000002</v>
      </c>
      <c r="K34">
        <f t="shared" ca="1" si="13"/>
        <v>4.8651850183891128</v>
      </c>
      <c r="L34">
        <f t="shared" ca="1" si="14"/>
        <v>193.68637003677824</v>
      </c>
      <c r="M34">
        <f t="shared" ca="1" si="15"/>
        <v>174.22562996322179</v>
      </c>
      <c r="N34">
        <f t="shared" ca="1" si="4"/>
        <v>0.76999999999998181</v>
      </c>
      <c r="O34">
        <f t="shared" ca="1" si="5"/>
        <v>0.76999999999998181</v>
      </c>
      <c r="P34">
        <f t="shared" ca="1" si="6"/>
        <v>0</v>
      </c>
      <c r="Q34">
        <f t="shared" ca="1" si="10"/>
        <v>1.2226456044488729</v>
      </c>
      <c r="R34">
        <f t="shared" ca="1" si="11"/>
        <v>0.57299201961519353</v>
      </c>
      <c r="S34">
        <f t="shared" ca="1" si="8"/>
        <v>2.1337916805018851</v>
      </c>
      <c r="T34">
        <f t="shared" ca="1" si="9"/>
        <v>68.089774243071332</v>
      </c>
      <c r="U34">
        <f>70</f>
        <v>70</v>
      </c>
      <c r="V34">
        <f>30</f>
        <v>30</v>
      </c>
      <c r="W34">
        <f t="shared" ca="1" si="7"/>
        <v>184.54416309772057</v>
      </c>
      <c r="X34">
        <f t="shared" ca="1" si="17"/>
        <v>178.38724296101228</v>
      </c>
      <c r="Y34">
        <f t="shared" ca="1" si="16"/>
        <v>5.6127705917208459</v>
      </c>
    </row>
    <row r="35" spans="1:27" x14ac:dyDescent="0.25">
      <c r="A35" s="20">
        <f t="shared" ca="1" si="0"/>
        <v>45341</v>
      </c>
      <c r="B35" vm="100">
        <f ca="1"/>
        <v>45342</v>
      </c>
      <c r="C35" vm="101">
        <f ca="1"/>
        <v>183.44</v>
      </c>
      <c r="D35" vm="102">
        <f ca="1"/>
        <v>4247181</v>
      </c>
      <c r="E35">
        <f t="shared" ca="1" si="1"/>
        <v>779102882.63999999</v>
      </c>
      <c r="F35">
        <f ca="1">SUM($E$2:E35)/SUM($D$2:D35)</f>
        <v>179.11044243392877</v>
      </c>
      <c r="G35">
        <f ca="1">_xlfn.STDEV.P($C$2:C35)</f>
        <v>10.872610842042095</v>
      </c>
      <c r="H35">
        <f t="shared" ca="1" si="2"/>
        <v>189.98305327597086</v>
      </c>
      <c r="I35">
        <f t="shared" ca="1" si="3"/>
        <v>168.23783159188667</v>
      </c>
      <c r="J35">
        <f t="shared" ca="1" si="12"/>
        <v>184.48650000000004</v>
      </c>
      <c r="K35">
        <f t="shared" ca="1" si="13"/>
        <v>4.1076325298156835</v>
      </c>
      <c r="L35">
        <f t="shared" ca="1" si="14"/>
        <v>192.70176505963141</v>
      </c>
      <c r="M35">
        <f t="shared" ca="1" si="15"/>
        <v>176.27123494036866</v>
      </c>
      <c r="N35">
        <f t="shared" ca="1" si="4"/>
        <v>-4.1999999999999886</v>
      </c>
      <c r="O35">
        <f t="shared" ca="1" si="5"/>
        <v>0</v>
      </c>
      <c r="P35">
        <f t="shared" ca="1" si="6"/>
        <v>4.1999999999999886</v>
      </c>
      <c r="Q35">
        <f t="shared" ca="1" si="10"/>
        <v>1.1353137755596676</v>
      </c>
      <c r="R35">
        <f t="shared" ca="1" si="11"/>
        <v>0.83206401821410747</v>
      </c>
      <c r="S35">
        <f t="shared" ca="1" si="8"/>
        <v>1.3644548384587489</v>
      </c>
      <c r="T35">
        <f t="shared" ca="1" si="9"/>
        <v>57.70695283603547</v>
      </c>
      <c r="U35">
        <f>70</f>
        <v>70</v>
      </c>
      <c r="V35">
        <f>30</f>
        <v>30</v>
      </c>
      <c r="W35">
        <f t="shared" ca="1" si="7"/>
        <v>184.37429185191741</v>
      </c>
      <c r="X35">
        <f t="shared" ca="1" si="17"/>
        <v>178.76152126019656</v>
      </c>
      <c r="Y35">
        <f t="shared" ca="1" si="16"/>
        <v>4.8241318246598155</v>
      </c>
    </row>
    <row r="36" spans="1:27" x14ac:dyDescent="0.25">
      <c r="A36" s="20">
        <f t="shared" ca="1" si="0"/>
        <v>45341</v>
      </c>
      <c r="B36" vm="103">
        <f ca="1"/>
        <v>45343</v>
      </c>
      <c r="C36" vm="104">
        <f ca="1"/>
        <v>179.7</v>
      </c>
      <c r="D36" vm="105">
        <f ca="1"/>
        <v>4728473</v>
      </c>
      <c r="E36">
        <f t="shared" ca="1" si="1"/>
        <v>849706598.0999999</v>
      </c>
      <c r="F36">
        <f ca="1">SUM($E$2:E36)/SUM($D$2:D36)</f>
        <v>179.12495274069497</v>
      </c>
      <c r="G36">
        <f ca="1">_xlfn.STDEV.P($C$2:C36)</f>
        <v>10.733331833354354</v>
      </c>
      <c r="H36">
        <f t="shared" ca="1" si="2"/>
        <v>189.85828457404932</v>
      </c>
      <c r="I36">
        <f t="shared" ca="1" si="3"/>
        <v>168.39162090734061</v>
      </c>
      <c r="J36">
        <f t="shared" ca="1" si="12"/>
        <v>184.77449999999999</v>
      </c>
      <c r="K36">
        <f t="shared" ca="1" si="13"/>
        <v>3.483821971099526</v>
      </c>
      <c r="L36">
        <f t="shared" ca="1" si="14"/>
        <v>191.74214394219905</v>
      </c>
      <c r="M36">
        <f t="shared" ca="1" si="15"/>
        <v>177.80685605780093</v>
      </c>
      <c r="N36">
        <f t="shared" ca="1" si="4"/>
        <v>-3.7400000000000091</v>
      </c>
      <c r="O36">
        <f t="shared" ca="1" si="5"/>
        <v>0</v>
      </c>
      <c r="P36">
        <f t="shared" ca="1" si="6"/>
        <v>3.7400000000000091</v>
      </c>
      <c r="Q36">
        <f t="shared" ca="1" si="10"/>
        <v>1.0542199344482628</v>
      </c>
      <c r="R36">
        <f t="shared" ca="1" si="11"/>
        <v>1.0397737311988149</v>
      </c>
      <c r="S36">
        <f t="shared" ca="1" si="8"/>
        <v>1.0138936028252916</v>
      </c>
      <c r="T36">
        <f t="shared" ca="1" si="9"/>
        <v>50.344943814454744</v>
      </c>
      <c r="U36">
        <f>70</f>
        <v>70</v>
      </c>
      <c r="V36">
        <f>30</f>
        <v>30</v>
      </c>
      <c r="W36">
        <f t="shared" ca="1" si="7"/>
        <v>183.65517002854551</v>
      </c>
      <c r="X36">
        <f t="shared" ca="1" si="17"/>
        <v>178.8310382038857</v>
      </c>
      <c r="Y36">
        <f t="shared" ca="1" si="16"/>
        <v>4.5110486672796526</v>
      </c>
      <c r="Z36" s="9">
        <f ca="1">AVERAGE(Y28:Y36)</f>
        <v>6.2848967608012991</v>
      </c>
    </row>
    <row r="37" spans="1:27" x14ac:dyDescent="0.25">
      <c r="A37" s="20">
        <f t="shared" ca="1" si="0"/>
        <v>45341</v>
      </c>
      <c r="B37" vm="106">
        <f ca="1"/>
        <v>45344</v>
      </c>
      <c r="C37" vm="107">
        <f ca="1"/>
        <v>184.21</v>
      </c>
      <c r="D37" vm="108">
        <f ca="1"/>
        <v>5078398</v>
      </c>
      <c r="E37">
        <f t="shared" ca="1" si="1"/>
        <v>935491695.58000004</v>
      </c>
      <c r="F37">
        <f ca="1">SUM($E$2:E37)/SUM($D$2:D37)</f>
        <v>179.25590721266511</v>
      </c>
      <c r="G37">
        <f ca="1">_xlfn.STDEV.P($C$2:C37)</f>
        <v>10.66553965400303</v>
      </c>
      <c r="H37">
        <f t="shared" ca="1" si="2"/>
        <v>189.92144686666813</v>
      </c>
      <c r="I37">
        <f t="shared" ca="1" si="3"/>
        <v>168.59036755866208</v>
      </c>
      <c r="J37">
        <f t="shared" ca="1" si="12"/>
        <v>185.2885</v>
      </c>
      <c r="K37">
        <f t="shared" ca="1" si="13"/>
        <v>2.3845429331425358</v>
      </c>
      <c r="L37">
        <f t="shared" ca="1" si="14"/>
        <v>190.05758586628508</v>
      </c>
      <c r="M37">
        <f t="shared" ca="1" si="15"/>
        <v>180.51941413371492</v>
      </c>
      <c r="N37">
        <f t="shared" ca="1" si="4"/>
        <v>4.5100000000000193</v>
      </c>
      <c r="O37">
        <f t="shared" ca="1" si="5"/>
        <v>4.5100000000000193</v>
      </c>
      <c r="P37">
        <f t="shared" ca="1" si="6"/>
        <v>0</v>
      </c>
      <c r="Q37">
        <f t="shared" ca="1" si="10"/>
        <v>1.3010613677019598</v>
      </c>
      <c r="R37">
        <f t="shared" ca="1" si="11"/>
        <v>0.96550417897032814</v>
      </c>
      <c r="S37">
        <f t="shared" ca="1" si="8"/>
        <v>1.3475460759677809</v>
      </c>
      <c r="T37">
        <f t="shared" ca="1" si="9"/>
        <v>57.402327041110453</v>
      </c>
      <c r="U37">
        <f>70</f>
        <v>70</v>
      </c>
      <c r="V37">
        <f>30</f>
        <v>30</v>
      </c>
      <c r="W37">
        <f t="shared" ca="1" si="7"/>
        <v>183.74052848569235</v>
      </c>
      <c r="X37">
        <f t="shared" ca="1" si="17"/>
        <v>179.2294798184127</v>
      </c>
      <c r="Y37">
        <f t="shared" ca="1" si="16"/>
        <v>4.3348034736937393</v>
      </c>
      <c r="Z37">
        <f ca="1">Y37*(2/(9+1)) + Z36*(1-(2/(9+1)))</f>
        <v>5.8948781033797877</v>
      </c>
      <c r="AA37">
        <f ca="1">Y37-Z37</f>
        <v>-1.5600746296860484</v>
      </c>
    </row>
    <row r="38" spans="1:27" x14ac:dyDescent="0.25">
      <c r="A38" s="20">
        <f t="shared" ca="1" si="0"/>
        <v>45341</v>
      </c>
      <c r="B38" vm="109">
        <f ca="1"/>
        <v>45345</v>
      </c>
      <c r="C38" vm="110">
        <f ca="1"/>
        <v>185.72</v>
      </c>
      <c r="D38" vm="111">
        <f ca="1"/>
        <v>3433800</v>
      </c>
      <c r="E38">
        <f t="shared" ca="1" si="1"/>
        <v>637725336</v>
      </c>
      <c r="F38">
        <f ca="1">SUM($E$2:E38)/SUM($D$2:D38)</f>
        <v>179.36654001206537</v>
      </c>
      <c r="G38">
        <f ca="1">_xlfn.STDEV.P($C$2:C38)</f>
        <v>10.62877472500276</v>
      </c>
      <c r="H38">
        <f t="shared" ca="1" si="2"/>
        <v>189.99531473706813</v>
      </c>
      <c r="I38">
        <f t="shared" ca="1" si="3"/>
        <v>168.73776528706262</v>
      </c>
      <c r="J38">
        <f t="shared" ca="1" si="12"/>
        <v>185.05299999999997</v>
      </c>
      <c r="K38">
        <f t="shared" ca="1" si="13"/>
        <v>2.0606184559623437</v>
      </c>
      <c r="L38">
        <f t="shared" ca="1" si="14"/>
        <v>189.17423691192465</v>
      </c>
      <c r="M38">
        <f t="shared" ca="1" si="15"/>
        <v>180.93176308807529</v>
      </c>
      <c r="N38">
        <f t="shared" ca="1" si="4"/>
        <v>1.5099999999999909</v>
      </c>
      <c r="O38">
        <f t="shared" ca="1" si="5"/>
        <v>1.5099999999999909</v>
      </c>
      <c r="P38">
        <f t="shared" ca="1" si="6"/>
        <v>0</v>
      </c>
      <c r="Q38">
        <f t="shared" ca="1" si="10"/>
        <v>1.3159855557232478</v>
      </c>
      <c r="R38">
        <f t="shared" ca="1" si="11"/>
        <v>0.89653959475816181</v>
      </c>
      <c r="S38">
        <f t="shared" ca="1" si="8"/>
        <v>1.4678499013512392</v>
      </c>
      <c r="T38">
        <f t="shared" ca="1" si="9"/>
        <v>59.478897016692024</v>
      </c>
      <c r="U38">
        <f>70</f>
        <v>70</v>
      </c>
      <c r="V38">
        <f>30</f>
        <v>30</v>
      </c>
      <c r="W38">
        <f t="shared" ca="1" si="7"/>
        <v>184.04506256481662</v>
      </c>
      <c r="X38">
        <f t="shared" ca="1" si="17"/>
        <v>179.71025909112288</v>
      </c>
      <c r="Y38">
        <f t="shared" ca="1" si="16"/>
        <v>4.020482555941868</v>
      </c>
      <c r="Z38">
        <f t="shared" ref="Z38:Z101" ca="1" si="18">Y38*(2/(9+1)) + Z37*(1-(2/(9+1)))</f>
        <v>5.5199989938922043</v>
      </c>
      <c r="AA38">
        <f t="shared" ref="AA38:AA101" ca="1" si="19">Y38-Z38</f>
        <v>-1.4995164379503363</v>
      </c>
    </row>
    <row r="39" spans="1:27" x14ac:dyDescent="0.25">
      <c r="A39" s="20">
        <f t="shared" ca="1" si="0"/>
        <v>45348</v>
      </c>
      <c r="B39" vm="112">
        <f ca="1"/>
        <v>45348</v>
      </c>
      <c r="C39" vm="113">
        <f ca="1"/>
        <v>184.13</v>
      </c>
      <c r="D39" vm="114">
        <f ca="1"/>
        <v>4620815</v>
      </c>
      <c r="E39">
        <f t="shared" ca="1" si="1"/>
        <v>850830665.94999993</v>
      </c>
      <c r="F39">
        <f ca="1">SUM($E$2:E39)/SUM($D$2:D39)</f>
        <v>179.47377918911522</v>
      </c>
      <c r="G39">
        <f ca="1">_xlfn.STDEV.P($C$2:C39)</f>
        <v>10.556345982984137</v>
      </c>
      <c r="H39">
        <f t="shared" ca="1" si="2"/>
        <v>190.03012517209936</v>
      </c>
      <c r="I39">
        <f t="shared" ca="1" si="3"/>
        <v>168.91743320613108</v>
      </c>
      <c r="J39">
        <f t="shared" ca="1" si="12"/>
        <v>184.88849999999996</v>
      </c>
      <c r="K39">
        <f t="shared" ca="1" si="13"/>
        <v>1.9918895419597007</v>
      </c>
      <c r="L39">
        <f t="shared" ca="1" si="14"/>
        <v>188.87227908391935</v>
      </c>
      <c r="M39">
        <f t="shared" ca="1" si="15"/>
        <v>180.90472091608058</v>
      </c>
      <c r="N39">
        <f t="shared" ca="1" si="4"/>
        <v>-1.5900000000000034</v>
      </c>
      <c r="O39">
        <f t="shared" ca="1" si="5"/>
        <v>0</v>
      </c>
      <c r="P39">
        <f t="shared" ca="1" si="6"/>
        <v>1.5900000000000034</v>
      </c>
      <c r="Q39">
        <f t="shared" ca="1" si="10"/>
        <v>1.2219865874573015</v>
      </c>
      <c r="R39">
        <f t="shared" ca="1" si="11"/>
        <v>0.94607248084686479</v>
      </c>
      <c r="S39">
        <f t="shared" ca="1" si="8"/>
        <v>1.2916416154113854</v>
      </c>
      <c r="T39">
        <f t="shared" ca="1" si="9"/>
        <v>56.363159349395715</v>
      </c>
      <c r="U39">
        <f>70</f>
        <v>70</v>
      </c>
      <c r="V39">
        <f>30</f>
        <v>30</v>
      </c>
      <c r="W39">
        <f t="shared" ca="1" si="7"/>
        <v>184.05812986253713</v>
      </c>
      <c r="X39">
        <f t="shared" ca="1" si="17"/>
        <v>180.03764730659526</v>
      </c>
      <c r="Y39">
        <f t="shared" ca="1" si="16"/>
        <v>3.7874336026497701</v>
      </c>
      <c r="Z39">
        <f t="shared" ca="1" si="18"/>
        <v>5.1734859156437176</v>
      </c>
      <c r="AA39">
        <f t="shared" ca="1" si="19"/>
        <v>-1.3860523129939475</v>
      </c>
    </row>
    <row r="40" spans="1:27" x14ac:dyDescent="0.25">
      <c r="A40" s="20">
        <f t="shared" ca="1" si="0"/>
        <v>45348</v>
      </c>
      <c r="B40" vm="115">
        <f ca="1"/>
        <v>45349</v>
      </c>
      <c r="C40" vm="116">
        <f ca="1"/>
        <v>184.87</v>
      </c>
      <c r="D40" vm="117">
        <f ca="1"/>
        <v>3641378</v>
      </c>
      <c r="E40">
        <f t="shared" ca="1" si="1"/>
        <v>673181550.86000001</v>
      </c>
      <c r="F40">
        <f ca="1">SUM($E$2:E40)/SUM($D$2:D40)</f>
        <v>179.56784473386739</v>
      </c>
      <c r="G40">
        <f ca="1">_xlfn.STDEV.P($C$2:C40)</f>
        <v>10.497250909647345</v>
      </c>
      <c r="H40">
        <f t="shared" ca="1" si="2"/>
        <v>190.06509564351472</v>
      </c>
      <c r="I40">
        <f t="shared" ca="1" si="3"/>
        <v>169.07059382422005</v>
      </c>
      <c r="J40">
        <f t="shared" ca="1" si="12"/>
        <v>184.77499999999998</v>
      </c>
      <c r="K40">
        <f t="shared" ca="1" si="13"/>
        <v>1.9202288789017912</v>
      </c>
      <c r="L40">
        <f t="shared" ca="1" si="14"/>
        <v>188.61545775780357</v>
      </c>
      <c r="M40">
        <f t="shared" ca="1" si="15"/>
        <v>180.93454224219639</v>
      </c>
      <c r="N40">
        <f t="shared" ca="1" si="4"/>
        <v>0.74000000000000909</v>
      </c>
      <c r="O40">
        <f t="shared" ca="1" si="5"/>
        <v>0.74000000000000909</v>
      </c>
      <c r="P40">
        <f t="shared" ca="1" si="6"/>
        <v>0</v>
      </c>
      <c r="Q40">
        <f t="shared" ca="1" si="10"/>
        <v>1.1875589740674948</v>
      </c>
      <c r="R40">
        <f t="shared" ca="1" si="11"/>
        <v>0.87849587507208871</v>
      </c>
      <c r="S40">
        <f t="shared" ca="1" si="8"/>
        <v>1.3518093912166003</v>
      </c>
      <c r="T40">
        <f t="shared" ca="1" si="9"/>
        <v>57.479547290918163</v>
      </c>
      <c r="U40">
        <f>70</f>
        <v>70</v>
      </c>
      <c r="V40">
        <f>30</f>
        <v>30</v>
      </c>
      <c r="W40">
        <f t="shared" ca="1" si="7"/>
        <v>184.18303296060836</v>
      </c>
      <c r="X40">
        <f t="shared" ca="1" si="17"/>
        <v>180.39559935795859</v>
      </c>
      <c r="Y40">
        <f t="shared" ca="1" si="16"/>
        <v>3.5959857491855587</v>
      </c>
      <c r="Z40">
        <f t="shared" ca="1" si="18"/>
        <v>4.8579858823520858</v>
      </c>
      <c r="AA40">
        <f t="shared" ca="1" si="19"/>
        <v>-1.2620001331665271</v>
      </c>
    </row>
    <row r="41" spans="1:27" x14ac:dyDescent="0.25">
      <c r="A41" s="20">
        <f t="shared" ca="1" si="0"/>
        <v>45348</v>
      </c>
      <c r="B41" vm="118">
        <f ca="1"/>
        <v>45350</v>
      </c>
      <c r="C41" vm="119">
        <f ca="1"/>
        <v>185.3</v>
      </c>
      <c r="D41" vm="120">
        <f ca="1"/>
        <v>3216345</v>
      </c>
      <c r="E41">
        <f t="shared" ca="1" si="1"/>
        <v>595988728.5</v>
      </c>
      <c r="F41">
        <f ca="1">SUM($E$2:E41)/SUM($D$2:D41)</f>
        <v>179.65476474445194</v>
      </c>
      <c r="G41">
        <f ca="1">_xlfn.STDEV.P($C$2:C41)</f>
        <v>10.445109429776211</v>
      </c>
      <c r="H41">
        <f t="shared" ca="1" si="2"/>
        <v>190.09987417422815</v>
      </c>
      <c r="I41">
        <f t="shared" ca="1" si="3"/>
        <v>169.20965531467573</v>
      </c>
      <c r="J41">
        <f t="shared" ca="1" si="12"/>
        <v>184.6465</v>
      </c>
      <c r="K41">
        <f t="shared" ca="1" si="13"/>
        <v>1.7833241432785032</v>
      </c>
      <c r="L41">
        <f t="shared" ca="1" si="14"/>
        <v>188.21314828655701</v>
      </c>
      <c r="M41">
        <f t="shared" ca="1" si="15"/>
        <v>181.07985171344299</v>
      </c>
      <c r="N41">
        <f t="shared" ca="1" si="4"/>
        <v>0.43000000000000682</v>
      </c>
      <c r="O41">
        <f t="shared" ca="1" si="5"/>
        <v>0.43000000000000682</v>
      </c>
      <c r="P41">
        <f t="shared" ca="1" si="6"/>
        <v>0</v>
      </c>
      <c r="Q41">
        <f t="shared" ca="1" si="10"/>
        <v>1.13344761877696</v>
      </c>
      <c r="R41">
        <f t="shared" ca="1" si="11"/>
        <v>0.81574616970979663</v>
      </c>
      <c r="S41">
        <f t="shared" ca="1" si="8"/>
        <v>1.3894611594439803</v>
      </c>
      <c r="T41">
        <f t="shared" ca="1" si="9"/>
        <v>58.149560370644544</v>
      </c>
      <c r="U41">
        <f>70</f>
        <v>70</v>
      </c>
      <c r="V41">
        <f>30</f>
        <v>30</v>
      </c>
      <c r="W41">
        <f t="shared" ca="1" si="7"/>
        <v>184.35487404359168</v>
      </c>
      <c r="X41">
        <f t="shared" ca="1" si="17"/>
        <v>180.75888829440612</v>
      </c>
      <c r="Y41">
        <f t="shared" ca="1" si="16"/>
        <v>3.3834726360818763</v>
      </c>
      <c r="Z41">
        <f t="shared" ca="1" si="18"/>
        <v>4.5630832330980446</v>
      </c>
      <c r="AA41">
        <f t="shared" ca="1" si="19"/>
        <v>-1.1796105970161683</v>
      </c>
    </row>
    <row r="42" spans="1:27" x14ac:dyDescent="0.25">
      <c r="A42" s="20">
        <f t="shared" ca="1" si="0"/>
        <v>45348</v>
      </c>
      <c r="B42" vm="121">
        <f ca="1"/>
        <v>45351</v>
      </c>
      <c r="C42" vm="122">
        <f ca="1"/>
        <v>185.03</v>
      </c>
      <c r="D42" vm="123">
        <f ca="1"/>
        <v>6458487</v>
      </c>
      <c r="E42">
        <f t="shared" ca="1" si="1"/>
        <v>1195013849.6099999</v>
      </c>
      <c r="F42">
        <f ca="1">SUM($E$2:E42)/SUM($D$2:D42)</f>
        <v>179.8135978590584</v>
      </c>
      <c r="G42">
        <f ca="1">_xlfn.STDEV.P($C$2:C42)</f>
        <v>10.386565064972126</v>
      </c>
      <c r="H42">
        <f t="shared" ca="1" si="2"/>
        <v>190.20016292403054</v>
      </c>
      <c r="I42">
        <f t="shared" ca="1" si="3"/>
        <v>169.42703279408627</v>
      </c>
      <c r="J42">
        <f t="shared" ca="1" si="12"/>
        <v>184.71499999999997</v>
      </c>
      <c r="K42">
        <f t="shared" ca="1" si="13"/>
        <v>1.7696966733848716</v>
      </c>
      <c r="L42">
        <f t="shared" ca="1" si="14"/>
        <v>188.25439334676972</v>
      </c>
      <c r="M42">
        <f t="shared" ca="1" si="15"/>
        <v>181.17560665323023</v>
      </c>
      <c r="N42">
        <f t="shared" ca="1" si="4"/>
        <v>-0.27000000000001023</v>
      </c>
      <c r="O42">
        <f t="shared" ca="1" si="5"/>
        <v>0</v>
      </c>
      <c r="P42">
        <f t="shared" ca="1" si="6"/>
        <v>0.27000000000001023</v>
      </c>
      <c r="Q42">
        <f t="shared" ca="1" si="10"/>
        <v>1.0524870745786057</v>
      </c>
      <c r="R42">
        <f t="shared" ca="1" si="11"/>
        <v>0.77676430044481193</v>
      </c>
      <c r="S42">
        <f t="shared" ca="1" si="8"/>
        <v>1.3549632417142521</v>
      </c>
      <c r="T42">
        <f t="shared" ca="1" si="9"/>
        <v>57.536492192885845</v>
      </c>
      <c r="U42">
        <f>70</f>
        <v>70</v>
      </c>
      <c r="V42">
        <f>30</f>
        <v>30</v>
      </c>
      <c r="W42">
        <f t="shared" ca="1" si="7"/>
        <v>184.45873957534681</v>
      </c>
      <c r="X42">
        <f t="shared" ca="1" si="17"/>
        <v>181.07526693926494</v>
      </c>
      <c r="Y42">
        <f t="shared" ca="1" si="16"/>
        <v>3.4312931584526893</v>
      </c>
      <c r="Z42">
        <f t="shared" ca="1" si="18"/>
        <v>4.3367252181689739</v>
      </c>
      <c r="AA42">
        <f t="shared" ca="1" si="19"/>
        <v>-0.9054320597162846</v>
      </c>
    </row>
    <row r="43" spans="1:27" x14ac:dyDescent="0.25">
      <c r="A43" s="20">
        <f t="shared" ca="1" si="0"/>
        <v>45348</v>
      </c>
      <c r="B43" vm="124">
        <f ca="1"/>
        <v>45352</v>
      </c>
      <c r="C43" vm="125">
        <f ca="1"/>
        <v>188.2</v>
      </c>
      <c r="D43" vm="126">
        <f ca="1"/>
        <v>4018354</v>
      </c>
      <c r="E43">
        <f t="shared" ca="1" si="1"/>
        <v>756254222.79999995</v>
      </c>
      <c r="F43">
        <f ca="1">SUM($E$2:E43)/SUM($D$2:D43)</f>
        <v>179.96499745537324</v>
      </c>
      <c r="G43">
        <f ca="1">_xlfn.STDEV.P($C$2:C43)</f>
        <v>10.392531312734535</v>
      </c>
      <c r="H43">
        <f t="shared" ca="1" si="2"/>
        <v>190.35752876810778</v>
      </c>
      <c r="I43">
        <f t="shared" ca="1" si="3"/>
        <v>169.57246614263869</v>
      </c>
      <c r="J43">
        <f t="shared" ca="1" si="12"/>
        <v>184.78</v>
      </c>
      <c r="K43">
        <f t="shared" ca="1" si="13"/>
        <v>1.8749203491853927</v>
      </c>
      <c r="L43">
        <f t="shared" ca="1" si="14"/>
        <v>188.52984069837078</v>
      </c>
      <c r="M43">
        <f t="shared" ca="1" si="15"/>
        <v>181.03015930162923</v>
      </c>
      <c r="N43">
        <f t="shared" ca="1" si="4"/>
        <v>3.1699999999999875</v>
      </c>
      <c r="O43">
        <f t="shared" ca="1" si="5"/>
        <v>3.1699999999999875</v>
      </c>
      <c r="P43">
        <f t="shared" ca="1" si="6"/>
        <v>0</v>
      </c>
      <c r="Q43">
        <f t="shared" ca="1" si="10"/>
        <v>1.2037379978229903</v>
      </c>
      <c r="R43">
        <f t="shared" ca="1" si="11"/>
        <v>0.72128113612732536</v>
      </c>
      <c r="S43">
        <f t="shared" ca="1" si="8"/>
        <v>1.6688887834860808</v>
      </c>
      <c r="T43">
        <f t="shared" ca="1" si="9"/>
        <v>62.531222500256902</v>
      </c>
      <c r="U43">
        <f>70</f>
        <v>70</v>
      </c>
      <c r="V43">
        <f>30</f>
        <v>30</v>
      </c>
      <c r="W43">
        <f t="shared" ca="1" si="7"/>
        <v>185.03431810221653</v>
      </c>
      <c r="X43">
        <f t="shared" ca="1" si="17"/>
        <v>181.60302494376384</v>
      </c>
      <c r="Y43">
        <f t="shared" ca="1" si="16"/>
        <v>3.8173486314389322</v>
      </c>
      <c r="Z43">
        <f t="shared" ca="1" si="18"/>
        <v>4.2328499008229663</v>
      </c>
      <c r="AA43">
        <f t="shared" ca="1" si="19"/>
        <v>-0.41550126938403409</v>
      </c>
    </row>
    <row r="44" spans="1:27" x14ac:dyDescent="0.25">
      <c r="A44" s="20">
        <f t="shared" ca="1" si="0"/>
        <v>45355</v>
      </c>
      <c r="B44" vm="127">
        <f ca="1"/>
        <v>45355</v>
      </c>
      <c r="C44" vm="128">
        <f ca="1"/>
        <v>193.06</v>
      </c>
      <c r="D44" vm="129">
        <f ca="1"/>
        <v>7938266</v>
      </c>
      <c r="E44">
        <f t="shared" ca="1" si="1"/>
        <v>1532561633.96</v>
      </c>
      <c r="F44">
        <f ca="1">SUM($E$2:E44)/SUM($D$2:D44)</f>
        <v>180.41593180317059</v>
      </c>
      <c r="G44">
        <f ca="1">_xlfn.STDEV.P($C$2:C44)</f>
        <v>10.528861541736703</v>
      </c>
      <c r="H44">
        <f t="shared" ca="1" si="2"/>
        <v>190.94479334490728</v>
      </c>
      <c r="I44">
        <f t="shared" ca="1" si="3"/>
        <v>169.88707026143391</v>
      </c>
      <c r="J44">
        <f t="shared" ca="1" si="12"/>
        <v>185.14349999999999</v>
      </c>
      <c r="K44">
        <f t="shared" ca="1" si="13"/>
        <v>2.6326578025378011</v>
      </c>
      <c r="L44">
        <f t="shared" ca="1" si="14"/>
        <v>190.4088156050756</v>
      </c>
      <c r="M44">
        <f t="shared" ca="1" si="15"/>
        <v>179.87818439492438</v>
      </c>
      <c r="N44">
        <f t="shared" ca="1" si="4"/>
        <v>4.8600000000000136</v>
      </c>
      <c r="O44">
        <f t="shared" ca="1" si="5"/>
        <v>4.8600000000000136</v>
      </c>
      <c r="P44">
        <f t="shared" ca="1" si="6"/>
        <v>0</v>
      </c>
      <c r="Q44">
        <f t="shared" ca="1" si="10"/>
        <v>1.4648995694070632</v>
      </c>
      <c r="R44">
        <f t="shared" ca="1" si="11"/>
        <v>0.66976105497537364</v>
      </c>
      <c r="S44">
        <f t="shared" ca="1" si="8"/>
        <v>2.1871972974913061</v>
      </c>
      <c r="T44">
        <f t="shared" ca="1" si="9"/>
        <v>68.62447138785177</v>
      </c>
      <c r="U44">
        <f>70</f>
        <v>70</v>
      </c>
      <c r="V44">
        <f>30</f>
        <v>30</v>
      </c>
      <c r="W44">
        <f t="shared" ca="1" si="7"/>
        <v>186.26903839418321</v>
      </c>
      <c r="X44">
        <f t="shared" ca="1" si="17"/>
        <v>182.45168976274428</v>
      </c>
      <c r="Y44">
        <f t="shared" ca="1" si="16"/>
        <v>3.987764188548482</v>
      </c>
      <c r="Z44">
        <f t="shared" ca="1" si="18"/>
        <v>4.1838327583680694</v>
      </c>
      <c r="AA44">
        <f t="shared" ca="1" si="19"/>
        <v>-0.19606856981958742</v>
      </c>
    </row>
    <row r="45" spans="1:27" x14ac:dyDescent="0.25">
      <c r="A45" s="20">
        <f t="shared" ca="1" si="0"/>
        <v>45355</v>
      </c>
      <c r="B45" vm="130">
        <f ca="1"/>
        <v>45356</v>
      </c>
      <c r="C45" vm="131">
        <f ca="1"/>
        <v>191.95</v>
      </c>
      <c r="D45" vm="132">
        <f ca="1"/>
        <v>5653641</v>
      </c>
      <c r="E45">
        <f t="shared" ca="1" si="1"/>
        <v>1085216389.95</v>
      </c>
      <c r="F45">
        <f ca="1">SUM($E$2:E45)/SUM($D$2:D45)</f>
        <v>180.69203423624597</v>
      </c>
      <c r="G45">
        <f ca="1">_xlfn.STDEV.P($C$2:C45)</f>
        <v>10.612657556579457</v>
      </c>
      <c r="H45">
        <f t="shared" ca="1" si="2"/>
        <v>191.30469179282542</v>
      </c>
      <c r="I45">
        <f t="shared" ca="1" si="3"/>
        <v>170.07937667966652</v>
      </c>
      <c r="J45">
        <f t="shared" ca="1" si="12"/>
        <v>185.57</v>
      </c>
      <c r="K45">
        <f t="shared" ca="1" si="13"/>
        <v>3.0035663013018019</v>
      </c>
      <c r="L45">
        <f t="shared" ca="1" si="14"/>
        <v>191.5771326026036</v>
      </c>
      <c r="M45">
        <f t="shared" ca="1" si="15"/>
        <v>179.56286739739639</v>
      </c>
      <c r="N45">
        <f t="shared" ca="1" si="4"/>
        <v>-1.1100000000000136</v>
      </c>
      <c r="O45">
        <f t="shared" ca="1" si="5"/>
        <v>0</v>
      </c>
      <c r="P45">
        <f t="shared" ca="1" si="6"/>
        <v>1.1100000000000136</v>
      </c>
      <c r="Q45">
        <f t="shared" ca="1" si="10"/>
        <v>1.3602638858779874</v>
      </c>
      <c r="R45">
        <f t="shared" ca="1" si="11"/>
        <v>0.70120669390570511</v>
      </c>
      <c r="S45">
        <f t="shared" ca="1" si="8"/>
        <v>1.9398900462591835</v>
      </c>
      <c r="T45">
        <f t="shared" ca="1" si="9"/>
        <v>65.985122427539963</v>
      </c>
      <c r="U45">
        <f>70</f>
        <v>70</v>
      </c>
      <c r="V45">
        <f>30</f>
        <v>30</v>
      </c>
      <c r="W45">
        <f t="shared" ca="1" si="7"/>
        <v>187.1430324873858</v>
      </c>
      <c r="X45">
        <f t="shared" ca="1" si="17"/>
        <v>183.15526829883731</v>
      </c>
      <c r="Y45">
        <f t="shared" ca="1" si="16"/>
        <v>4.4116765003745115</v>
      </c>
      <c r="Z45">
        <f t="shared" ca="1" si="18"/>
        <v>4.2294015067693582</v>
      </c>
      <c r="AA45">
        <f t="shared" ca="1" si="19"/>
        <v>0.18227499360515331</v>
      </c>
    </row>
    <row r="46" spans="1:27" x14ac:dyDescent="0.25">
      <c r="A46" s="20">
        <f t="shared" ca="1" si="0"/>
        <v>45355</v>
      </c>
      <c r="B46" vm="133">
        <f ca="1"/>
        <v>45357</v>
      </c>
      <c r="C46" vm="134">
        <f ca="1"/>
        <v>196.16</v>
      </c>
      <c r="D46" vm="135">
        <f ca="1"/>
        <v>6945818</v>
      </c>
      <c r="E46">
        <f t="shared" ca="1" si="1"/>
        <v>1362491658.8799999</v>
      </c>
      <c r="F46">
        <f ca="1">SUM($E$2:E46)/SUM($D$2:D46)</f>
        <v>181.13393836214681</v>
      </c>
      <c r="G46">
        <f ca="1">_xlfn.STDEV.P($C$2:C46)</f>
        <v>10.816891787875909</v>
      </c>
      <c r="H46">
        <f t="shared" ca="1" si="2"/>
        <v>191.95083015002271</v>
      </c>
      <c r="I46">
        <f t="shared" ca="1" si="3"/>
        <v>170.3170465742709</v>
      </c>
      <c r="J46">
        <f t="shared" ca="1" si="12"/>
        <v>186.20749999999998</v>
      </c>
      <c r="K46">
        <f t="shared" ca="1" si="13"/>
        <v>3.7749951202478038</v>
      </c>
      <c r="L46">
        <f t="shared" ca="1" si="14"/>
        <v>193.7574902404956</v>
      </c>
      <c r="M46">
        <f t="shared" ca="1" si="15"/>
        <v>178.65750975950436</v>
      </c>
      <c r="N46">
        <f t="shared" ca="1" si="4"/>
        <v>4.210000000000008</v>
      </c>
      <c r="O46">
        <f t="shared" ca="1" si="5"/>
        <v>4.210000000000008</v>
      </c>
      <c r="P46">
        <f t="shared" ca="1" si="6"/>
        <v>0</v>
      </c>
      <c r="Q46">
        <f t="shared" ca="1" si="10"/>
        <v>1.5638164654581317</v>
      </c>
      <c r="R46">
        <f t="shared" ca="1" si="11"/>
        <v>0.65112050148386902</v>
      </c>
      <c r="S46">
        <f t="shared" ca="1" si="8"/>
        <v>2.4017312646342375</v>
      </c>
      <c r="T46">
        <f t="shared" ca="1" si="9"/>
        <v>70.603204009781692</v>
      </c>
      <c r="U46">
        <f>70</f>
        <v>70</v>
      </c>
      <c r="V46">
        <f>30</f>
        <v>30</v>
      </c>
      <c r="W46">
        <f t="shared" ca="1" si="7"/>
        <v>188.53025825855721</v>
      </c>
      <c r="X46">
        <f t="shared" ca="1" si="17"/>
        <v>184.1185817581827</v>
      </c>
      <c r="Y46">
        <f t="shared" ca="1" si="16"/>
        <v>4.723839405647027</v>
      </c>
      <c r="Z46">
        <f t="shared" ca="1" si="18"/>
        <v>4.328289086544892</v>
      </c>
      <c r="AA46">
        <f t="shared" ca="1" si="19"/>
        <v>0.39555031910213501</v>
      </c>
    </row>
    <row r="47" spans="1:27" x14ac:dyDescent="0.25">
      <c r="A47" s="20">
        <f t="shared" ca="1" si="0"/>
        <v>45355</v>
      </c>
      <c r="B47" vm="136">
        <f ca="1"/>
        <v>45358</v>
      </c>
      <c r="C47" vm="137">
        <f ca="1"/>
        <v>196.54</v>
      </c>
      <c r="D47" vm="138">
        <f ca="1"/>
        <v>4604458</v>
      </c>
      <c r="E47">
        <f t="shared" ca="1" si="1"/>
        <v>904960175.31999993</v>
      </c>
      <c r="F47">
        <f ca="1">SUM($E$2:E47)/SUM($D$2:D47)</f>
        <v>181.42028596256748</v>
      </c>
      <c r="G47">
        <f ca="1">_xlfn.STDEV.P($C$2:C47)</f>
        <v>11.008322800884281</v>
      </c>
      <c r="H47">
        <f t="shared" ca="1" si="2"/>
        <v>192.42860876345176</v>
      </c>
      <c r="I47">
        <f t="shared" ca="1" si="3"/>
        <v>170.41196316168319</v>
      </c>
      <c r="J47">
        <f t="shared" ca="1" si="12"/>
        <v>186.8475</v>
      </c>
      <c r="K47">
        <f t="shared" ca="1" si="13"/>
        <v>4.3724085558130721</v>
      </c>
      <c r="L47">
        <f t="shared" ca="1" si="14"/>
        <v>195.59231711162613</v>
      </c>
      <c r="M47">
        <f t="shared" ca="1" si="15"/>
        <v>178.10268288837386</v>
      </c>
      <c r="N47">
        <f t="shared" ca="1" si="4"/>
        <v>0.37999999999999545</v>
      </c>
      <c r="O47">
        <f t="shared" ca="1" si="5"/>
        <v>0.37999999999999545</v>
      </c>
      <c r="P47">
        <f t="shared" ca="1" si="6"/>
        <v>0</v>
      </c>
      <c r="Q47">
        <f t="shared" ca="1" si="10"/>
        <v>1.4792581464968362</v>
      </c>
      <c r="R47">
        <f t="shared" ca="1" si="11"/>
        <v>0.60461189423502126</v>
      </c>
      <c r="S47">
        <f t="shared" ca="1" si="8"/>
        <v>2.4466242900637138</v>
      </c>
      <c r="T47">
        <f t="shared" ca="1" si="9"/>
        <v>70.98610362368467</v>
      </c>
      <c r="U47">
        <f>70</f>
        <v>70</v>
      </c>
      <c r="V47">
        <f>30</f>
        <v>30</v>
      </c>
      <c r="W47">
        <f t="shared" ca="1" si="7"/>
        <v>189.76252621877916</v>
      </c>
      <c r="X47">
        <f t="shared" ca="1" si="17"/>
        <v>185.03868681313213</v>
      </c>
      <c r="Y47">
        <f t="shared" ca="1" si="16"/>
        <v>4.8675130276623122</v>
      </c>
      <c r="Z47">
        <f t="shared" ca="1" si="18"/>
        <v>4.4361338747683758</v>
      </c>
      <c r="AA47">
        <f t="shared" ca="1" si="19"/>
        <v>0.43137915289393636</v>
      </c>
    </row>
    <row r="48" spans="1:27" x14ac:dyDescent="0.25">
      <c r="A48" s="20">
        <f t="shared" ca="1" si="0"/>
        <v>45355</v>
      </c>
      <c r="B48" vm="139">
        <f ca="1"/>
        <v>45359</v>
      </c>
      <c r="C48" vm="140">
        <f ca="1"/>
        <v>195.95</v>
      </c>
      <c r="D48" vm="141">
        <f ca="1"/>
        <v>3943113</v>
      </c>
      <c r="E48">
        <f t="shared" ca="1" si="1"/>
        <v>772652992.3499999</v>
      </c>
      <c r="F48">
        <f ca="1">SUM($E$2:E48)/SUM($D$2:D48)</f>
        <v>181.64793270569618</v>
      </c>
      <c r="G48">
        <f ca="1">_xlfn.STDEV.P($C$2:C48)</f>
        <v>11.15721114865463</v>
      </c>
      <c r="H48">
        <f t="shared" ca="1" si="2"/>
        <v>192.8051438543508</v>
      </c>
      <c r="I48">
        <f t="shared" ca="1" si="3"/>
        <v>170.49072155704155</v>
      </c>
      <c r="J48">
        <f t="shared" ca="1" si="12"/>
        <v>187.42699999999996</v>
      </c>
      <c r="K48">
        <f t="shared" ca="1" si="13"/>
        <v>4.7748938814331101</v>
      </c>
      <c r="L48">
        <f t="shared" ca="1" si="14"/>
        <v>196.97678776286619</v>
      </c>
      <c r="M48">
        <f t="shared" ca="1" si="15"/>
        <v>177.87721223713373</v>
      </c>
      <c r="N48">
        <f t="shared" ca="1" si="4"/>
        <v>-0.59000000000000341</v>
      </c>
      <c r="O48">
        <f t="shared" ca="1" si="5"/>
        <v>0</v>
      </c>
      <c r="P48">
        <f t="shared" ca="1" si="6"/>
        <v>0.59000000000000341</v>
      </c>
      <c r="Q48">
        <f t="shared" ca="1" si="10"/>
        <v>1.3735968503184908</v>
      </c>
      <c r="R48">
        <f t="shared" ca="1" si="11"/>
        <v>0.60356818750394858</v>
      </c>
      <c r="S48">
        <f t="shared" ca="1" si="8"/>
        <v>2.2757939844361075</v>
      </c>
      <c r="T48">
        <f t="shared" ca="1" si="9"/>
        <v>69.473049747597628</v>
      </c>
      <c r="U48">
        <f>70</f>
        <v>70</v>
      </c>
      <c r="V48">
        <f>30</f>
        <v>30</v>
      </c>
      <c r="W48">
        <f t="shared" ca="1" si="7"/>
        <v>190.71444526204391</v>
      </c>
      <c r="X48">
        <f t="shared" ca="1" si="17"/>
        <v>185.8469322343816</v>
      </c>
      <c r="Y48">
        <f t="shared" ca="1" si="16"/>
        <v>4.5879694206638817</v>
      </c>
      <c r="Z48">
        <f t="shared" ca="1" si="18"/>
        <v>4.4665009839474772</v>
      </c>
      <c r="AA48">
        <f t="shared" ca="1" si="19"/>
        <v>0.1214684367164045</v>
      </c>
    </row>
    <row r="49" spans="1:27" x14ac:dyDescent="0.25">
      <c r="A49" s="20">
        <f t="shared" ca="1" si="0"/>
        <v>45362</v>
      </c>
      <c r="B49" vm="142">
        <f ca="1"/>
        <v>45362</v>
      </c>
      <c r="C49" vm="143">
        <f ca="1"/>
        <v>191.73</v>
      </c>
      <c r="D49" vm="144">
        <f ca="1"/>
        <v>4725057</v>
      </c>
      <c r="E49">
        <f t="shared" ca="1" si="1"/>
        <v>905935178.6099999</v>
      </c>
      <c r="F49">
        <f ca="1">SUM($E$2:E49)/SUM($D$2:D49)</f>
        <v>181.83373182825551</v>
      </c>
      <c r="G49">
        <f ca="1">_xlfn.STDEV.P($C$2:C49)</f>
        <v>11.177579112955938</v>
      </c>
      <c r="H49">
        <f t="shared" ca="1" si="2"/>
        <v>193.01131094121143</v>
      </c>
      <c r="I49">
        <f t="shared" ca="1" si="3"/>
        <v>170.65615271529958</v>
      </c>
      <c r="J49">
        <f t="shared" ca="1" si="12"/>
        <v>187.69649999999999</v>
      </c>
      <c r="K49">
        <f t="shared" ca="1" si="13"/>
        <v>4.8616342010956703</v>
      </c>
      <c r="L49">
        <f t="shared" ca="1" si="14"/>
        <v>197.41976840219132</v>
      </c>
      <c r="M49">
        <f t="shared" ca="1" si="15"/>
        <v>177.97323159780865</v>
      </c>
      <c r="N49">
        <f t="shared" ca="1" si="4"/>
        <v>-4.2199999999999989</v>
      </c>
      <c r="O49">
        <f t="shared" ca="1" si="5"/>
        <v>0</v>
      </c>
      <c r="P49">
        <f t="shared" ca="1" si="6"/>
        <v>4.2199999999999989</v>
      </c>
      <c r="Q49">
        <f t="shared" ca="1" si="10"/>
        <v>1.2754827895814558</v>
      </c>
      <c r="R49">
        <f t="shared" ca="1" si="11"/>
        <v>0.86188474553938066</v>
      </c>
      <c r="S49">
        <f t="shared" ca="1" si="8"/>
        <v>1.4798762783337569</v>
      </c>
      <c r="T49">
        <f t="shared" ca="1" si="9"/>
        <v>59.675407650904837</v>
      </c>
      <c r="U49">
        <f>70</f>
        <v>70</v>
      </c>
      <c r="V49">
        <f>30</f>
        <v>30</v>
      </c>
      <c r="W49">
        <f t="shared" ca="1" si="7"/>
        <v>190.87068445249869</v>
      </c>
      <c r="X49">
        <f t="shared" ca="1" si="17"/>
        <v>186.28271503183481</v>
      </c>
      <c r="Y49">
        <f t="shared" ca="1" si="16"/>
        <v>4.7992903049737663</v>
      </c>
      <c r="Z49">
        <f t="shared" ca="1" si="18"/>
        <v>4.5330588481527352</v>
      </c>
      <c r="AA49">
        <f t="shared" ca="1" si="19"/>
        <v>0.26623145682103111</v>
      </c>
    </row>
    <row r="50" spans="1:27" x14ac:dyDescent="0.25">
      <c r="A50" s="20">
        <f t="shared" ca="1" si="0"/>
        <v>45362</v>
      </c>
      <c r="B50" vm="145">
        <f ca="1"/>
        <v>45363</v>
      </c>
      <c r="C50" vm="146">
        <f ca="1"/>
        <v>197.78</v>
      </c>
      <c r="D50" vm="147">
        <f ca="1"/>
        <v>5880075</v>
      </c>
      <c r="E50">
        <f t="shared" ca="1" si="1"/>
        <v>1162961233.5</v>
      </c>
      <c r="F50">
        <f ca="1">SUM($E$2:E50)/SUM($D$2:D50)</f>
        <v>182.1912363610758</v>
      </c>
      <c r="G50">
        <f ca="1">_xlfn.STDEV.P($C$2:C50)</f>
        <v>11.352529103004709</v>
      </c>
      <c r="H50">
        <f t="shared" ca="1" si="2"/>
        <v>193.54376546408051</v>
      </c>
      <c r="I50">
        <f t="shared" ca="1" si="3"/>
        <v>170.83870725807108</v>
      </c>
      <c r="J50">
        <f t="shared" ca="1" si="12"/>
        <v>188.27749999999997</v>
      </c>
      <c r="K50">
        <f t="shared" ca="1" si="13"/>
        <v>5.3392251310466383</v>
      </c>
      <c r="L50">
        <f t="shared" ca="1" si="14"/>
        <v>198.95595026209324</v>
      </c>
      <c r="M50">
        <f t="shared" ca="1" si="15"/>
        <v>177.59904973790671</v>
      </c>
      <c r="N50">
        <f t="shared" ca="1" si="4"/>
        <v>6.0500000000000114</v>
      </c>
      <c r="O50">
        <f t="shared" ca="1" si="5"/>
        <v>6.0500000000000114</v>
      </c>
      <c r="P50">
        <f t="shared" ca="1" si="6"/>
        <v>0</v>
      </c>
      <c r="Q50">
        <f t="shared" ca="1" si="10"/>
        <v>1.6165197331827812</v>
      </c>
      <c r="R50">
        <f t="shared" ca="1" si="11"/>
        <v>0.80032154942942491</v>
      </c>
      <c r="S50">
        <f t="shared" ca="1" si="8"/>
        <v>2.0198378193555455</v>
      </c>
      <c r="T50">
        <f t="shared" ca="1" si="9"/>
        <v>66.885638904495636</v>
      </c>
      <c r="U50">
        <f>70</f>
        <v>70</v>
      </c>
      <c r="V50">
        <f>30</f>
        <v>30</v>
      </c>
      <c r="W50">
        <f t="shared" ca="1" si="7"/>
        <v>191.93365607519121</v>
      </c>
      <c r="X50">
        <f t="shared" ca="1" si="17"/>
        <v>187.13436577021744</v>
      </c>
      <c r="Y50">
        <f t="shared" ca="1" si="16"/>
        <v>4.8240084872111595</v>
      </c>
      <c r="Z50">
        <f t="shared" ca="1" si="18"/>
        <v>4.59124877596442</v>
      </c>
      <c r="AA50">
        <f t="shared" ca="1" si="19"/>
        <v>0.23275971124673944</v>
      </c>
    </row>
    <row r="51" spans="1:27" x14ac:dyDescent="0.25">
      <c r="A51" s="20">
        <f t="shared" ca="1" si="0"/>
        <v>45362</v>
      </c>
      <c r="B51" vm="148">
        <f ca="1"/>
        <v>45364</v>
      </c>
      <c r="C51" vm="149">
        <f ca="1"/>
        <v>196.7</v>
      </c>
      <c r="D51" vm="150">
        <f ca="1"/>
        <v>3993258</v>
      </c>
      <c r="E51">
        <f t="shared" ca="1" si="1"/>
        <v>785473848.5999999</v>
      </c>
      <c r="F51">
        <f ca="1">SUM($E$2:E51)/SUM($D$2:D51)</f>
        <v>182.40882436625685</v>
      </c>
      <c r="G51">
        <f ca="1">_xlfn.STDEV.P($C$2:C51)</f>
        <v>11.475407785346887</v>
      </c>
      <c r="H51">
        <f t="shared" ca="1" si="2"/>
        <v>193.88423215160373</v>
      </c>
      <c r="I51">
        <f t="shared" ca="1" si="3"/>
        <v>170.93341658090998</v>
      </c>
      <c r="J51">
        <f t="shared" ca="1" si="12"/>
        <v>188.92749999999995</v>
      </c>
      <c r="K51">
        <f t="shared" ca="1" si="13"/>
        <v>5.5401604337400672</v>
      </c>
      <c r="L51">
        <f t="shared" ca="1" si="14"/>
        <v>200.00782086748009</v>
      </c>
      <c r="M51">
        <f t="shared" ca="1" si="15"/>
        <v>177.84717913251981</v>
      </c>
      <c r="N51">
        <f t="shared" ca="1" si="4"/>
        <v>-1.0800000000000125</v>
      </c>
      <c r="O51">
        <f t="shared" ca="1" si="5"/>
        <v>0</v>
      </c>
      <c r="P51">
        <f t="shared" ca="1" si="6"/>
        <v>1.0800000000000125</v>
      </c>
      <c r="Q51">
        <f t="shared" ca="1" si="10"/>
        <v>1.5010540379554396</v>
      </c>
      <c r="R51">
        <f t="shared" ca="1" si="11"/>
        <v>0.82029858161303826</v>
      </c>
      <c r="S51">
        <f t="shared" ca="1" si="8"/>
        <v>1.8298873990538436</v>
      </c>
      <c r="T51">
        <f t="shared" ca="1" si="9"/>
        <v>64.662904950410962</v>
      </c>
      <c r="U51">
        <f>70</f>
        <v>70</v>
      </c>
      <c r="V51">
        <f>30</f>
        <v>30</v>
      </c>
      <c r="W51">
        <f t="shared" ca="1" si="7"/>
        <v>192.66693975593103</v>
      </c>
      <c r="X51">
        <f t="shared" ca="1" si="17"/>
        <v>187.84293126871987</v>
      </c>
      <c r="Y51">
        <f t="shared" ca="1" si="16"/>
        <v>4.5275454278562961</v>
      </c>
      <c r="Z51">
        <f t="shared" ca="1" si="18"/>
        <v>4.5785081063427953</v>
      </c>
      <c r="AA51">
        <f t="shared" ca="1" si="19"/>
        <v>-5.0962678486499158E-2</v>
      </c>
    </row>
    <row r="52" spans="1:27" x14ac:dyDescent="0.25">
      <c r="A52" s="20">
        <f t="shared" ca="1" si="0"/>
        <v>45362</v>
      </c>
      <c r="B52" vm="151">
        <f ca="1"/>
        <v>45365</v>
      </c>
      <c r="C52" vm="152">
        <f ca="1"/>
        <v>193.43</v>
      </c>
      <c r="D52" vm="153">
        <f ca="1"/>
        <v>4109636</v>
      </c>
      <c r="E52">
        <f t="shared" ca="1" si="1"/>
        <v>794926891.48000002</v>
      </c>
      <c r="F52">
        <f ca="1">SUM($E$2:E52)/SUM($D$2:D52)</f>
        <v>182.57634053171591</v>
      </c>
      <c r="G52">
        <f ca="1">_xlfn.STDEV.P($C$2:C52)</f>
        <v>11.503777568555019</v>
      </c>
      <c r="H52">
        <f t="shared" ca="1" si="2"/>
        <v>194.08011810027094</v>
      </c>
      <c r="I52">
        <f t="shared" ca="1" si="3"/>
        <v>171.07256296316089</v>
      </c>
      <c r="J52">
        <f t="shared" ca="1" si="12"/>
        <v>189.42049999999998</v>
      </c>
      <c r="K52">
        <f t="shared" ca="1" si="13"/>
        <v>5.4766629053601017</v>
      </c>
      <c r="L52">
        <f t="shared" ca="1" si="14"/>
        <v>200.37382581072018</v>
      </c>
      <c r="M52">
        <f t="shared" ca="1" si="15"/>
        <v>178.46717418927977</v>
      </c>
      <c r="N52">
        <f t="shared" ca="1" si="4"/>
        <v>-3.2699999999999818</v>
      </c>
      <c r="O52">
        <f t="shared" ca="1" si="5"/>
        <v>0</v>
      </c>
      <c r="P52">
        <f t="shared" ca="1" si="6"/>
        <v>3.2699999999999818</v>
      </c>
      <c r="Q52">
        <f t="shared" ca="1" si="10"/>
        <v>1.3938358923871941</v>
      </c>
      <c r="R52">
        <f t="shared" ca="1" si="11"/>
        <v>0.99527725435496273</v>
      </c>
      <c r="S52">
        <f t="shared" ca="1" si="8"/>
        <v>1.4004498608687048</v>
      </c>
      <c r="T52">
        <f t="shared" ca="1" si="9"/>
        <v>58.34114195419572</v>
      </c>
      <c r="U52">
        <f>70</f>
        <v>70</v>
      </c>
      <c r="V52">
        <f>30</f>
        <v>30</v>
      </c>
      <c r="W52">
        <f t="shared" ca="1" si="7"/>
        <v>192.78433363963396</v>
      </c>
      <c r="X52">
        <f t="shared" ca="1" si="17"/>
        <v>188.25678821177766</v>
      </c>
      <c r="Y52">
        <f t="shared" ca="1" si="16"/>
        <v>4.0554157326026825</v>
      </c>
      <c r="Z52">
        <f t="shared" ca="1" si="18"/>
        <v>4.4738896315947727</v>
      </c>
      <c r="AA52">
        <f t="shared" ca="1" si="19"/>
        <v>-0.4184738989920902</v>
      </c>
    </row>
    <row r="53" spans="1:27" x14ac:dyDescent="0.25">
      <c r="A53" s="20">
        <f t="shared" ca="1" si="0"/>
        <v>45362</v>
      </c>
      <c r="B53" vm="154">
        <f ca="1"/>
        <v>45366</v>
      </c>
      <c r="C53" vm="155">
        <f ca="1"/>
        <v>191.07</v>
      </c>
      <c r="D53" vm="156">
        <f ca="1"/>
        <v>8828184</v>
      </c>
      <c r="E53">
        <f t="shared" ca="1" si="1"/>
        <v>1686801116.8799999</v>
      </c>
      <c r="F53">
        <f ca="1">SUM($E$2:E53)/SUM($D$2:D53)</f>
        <v>182.84489852532252</v>
      </c>
      <c r="G53">
        <f ca="1">_xlfn.STDEV.P($C$2:C53)</f>
        <v>11.481061083779124</v>
      </c>
      <c r="H53">
        <f t="shared" ca="1" si="2"/>
        <v>194.32595960910163</v>
      </c>
      <c r="I53">
        <f t="shared" ca="1" si="3"/>
        <v>171.36383744154341</v>
      </c>
      <c r="J53">
        <f t="shared" ca="1" si="12"/>
        <v>189.63049999999998</v>
      </c>
      <c r="K53">
        <f t="shared" ca="1" si="13"/>
        <v>5.4541953673537531</v>
      </c>
      <c r="L53">
        <f t="shared" ca="1" si="14"/>
        <v>200.53889073470748</v>
      </c>
      <c r="M53">
        <f t="shared" ca="1" si="15"/>
        <v>178.72210926529249</v>
      </c>
      <c r="N53">
        <f t="shared" ca="1" si="4"/>
        <v>-2.3600000000000136</v>
      </c>
      <c r="O53">
        <f t="shared" ca="1" si="5"/>
        <v>0</v>
      </c>
      <c r="P53">
        <f t="shared" ca="1" si="6"/>
        <v>2.3600000000000136</v>
      </c>
      <c r="Q53">
        <f t="shared" ca="1" si="10"/>
        <v>1.2942761857881087</v>
      </c>
      <c r="R53">
        <f t="shared" ca="1" si="11"/>
        <v>1.0927574504724664</v>
      </c>
      <c r="S53">
        <f t="shared" ca="1" si="8"/>
        <v>1.1844130508819806</v>
      </c>
      <c r="T53">
        <f t="shared" ca="1" si="9"/>
        <v>54.221112184060651</v>
      </c>
      <c r="U53">
        <f>70</f>
        <v>70</v>
      </c>
      <c r="V53">
        <f>30</f>
        <v>30</v>
      </c>
      <c r="W53">
        <f t="shared" ca="1" si="7"/>
        <v>192.52059000276719</v>
      </c>
      <c r="X53">
        <f t="shared" ca="1" si="17"/>
        <v>188.46517427016451</v>
      </c>
      <c r="Y53">
        <f t="shared" ca="1" si="16"/>
        <v>3.6887566752660348</v>
      </c>
      <c r="Z53">
        <f t="shared" ca="1" si="18"/>
        <v>4.3168630403290251</v>
      </c>
      <c r="AA53">
        <f t="shared" ca="1" si="19"/>
        <v>-0.62810636506299033</v>
      </c>
    </row>
    <row r="54" spans="1:27" x14ac:dyDescent="0.25">
      <c r="A54" s="20">
        <f t="shared" ca="1" si="0"/>
        <v>45369</v>
      </c>
      <c r="B54" vm="157">
        <f ca="1"/>
        <v>45369</v>
      </c>
      <c r="C54" vm="158">
        <f ca="1"/>
        <v>191.69</v>
      </c>
      <c r="D54" vm="159">
        <f ca="1"/>
        <v>5410562</v>
      </c>
      <c r="E54">
        <f t="shared" ca="1" si="1"/>
        <v>1037150629.78</v>
      </c>
      <c r="F54">
        <f ca="1">SUM($E$2:E54)/SUM($D$2:D54)</f>
        <v>183.01304265240546</v>
      </c>
      <c r="G54">
        <f ca="1">_xlfn.STDEV.P($C$2:C54)</f>
        <v>11.466372836096683</v>
      </c>
      <c r="H54">
        <f t="shared" ca="1" si="2"/>
        <v>194.47941548850216</v>
      </c>
      <c r="I54">
        <f t="shared" ca="1" si="3"/>
        <v>171.54666981630876</v>
      </c>
      <c r="J54">
        <f t="shared" ca="1" si="12"/>
        <v>189.833</v>
      </c>
      <c r="K54">
        <f t="shared" ca="1" si="13"/>
        <v>5.4515860560313794</v>
      </c>
      <c r="L54">
        <f t="shared" ca="1" si="14"/>
        <v>200.73617211206275</v>
      </c>
      <c r="M54">
        <f t="shared" ca="1" si="15"/>
        <v>178.92982788793725</v>
      </c>
      <c r="N54">
        <f t="shared" ca="1" si="4"/>
        <v>0.62000000000000455</v>
      </c>
      <c r="O54">
        <f t="shared" ca="1" si="5"/>
        <v>0.62000000000000455</v>
      </c>
      <c r="P54">
        <f t="shared" ca="1" si="6"/>
        <v>0</v>
      </c>
      <c r="Q54">
        <f t="shared" ca="1" si="10"/>
        <v>1.2461136010889582</v>
      </c>
      <c r="R54">
        <f t="shared" ca="1" si="11"/>
        <v>1.0147033468672901</v>
      </c>
      <c r="S54">
        <f t="shared" ca="1" si="8"/>
        <v>1.2280570522765148</v>
      </c>
      <c r="T54">
        <f t="shared" ca="1" si="9"/>
        <v>55.117845883782415</v>
      </c>
      <c r="U54">
        <f>70</f>
        <v>70</v>
      </c>
      <c r="V54">
        <f>30</f>
        <v>30</v>
      </c>
      <c r="W54">
        <f t="shared" ca="1" si="7"/>
        <v>192.39280692541837</v>
      </c>
      <c r="X54">
        <f t="shared" ca="1" si="17"/>
        <v>188.70405025015233</v>
      </c>
      <c r="Y54">
        <f t="shared" ca="1" si="16"/>
        <v>3.4910750015662586</v>
      </c>
      <c r="Z54">
        <f t="shared" ca="1" si="18"/>
        <v>4.1517054325764722</v>
      </c>
      <c r="AA54">
        <f t="shared" ca="1" si="19"/>
        <v>-0.66063043101021357</v>
      </c>
    </row>
    <row r="55" spans="1:27" x14ac:dyDescent="0.25">
      <c r="A55" s="20">
        <f t="shared" ca="1" si="0"/>
        <v>45369</v>
      </c>
      <c r="B55" vm="160">
        <f ca="1"/>
        <v>45370</v>
      </c>
      <c r="C55" vm="161">
        <f ca="1"/>
        <v>193.34</v>
      </c>
      <c r="D55" vm="162">
        <f ca="1"/>
        <v>5317341</v>
      </c>
      <c r="E55">
        <f t="shared" ca="1" si="1"/>
        <v>1028054708.9400001</v>
      </c>
      <c r="F55">
        <f ca="1">SUM($E$2:E55)/SUM($D$2:D55)</f>
        <v>183.20243595985943</v>
      </c>
      <c r="G55">
        <f ca="1">_xlfn.STDEV.P($C$2:C55)</f>
        <v>11.478617386199671</v>
      </c>
      <c r="H55">
        <f t="shared" ca="1" si="2"/>
        <v>194.68105334605909</v>
      </c>
      <c r="I55">
        <f t="shared" ca="1" si="3"/>
        <v>171.72381857365977</v>
      </c>
      <c r="J55">
        <f t="shared" ca="1" si="12"/>
        <v>190.328</v>
      </c>
      <c r="K55">
        <f t="shared" ca="1" si="13"/>
        <v>5.2875430569355517</v>
      </c>
      <c r="L55">
        <f t="shared" ca="1" si="14"/>
        <v>200.9030861138711</v>
      </c>
      <c r="M55">
        <f t="shared" ca="1" si="15"/>
        <v>179.75291388612891</v>
      </c>
      <c r="N55">
        <f t="shared" ca="1" si="4"/>
        <v>1.6500000000000057</v>
      </c>
      <c r="O55">
        <f t="shared" ca="1" si="5"/>
        <v>1.6500000000000057</v>
      </c>
      <c r="P55">
        <f t="shared" ca="1" si="6"/>
        <v>0</v>
      </c>
      <c r="Q55">
        <f t="shared" ca="1" si="10"/>
        <v>1.2749626295826044</v>
      </c>
      <c r="R55">
        <f t="shared" ca="1" si="11"/>
        <v>0.94222453637676939</v>
      </c>
      <c r="S55">
        <f t="shared" ca="1" si="8"/>
        <v>1.3531409768687899</v>
      </c>
      <c r="T55">
        <f t="shared" ca="1" si="9"/>
        <v>57.503608588268641</v>
      </c>
      <c r="U55">
        <f>70</f>
        <v>70</v>
      </c>
      <c r="V55">
        <f>30</f>
        <v>30</v>
      </c>
      <c r="W55">
        <f t="shared" ca="1" si="7"/>
        <v>192.53852893689248</v>
      </c>
      <c r="X55">
        <f t="shared" ca="1" si="17"/>
        <v>189.04745393532622</v>
      </c>
      <c r="Y55">
        <f t="shared" ca="1" si="16"/>
        <v>3.345870556342021</v>
      </c>
      <c r="Z55">
        <f t="shared" ca="1" si="18"/>
        <v>3.9905384573295821</v>
      </c>
      <c r="AA55">
        <f t="shared" ca="1" si="19"/>
        <v>-0.6446679009875611</v>
      </c>
    </row>
    <row r="56" spans="1:27" x14ac:dyDescent="0.25">
      <c r="A56" s="20">
        <f t="shared" ca="1" si="0"/>
        <v>45369</v>
      </c>
      <c r="B56" vm="163">
        <f ca="1"/>
        <v>45371</v>
      </c>
      <c r="C56" vm="164">
        <f ca="1"/>
        <v>193.96</v>
      </c>
      <c r="D56" vm="165">
        <f ca="1"/>
        <v>3238643</v>
      </c>
      <c r="E56">
        <f t="shared" ca="1" si="1"/>
        <v>628167196.27999997</v>
      </c>
      <c r="F56">
        <f ca="1">SUM($E$2:E56)/SUM($D$2:D56)</f>
        <v>183.32127263432656</v>
      </c>
      <c r="G56">
        <f ca="1">_xlfn.STDEV.P($C$2:C56)</f>
        <v>11.498037253993173</v>
      </c>
      <c r="H56">
        <f t="shared" ca="1" si="2"/>
        <v>194.81930988831974</v>
      </c>
      <c r="I56">
        <f t="shared" ca="1" si="3"/>
        <v>171.82323538033339</v>
      </c>
      <c r="J56">
        <f t="shared" ca="1" si="12"/>
        <v>191.041</v>
      </c>
      <c r="K56">
        <f t="shared" ca="1" si="13"/>
        <v>4.7087476265485178</v>
      </c>
      <c r="L56">
        <f t="shared" ca="1" si="14"/>
        <v>200.45849525309703</v>
      </c>
      <c r="M56">
        <f t="shared" ca="1" si="15"/>
        <v>181.62350474690297</v>
      </c>
      <c r="N56">
        <f t="shared" ca="1" si="4"/>
        <v>0.62000000000000455</v>
      </c>
      <c r="O56">
        <f t="shared" ca="1" si="5"/>
        <v>0.62000000000000455</v>
      </c>
      <c r="P56">
        <f t="shared" ca="1" si="6"/>
        <v>0</v>
      </c>
      <c r="Q56">
        <f t="shared" ca="1" si="10"/>
        <v>1.2281795846124186</v>
      </c>
      <c r="R56">
        <f t="shared" ca="1" si="11"/>
        <v>0.87492278377842869</v>
      </c>
      <c r="S56">
        <f t="shared" ca="1" si="8"/>
        <v>1.4037576885452911</v>
      </c>
      <c r="T56">
        <f t="shared" ca="1" si="9"/>
        <v>58.398468998546143</v>
      </c>
      <c r="U56">
        <f>70</f>
        <v>70</v>
      </c>
      <c r="V56">
        <f>30</f>
        <v>30</v>
      </c>
      <c r="W56">
        <f t="shared" ca="1" si="7"/>
        <v>192.75721679275517</v>
      </c>
      <c r="X56">
        <f t="shared" ca="1" si="17"/>
        <v>189.41134623641315</v>
      </c>
      <c r="Y56">
        <f t="shared" ca="1" si="16"/>
        <v>3.0296463265356408</v>
      </c>
      <c r="Z56">
        <f t="shared" ca="1" si="18"/>
        <v>3.7983600311707937</v>
      </c>
      <c r="AA56">
        <f t="shared" ca="1" si="19"/>
        <v>-0.76871370463515287</v>
      </c>
    </row>
    <row r="57" spans="1:27" x14ac:dyDescent="0.25">
      <c r="A57" s="20">
        <f t="shared" ca="1" si="0"/>
        <v>45369</v>
      </c>
      <c r="B57" vm="166">
        <f ca="1"/>
        <v>45372</v>
      </c>
      <c r="C57" vm="167">
        <f ca="1"/>
        <v>191.9</v>
      </c>
      <c r="D57" vm="168">
        <f ca="1"/>
        <v>6013561</v>
      </c>
      <c r="E57">
        <f t="shared" ca="1" si="1"/>
        <v>1154002355.9000001</v>
      </c>
      <c r="F57">
        <f ca="1">SUM($E$2:E57)/SUM($D$2:D57)</f>
        <v>183.4937015112493</v>
      </c>
      <c r="G57">
        <f ca="1">_xlfn.STDEV.P($C$2:C57)</f>
        <v>11.476705020665884</v>
      </c>
      <c r="H57">
        <f t="shared" ca="1" si="2"/>
        <v>194.97040653191519</v>
      </c>
      <c r="I57">
        <f t="shared" ca="1" si="3"/>
        <v>172.01699649058341</v>
      </c>
      <c r="J57">
        <f t="shared" ca="1" si="12"/>
        <v>191.4255</v>
      </c>
      <c r="K57">
        <f t="shared" ca="1" si="13"/>
        <v>4.4271429244699334</v>
      </c>
      <c r="L57">
        <f t="shared" ca="1" si="14"/>
        <v>200.27978584893987</v>
      </c>
      <c r="M57">
        <f t="shared" ca="1" si="15"/>
        <v>182.57121415106013</v>
      </c>
      <c r="N57">
        <f t="shared" ca="1" si="4"/>
        <v>-2.0600000000000023</v>
      </c>
      <c r="O57">
        <f t="shared" ca="1" si="5"/>
        <v>0</v>
      </c>
      <c r="P57">
        <f t="shared" ca="1" si="6"/>
        <v>2.0600000000000023</v>
      </c>
      <c r="Q57">
        <f t="shared" ca="1" si="10"/>
        <v>1.1404524714258173</v>
      </c>
      <c r="R57">
        <f t="shared" ca="1" si="11"/>
        <v>0.95957115636568402</v>
      </c>
      <c r="S57">
        <f t="shared" ca="1" si="8"/>
        <v>1.1885022427572853</v>
      </c>
      <c r="T57">
        <f t="shared" ca="1" si="9"/>
        <v>54.306649522090318</v>
      </c>
      <c r="U57">
        <f>70</f>
        <v>70</v>
      </c>
      <c r="V57">
        <f>30</f>
        <v>30</v>
      </c>
      <c r="W57">
        <f t="shared" ca="1" si="7"/>
        <v>192.62533728617746</v>
      </c>
      <c r="X57">
        <f t="shared" ca="1" si="17"/>
        <v>189.59569095964181</v>
      </c>
      <c r="Y57">
        <f t="shared" ca="1" si="16"/>
        <v>2.6628080117125705</v>
      </c>
      <c r="Z57">
        <f t="shared" ca="1" si="18"/>
        <v>3.5712496272791494</v>
      </c>
      <c r="AA57">
        <f t="shared" ca="1" si="19"/>
        <v>-0.90844161556657888</v>
      </c>
    </row>
    <row r="58" spans="1:27" x14ac:dyDescent="0.25">
      <c r="A58" s="20">
        <f t="shared" ca="1" si="0"/>
        <v>45369</v>
      </c>
      <c r="B58" vm="169">
        <f ca="1"/>
        <v>45373</v>
      </c>
      <c r="C58" vm="170">
        <f ca="1"/>
        <v>190.84</v>
      </c>
      <c r="D58" vm="171">
        <f ca="1"/>
        <v>3988398</v>
      </c>
      <c r="E58">
        <f t="shared" ca="1" si="1"/>
        <v>761145874.32000005</v>
      </c>
      <c r="F58">
        <f ca="1">SUM($E$2:E58)/SUM($D$2:D58)</f>
        <v>183.59034470200103</v>
      </c>
      <c r="G58">
        <f ca="1">_xlfn.STDEV.P($C$2:C58)</f>
        <v>11.437923204272661</v>
      </c>
      <c r="H58">
        <f t="shared" ca="1" si="2"/>
        <v>195.0282679062737</v>
      </c>
      <c r="I58">
        <f t="shared" ca="1" si="3"/>
        <v>172.15242149772837</v>
      </c>
      <c r="J58">
        <f t="shared" ca="1" si="12"/>
        <v>191.68150000000003</v>
      </c>
      <c r="K58">
        <f t="shared" ca="1" si="13"/>
        <v>4.2231919519668857</v>
      </c>
      <c r="L58">
        <f t="shared" ca="1" si="14"/>
        <v>200.12788390393379</v>
      </c>
      <c r="M58">
        <f t="shared" ca="1" si="15"/>
        <v>183.23511609606626</v>
      </c>
      <c r="N58">
        <f t="shared" ca="1" si="4"/>
        <v>-1.0600000000000023</v>
      </c>
      <c r="O58">
        <f t="shared" ca="1" si="5"/>
        <v>0</v>
      </c>
      <c r="P58">
        <f t="shared" ca="1" si="6"/>
        <v>1.0600000000000023</v>
      </c>
      <c r="Q58">
        <f t="shared" ca="1" si="10"/>
        <v>1.0589915806096875</v>
      </c>
      <c r="R58">
        <f t="shared" ca="1" si="11"/>
        <v>0.96674464519670678</v>
      </c>
      <c r="S58">
        <f t="shared" ca="1" si="8"/>
        <v>1.0954201669192705</v>
      </c>
      <c r="T58">
        <f t="shared" ca="1" si="9"/>
        <v>52.276874309641656</v>
      </c>
      <c r="U58">
        <f>70</f>
        <v>70</v>
      </c>
      <c r="V58">
        <f>30</f>
        <v>30</v>
      </c>
      <c r="W58">
        <f t="shared" ca="1" si="7"/>
        <v>192.35067001138094</v>
      </c>
      <c r="X58">
        <f t="shared" ca="1" si="17"/>
        <v>189.68786199966837</v>
      </c>
      <c r="Y58">
        <f t="shared" ca="1" si="16"/>
        <v>2.1815209216180165</v>
      </c>
      <c r="Z58">
        <f t="shared" ca="1" si="18"/>
        <v>3.2933038861469228</v>
      </c>
      <c r="AA58">
        <f t="shared" ca="1" si="19"/>
        <v>-1.1117829645289063</v>
      </c>
    </row>
    <row r="59" spans="1:27" x14ac:dyDescent="0.25">
      <c r="A59" s="20">
        <f t="shared" ca="1" si="0"/>
        <v>45376</v>
      </c>
      <c r="B59" vm="172">
        <f ca="1"/>
        <v>45376</v>
      </c>
      <c r="C59" vm="173">
        <f ca="1"/>
        <v>188.79</v>
      </c>
      <c r="D59" vm="174">
        <f ca="1"/>
        <v>3718289</v>
      </c>
      <c r="E59">
        <f t="shared" ca="1" si="1"/>
        <v>701975780.30999994</v>
      </c>
      <c r="F59">
        <f ca="1">SUM($E$2:E59)/SUM($D$2:D59)</f>
        <v>183.65334286989653</v>
      </c>
      <c r="G59">
        <f ca="1">_xlfn.STDEV.P($C$2:C59)</f>
        <v>11.374142358333383</v>
      </c>
      <c r="H59">
        <f t="shared" ca="1" si="2"/>
        <v>195.02748522822992</v>
      </c>
      <c r="I59">
        <f t="shared" ca="1" si="3"/>
        <v>172.27920051156315</v>
      </c>
      <c r="J59">
        <f t="shared" ca="1" si="12"/>
        <v>191.91450000000003</v>
      </c>
      <c r="K59">
        <f t="shared" ca="1" si="13"/>
        <v>3.900887179793036</v>
      </c>
      <c r="L59">
        <f t="shared" ca="1" si="14"/>
        <v>199.71627435958609</v>
      </c>
      <c r="M59">
        <f t="shared" ca="1" si="15"/>
        <v>184.11272564041397</v>
      </c>
      <c r="N59">
        <f t="shared" ca="1" si="4"/>
        <v>-2.0500000000000114</v>
      </c>
      <c r="O59">
        <f t="shared" ca="1" si="5"/>
        <v>0</v>
      </c>
      <c r="P59">
        <f t="shared" ca="1" si="6"/>
        <v>2.0500000000000114</v>
      </c>
      <c r="Q59">
        <f t="shared" ca="1" si="10"/>
        <v>0.98334932485185267</v>
      </c>
      <c r="R59">
        <f t="shared" ca="1" si="11"/>
        <v>1.044120027682657</v>
      </c>
      <c r="S59">
        <f t="shared" ca="1" si="8"/>
        <v>0.94179720604949968</v>
      </c>
      <c r="T59">
        <f t="shared" ca="1" si="9"/>
        <v>48.501316363800129</v>
      </c>
      <c r="U59">
        <f>70</f>
        <v>70</v>
      </c>
      <c r="V59">
        <f>30</f>
        <v>30</v>
      </c>
      <c r="W59">
        <f t="shared" ca="1" si="7"/>
        <v>191.80287462501465</v>
      </c>
      <c r="X59">
        <f t="shared" ca="1" si="17"/>
        <v>189.62135370339664</v>
      </c>
      <c r="Y59">
        <f t="shared" ca="1" si="16"/>
        <v>1.7564496012120685</v>
      </c>
      <c r="Z59">
        <f t="shared" ca="1" si="18"/>
        <v>2.9859330291599524</v>
      </c>
      <c r="AA59">
        <f t="shared" ca="1" si="19"/>
        <v>-1.2294834279478839</v>
      </c>
    </row>
    <row r="60" spans="1:27" x14ac:dyDescent="0.25">
      <c r="A60" s="20">
        <f t="shared" ca="1" si="0"/>
        <v>45376</v>
      </c>
      <c r="B60" vm="175">
        <f ca="1"/>
        <v>45377</v>
      </c>
      <c r="C60" vm="176">
        <f ca="1"/>
        <v>188.5</v>
      </c>
      <c r="D60" vm="177">
        <f ca="1"/>
        <v>4229535</v>
      </c>
      <c r="E60">
        <f t="shared" ca="1" si="1"/>
        <v>797267347.5</v>
      </c>
      <c r="F60">
        <f ca="1">SUM($E$2:E60)/SUM($D$2:D60)</f>
        <v>183.71923001594831</v>
      </c>
      <c r="G60">
        <f ca="1">_xlfn.STDEV.P($C$2:C60)</f>
        <v>11.308178399161729</v>
      </c>
      <c r="H60">
        <f t="shared" ca="1" si="2"/>
        <v>195.02740841511005</v>
      </c>
      <c r="I60">
        <f t="shared" ca="1" si="3"/>
        <v>172.41105161678658</v>
      </c>
      <c r="J60">
        <f t="shared" ca="1" si="12"/>
        <v>192.09600000000003</v>
      </c>
      <c r="K60">
        <f t="shared" ca="1" si="13"/>
        <v>3.6309813085663061</v>
      </c>
      <c r="L60">
        <f t="shared" ca="1" si="14"/>
        <v>199.35796261713264</v>
      </c>
      <c r="M60">
        <f t="shared" ca="1" si="15"/>
        <v>184.83403738286742</v>
      </c>
      <c r="N60">
        <f t="shared" ca="1" si="4"/>
        <v>-0.28999999999999204</v>
      </c>
      <c r="O60">
        <f t="shared" ca="1" si="5"/>
        <v>0</v>
      </c>
      <c r="P60">
        <f t="shared" ca="1" si="6"/>
        <v>0.28999999999999204</v>
      </c>
      <c r="Q60">
        <f t="shared" ca="1" si="10"/>
        <v>0.9131100873624346</v>
      </c>
      <c r="R60">
        <f t="shared" ca="1" si="11"/>
        <v>0.99025431141960951</v>
      </c>
      <c r="S60">
        <f t="shared" ca="1" si="8"/>
        <v>0.9220965532110813</v>
      </c>
      <c r="T60">
        <f t="shared" ca="1" si="9"/>
        <v>47.973477277747257</v>
      </c>
      <c r="U60">
        <f>70</f>
        <v>70</v>
      </c>
      <c r="V60">
        <f>30</f>
        <v>30</v>
      </c>
      <c r="W60">
        <f t="shared" ca="1" si="7"/>
        <v>191.29474006732008</v>
      </c>
      <c r="X60">
        <f t="shared" ca="1" si="17"/>
        <v>189.53829046610801</v>
      </c>
      <c r="Y60">
        <f t="shared" ca="1" si="16"/>
        <v>1.5868757792277961</v>
      </c>
      <c r="Z60">
        <f t="shared" ca="1" si="18"/>
        <v>2.7061215791735211</v>
      </c>
      <c r="AA60">
        <f t="shared" ca="1" si="19"/>
        <v>-1.119245799945725</v>
      </c>
    </row>
    <row r="61" spans="1:27" x14ac:dyDescent="0.25">
      <c r="A61" s="20">
        <f t="shared" ca="1" si="0"/>
        <v>45376</v>
      </c>
      <c r="B61" vm="178">
        <f ca="1"/>
        <v>45378</v>
      </c>
      <c r="C61" vm="179">
        <f ca="1"/>
        <v>190.8</v>
      </c>
      <c r="D61" vm="180">
        <f ca="1"/>
        <v>3693305</v>
      </c>
      <c r="E61">
        <f t="shared" ca="1" si="1"/>
        <v>704682594</v>
      </c>
      <c r="F61">
        <f ca="1">SUM($E$2:E61)/SUM($D$2:D61)</f>
        <v>183.80229851468945</v>
      </c>
      <c r="G61">
        <f ca="1">_xlfn.STDEV.P($C$2:C61)</f>
        <v>11.268167133813535</v>
      </c>
      <c r="H61">
        <f t="shared" ca="1" si="2"/>
        <v>195.07046564850299</v>
      </c>
      <c r="I61">
        <f t="shared" ca="1" si="3"/>
        <v>172.53413138087592</v>
      </c>
      <c r="J61">
        <f t="shared" ca="1" si="12"/>
        <v>192.37100000000004</v>
      </c>
      <c r="K61">
        <f t="shared" ca="1" si="13"/>
        <v>3.2805485741516485</v>
      </c>
      <c r="L61">
        <f t="shared" ca="1" si="14"/>
        <v>198.93209714830334</v>
      </c>
      <c r="M61">
        <f t="shared" ca="1" si="15"/>
        <v>185.80990285169673</v>
      </c>
      <c r="N61">
        <f t="shared" ca="1" si="4"/>
        <v>2.3000000000000114</v>
      </c>
      <c r="O61">
        <f t="shared" ca="1" si="5"/>
        <v>2.3000000000000114</v>
      </c>
      <c r="P61">
        <f t="shared" ca="1" si="6"/>
        <v>0</v>
      </c>
      <c r="Q61">
        <f t="shared" ca="1" si="10"/>
        <v>1.0121736525508329</v>
      </c>
      <c r="R61">
        <f t="shared" ca="1" si="11"/>
        <v>0.91952186060392305</v>
      </c>
      <c r="S61">
        <f t="shared" ca="1" si="8"/>
        <v>1.1007608366005111</v>
      </c>
      <c r="T61">
        <f t="shared" ca="1" si="9"/>
        <v>52.398198663193945</v>
      </c>
      <c r="U61">
        <f>70</f>
        <v>70</v>
      </c>
      <c r="V61">
        <f>30</f>
        <v>30</v>
      </c>
      <c r="W61">
        <f t="shared" ca="1" si="7"/>
        <v>191.21862621080928</v>
      </c>
      <c r="X61">
        <f t="shared" ca="1" si="17"/>
        <v>189.63175043158148</v>
      </c>
      <c r="Y61">
        <f t="shared" ca="1" si="16"/>
        <v>1.448698274491079</v>
      </c>
      <c r="Z61">
        <f t="shared" ca="1" si="18"/>
        <v>2.4546369182370325</v>
      </c>
      <c r="AA61">
        <f t="shared" ca="1" si="19"/>
        <v>-1.0059386437459534</v>
      </c>
    </row>
    <row r="62" spans="1:27" x14ac:dyDescent="0.25">
      <c r="A62" s="20">
        <f t="shared" ca="1" si="0"/>
        <v>45376</v>
      </c>
      <c r="B62" vm="181">
        <f ca="1"/>
        <v>45379</v>
      </c>
      <c r="C62" vm="182">
        <f ca="1"/>
        <v>190.96</v>
      </c>
      <c r="D62" vm="183">
        <f ca="1"/>
        <v>3742169</v>
      </c>
      <c r="E62">
        <f t="shared" ca="1" si="1"/>
        <v>714604592.24000001</v>
      </c>
      <c r="F62">
        <f ca="1">SUM($E$2:E62)/SUM($D$2:D62)</f>
        <v>183.88638104243614</v>
      </c>
      <c r="G62">
        <f ca="1">_xlfn.STDEV.P($C$2:C62)</f>
        <v>11.229542773669392</v>
      </c>
      <c r="H62">
        <f t="shared" ca="1" si="2"/>
        <v>195.11592381610552</v>
      </c>
      <c r="I62">
        <f t="shared" ca="1" si="3"/>
        <v>172.65683826876676</v>
      </c>
      <c r="J62">
        <f t="shared" ca="1" si="12"/>
        <v>192.66750000000005</v>
      </c>
      <c r="K62">
        <f t="shared" ca="1" si="13"/>
        <v>2.8174304736202824</v>
      </c>
      <c r="L62">
        <f t="shared" ca="1" si="14"/>
        <v>198.3023609472406</v>
      </c>
      <c r="M62">
        <f t="shared" ca="1" si="15"/>
        <v>187.03263905275949</v>
      </c>
      <c r="N62">
        <f t="shared" ca="1" si="4"/>
        <v>0.15999999999999659</v>
      </c>
      <c r="O62">
        <f t="shared" ca="1" si="5"/>
        <v>0.15999999999999659</v>
      </c>
      <c r="P62">
        <f t="shared" ca="1" si="6"/>
        <v>0</v>
      </c>
      <c r="Q62">
        <f t="shared" ca="1" si="10"/>
        <v>0.95130410594005888</v>
      </c>
      <c r="R62">
        <f t="shared" ca="1" si="11"/>
        <v>0.85384172770364286</v>
      </c>
      <c r="S62">
        <f t="shared" ca="1" si="8"/>
        <v>1.1141457193694848</v>
      </c>
      <c r="T62">
        <f t="shared" ca="1" si="9"/>
        <v>52.699570760986312</v>
      </c>
      <c r="U62">
        <f>70</f>
        <v>70</v>
      </c>
      <c r="V62">
        <f>30</f>
        <v>30</v>
      </c>
      <c r="W62">
        <f t="shared" ca="1" si="7"/>
        <v>191.17883756299247</v>
      </c>
      <c r="X62">
        <f t="shared" ca="1" si="17"/>
        <v>189.73013928850139</v>
      </c>
      <c r="Y62">
        <f t="shared" ca="1" si="16"/>
        <v>1.2337877135208259</v>
      </c>
      <c r="Z62">
        <f t="shared" ca="1" si="18"/>
        <v>2.2104670772937913</v>
      </c>
      <c r="AA62">
        <f t="shared" ca="1" si="19"/>
        <v>-0.97667936377296538</v>
      </c>
    </row>
    <row r="63" spans="1:27" x14ac:dyDescent="0.25">
      <c r="A63" s="20">
        <f t="shared" ca="1" si="0"/>
        <v>45383</v>
      </c>
      <c r="B63" vm="184">
        <f ca="1"/>
        <v>45383</v>
      </c>
      <c r="C63" vm="185">
        <f ca="1"/>
        <v>189.83</v>
      </c>
      <c r="D63" vm="186">
        <f ca="1"/>
        <v>2364320</v>
      </c>
      <c r="E63">
        <f t="shared" ca="1" si="1"/>
        <v>448818865.60000002</v>
      </c>
      <c r="F63">
        <f ca="1">SUM($E$2:E63)/SUM($D$2:D63)</f>
        <v>183.93016899193822</v>
      </c>
      <c r="G63">
        <f ca="1">_xlfn.STDEV.P($C$2:C63)</f>
        <v>11.177548131502272</v>
      </c>
      <c r="H63">
        <f t="shared" ca="1" si="2"/>
        <v>195.10771712344049</v>
      </c>
      <c r="I63">
        <f t="shared" ca="1" si="3"/>
        <v>172.75262086043594</v>
      </c>
      <c r="J63">
        <f t="shared" ca="1" si="12"/>
        <v>192.74900000000002</v>
      </c>
      <c r="K63">
        <f t="shared" ca="1" si="13"/>
        <v>2.7026339978465042</v>
      </c>
      <c r="L63">
        <f t="shared" ca="1" si="14"/>
        <v>198.15426799569303</v>
      </c>
      <c r="M63">
        <f t="shared" ca="1" si="15"/>
        <v>187.34373200430701</v>
      </c>
      <c r="N63">
        <f t="shared" ca="1" si="4"/>
        <v>-1.1299999999999955</v>
      </c>
      <c r="O63">
        <f t="shared" ca="1" si="5"/>
        <v>0</v>
      </c>
      <c r="P63">
        <f t="shared" ca="1" si="6"/>
        <v>1.1299999999999955</v>
      </c>
      <c r="Q63">
        <f t="shared" ca="1" si="10"/>
        <v>0.88335381265862611</v>
      </c>
      <c r="R63">
        <f t="shared" ca="1" si="11"/>
        <v>0.8735673185819538</v>
      </c>
      <c r="S63">
        <f t="shared" ca="1" si="8"/>
        <v>1.0112029077421973</v>
      </c>
      <c r="T63">
        <f t="shared" ca="1" si="9"/>
        <v>50.278512617972837</v>
      </c>
      <c r="U63">
        <f>70</f>
        <v>70</v>
      </c>
      <c r="V63">
        <f>30</f>
        <v>30</v>
      </c>
      <c r="W63">
        <f t="shared" ca="1" si="7"/>
        <v>190.97132409176285</v>
      </c>
      <c r="X63">
        <f t="shared" ca="1" si="17"/>
        <v>189.73753637824203</v>
      </c>
      <c r="Y63">
        <f t="shared" ca="1" si="16"/>
        <v>0.97556675876040799</v>
      </c>
      <c r="Z63">
        <f t="shared" ca="1" si="18"/>
        <v>1.9634870135871147</v>
      </c>
      <c r="AA63">
        <f t="shared" ca="1" si="19"/>
        <v>-0.98792025482670676</v>
      </c>
    </row>
    <row r="64" spans="1:27" x14ac:dyDescent="0.25">
      <c r="A64" s="20">
        <f t="shared" ca="1" si="0"/>
        <v>45383</v>
      </c>
      <c r="B64" vm="187">
        <f ca="1"/>
        <v>45384</v>
      </c>
      <c r="C64" vm="188">
        <f ca="1"/>
        <v>188.88</v>
      </c>
      <c r="D64" vm="189">
        <f ca="1"/>
        <v>2693455</v>
      </c>
      <c r="E64">
        <f t="shared" ca="1" si="1"/>
        <v>508739780.39999998</v>
      </c>
      <c r="F64">
        <f ca="1">SUM($E$2:E64)/SUM($D$2:D64)</f>
        <v>183.97136619681416</v>
      </c>
      <c r="G64">
        <f ca="1">_xlfn.STDEV.P($C$2:C64)</f>
        <v>11.116672016598121</v>
      </c>
      <c r="H64">
        <f t="shared" ca="1" si="2"/>
        <v>195.08803821341229</v>
      </c>
      <c r="I64">
        <f t="shared" ca="1" si="3"/>
        <v>172.85469418021603</v>
      </c>
      <c r="J64">
        <f t="shared" ca="1" si="12"/>
        <v>192.54000000000002</v>
      </c>
      <c r="K64">
        <f t="shared" ca="1" si="13"/>
        <v>2.8356675627294146</v>
      </c>
      <c r="L64">
        <f t="shared" ca="1" si="14"/>
        <v>198.21133512545885</v>
      </c>
      <c r="M64">
        <f t="shared" ca="1" si="15"/>
        <v>186.8686648745412</v>
      </c>
      <c r="N64">
        <f t="shared" ca="1" si="4"/>
        <v>-0.95000000000001705</v>
      </c>
      <c r="O64">
        <f t="shared" ca="1" si="5"/>
        <v>0</v>
      </c>
      <c r="P64">
        <f t="shared" ca="1" si="6"/>
        <v>0.95000000000001705</v>
      </c>
      <c r="Q64">
        <f t="shared" ca="1" si="10"/>
        <v>0.82025711175443849</v>
      </c>
      <c r="R64">
        <f t="shared" ca="1" si="11"/>
        <v>0.87902679582610121</v>
      </c>
      <c r="S64">
        <f t="shared" ca="1" si="8"/>
        <v>0.9331423292774238</v>
      </c>
      <c r="T64">
        <f t="shared" ca="1" si="9"/>
        <v>48.270751467441961</v>
      </c>
      <c r="U64">
        <f>70</f>
        <v>70</v>
      </c>
      <c r="V64">
        <f>30</f>
        <v>30</v>
      </c>
      <c r="W64">
        <f t="shared" ca="1" si="7"/>
        <v>190.64958192379933</v>
      </c>
      <c r="X64">
        <f t="shared" ca="1" si="17"/>
        <v>189.67401516503892</v>
      </c>
      <c r="Y64">
        <f t="shared" ca="1" si="16"/>
        <v>0.92327892515885424</v>
      </c>
      <c r="Z64">
        <f t="shared" ca="1" si="18"/>
        <v>1.7554453959014629</v>
      </c>
      <c r="AA64">
        <f t="shared" ca="1" si="19"/>
        <v>-0.83216647074260863</v>
      </c>
    </row>
    <row r="65" spans="1:27" x14ac:dyDescent="0.25">
      <c r="A65" s="20">
        <f t="shared" ca="1" si="0"/>
        <v>45383</v>
      </c>
      <c r="B65" vm="190">
        <f ca="1"/>
        <v>45385</v>
      </c>
      <c r="C65" vm="191">
        <f ca="1"/>
        <v>190.9</v>
      </c>
      <c r="D65" vm="192">
        <f ca="1"/>
        <v>2826193</v>
      </c>
      <c r="E65">
        <f t="shared" ca="1" si="1"/>
        <v>539520243.70000005</v>
      </c>
      <c r="F65">
        <f ca="1">SUM($E$2:E65)/SUM($D$2:D65)</f>
        <v>184.03135093935308</v>
      </c>
      <c r="G65">
        <f ca="1">_xlfn.STDEV.P($C$2:C65)</f>
        <v>11.076833130554439</v>
      </c>
      <c r="H65">
        <f t="shared" ca="1" si="2"/>
        <v>195.10818406990751</v>
      </c>
      <c r="I65">
        <f t="shared" ca="1" si="3"/>
        <v>172.95451780879864</v>
      </c>
      <c r="J65">
        <f t="shared" ca="1" si="12"/>
        <v>192.48750000000001</v>
      </c>
      <c r="K65">
        <f t="shared" ca="1" si="13"/>
        <v>2.8568069680381916</v>
      </c>
      <c r="L65">
        <f t="shared" ca="1" si="14"/>
        <v>198.20111393607638</v>
      </c>
      <c r="M65">
        <f t="shared" ca="1" si="15"/>
        <v>186.77388606392364</v>
      </c>
      <c r="N65">
        <f t="shared" ca="1" si="4"/>
        <v>2.0200000000000102</v>
      </c>
      <c r="O65">
        <f t="shared" ca="1" si="5"/>
        <v>2.0200000000000102</v>
      </c>
      <c r="P65">
        <f t="shared" ca="1" si="6"/>
        <v>0</v>
      </c>
      <c r="Q65">
        <f t="shared" ca="1" si="10"/>
        <v>0.90595303234340796</v>
      </c>
      <c r="R65">
        <f t="shared" ca="1" si="11"/>
        <v>0.81623916755280834</v>
      </c>
      <c r="S65">
        <f t="shared" ca="1" si="8"/>
        <v>1.1099112470424244</v>
      </c>
      <c r="T65">
        <f t="shared" ca="1" si="9"/>
        <v>52.604641479505183</v>
      </c>
      <c r="U65">
        <f>70</f>
        <v>70</v>
      </c>
      <c r="V65">
        <f>30</f>
        <v>30</v>
      </c>
      <c r="W65">
        <f t="shared" ca="1" si="7"/>
        <v>190.68810778167636</v>
      </c>
      <c r="X65">
        <f t="shared" ca="1" si="17"/>
        <v>189.76482885651751</v>
      </c>
      <c r="Y65">
        <f t="shared" ca="1" si="16"/>
        <v>0.63566562048342234</v>
      </c>
      <c r="Z65">
        <f t="shared" ca="1" si="18"/>
        <v>1.5314894408178548</v>
      </c>
      <c r="AA65">
        <f t="shared" ca="1" si="19"/>
        <v>-0.89582382033443242</v>
      </c>
    </row>
    <row r="66" spans="1:27" x14ac:dyDescent="0.25">
      <c r="A66" s="20">
        <f t="shared" ca="1" si="0"/>
        <v>45383</v>
      </c>
      <c r="B66" vm="193">
        <f ca="1"/>
        <v>45386</v>
      </c>
      <c r="C66" vm="194">
        <f ca="1"/>
        <v>187.94</v>
      </c>
      <c r="D66" vm="195">
        <f ca="1"/>
        <v>2983853</v>
      </c>
      <c r="E66">
        <f t="shared" ca="1" si="1"/>
        <v>560785332.82000005</v>
      </c>
      <c r="F66">
        <f ca="1">SUM($E$2:E66)/SUM($D$2:D66)</f>
        <v>184.06675424801114</v>
      </c>
      <c r="G66">
        <f ca="1">_xlfn.STDEV.P($C$2:C66)</f>
        <v>11.009634085573635</v>
      </c>
      <c r="H66">
        <f t="shared" ca="1" si="2"/>
        <v>195.07638833358476</v>
      </c>
      <c r="I66">
        <f t="shared" ca="1" si="3"/>
        <v>173.05712016243751</v>
      </c>
      <c r="J66">
        <f t="shared" ca="1" si="12"/>
        <v>192.07650000000004</v>
      </c>
      <c r="K66">
        <f t="shared" ca="1" si="13"/>
        <v>2.8917273566612653</v>
      </c>
      <c r="L66">
        <f t="shared" ca="1" si="14"/>
        <v>197.85995471332257</v>
      </c>
      <c r="M66">
        <f t="shared" ca="1" si="15"/>
        <v>186.29304528667751</v>
      </c>
      <c r="N66">
        <f t="shared" ca="1" si="4"/>
        <v>-2.960000000000008</v>
      </c>
      <c r="O66">
        <f t="shared" ca="1" si="5"/>
        <v>0</v>
      </c>
      <c r="P66">
        <f t="shared" ca="1" si="6"/>
        <v>2.960000000000008</v>
      </c>
      <c r="Q66">
        <f t="shared" ca="1" si="10"/>
        <v>0.84124210146173595</v>
      </c>
      <c r="R66">
        <f t="shared" ca="1" si="11"/>
        <v>0.96936494129903683</v>
      </c>
      <c r="S66">
        <f t="shared" ca="1" si="8"/>
        <v>0.86782806518089595</v>
      </c>
      <c r="T66">
        <f t="shared" ca="1" si="9"/>
        <v>46.461881655946115</v>
      </c>
      <c r="U66">
        <f>70</f>
        <v>70</v>
      </c>
      <c r="V66">
        <f>30</f>
        <v>30</v>
      </c>
      <c r="W66">
        <f t="shared" ca="1" si="7"/>
        <v>190.26532196911077</v>
      </c>
      <c r="X66">
        <f t="shared" ca="1" si="17"/>
        <v>189.62965634862735</v>
      </c>
      <c r="Y66">
        <f t="shared" ca="1" si="16"/>
        <v>0.49881000433623512</v>
      </c>
      <c r="Z66">
        <f t="shared" ca="1" si="18"/>
        <v>1.3249535535215309</v>
      </c>
      <c r="AA66">
        <f t="shared" ca="1" si="19"/>
        <v>-0.82614354918529576</v>
      </c>
    </row>
    <row r="67" spans="1:27" x14ac:dyDescent="0.25">
      <c r="A67" s="20">
        <f t="shared" ref="A67:A130" ca="1" si="20">B67 - WEEKDAY(B67, 2) + 1</f>
        <v>45383</v>
      </c>
      <c r="B67" vm="196">
        <f ca="1"/>
        <v>45387</v>
      </c>
      <c r="C67" vm="197">
        <f ca="1"/>
        <v>189.14</v>
      </c>
      <c r="D67" vm="198">
        <f ca="1"/>
        <v>2014264</v>
      </c>
      <c r="E67">
        <f t="shared" ref="E67:E130" ca="1" si="21">C67*D67</f>
        <v>380977892.95999998</v>
      </c>
      <c r="F67">
        <f ca="1">SUM($E$2:E67)/SUM($D$2:D67)</f>
        <v>184.09758574849943</v>
      </c>
      <c r="G67">
        <f ca="1">_xlfn.STDEV.P($C$2:C67)</f>
        <v>10.952819446781382</v>
      </c>
      <c r="H67">
        <f t="shared" ref="H67:H130" ca="1" si="22">F67 + G67</f>
        <v>195.0504051952808</v>
      </c>
      <c r="I67">
        <f t="shared" ref="I67:I130" ca="1" si="23">F67 - G67</f>
        <v>173.14476630171805</v>
      </c>
      <c r="J67">
        <f t="shared" ca="1" si="12"/>
        <v>191.70650000000001</v>
      </c>
      <c r="K67">
        <f t="shared" ca="1" si="13"/>
        <v>2.7610243617751338</v>
      </c>
      <c r="L67">
        <f t="shared" ca="1" si="14"/>
        <v>197.22854872355026</v>
      </c>
      <c r="M67">
        <f t="shared" ca="1" si="15"/>
        <v>186.18445127644975</v>
      </c>
      <c r="N67">
        <f t="shared" ca="1" si="4"/>
        <v>1.1999999999999886</v>
      </c>
      <c r="O67">
        <f t="shared" ca="1" si="5"/>
        <v>1.1999999999999886</v>
      </c>
      <c r="P67">
        <f t="shared" ca="1" si="6"/>
        <v>0</v>
      </c>
      <c r="Q67">
        <f t="shared" ca="1" si="10"/>
        <v>0.86686766564303963</v>
      </c>
      <c r="R67">
        <f t="shared" ca="1" si="11"/>
        <v>0.90012458834910558</v>
      </c>
      <c r="S67">
        <f t="shared" ca="1" si="8"/>
        <v>0.96305297829152559</v>
      </c>
      <c r="T67">
        <f t="shared" ca="1" si="9"/>
        <v>49.058939770931957</v>
      </c>
      <c r="U67">
        <f>70</f>
        <v>70</v>
      </c>
      <c r="V67">
        <f>30</f>
        <v>30</v>
      </c>
      <c r="W67">
        <f t="shared" ca="1" si="7"/>
        <v>190.09219551232451</v>
      </c>
      <c r="X67">
        <f t="shared" ca="1" si="17"/>
        <v>189.59338550798827</v>
      </c>
      <c r="Y67">
        <f t="shared" ca="1" si="16"/>
        <v>0.44014751300343846</v>
      </c>
      <c r="Z67">
        <f t="shared" ca="1" si="18"/>
        <v>1.1479923454179124</v>
      </c>
      <c r="AA67">
        <f t="shared" ca="1" si="19"/>
        <v>-0.70784483241447393</v>
      </c>
    </row>
    <row r="68" spans="1:27" x14ac:dyDescent="0.25">
      <c r="A68" s="20">
        <f t="shared" ca="1" si="20"/>
        <v>45390</v>
      </c>
      <c r="B68" vm="199">
        <f ca="1"/>
        <v>45390</v>
      </c>
      <c r="C68" vm="200">
        <f ca="1"/>
        <v>189.82</v>
      </c>
      <c r="D68" vm="201">
        <f ca="1"/>
        <v>2678284</v>
      </c>
      <c r="E68">
        <f t="shared" ca="1" si="21"/>
        <v>508391868.88</v>
      </c>
      <c r="F68">
        <f ca="1">SUM($E$2:E68)/SUM($D$2:D68)</f>
        <v>184.14345619739433</v>
      </c>
      <c r="G68">
        <f ca="1">_xlfn.STDEV.P($C$2:C68)</f>
        <v>10.902609551492761</v>
      </c>
      <c r="H68">
        <f t="shared" ca="1" si="22"/>
        <v>195.04606574888709</v>
      </c>
      <c r="I68">
        <f t="shared" ca="1" si="23"/>
        <v>173.24084664590157</v>
      </c>
      <c r="J68">
        <f t="shared" ca="1" si="12"/>
        <v>191.40000000000003</v>
      </c>
      <c r="K68">
        <f t="shared" ca="1" si="13"/>
        <v>2.6007549511227461</v>
      </c>
      <c r="L68">
        <f t="shared" ca="1" si="14"/>
        <v>196.60150990224554</v>
      </c>
      <c r="M68">
        <f t="shared" ca="1" si="15"/>
        <v>186.19849009775453</v>
      </c>
      <c r="N68">
        <f t="shared" ref="N68:N131" ca="1" si="24">C68-C67</f>
        <v>0.68000000000000682</v>
      </c>
      <c r="O68">
        <f t="shared" ref="O68:O131" ca="1" si="25">MAX(N68,0)</f>
        <v>0.68000000000000682</v>
      </c>
      <c r="P68">
        <f t="shared" ref="P68:P131" ca="1" si="26">MAX(-N68,0)</f>
        <v>0</v>
      </c>
      <c r="Q68">
        <f t="shared" ca="1" si="10"/>
        <v>0.85351997523996581</v>
      </c>
      <c r="R68">
        <f t="shared" ca="1" si="11"/>
        <v>0.83582997489559807</v>
      </c>
      <c r="S68">
        <f t="shared" ca="1" si="8"/>
        <v>1.021164591933398</v>
      </c>
      <c r="T68">
        <f t="shared" ca="1" si="9"/>
        <v>50.523574181386991</v>
      </c>
      <c r="U68">
        <f>70</f>
        <v>70</v>
      </c>
      <c r="V68">
        <f>30</f>
        <v>30</v>
      </c>
      <c r="W68">
        <f t="shared" ca="1" si="7"/>
        <v>190.05031927965922</v>
      </c>
      <c r="X68">
        <f t="shared" ca="1" si="17"/>
        <v>189.61017176665578</v>
      </c>
      <c r="Y68">
        <f t="shared" ca="1" si="16"/>
        <v>0.34848718488791519</v>
      </c>
      <c r="Z68">
        <f t="shared" ca="1" si="18"/>
        <v>0.98809131331191302</v>
      </c>
      <c r="AA68">
        <f t="shared" ca="1" si="19"/>
        <v>-0.63960412842399783</v>
      </c>
    </row>
    <row r="69" spans="1:27" x14ac:dyDescent="0.25">
      <c r="A69" s="20">
        <f t="shared" ca="1" si="20"/>
        <v>45390</v>
      </c>
      <c r="B69" vm="202">
        <f ca="1"/>
        <v>45391</v>
      </c>
      <c r="C69" vm="203">
        <f ca="1"/>
        <v>189.31</v>
      </c>
      <c r="D69" vm="204">
        <f ca="1"/>
        <v>2794381</v>
      </c>
      <c r="E69">
        <f t="shared" ca="1" si="21"/>
        <v>529004267.11000001</v>
      </c>
      <c r="F69">
        <f ca="1">SUM($E$2:E69)/SUM($D$2:D69)</f>
        <v>184.18630766817779</v>
      </c>
      <c r="G69">
        <f ca="1">_xlfn.STDEV.P($C$2:C69)</f>
        <v>10.848296144499114</v>
      </c>
      <c r="H69">
        <f t="shared" ca="1" si="22"/>
        <v>195.03460381267689</v>
      </c>
      <c r="I69">
        <f t="shared" ca="1" si="23"/>
        <v>173.33801152367869</v>
      </c>
      <c r="J69">
        <f t="shared" ca="1" si="12"/>
        <v>191.27900000000002</v>
      </c>
      <c r="K69">
        <f t="shared" ca="1" si="13"/>
        <v>2.640583866854969</v>
      </c>
      <c r="L69">
        <f t="shared" ca="1" si="14"/>
        <v>196.56016773370996</v>
      </c>
      <c r="M69">
        <f t="shared" ca="1" si="15"/>
        <v>185.99783226629009</v>
      </c>
      <c r="N69">
        <f t="shared" ca="1" si="24"/>
        <v>-0.50999999999999091</v>
      </c>
      <c r="O69">
        <f t="shared" ca="1" si="25"/>
        <v>0</v>
      </c>
      <c r="P69">
        <f t="shared" ca="1" si="26"/>
        <v>0.50999999999999091</v>
      </c>
      <c r="Q69">
        <f t="shared" ca="1" si="10"/>
        <v>0.79255426272282548</v>
      </c>
      <c r="R69">
        <f t="shared" ca="1" si="11"/>
        <v>0.81255640526019757</v>
      </c>
      <c r="S69">
        <f t="shared" ca="1" si="8"/>
        <v>0.97538368732572234</v>
      </c>
      <c r="T69">
        <f t="shared" ca="1" si="9"/>
        <v>49.376923257182426</v>
      </c>
      <c r="U69">
        <f>70</f>
        <v>70</v>
      </c>
      <c r="V69">
        <f>30</f>
        <v>30</v>
      </c>
      <c r="W69">
        <f t="shared" ca="1" si="7"/>
        <v>189.93642400586549</v>
      </c>
      <c r="X69">
        <f t="shared" ca="1" si="17"/>
        <v>189.58793682097757</v>
      </c>
      <c r="Y69">
        <f t="shared" ca="1" si="16"/>
        <v>1.1847472718898189E-2</v>
      </c>
      <c r="Z69">
        <f t="shared" ca="1" si="18"/>
        <v>0.7928425451933101</v>
      </c>
      <c r="AA69">
        <f t="shared" ca="1" si="19"/>
        <v>-0.78099507247441191</v>
      </c>
    </row>
    <row r="70" spans="1:27" x14ac:dyDescent="0.25">
      <c r="A70" s="20">
        <f t="shared" ca="1" si="20"/>
        <v>45390</v>
      </c>
      <c r="B70" vm="205">
        <f ca="1"/>
        <v>45392</v>
      </c>
      <c r="C70" vm="206">
        <f ca="1"/>
        <v>186.04</v>
      </c>
      <c r="D70" vm="207">
        <f ca="1"/>
        <v>3081915</v>
      </c>
      <c r="E70">
        <f t="shared" ca="1" si="21"/>
        <v>573359466.60000002</v>
      </c>
      <c r="F70">
        <f ca="1">SUM($E$2:E70)/SUM($D$2:D70)</f>
        <v>184.20311054619566</v>
      </c>
      <c r="G70">
        <f ca="1">_xlfn.STDEV.P($C$2:C70)</f>
        <v>10.774942145546097</v>
      </c>
      <c r="H70">
        <f t="shared" ca="1" si="22"/>
        <v>194.97805269174177</v>
      </c>
      <c r="I70">
        <f t="shared" ca="1" si="23"/>
        <v>173.42816840064955</v>
      </c>
      <c r="J70">
        <f t="shared" ca="1" si="12"/>
        <v>190.69200000000001</v>
      </c>
      <c r="K70">
        <f t="shared" ca="1" si="13"/>
        <v>2.4145798370469538</v>
      </c>
      <c r="L70">
        <f t="shared" ca="1" si="14"/>
        <v>195.52115967409392</v>
      </c>
      <c r="M70">
        <f t="shared" ca="1" si="15"/>
        <v>185.86284032590609</v>
      </c>
      <c r="N70">
        <f t="shared" ca="1" si="24"/>
        <v>-3.2700000000000102</v>
      </c>
      <c r="O70">
        <f t="shared" ca="1" si="25"/>
        <v>0</v>
      </c>
      <c r="P70">
        <f t="shared" ca="1" si="26"/>
        <v>3.2700000000000102</v>
      </c>
      <c r="Q70">
        <f t="shared" ca="1" si="10"/>
        <v>0.73594324395690935</v>
      </c>
      <c r="R70">
        <f t="shared" ca="1" si="11"/>
        <v>0.98808809059875558</v>
      </c>
      <c r="S70">
        <f t="shared" ca="1" si="8"/>
        <v>0.74481541773360205</v>
      </c>
      <c r="T70">
        <f t="shared" ca="1" si="9"/>
        <v>42.687347335632047</v>
      </c>
      <c r="U70">
        <f>70</f>
        <v>70</v>
      </c>
      <c r="V70">
        <f>30</f>
        <v>30</v>
      </c>
      <c r="W70">
        <f t="shared" ca="1" si="7"/>
        <v>189.33697415880926</v>
      </c>
      <c r="X70">
        <f t="shared" ca="1" si="17"/>
        <v>189.32512668609036</v>
      </c>
      <c r="Y70">
        <f t="shared" ca="1" si="16"/>
        <v>-0.26320469462396545</v>
      </c>
      <c r="Z70">
        <f t="shared" ca="1" si="18"/>
        <v>0.58163309722985512</v>
      </c>
      <c r="AA70">
        <f t="shared" ca="1" si="19"/>
        <v>-0.84483779185382057</v>
      </c>
    </row>
    <row r="71" spans="1:27" x14ac:dyDescent="0.25">
      <c r="A71" s="20">
        <f t="shared" ca="1" si="20"/>
        <v>45390</v>
      </c>
      <c r="B71" vm="208">
        <f ca="1"/>
        <v>45393</v>
      </c>
      <c r="C71" vm="209">
        <f ca="1"/>
        <v>185.9</v>
      </c>
      <c r="D71" vm="210">
        <f ca="1"/>
        <v>2861736</v>
      </c>
      <c r="E71">
        <f t="shared" ca="1" si="21"/>
        <v>531996722.40000004</v>
      </c>
      <c r="F71">
        <f ca="1">SUM($E$2:E71)/SUM($D$2:D71)</f>
        <v>184.21727397303482</v>
      </c>
      <c r="G71">
        <f ca="1">_xlfn.STDEV.P($C$2:C71)</f>
        <v>10.702533417421336</v>
      </c>
      <c r="H71">
        <f t="shared" ca="1" si="22"/>
        <v>194.91980739045616</v>
      </c>
      <c r="I71">
        <f t="shared" ca="1" si="23"/>
        <v>173.51474055561349</v>
      </c>
      <c r="J71">
        <f t="shared" ca="1" si="12"/>
        <v>190.15199999999999</v>
      </c>
      <c r="K71">
        <f t="shared" ca="1" si="13"/>
        <v>2.1981920801087069</v>
      </c>
      <c r="L71">
        <f t="shared" ca="1" si="14"/>
        <v>194.54838416021741</v>
      </c>
      <c r="M71">
        <f t="shared" ca="1" si="15"/>
        <v>185.75561583978256</v>
      </c>
      <c r="N71">
        <f t="shared" ca="1" si="24"/>
        <v>-0.13999999999998636</v>
      </c>
      <c r="O71">
        <f t="shared" ca="1" si="25"/>
        <v>0</v>
      </c>
      <c r="P71">
        <f t="shared" ca="1" si="26"/>
        <v>0.13999999999998636</v>
      </c>
      <c r="Q71">
        <f t="shared" ca="1" si="10"/>
        <v>0.68337586938855865</v>
      </c>
      <c r="R71">
        <f t="shared" ca="1" si="11"/>
        <v>0.92751036984170054</v>
      </c>
      <c r="S71">
        <f t="shared" ca="1" si="8"/>
        <v>0.73678515260717936</v>
      </c>
      <c r="T71">
        <f t="shared" ca="1" si="9"/>
        <v>42.422354400091024</v>
      </c>
      <c r="U71">
        <f>70</f>
        <v>70</v>
      </c>
      <c r="V71">
        <f>30</f>
        <v>30</v>
      </c>
      <c r="W71">
        <f t="shared" ca="1" si="7"/>
        <v>188.80820890360783</v>
      </c>
      <c r="X71">
        <f t="shared" ca="1" si="17"/>
        <v>189.0714135982318</v>
      </c>
      <c r="Y71">
        <f t="shared" ca="1" si="16"/>
        <v>-0.76527457280286626</v>
      </c>
      <c r="Z71">
        <f t="shared" ca="1" si="18"/>
        <v>0.31225156322331082</v>
      </c>
      <c r="AA71">
        <f t="shared" ca="1" si="19"/>
        <v>-1.0775261360261772</v>
      </c>
    </row>
    <row r="72" spans="1:27" x14ac:dyDescent="0.25">
      <c r="A72" s="20">
        <f t="shared" ca="1" si="20"/>
        <v>45390</v>
      </c>
      <c r="B72" vm="211">
        <f ca="1"/>
        <v>45394</v>
      </c>
      <c r="C72" vm="212">
        <f ca="1"/>
        <v>182.27</v>
      </c>
      <c r="D72" vm="213">
        <f ca="1"/>
        <v>3547378</v>
      </c>
      <c r="E72">
        <f t="shared" ca="1" si="21"/>
        <v>646580588.06000006</v>
      </c>
      <c r="F72">
        <f ca="1">SUM($E$2:E72)/SUM($D$2:D72)</f>
        <v>184.19733285885692</v>
      </c>
      <c r="G72">
        <f ca="1">_xlfn.STDEV.P($C$2:C72)</f>
        <v>10.627496867313068</v>
      </c>
      <c r="H72">
        <f t="shared" ca="1" si="22"/>
        <v>194.82482972616998</v>
      </c>
      <c r="I72">
        <f t="shared" ca="1" si="23"/>
        <v>173.56983599154387</v>
      </c>
      <c r="J72">
        <f t="shared" ca="1" si="12"/>
        <v>189.59399999999999</v>
      </c>
      <c r="K72">
        <f t="shared" ca="1" si="13"/>
        <v>2.6848726324784167</v>
      </c>
      <c r="L72">
        <f t="shared" ca="1" si="14"/>
        <v>194.96374526495683</v>
      </c>
      <c r="M72">
        <f t="shared" ca="1" si="15"/>
        <v>184.22425473504316</v>
      </c>
      <c r="N72">
        <f t="shared" ca="1" si="24"/>
        <v>-3.6299999999999955</v>
      </c>
      <c r="O72">
        <f t="shared" ca="1" si="25"/>
        <v>0</v>
      </c>
      <c r="P72">
        <f t="shared" ca="1" si="26"/>
        <v>3.6299999999999955</v>
      </c>
      <c r="Q72">
        <f t="shared" ca="1" si="10"/>
        <v>0.63456330728937593</v>
      </c>
      <c r="R72">
        <f t="shared" ca="1" si="11"/>
        <v>1.1205453434244359</v>
      </c>
      <c r="S72">
        <f t="shared" ca="1" si="8"/>
        <v>0.5662986429001815</v>
      </c>
      <c r="T72">
        <f t="shared" ca="1" si="9"/>
        <v>36.155215064964537</v>
      </c>
      <c r="U72">
        <f>70</f>
        <v>70</v>
      </c>
      <c r="V72">
        <f>30</f>
        <v>30</v>
      </c>
      <c r="W72">
        <f t="shared" ca="1" si="7"/>
        <v>187.80233061074509</v>
      </c>
      <c r="X72">
        <f t="shared" ca="1" si="17"/>
        <v>188.56760518354795</v>
      </c>
      <c r="Y72">
        <f t="shared" ca="1" si="16"/>
        <v>-1.2312806075834715</v>
      </c>
      <c r="Z72">
        <f t="shared" ca="1" si="18"/>
        <v>3.5451290619543663E-3</v>
      </c>
      <c r="AA72">
        <f t="shared" ca="1" si="19"/>
        <v>-1.2348257366454258</v>
      </c>
    </row>
    <row r="73" spans="1:27" x14ac:dyDescent="0.25">
      <c r="A73" s="20">
        <f t="shared" ca="1" si="20"/>
        <v>45397</v>
      </c>
      <c r="B73" vm="214">
        <f ca="1"/>
        <v>45397</v>
      </c>
      <c r="C73" vm="215">
        <f ca="1"/>
        <v>181.25</v>
      </c>
      <c r="D73" vm="216">
        <f ca="1"/>
        <v>3528140</v>
      </c>
      <c r="E73">
        <f t="shared" ca="1" si="21"/>
        <v>639475375</v>
      </c>
      <c r="F73">
        <f ca="1">SUM($E$2:E73)/SUM($D$2:D73)</f>
        <v>184.16761695281519</v>
      </c>
      <c r="G73">
        <f ca="1">_xlfn.STDEV.P($C$2:C73)</f>
        <v>10.555942854736809</v>
      </c>
      <c r="H73">
        <f t="shared" ca="1" si="22"/>
        <v>194.72355980755199</v>
      </c>
      <c r="I73">
        <f t="shared" ca="1" si="23"/>
        <v>173.6116740980784</v>
      </c>
      <c r="J73">
        <f t="shared" ca="1" si="12"/>
        <v>189.10300000000001</v>
      </c>
      <c r="K73">
        <f t="shared" ca="1" si="13"/>
        <v>3.2410558708381974</v>
      </c>
      <c r="L73">
        <f t="shared" ca="1" si="14"/>
        <v>195.5851117416764</v>
      </c>
      <c r="M73">
        <f t="shared" ca="1" si="15"/>
        <v>182.62088825832362</v>
      </c>
      <c r="N73">
        <f t="shared" ca="1" si="24"/>
        <v>-1.0200000000000102</v>
      </c>
      <c r="O73">
        <f t="shared" ca="1" si="25"/>
        <v>0</v>
      </c>
      <c r="P73">
        <f t="shared" ca="1" si="26"/>
        <v>1.0200000000000102</v>
      </c>
      <c r="Q73">
        <f t="shared" ca="1" si="10"/>
        <v>0.58923735676870614</v>
      </c>
      <c r="R73">
        <f t="shared" ca="1" si="11"/>
        <v>1.1133635331798339</v>
      </c>
      <c r="S73">
        <f t="shared" ca="1" si="8"/>
        <v>0.52924075489144895</v>
      </c>
      <c r="T73">
        <f t="shared" ca="1" si="9"/>
        <v>34.608072875288784</v>
      </c>
      <c r="U73">
        <f>70</f>
        <v>70</v>
      </c>
      <c r="V73">
        <f>30</f>
        <v>30</v>
      </c>
      <c r="W73">
        <f t="shared" ca="1" si="7"/>
        <v>186.79427974755353</v>
      </c>
      <c r="X73">
        <f t="shared" ca="1" si="17"/>
        <v>188.025560355137</v>
      </c>
      <c r="Y73">
        <f t="shared" ca="1" si="16"/>
        <v>-1.3829231635217241</v>
      </c>
      <c r="Z73">
        <f t="shared" ca="1" si="18"/>
        <v>-0.27374852945478129</v>
      </c>
      <c r="AA73">
        <f t="shared" ca="1" si="19"/>
        <v>-1.1091746340669428</v>
      </c>
    </row>
    <row r="74" spans="1:27" x14ac:dyDescent="0.25">
      <c r="A74" s="20">
        <f t="shared" ca="1" si="20"/>
        <v>45397</v>
      </c>
      <c r="B74" vm="217">
        <f ca="1"/>
        <v>45398</v>
      </c>
      <c r="C74" vm="218">
        <f ca="1"/>
        <v>183.75</v>
      </c>
      <c r="D74" vm="219">
        <f ca="1"/>
        <v>4473654</v>
      </c>
      <c r="E74">
        <f t="shared" ca="1" si="21"/>
        <v>822033922.5</v>
      </c>
      <c r="F74">
        <f ca="1">SUM($E$2:E74)/SUM($D$2:D74)</f>
        <v>184.16234541240982</v>
      </c>
      <c r="G74">
        <f ca="1">_xlfn.STDEV.P($C$2:C74)</f>
        <v>10.483596046976766</v>
      </c>
      <c r="H74">
        <f t="shared" ca="1" si="22"/>
        <v>194.64594145938659</v>
      </c>
      <c r="I74">
        <f t="shared" ca="1" si="23"/>
        <v>173.67874936543305</v>
      </c>
      <c r="J74">
        <f t="shared" ca="1" si="12"/>
        <v>188.70599999999999</v>
      </c>
      <c r="K74">
        <f t="shared" ca="1" si="13"/>
        <v>3.3903444942179095</v>
      </c>
      <c r="L74">
        <f t="shared" ca="1" si="14"/>
        <v>195.48668898843582</v>
      </c>
      <c r="M74">
        <f t="shared" ca="1" si="15"/>
        <v>181.92531101156416</v>
      </c>
      <c r="N74">
        <f t="shared" ca="1" si="24"/>
        <v>2.5</v>
      </c>
      <c r="O74">
        <f t="shared" ca="1" si="25"/>
        <v>2.5</v>
      </c>
      <c r="P74">
        <f t="shared" ca="1" si="26"/>
        <v>0</v>
      </c>
      <c r="Q74">
        <f t="shared" ca="1" si="10"/>
        <v>0.72572040271379856</v>
      </c>
      <c r="R74">
        <f t="shared" ca="1" si="11"/>
        <v>1.0338375665241315</v>
      </c>
      <c r="S74">
        <f t="shared" ca="1" si="8"/>
        <v>0.70196752972881937</v>
      </c>
      <c r="T74">
        <f t="shared" ca="1" si="9"/>
        <v>41.244472498289454</v>
      </c>
      <c r="U74">
        <f>70</f>
        <v>70</v>
      </c>
      <c r="V74">
        <f>30</f>
        <v>30</v>
      </c>
      <c r="W74">
        <f t="shared" ca="1" si="7"/>
        <v>186.32592901716069</v>
      </c>
      <c r="X74">
        <f t="shared" ca="1" si="17"/>
        <v>187.70885218068241</v>
      </c>
      <c r="Y74">
        <f t="shared" ca="1" si="16"/>
        <v>-1.5378234775642738</v>
      </c>
      <c r="Z74">
        <f t="shared" ca="1" si="18"/>
        <v>-0.52656351907667986</v>
      </c>
      <c r="AA74">
        <f t="shared" ca="1" si="19"/>
        <v>-1.0112599584875941</v>
      </c>
    </row>
    <row r="75" spans="1:27" x14ac:dyDescent="0.25">
      <c r="A75" s="20">
        <f t="shared" ca="1" si="20"/>
        <v>45397</v>
      </c>
      <c r="B75" vm="220">
        <f ca="1"/>
        <v>45399</v>
      </c>
      <c r="C75" vm="221">
        <f ca="1"/>
        <v>183.1</v>
      </c>
      <c r="D75" vm="222">
        <f ca="1"/>
        <v>3003033</v>
      </c>
      <c r="E75">
        <f t="shared" ca="1" si="21"/>
        <v>549855342.29999995</v>
      </c>
      <c r="F75">
        <f ca="1">SUM($E$2:E75)/SUM($D$2:D75)</f>
        <v>184.15341938047609</v>
      </c>
      <c r="G75">
        <f ca="1">_xlfn.STDEV.P($C$2:C75)</f>
        <v>10.412525869263719</v>
      </c>
      <c r="H75">
        <f t="shared" ca="1" si="22"/>
        <v>194.56594524973983</v>
      </c>
      <c r="I75">
        <f t="shared" ca="1" si="23"/>
        <v>173.74089351121236</v>
      </c>
      <c r="J75">
        <f t="shared" ca="1" si="12"/>
        <v>188.19400000000002</v>
      </c>
      <c r="K75">
        <f t="shared" ca="1" si="13"/>
        <v>3.4267114817193725</v>
      </c>
      <c r="L75">
        <f t="shared" ca="1" si="14"/>
        <v>195.04742296343875</v>
      </c>
      <c r="M75">
        <f t="shared" ca="1" si="15"/>
        <v>181.34057703656129</v>
      </c>
      <c r="N75">
        <f t="shared" ca="1" si="24"/>
        <v>-0.65000000000000568</v>
      </c>
      <c r="O75">
        <f t="shared" ca="1" si="25"/>
        <v>0</v>
      </c>
      <c r="P75">
        <f t="shared" ca="1" si="26"/>
        <v>0.65000000000000568</v>
      </c>
      <c r="Q75">
        <f t="shared" ca="1" si="10"/>
        <v>0.67388323109138437</v>
      </c>
      <c r="R75">
        <f t="shared" ca="1" si="11"/>
        <v>1.006420597486694</v>
      </c>
      <c r="S75">
        <f t="shared" ca="1" si="8"/>
        <v>0.66958410109476507</v>
      </c>
      <c r="T75">
        <f t="shared" ca="1" si="9"/>
        <v>40.104844113915028</v>
      </c>
      <c r="U75">
        <f>70</f>
        <v>70</v>
      </c>
      <c r="V75">
        <f>30</f>
        <v>30</v>
      </c>
      <c r="W75">
        <f t="shared" ca="1" si="7"/>
        <v>185.82963224528982</v>
      </c>
      <c r="X75">
        <f t="shared" ca="1" si="17"/>
        <v>187.36745572285409</v>
      </c>
      <c r="Y75">
        <f t="shared" ca="1" si="16"/>
        <v>-1.7716875586225171</v>
      </c>
      <c r="Z75">
        <f t="shared" ca="1" si="18"/>
        <v>-0.77558832698584734</v>
      </c>
      <c r="AA75">
        <f t="shared" ca="1" si="19"/>
        <v>-0.9960992316366698</v>
      </c>
    </row>
    <row r="76" spans="1:27" x14ac:dyDescent="0.25">
      <c r="A76" s="20">
        <f t="shared" ca="1" si="20"/>
        <v>45397</v>
      </c>
      <c r="B76" vm="223">
        <f ca="1"/>
        <v>45400</v>
      </c>
      <c r="C76" vm="224">
        <f ca="1"/>
        <v>181.47</v>
      </c>
      <c r="D76" vm="225">
        <f ca="1"/>
        <v>2886733</v>
      </c>
      <c r="E76">
        <f t="shared" ca="1" si="21"/>
        <v>523855437.50999999</v>
      </c>
      <c r="F76">
        <f ca="1">SUM($E$2:E76)/SUM($D$2:D76)</f>
        <v>184.13191959458965</v>
      </c>
      <c r="G76">
        <f ca="1">_xlfn.STDEV.P($C$2:C76)</f>
        <v>10.34476714006759</v>
      </c>
      <c r="H76">
        <f t="shared" ca="1" si="22"/>
        <v>194.47668673465725</v>
      </c>
      <c r="I76">
        <f t="shared" ca="1" si="23"/>
        <v>173.78715245452204</v>
      </c>
      <c r="J76">
        <f t="shared" ca="1" si="12"/>
        <v>187.56950000000001</v>
      </c>
      <c r="K76">
        <f t="shared" ca="1" si="13"/>
        <v>3.4585522906800801</v>
      </c>
      <c r="L76">
        <f t="shared" ca="1" si="14"/>
        <v>194.48660458136015</v>
      </c>
      <c r="M76">
        <f t="shared" ca="1" si="15"/>
        <v>180.65239541863986</v>
      </c>
      <c r="N76">
        <f t="shared" ca="1" si="24"/>
        <v>-1.6299999999999955</v>
      </c>
      <c r="O76">
        <f t="shared" ca="1" si="25"/>
        <v>0</v>
      </c>
      <c r="P76">
        <f t="shared" ca="1" si="26"/>
        <v>1.6299999999999955</v>
      </c>
      <c r="Q76">
        <f t="shared" ca="1" si="10"/>
        <v>0.62574871458485692</v>
      </c>
      <c r="R76">
        <f t="shared" ca="1" si="11"/>
        <v>1.0509619833805013</v>
      </c>
      <c r="S76">
        <f t="shared" ca="1" si="8"/>
        <v>0.59540566117538074</v>
      </c>
      <c r="T76">
        <f t="shared" ca="1" si="9"/>
        <v>37.320016824857468</v>
      </c>
      <c r="U76">
        <f>70</f>
        <v>70</v>
      </c>
      <c r="V76">
        <f>30</f>
        <v>30</v>
      </c>
      <c r="W76">
        <f t="shared" ca="1" si="7"/>
        <v>185.1589195921683</v>
      </c>
      <c r="X76">
        <f t="shared" ca="1" si="17"/>
        <v>186.93060715079082</v>
      </c>
      <c r="Y76">
        <f t="shared" ca="1" si="16"/>
        <v>-1.9259493023733114</v>
      </c>
      <c r="Z76">
        <f t="shared" ca="1" si="18"/>
        <v>-1.0056605220633403</v>
      </c>
      <c r="AA76">
        <f t="shared" ca="1" si="19"/>
        <v>-0.92028878030997108</v>
      </c>
    </row>
    <row r="77" spans="1:27" x14ac:dyDescent="0.25">
      <c r="A77" s="20">
        <f t="shared" ca="1" si="20"/>
        <v>45397</v>
      </c>
      <c r="B77" vm="226">
        <f ca="1"/>
        <v>45401</v>
      </c>
      <c r="C77" vm="227">
        <f ca="1"/>
        <v>181.58</v>
      </c>
      <c r="D77" vm="228">
        <f ca="1"/>
        <v>3037990</v>
      </c>
      <c r="E77">
        <f t="shared" ca="1" si="21"/>
        <v>551638224.20000005</v>
      </c>
      <c r="F77">
        <f ca="1">SUM($E$2:E77)/SUM($D$2:D77)</f>
        <v>184.11058198728006</v>
      </c>
      <c r="G77">
        <f ca="1">_xlfn.STDEV.P($C$2:C77)</f>
        <v>10.278084105556172</v>
      </c>
      <c r="H77">
        <f t="shared" ca="1" si="22"/>
        <v>194.38866609283622</v>
      </c>
      <c r="I77">
        <f t="shared" ca="1" si="23"/>
        <v>173.8324978817239</v>
      </c>
      <c r="J77">
        <f t="shared" ca="1" si="12"/>
        <v>187.05349999999999</v>
      </c>
      <c r="K77">
        <f t="shared" ca="1" si="13"/>
        <v>3.5471697761810934</v>
      </c>
      <c r="L77">
        <f t="shared" ca="1" si="14"/>
        <v>194.14783955236217</v>
      </c>
      <c r="M77">
        <f t="shared" ca="1" si="15"/>
        <v>179.9591604476378</v>
      </c>
      <c r="N77">
        <f t="shared" ca="1" si="24"/>
        <v>0.11000000000001364</v>
      </c>
      <c r="O77">
        <f t="shared" ca="1" si="25"/>
        <v>0.11000000000001364</v>
      </c>
      <c r="P77">
        <f t="shared" ca="1" si="26"/>
        <v>0</v>
      </c>
      <c r="Q77">
        <f t="shared" ca="1" si="10"/>
        <v>0.5889095206859396</v>
      </c>
      <c r="R77">
        <f t="shared" ca="1" si="11"/>
        <v>0.97589327028189399</v>
      </c>
      <c r="S77">
        <f t="shared" ca="1" si="8"/>
        <v>0.60345689289959825</v>
      </c>
      <c r="T77">
        <f t="shared" ca="1" si="9"/>
        <v>37.634743757179642</v>
      </c>
      <c r="U77">
        <f>70</f>
        <v>70</v>
      </c>
      <c r="V77">
        <f>30</f>
        <v>30</v>
      </c>
      <c r="W77">
        <f t="shared" ca="1" si="7"/>
        <v>184.60831657798855</v>
      </c>
      <c r="X77">
        <f t="shared" ca="1" si="17"/>
        <v>186.53426588036186</v>
      </c>
      <c r="Y77">
        <f t="shared" ca="1" si="16"/>
        <v>-1.9993344371937667</v>
      </c>
      <c r="Z77">
        <f t="shared" ca="1" si="18"/>
        <v>-1.2043953050894256</v>
      </c>
      <c r="AA77">
        <f t="shared" ca="1" si="19"/>
        <v>-0.79493913210434108</v>
      </c>
    </row>
    <row r="78" spans="1:27" x14ac:dyDescent="0.25">
      <c r="A78" s="20">
        <f t="shared" ca="1" si="20"/>
        <v>45404</v>
      </c>
      <c r="B78" vm="229">
        <f ca="1"/>
        <v>45404</v>
      </c>
      <c r="C78" vm="230">
        <f ca="1"/>
        <v>181.9</v>
      </c>
      <c r="D78" vm="231">
        <f ca="1"/>
        <v>3076451</v>
      </c>
      <c r="E78">
        <f t="shared" ca="1" si="21"/>
        <v>559606436.89999998</v>
      </c>
      <c r="F78">
        <f ca="1">SUM($E$2:E78)/SUM($D$2:D78)</f>
        <v>184.09202159197596</v>
      </c>
      <c r="G78">
        <f ca="1">_xlfn.STDEV.P($C$2:C78)</f>
        <v>10.212106697008927</v>
      </c>
      <c r="H78">
        <f t="shared" ca="1" si="22"/>
        <v>194.30412828898488</v>
      </c>
      <c r="I78">
        <f t="shared" ca="1" si="23"/>
        <v>173.87991489496704</v>
      </c>
      <c r="J78">
        <f t="shared" ca="1" si="12"/>
        <v>186.60650000000001</v>
      </c>
      <c r="K78">
        <f t="shared" ca="1" si="13"/>
        <v>3.6076720515560923</v>
      </c>
      <c r="L78">
        <f t="shared" ca="1" si="14"/>
        <v>193.8218441031122</v>
      </c>
      <c r="M78">
        <f t="shared" ca="1" si="15"/>
        <v>179.39115589688782</v>
      </c>
      <c r="N78">
        <f t="shared" ca="1" si="24"/>
        <v>0.31999999999999318</v>
      </c>
      <c r="O78">
        <f t="shared" ca="1" si="25"/>
        <v>0.31999999999999318</v>
      </c>
      <c r="P78">
        <f t="shared" ca="1" si="26"/>
        <v>0</v>
      </c>
      <c r="Q78">
        <f t="shared" ca="1" si="10"/>
        <v>0.56970169777980062</v>
      </c>
      <c r="R78">
        <f t="shared" ca="1" si="11"/>
        <v>0.90618660811890162</v>
      </c>
      <c r="S78">
        <f t="shared" ca="1" si="8"/>
        <v>0.62868033214749242</v>
      </c>
      <c r="T78">
        <f t="shared" ca="1" si="9"/>
        <v>38.600597044021981</v>
      </c>
      <c r="U78">
        <f>70</f>
        <v>70</v>
      </c>
      <c r="V78">
        <f>30</f>
        <v>30</v>
      </c>
      <c r="W78">
        <f t="shared" ca="1" si="7"/>
        <v>184.19165248906722</v>
      </c>
      <c r="X78">
        <f t="shared" ca="1" si="17"/>
        <v>186.19098692626099</v>
      </c>
      <c r="Y78">
        <f t="shared" ca="1" si="16"/>
        <v>-2.0109115720280784</v>
      </c>
      <c r="Z78">
        <f t="shared" ca="1" si="18"/>
        <v>-1.3656985584771562</v>
      </c>
      <c r="AA78">
        <f t="shared" ca="1" si="19"/>
        <v>-0.6452130135509222</v>
      </c>
    </row>
    <row r="79" spans="1:27" x14ac:dyDescent="0.25">
      <c r="A79" s="20">
        <f t="shared" ca="1" si="20"/>
        <v>45404</v>
      </c>
      <c r="B79" vm="232">
        <f ca="1"/>
        <v>45405</v>
      </c>
      <c r="C79" vm="233">
        <f ca="1"/>
        <v>182.19</v>
      </c>
      <c r="D79" vm="234">
        <f ca="1"/>
        <v>5950229</v>
      </c>
      <c r="E79">
        <f t="shared" ca="1" si="21"/>
        <v>1084072221.51</v>
      </c>
      <c r="F79">
        <f ca="1">SUM($E$2:E79)/SUM($D$2:D79)</f>
        <v>184.06162787758419</v>
      </c>
      <c r="G79">
        <f ca="1">_xlfn.STDEV.P($C$2:C79)</f>
        <v>10.146989404142706</v>
      </c>
      <c r="H79">
        <f t="shared" ca="1" si="22"/>
        <v>194.2086172817269</v>
      </c>
      <c r="I79">
        <f t="shared" ca="1" si="23"/>
        <v>173.91463847344147</v>
      </c>
      <c r="J79">
        <f t="shared" ca="1" si="12"/>
        <v>186.2765</v>
      </c>
      <c r="K79">
        <f t="shared" ca="1" si="13"/>
        <v>3.6981535577693503</v>
      </c>
      <c r="L79">
        <f t="shared" ca="1" si="14"/>
        <v>193.67280711553869</v>
      </c>
      <c r="M79">
        <f t="shared" ca="1" si="15"/>
        <v>178.88019288446131</v>
      </c>
      <c r="N79">
        <f t="shared" ca="1" si="24"/>
        <v>0.28999999999999204</v>
      </c>
      <c r="O79">
        <f t="shared" ca="1" si="25"/>
        <v>0.28999999999999204</v>
      </c>
      <c r="P79">
        <f t="shared" ca="1" si="26"/>
        <v>0</v>
      </c>
      <c r="Q79">
        <f t="shared" ca="1" si="10"/>
        <v>0.54972300508124283</v>
      </c>
      <c r="R79">
        <f t="shared" ca="1" si="11"/>
        <v>0.84145899325326579</v>
      </c>
      <c r="S79">
        <f t="shared" ca="1" si="8"/>
        <v>0.6532974387211582</v>
      </c>
      <c r="T79">
        <f t="shared" ca="1" si="9"/>
        <v>39.514815871637126</v>
      </c>
      <c r="U79">
        <f>70</f>
        <v>70</v>
      </c>
      <c r="V79">
        <f>30</f>
        <v>30</v>
      </c>
      <c r="W79">
        <f t="shared" ref="W79:W142" ca="1" si="27">C79*(2/(12+1)) + W78*(1-(2/(12+1)))</f>
        <v>183.88370595228764</v>
      </c>
      <c r="X79">
        <f t="shared" ca="1" si="17"/>
        <v>185.89461752431572</v>
      </c>
      <c r="Y79">
        <f t="shared" ca="1" si="16"/>
        <v>-1.8447009332569166</v>
      </c>
      <c r="Z79">
        <f t="shared" ca="1" si="18"/>
        <v>-1.4614990334331082</v>
      </c>
      <c r="AA79">
        <f t="shared" ca="1" si="19"/>
        <v>-0.38320189982380848</v>
      </c>
    </row>
    <row r="80" spans="1:27" x14ac:dyDescent="0.25">
      <c r="A80" s="20">
        <f t="shared" ca="1" si="20"/>
        <v>45404</v>
      </c>
      <c r="B80" vm="235">
        <f ca="1"/>
        <v>45406</v>
      </c>
      <c r="C80" vm="236">
        <f ca="1"/>
        <v>184.1</v>
      </c>
      <c r="D80" vm="237">
        <f ca="1"/>
        <v>7616643</v>
      </c>
      <c r="E80">
        <f t="shared" ca="1" si="21"/>
        <v>1402223976.3</v>
      </c>
      <c r="F80">
        <f ca="1">SUM($E$2:E80)/SUM($D$2:D80)</f>
        <v>184.06239704387585</v>
      </c>
      <c r="G80">
        <f ca="1">_xlfn.STDEV.P($C$2:C80)</f>
        <v>10.083156000494071</v>
      </c>
      <c r="H80">
        <f t="shared" ca="1" si="22"/>
        <v>194.14555304436993</v>
      </c>
      <c r="I80">
        <f t="shared" ca="1" si="23"/>
        <v>173.97924104338176</v>
      </c>
      <c r="J80">
        <f t="shared" ca="1" si="12"/>
        <v>186.05649999999997</v>
      </c>
      <c r="K80">
        <f t="shared" ca="1" si="13"/>
        <v>3.6897842969331873</v>
      </c>
      <c r="L80">
        <f t="shared" ca="1" si="14"/>
        <v>193.43606859386634</v>
      </c>
      <c r="M80">
        <f t="shared" ca="1" si="15"/>
        <v>178.6769314061336</v>
      </c>
      <c r="N80">
        <f t="shared" ca="1" si="24"/>
        <v>1.9099999999999966</v>
      </c>
      <c r="O80">
        <f t="shared" ca="1" si="25"/>
        <v>1.9099999999999966</v>
      </c>
      <c r="P80">
        <f t="shared" ca="1" si="26"/>
        <v>0</v>
      </c>
      <c r="Q80">
        <f t="shared" ca="1" si="10"/>
        <v>0.64688564757543954</v>
      </c>
      <c r="R80">
        <f t="shared" ca="1" si="11"/>
        <v>0.78135477944946108</v>
      </c>
      <c r="S80">
        <f t="shared" ref="S80:S143" ca="1" si="28">IF(R80=0,NA(),Q80/R80)</f>
        <v>0.82790259250891396</v>
      </c>
      <c r="T80">
        <f t="shared" ref="T80:T143" ca="1" si="29">100-(100/(1+S80))</f>
        <v>45.292489649164743</v>
      </c>
      <c r="U80">
        <f>70</f>
        <v>70</v>
      </c>
      <c r="V80">
        <f>30</f>
        <v>30</v>
      </c>
      <c r="W80">
        <f t="shared" ca="1" si="27"/>
        <v>183.916981959628</v>
      </c>
      <c r="X80">
        <f t="shared" ca="1" si="17"/>
        <v>185.76168289288492</v>
      </c>
      <c r="Y80">
        <f t="shared" ca="1" si="16"/>
        <v>-2.9051945817039098</v>
      </c>
      <c r="Z80">
        <f t="shared" ca="1" si="18"/>
        <v>-1.7502381430872687</v>
      </c>
      <c r="AA80">
        <f t="shared" ca="1" si="19"/>
        <v>-1.1549564386166411</v>
      </c>
    </row>
    <row r="81" spans="1:27" x14ac:dyDescent="0.25">
      <c r="A81" s="20">
        <f t="shared" ca="1" si="20"/>
        <v>45404</v>
      </c>
      <c r="B81" vm="238">
        <f ca="1"/>
        <v>45407</v>
      </c>
      <c r="C81" vm="239">
        <f ca="1"/>
        <v>168.91</v>
      </c>
      <c r="D81" vm="240">
        <f ca="1"/>
        <v>16702150</v>
      </c>
      <c r="E81">
        <f t="shared" ca="1" si="21"/>
        <v>2821160156.5</v>
      </c>
      <c r="F81">
        <f ca="1">SUM($E$2:E81)/SUM($D$2:D81)</f>
        <v>183.42440897423347</v>
      </c>
      <c r="G81">
        <f ca="1">_xlfn.STDEV.P($C$2:C81)</f>
        <v>10.143804485374311</v>
      </c>
      <c r="H81">
        <f t="shared" ca="1" si="22"/>
        <v>193.56821345960779</v>
      </c>
      <c r="I81">
        <f t="shared" ca="1" si="23"/>
        <v>173.28060448885915</v>
      </c>
      <c r="J81">
        <f t="shared" ca="1" si="12"/>
        <v>184.96199999999999</v>
      </c>
      <c r="K81">
        <f t="shared" ca="1" si="13"/>
        <v>5.1616945401985763</v>
      </c>
      <c r="L81">
        <f t="shared" ca="1" si="14"/>
        <v>195.28538908039715</v>
      </c>
      <c r="M81">
        <f t="shared" ca="1" si="15"/>
        <v>174.63861091960283</v>
      </c>
      <c r="N81">
        <f t="shared" ca="1" si="24"/>
        <v>-15.189999999999998</v>
      </c>
      <c r="O81">
        <f t="shared" ca="1" si="25"/>
        <v>0</v>
      </c>
      <c r="P81">
        <f t="shared" ca="1" si="26"/>
        <v>15.189999999999998</v>
      </c>
      <c r="Q81">
        <f t="shared" ref="Q81:Q144" ca="1" si="30">(Q80*13+O81)/14</f>
        <v>0.60067952989147955</v>
      </c>
      <c r="R81">
        <f t="shared" ref="R81:R144" ca="1" si="31">(R80*13+P81)/14</f>
        <v>1.8105437237744992</v>
      </c>
      <c r="S81">
        <f t="shared" ca="1" si="28"/>
        <v>0.33176748067659112</v>
      </c>
      <c r="T81">
        <f t="shared" ca="1" si="29"/>
        <v>24.911817227136382</v>
      </c>
      <c r="U81">
        <f>70</f>
        <v>70</v>
      </c>
      <c r="V81">
        <f>30</f>
        <v>30</v>
      </c>
      <c r="W81">
        <f t="shared" ca="1" si="27"/>
        <v>181.60821550430063</v>
      </c>
      <c r="X81">
        <f t="shared" ca="1" si="17"/>
        <v>184.51341008600454</v>
      </c>
      <c r="Y81">
        <f t="shared" ca="1" si="16"/>
        <v>-3.8449523452256074</v>
      </c>
      <c r="Z81">
        <f t="shared" ca="1" si="18"/>
        <v>-2.1691809835149365</v>
      </c>
      <c r="AA81">
        <f t="shared" ca="1" si="19"/>
        <v>-1.6757713617106709</v>
      </c>
    </row>
    <row r="82" spans="1:27" x14ac:dyDescent="0.25">
      <c r="A82" s="20">
        <f t="shared" ca="1" si="20"/>
        <v>45404</v>
      </c>
      <c r="B82" vm="241">
        <f ca="1"/>
        <v>45408</v>
      </c>
      <c r="C82" vm="242">
        <f ca="1"/>
        <v>167.13</v>
      </c>
      <c r="D82" vm="243">
        <f ca="1"/>
        <v>8983796</v>
      </c>
      <c r="E82">
        <f t="shared" ca="1" si="21"/>
        <v>1501461825.48</v>
      </c>
      <c r="F82">
        <f ca="1">SUM($E$2:E82)/SUM($D$2:D82)</f>
        <v>183.06355507418573</v>
      </c>
      <c r="G82">
        <f ca="1">_xlfn.STDEV.P($C$2:C82)</f>
        <v>10.231357723773433</v>
      </c>
      <c r="H82">
        <f t="shared" ca="1" si="22"/>
        <v>193.29491279795917</v>
      </c>
      <c r="I82">
        <f t="shared" ca="1" si="23"/>
        <v>172.83219735041229</v>
      </c>
      <c r="J82">
        <f t="shared" ca="1" si="12"/>
        <v>183.77049999999997</v>
      </c>
      <c r="K82">
        <f t="shared" ca="1" si="13"/>
        <v>6.3238458277089249</v>
      </c>
      <c r="L82">
        <f t="shared" ca="1" si="14"/>
        <v>196.41819165541781</v>
      </c>
      <c r="M82">
        <f t="shared" ca="1" si="15"/>
        <v>171.12280834458213</v>
      </c>
      <c r="N82">
        <f t="shared" ca="1" si="24"/>
        <v>-1.7800000000000011</v>
      </c>
      <c r="O82">
        <f t="shared" ca="1" si="25"/>
        <v>0</v>
      </c>
      <c r="P82">
        <f t="shared" ca="1" si="26"/>
        <v>1.7800000000000011</v>
      </c>
      <c r="Q82">
        <f t="shared" ca="1" si="30"/>
        <v>0.55777384918494533</v>
      </c>
      <c r="R82">
        <f t="shared" ca="1" si="31"/>
        <v>1.8083620292191778</v>
      </c>
      <c r="S82">
        <f t="shared" ca="1" si="28"/>
        <v>0.30844147364993241</v>
      </c>
      <c r="T82">
        <f t="shared" ca="1" si="29"/>
        <v>23.573196039829483</v>
      </c>
      <c r="U82">
        <f>70</f>
        <v>70</v>
      </c>
      <c r="V82">
        <f>30</f>
        <v>30</v>
      </c>
      <c r="W82">
        <f t="shared" ca="1" si="27"/>
        <v>179.38079773440822</v>
      </c>
      <c r="X82">
        <f t="shared" ca="1" si="17"/>
        <v>183.22575007963383</v>
      </c>
      <c r="Y82">
        <f t="shared" ca="1" si="16"/>
        <v>-4.513481050603275</v>
      </c>
      <c r="Z82">
        <f t="shared" ca="1" si="18"/>
        <v>-2.6380409969326042</v>
      </c>
      <c r="AA82">
        <f t="shared" ca="1" si="19"/>
        <v>-1.8754400536706708</v>
      </c>
    </row>
    <row r="83" spans="1:27" x14ac:dyDescent="0.25">
      <c r="A83" s="20">
        <f t="shared" ca="1" si="20"/>
        <v>45411</v>
      </c>
      <c r="B83" vm="244">
        <f ca="1"/>
        <v>45411</v>
      </c>
      <c r="C83" vm="245">
        <f ca="1"/>
        <v>167.43</v>
      </c>
      <c r="D83" vm="246">
        <f ca="1"/>
        <v>5263342</v>
      </c>
      <c r="E83">
        <f t="shared" ca="1" si="21"/>
        <v>881241351.06000006</v>
      </c>
      <c r="F83">
        <f ca="1">SUM($E$2:E83)/SUM($D$2:D83)</f>
        <v>182.86331376074429</v>
      </c>
      <c r="G83">
        <f ca="1">_xlfn.STDEV.P($C$2:C83)</f>
        <v>10.307065549318756</v>
      </c>
      <c r="H83">
        <f t="shared" ca="1" si="22"/>
        <v>193.17037931006305</v>
      </c>
      <c r="I83">
        <f t="shared" ca="1" si="23"/>
        <v>172.55624821142553</v>
      </c>
      <c r="J83">
        <f t="shared" ca="1" si="12"/>
        <v>182.65049999999997</v>
      </c>
      <c r="K83">
        <f t="shared" ca="1" si="13"/>
        <v>7.126805939180386</v>
      </c>
      <c r="L83">
        <f t="shared" ca="1" si="14"/>
        <v>196.90411187836074</v>
      </c>
      <c r="M83">
        <f t="shared" ca="1" si="15"/>
        <v>168.39688812163919</v>
      </c>
      <c r="N83">
        <f t="shared" ca="1" si="24"/>
        <v>0.30000000000001137</v>
      </c>
      <c r="O83">
        <f t="shared" ca="1" si="25"/>
        <v>0.30000000000001137</v>
      </c>
      <c r="P83">
        <f t="shared" ca="1" si="26"/>
        <v>0</v>
      </c>
      <c r="Q83">
        <f t="shared" ca="1" si="30"/>
        <v>0.53936143138602144</v>
      </c>
      <c r="R83">
        <f t="shared" ca="1" si="31"/>
        <v>1.6791933128463794</v>
      </c>
      <c r="S83">
        <f t="shared" ca="1" si="28"/>
        <v>0.32120270326217337</v>
      </c>
      <c r="T83">
        <f t="shared" ca="1" si="29"/>
        <v>24.311387077024122</v>
      </c>
      <c r="U83">
        <f>70</f>
        <v>70</v>
      </c>
      <c r="V83">
        <f>30</f>
        <v>30</v>
      </c>
      <c r="W83">
        <f t="shared" ca="1" si="27"/>
        <v>177.5422134675762</v>
      </c>
      <c r="X83">
        <f t="shared" ca="1" si="17"/>
        <v>182.05569451817948</v>
      </c>
      <c r="Y83">
        <f t="shared" ca="1" si="16"/>
        <v>-5.0839410784564052</v>
      </c>
      <c r="Z83">
        <f t="shared" ca="1" si="18"/>
        <v>-3.1272210132373646</v>
      </c>
      <c r="AA83">
        <f t="shared" ca="1" si="19"/>
        <v>-1.9567200652190406</v>
      </c>
    </row>
    <row r="84" spans="1:27" x14ac:dyDescent="0.25">
      <c r="A84" s="20">
        <f t="shared" ca="1" si="20"/>
        <v>45411</v>
      </c>
      <c r="B84" vm="247">
        <f ca="1"/>
        <v>45412</v>
      </c>
      <c r="C84" vm="248">
        <f ca="1"/>
        <v>166.2</v>
      </c>
      <c r="D84" vm="249">
        <f ca="1"/>
        <v>6011634</v>
      </c>
      <c r="E84">
        <f t="shared" ca="1" si="21"/>
        <v>999133570.79999995</v>
      </c>
      <c r="F84">
        <f ca="1">SUM($E$2:E84)/SUM($D$2:D84)</f>
        <v>182.62305413108112</v>
      </c>
      <c r="G84">
        <f ca="1">_xlfn.STDEV.P($C$2:C84)</f>
        <v>10.399379908543493</v>
      </c>
      <c r="H84">
        <f t="shared" ca="1" si="22"/>
        <v>193.02243403962461</v>
      </c>
      <c r="I84">
        <f t="shared" ca="1" si="23"/>
        <v>172.22367422253762</v>
      </c>
      <c r="J84">
        <f t="shared" ca="1" si="12"/>
        <v>181.51649999999998</v>
      </c>
      <c r="K84">
        <f t="shared" ca="1" si="13"/>
        <v>7.8510108467502118</v>
      </c>
      <c r="L84">
        <f t="shared" ca="1" si="14"/>
        <v>197.21852169350041</v>
      </c>
      <c r="M84">
        <f t="shared" ca="1" si="15"/>
        <v>165.81447830649955</v>
      </c>
      <c r="N84">
        <f t="shared" ca="1" si="24"/>
        <v>-1.2300000000000182</v>
      </c>
      <c r="O84">
        <f t="shared" ca="1" si="25"/>
        <v>0</v>
      </c>
      <c r="P84">
        <f t="shared" ca="1" si="26"/>
        <v>1.2300000000000182</v>
      </c>
      <c r="Q84">
        <f t="shared" ca="1" si="30"/>
        <v>0.50083561485844841</v>
      </c>
      <c r="R84">
        <f t="shared" ca="1" si="31"/>
        <v>1.6471080762144965</v>
      </c>
      <c r="S84">
        <f t="shared" ca="1" si="28"/>
        <v>0.30406967344213698</v>
      </c>
      <c r="T84">
        <f t="shared" ca="1" si="29"/>
        <v>23.316980651772582</v>
      </c>
      <c r="U84">
        <f>70</f>
        <v>70</v>
      </c>
      <c r="V84">
        <f>30</f>
        <v>30</v>
      </c>
      <c r="W84">
        <f t="shared" ca="1" si="27"/>
        <v>175.79725754948754</v>
      </c>
      <c r="X84">
        <f t="shared" ca="1" si="17"/>
        <v>180.88119862794395</v>
      </c>
      <c r="Y84">
        <f t="shared" ca="1" si="16"/>
        <v>-5.6141426264500751</v>
      </c>
      <c r="Z84">
        <f t="shared" ca="1" si="18"/>
        <v>-3.6246053358799069</v>
      </c>
      <c r="AA84">
        <f t="shared" ca="1" si="19"/>
        <v>-1.9895372905701683</v>
      </c>
    </row>
    <row r="85" spans="1:27" x14ac:dyDescent="0.25">
      <c r="A85" s="20">
        <f t="shared" ca="1" si="20"/>
        <v>45411</v>
      </c>
      <c r="B85" vm="250">
        <f ca="1"/>
        <v>45413</v>
      </c>
      <c r="C85" vm="251">
        <f ca="1"/>
        <v>164.43</v>
      </c>
      <c r="D85" vm="252">
        <f ca="1"/>
        <v>4030960</v>
      </c>
      <c r="E85">
        <f t="shared" ca="1" si="21"/>
        <v>662810752.80000007</v>
      </c>
      <c r="F85">
        <f ca="1">SUM($E$2:E85)/SUM($D$2:D85)</f>
        <v>182.44884840759522</v>
      </c>
      <c r="G85">
        <f ca="1">_xlfn.STDEV.P($C$2:C85)</f>
        <v>10.518958903541691</v>
      </c>
      <c r="H85">
        <f t="shared" ca="1" si="22"/>
        <v>192.96780731113691</v>
      </c>
      <c r="I85">
        <f t="shared" ca="1" si="23"/>
        <v>171.92988950405353</v>
      </c>
      <c r="J85">
        <f t="shared" ca="1" si="12"/>
        <v>180.19299999999998</v>
      </c>
      <c r="K85">
        <f t="shared" ca="1" si="13"/>
        <v>8.3979772627260161</v>
      </c>
      <c r="L85">
        <f t="shared" ca="1" si="14"/>
        <v>196.98895452545202</v>
      </c>
      <c r="M85">
        <f t="shared" ca="1" si="15"/>
        <v>163.39704547454795</v>
      </c>
      <c r="N85">
        <f t="shared" ca="1" si="24"/>
        <v>-1.7699999999999818</v>
      </c>
      <c r="O85">
        <f t="shared" ca="1" si="25"/>
        <v>0</v>
      </c>
      <c r="P85">
        <f t="shared" ca="1" si="26"/>
        <v>1.7699999999999818</v>
      </c>
      <c r="Q85">
        <f t="shared" ca="1" si="30"/>
        <v>0.46506164236855924</v>
      </c>
      <c r="R85">
        <f t="shared" ca="1" si="31"/>
        <v>1.6558860707706027</v>
      </c>
      <c r="S85">
        <f t="shared" ca="1" si="28"/>
        <v>0.2808536472271505</v>
      </c>
      <c r="T85">
        <f t="shared" ca="1" si="29"/>
        <v>21.927067767278103</v>
      </c>
      <c r="U85">
        <f>70</f>
        <v>70</v>
      </c>
      <c r="V85">
        <f>30</f>
        <v>30</v>
      </c>
      <c r="W85">
        <f t="shared" ca="1" si="27"/>
        <v>174.04844869572025</v>
      </c>
      <c r="X85">
        <f t="shared" ca="1" si="17"/>
        <v>179.66259132217033</v>
      </c>
      <c r="Y85">
        <f t="shared" ca="1" si="16"/>
        <v>-5.9448231255738904</v>
      </c>
      <c r="Z85">
        <f t="shared" ca="1" si="18"/>
        <v>-4.0886488938187036</v>
      </c>
      <c r="AA85">
        <f t="shared" ca="1" si="19"/>
        <v>-1.8561742317551868</v>
      </c>
    </row>
    <row r="86" spans="1:27" x14ac:dyDescent="0.25">
      <c r="A86" s="20">
        <f t="shared" ca="1" si="20"/>
        <v>45411</v>
      </c>
      <c r="B86" vm="253">
        <f ca="1"/>
        <v>45414</v>
      </c>
      <c r="C86" vm="254">
        <f ca="1"/>
        <v>164.69</v>
      </c>
      <c r="D86" vm="255">
        <f ca="1"/>
        <v>3829853</v>
      </c>
      <c r="E86">
        <f t="shared" ca="1" si="21"/>
        <v>630738490.56999993</v>
      </c>
      <c r="F86">
        <f ca="1">SUM($E$2:E86)/SUM($D$2:D86)</f>
        <v>182.28874078139336</v>
      </c>
      <c r="G86">
        <f ca="1">_xlfn.STDEV.P($C$2:C86)</f>
        <v>10.625276864945562</v>
      </c>
      <c r="H86">
        <f t="shared" ca="1" si="22"/>
        <v>192.91401764633892</v>
      </c>
      <c r="I86">
        <f t="shared" ca="1" si="23"/>
        <v>171.6634639164478</v>
      </c>
      <c r="J86">
        <f t="shared" ref="J86:J149" ca="1" si="32">AVERAGE(C67:C86)</f>
        <v>179.03049999999996</v>
      </c>
      <c r="K86">
        <f t="shared" ref="K86:K149" ca="1" si="33">_xlfn.STDEV.S(C67:C86)</f>
        <v>8.8653473675524079</v>
      </c>
      <c r="L86">
        <f t="shared" ref="L86:L149" ca="1" si="34">J86 + 2*K86</f>
        <v>196.76119473510477</v>
      </c>
      <c r="M86">
        <f t="shared" ref="M86:M149" ca="1" si="35">J86-2*K86</f>
        <v>161.29980526489516</v>
      </c>
      <c r="N86">
        <f t="shared" ca="1" si="24"/>
        <v>0.25999999999999091</v>
      </c>
      <c r="O86">
        <f t="shared" ca="1" si="25"/>
        <v>0.25999999999999091</v>
      </c>
      <c r="P86">
        <f t="shared" ca="1" si="26"/>
        <v>0</v>
      </c>
      <c r="Q86">
        <f t="shared" ca="1" si="30"/>
        <v>0.45041438219937574</v>
      </c>
      <c r="R86">
        <f t="shared" ca="1" si="31"/>
        <v>1.5376084942869883</v>
      </c>
      <c r="S86">
        <f t="shared" ca="1" si="28"/>
        <v>0.29293177286214167</v>
      </c>
      <c r="T86">
        <f t="shared" ca="1" si="29"/>
        <v>22.656398350678899</v>
      </c>
      <c r="U86">
        <f>70</f>
        <v>70</v>
      </c>
      <c r="V86">
        <f>30</f>
        <v>30</v>
      </c>
      <c r="W86">
        <f t="shared" ca="1" si="27"/>
        <v>172.60868735791715</v>
      </c>
      <c r="X86">
        <f t="shared" ca="1" si="17"/>
        <v>178.55351048349104</v>
      </c>
      <c r="Y86">
        <f t="shared" ca="1" si="16"/>
        <v>-6.0547884952512732</v>
      </c>
      <c r="Z86">
        <f t="shared" ca="1" si="18"/>
        <v>-4.4818768141052177</v>
      </c>
      <c r="AA86">
        <f t="shared" ca="1" si="19"/>
        <v>-1.5729116811460555</v>
      </c>
    </row>
    <row r="87" spans="1:27" x14ac:dyDescent="0.25">
      <c r="A87" s="20">
        <f t="shared" ca="1" si="20"/>
        <v>45411</v>
      </c>
      <c r="B87" vm="256">
        <f ca="1"/>
        <v>45415</v>
      </c>
      <c r="C87" vm="257">
        <f ca="1"/>
        <v>165.71</v>
      </c>
      <c r="D87" vm="258">
        <f ca="1"/>
        <v>3400405</v>
      </c>
      <c r="E87">
        <f t="shared" ca="1" si="21"/>
        <v>563481112.55000007</v>
      </c>
      <c r="F87">
        <f ca="1">SUM($E$2:E87)/SUM($D$2:D87)</f>
        <v>182.15708657538042</v>
      </c>
      <c r="G87">
        <f ca="1">_xlfn.STDEV.P($C$2:C87)</f>
        <v>10.705968345139965</v>
      </c>
      <c r="H87">
        <f t="shared" ca="1" si="22"/>
        <v>192.86305492052037</v>
      </c>
      <c r="I87">
        <f t="shared" ca="1" si="23"/>
        <v>171.45111823024047</v>
      </c>
      <c r="J87">
        <f t="shared" ca="1" si="32"/>
        <v>177.85899999999998</v>
      </c>
      <c r="K87">
        <f t="shared" ca="1" si="33"/>
        <v>9.006076252935248</v>
      </c>
      <c r="L87">
        <f t="shared" ca="1" si="34"/>
        <v>195.87115250587047</v>
      </c>
      <c r="M87">
        <f t="shared" ca="1" si="35"/>
        <v>159.84684749412949</v>
      </c>
      <c r="N87">
        <f t="shared" ca="1" si="24"/>
        <v>1.0200000000000102</v>
      </c>
      <c r="O87">
        <f t="shared" ca="1" si="25"/>
        <v>1.0200000000000102</v>
      </c>
      <c r="P87">
        <f t="shared" ca="1" si="26"/>
        <v>0</v>
      </c>
      <c r="Q87">
        <f t="shared" ca="1" si="30"/>
        <v>0.4910990691851353</v>
      </c>
      <c r="R87">
        <f t="shared" ca="1" si="31"/>
        <v>1.4277793161236318</v>
      </c>
      <c r="S87">
        <f t="shared" ca="1" si="28"/>
        <v>0.34396006696500631</v>
      </c>
      <c r="T87">
        <f t="shared" ca="1" si="29"/>
        <v>25.593027309342091</v>
      </c>
      <c r="U87">
        <f>70</f>
        <v>70</v>
      </c>
      <c r="V87">
        <f>30</f>
        <v>30</v>
      </c>
      <c r="W87">
        <f t="shared" ca="1" si="27"/>
        <v>171.54735084131451</v>
      </c>
      <c r="X87">
        <f t="shared" ca="1" si="17"/>
        <v>177.60213933656578</v>
      </c>
      <c r="Y87">
        <f t="shared" ca="1" si="16"/>
        <v>-5.8406042293831035</v>
      </c>
      <c r="Z87">
        <f t="shared" ca="1" si="18"/>
        <v>-4.7536222971607955</v>
      </c>
      <c r="AA87">
        <f t="shared" ca="1" si="19"/>
        <v>-1.086981932222308</v>
      </c>
    </row>
    <row r="88" spans="1:27" x14ac:dyDescent="0.25">
      <c r="A88" s="20">
        <f t="shared" ca="1" si="20"/>
        <v>45418</v>
      </c>
      <c r="B88" vm="259">
        <f ca="1"/>
        <v>45418</v>
      </c>
      <c r="C88" vm="260">
        <f ca="1"/>
        <v>168.61</v>
      </c>
      <c r="D88" vm="261">
        <f ca="1"/>
        <v>4222266</v>
      </c>
      <c r="E88">
        <f t="shared" ca="1" si="21"/>
        <v>711916270.26000011</v>
      </c>
      <c r="F88">
        <f ca="1">SUM($E$2:E88)/SUM($D$2:D88)</f>
        <v>182.02481008309636</v>
      </c>
      <c r="G88">
        <f ca="1">_xlfn.STDEV.P($C$2:C88)</f>
        <v>10.736282314361748</v>
      </c>
      <c r="H88">
        <f t="shared" ca="1" si="22"/>
        <v>192.7610923974581</v>
      </c>
      <c r="I88">
        <f t="shared" ca="1" si="23"/>
        <v>171.28852776873461</v>
      </c>
      <c r="J88">
        <f t="shared" ca="1" si="32"/>
        <v>176.79849999999999</v>
      </c>
      <c r="K88">
        <f t="shared" ca="1" si="33"/>
        <v>8.7691566389188598</v>
      </c>
      <c r="L88">
        <f t="shared" ca="1" si="34"/>
        <v>194.33681327783771</v>
      </c>
      <c r="M88">
        <f t="shared" ca="1" si="35"/>
        <v>159.26018672216227</v>
      </c>
      <c r="N88">
        <f t="shared" ca="1" si="24"/>
        <v>2.9000000000000057</v>
      </c>
      <c r="O88">
        <f t="shared" ca="1" si="25"/>
        <v>2.9000000000000057</v>
      </c>
      <c r="P88">
        <f t="shared" ca="1" si="26"/>
        <v>0</v>
      </c>
      <c r="Q88">
        <f t="shared" ca="1" si="30"/>
        <v>0.66316342138619733</v>
      </c>
      <c r="R88">
        <f t="shared" ca="1" si="31"/>
        <v>1.325795079257658</v>
      </c>
      <c r="S88">
        <f t="shared" ca="1" si="28"/>
        <v>0.50020054513818013</v>
      </c>
      <c r="T88">
        <f t="shared" ca="1" si="29"/>
        <v>33.342245259090191</v>
      </c>
      <c r="U88">
        <f>70</f>
        <v>70</v>
      </c>
      <c r="V88">
        <f>30</f>
        <v>30</v>
      </c>
      <c r="W88">
        <f t="shared" ca="1" si="27"/>
        <v>171.09545071188151</v>
      </c>
      <c r="X88">
        <f t="shared" ca="1" si="17"/>
        <v>176.93605494126462</v>
      </c>
      <c r="Y88">
        <f t="shared" ca="1" si="16"/>
        <v>-5.6245840298637688</v>
      </c>
      <c r="Z88">
        <f t="shared" ca="1" si="18"/>
        <v>-4.9278146437013906</v>
      </c>
      <c r="AA88">
        <f t="shared" ca="1" si="19"/>
        <v>-0.69676938616237827</v>
      </c>
    </row>
    <row r="89" spans="1:27" x14ac:dyDescent="0.25">
      <c r="A89" s="20">
        <f t="shared" ca="1" si="20"/>
        <v>45418</v>
      </c>
      <c r="B89" vm="262">
        <f ca="1"/>
        <v>45419</v>
      </c>
      <c r="C89" vm="263">
        <f ca="1"/>
        <v>168.38</v>
      </c>
      <c r="D89" vm="264">
        <f ca="1"/>
        <v>3155260</v>
      </c>
      <c r="E89">
        <f t="shared" ca="1" si="21"/>
        <v>531282678.80000001</v>
      </c>
      <c r="F89">
        <f ca="1">SUM($E$2:E89)/SUM($D$2:D89)</f>
        <v>181.92596924698503</v>
      </c>
      <c r="G89">
        <f ca="1">_xlfn.STDEV.P($C$2:C89)</f>
        <v>10.766921325741666</v>
      </c>
      <c r="H89">
        <f t="shared" ca="1" si="22"/>
        <v>192.6928905727267</v>
      </c>
      <c r="I89">
        <f t="shared" ca="1" si="23"/>
        <v>171.15904792124337</v>
      </c>
      <c r="J89">
        <f t="shared" ca="1" si="32"/>
        <v>175.75200000000001</v>
      </c>
      <c r="K89">
        <f t="shared" ca="1" si="33"/>
        <v>8.4401743558942393</v>
      </c>
      <c r="L89">
        <f t="shared" ca="1" si="34"/>
        <v>192.6323487117885</v>
      </c>
      <c r="M89">
        <f t="shared" ca="1" si="35"/>
        <v>158.87165128821152</v>
      </c>
      <c r="N89">
        <f t="shared" ca="1" si="24"/>
        <v>-0.23000000000001819</v>
      </c>
      <c r="O89">
        <f t="shared" ca="1" si="25"/>
        <v>0</v>
      </c>
      <c r="P89">
        <f t="shared" ca="1" si="26"/>
        <v>0.23000000000001819</v>
      </c>
      <c r="Q89">
        <f t="shared" ca="1" si="30"/>
        <v>0.61579460557289756</v>
      </c>
      <c r="R89">
        <f t="shared" ca="1" si="31"/>
        <v>1.2475240021678267</v>
      </c>
      <c r="S89">
        <f t="shared" ca="1" si="28"/>
        <v>0.49361343309052907</v>
      </c>
      <c r="T89">
        <f t="shared" ca="1" si="29"/>
        <v>33.048272207164246</v>
      </c>
      <c r="U89">
        <f>70</f>
        <v>70</v>
      </c>
      <c r="V89">
        <f>30</f>
        <v>30</v>
      </c>
      <c r="W89">
        <f t="shared" ca="1" si="27"/>
        <v>170.67768906389975</v>
      </c>
      <c r="X89">
        <f t="shared" ca="1" si="17"/>
        <v>176.30227309376352</v>
      </c>
      <c r="Y89">
        <f t="shared" ca="1" si="16"/>
        <v>-5.2699860498430837</v>
      </c>
      <c r="Z89">
        <f t="shared" ca="1" si="18"/>
        <v>-4.9962489249297297</v>
      </c>
      <c r="AA89">
        <f t="shared" ca="1" si="19"/>
        <v>-0.273737124913354</v>
      </c>
    </row>
    <row r="90" spans="1:27" x14ac:dyDescent="0.25">
      <c r="A90" s="20">
        <f t="shared" ca="1" si="20"/>
        <v>45418</v>
      </c>
      <c r="B90" vm="265">
        <f ca="1"/>
        <v>45420</v>
      </c>
      <c r="C90" vm="266">
        <f ca="1"/>
        <v>169.9</v>
      </c>
      <c r="D90" vm="267">
        <f ca="1"/>
        <v>3522011</v>
      </c>
      <c r="E90">
        <f t="shared" ca="1" si="21"/>
        <v>598389668.89999998</v>
      </c>
      <c r="F90">
        <f ca="1">SUM($E$2:E90)/SUM($D$2:D90)</f>
        <v>181.82950929281049</v>
      </c>
      <c r="G90">
        <f ca="1">_xlfn.STDEV.P($C$2:C90)</f>
        <v>10.775460444193124</v>
      </c>
      <c r="H90">
        <f t="shared" ca="1" si="22"/>
        <v>192.60496973700361</v>
      </c>
      <c r="I90">
        <f t="shared" ca="1" si="23"/>
        <v>171.05404884861736</v>
      </c>
      <c r="J90">
        <f t="shared" ca="1" si="32"/>
        <v>174.94499999999999</v>
      </c>
      <c r="K90">
        <f t="shared" ca="1" si="33"/>
        <v>8.1720715018640728</v>
      </c>
      <c r="L90">
        <f t="shared" ca="1" si="34"/>
        <v>191.28914300372813</v>
      </c>
      <c r="M90">
        <f t="shared" ca="1" si="35"/>
        <v>158.60085699627186</v>
      </c>
      <c r="N90">
        <f t="shared" ca="1" si="24"/>
        <v>1.5200000000000102</v>
      </c>
      <c r="O90">
        <f t="shared" ca="1" si="25"/>
        <v>1.5200000000000102</v>
      </c>
      <c r="P90">
        <f t="shared" ca="1" si="26"/>
        <v>0</v>
      </c>
      <c r="Q90">
        <f t="shared" ca="1" si="30"/>
        <v>0.68038070517483418</v>
      </c>
      <c r="R90">
        <f t="shared" ca="1" si="31"/>
        <v>1.1584151448701248</v>
      </c>
      <c r="S90">
        <f t="shared" ca="1" si="28"/>
        <v>0.58733754318372178</v>
      </c>
      <c r="T90">
        <f t="shared" ca="1" si="29"/>
        <v>37.00142705663594</v>
      </c>
      <c r="U90">
        <f>70</f>
        <v>70</v>
      </c>
      <c r="V90">
        <f>30</f>
        <v>30</v>
      </c>
      <c r="W90">
        <f t="shared" ca="1" si="27"/>
        <v>170.55804459253056</v>
      </c>
      <c r="X90">
        <f t="shared" ca="1" si="17"/>
        <v>175.82803064237365</v>
      </c>
      <c r="Y90">
        <f t="shared" ca="1" si="16"/>
        <v>-5.2216829481192235</v>
      </c>
      <c r="Z90">
        <f t="shared" ca="1" si="18"/>
        <v>-5.0413357295676287</v>
      </c>
      <c r="AA90">
        <f t="shared" ca="1" si="19"/>
        <v>-0.18034721855159486</v>
      </c>
    </row>
    <row r="91" spans="1:27" x14ac:dyDescent="0.25">
      <c r="A91" s="20">
        <f t="shared" ca="1" si="20"/>
        <v>45418</v>
      </c>
      <c r="B91" vm="268">
        <f ca="1"/>
        <v>45421</v>
      </c>
      <c r="C91" vm="269">
        <f ca="1"/>
        <v>166.27</v>
      </c>
      <c r="D91" vm="270">
        <f ca="1"/>
        <v>4266616</v>
      </c>
      <c r="E91">
        <f t="shared" ca="1" si="21"/>
        <v>709410242.32000005</v>
      </c>
      <c r="F91">
        <f ca="1">SUM($E$2:E91)/SUM($D$2:D91)</f>
        <v>181.67977676404405</v>
      </c>
      <c r="G91">
        <f ca="1">_xlfn.STDEV.P($C$2:C91)</f>
        <v>10.831199738045278</v>
      </c>
      <c r="H91">
        <f t="shared" ca="1" si="22"/>
        <v>192.51097650208933</v>
      </c>
      <c r="I91">
        <f t="shared" ca="1" si="23"/>
        <v>170.84857702599876</v>
      </c>
      <c r="J91">
        <f t="shared" ca="1" si="32"/>
        <v>173.96350000000001</v>
      </c>
      <c r="K91">
        <f t="shared" ca="1" si="33"/>
        <v>7.9632347797798051</v>
      </c>
      <c r="L91">
        <f t="shared" ca="1" si="34"/>
        <v>189.88996955955963</v>
      </c>
      <c r="M91">
        <f t="shared" ca="1" si="35"/>
        <v>158.03703044044039</v>
      </c>
      <c r="N91">
        <f t="shared" ca="1" si="24"/>
        <v>-3.6299999999999955</v>
      </c>
      <c r="O91">
        <f t="shared" ca="1" si="25"/>
        <v>0</v>
      </c>
      <c r="P91">
        <f t="shared" ca="1" si="26"/>
        <v>3.6299999999999955</v>
      </c>
      <c r="Q91">
        <f t="shared" ca="1" si="30"/>
        <v>0.63178208337663178</v>
      </c>
      <c r="R91">
        <f t="shared" ca="1" si="31"/>
        <v>1.3349569202365441</v>
      </c>
      <c r="S91">
        <f t="shared" ca="1" si="28"/>
        <v>0.47326027814042482</v>
      </c>
      <c r="T91">
        <f t="shared" ca="1" si="29"/>
        <v>32.123331169817618</v>
      </c>
      <c r="U91">
        <f>70</f>
        <v>70</v>
      </c>
      <c r="V91">
        <f>30</f>
        <v>30</v>
      </c>
      <c r="W91">
        <f t="shared" ca="1" si="27"/>
        <v>169.89834542444896</v>
      </c>
      <c r="X91">
        <f t="shared" ca="1" si="17"/>
        <v>175.12002837256819</v>
      </c>
      <c r="Y91">
        <f t="shared" ca="1" si="16"/>
        <v>-5.0541328490692763</v>
      </c>
      <c r="Z91">
        <f t="shared" ca="1" si="18"/>
        <v>-5.0438951534679584</v>
      </c>
      <c r="AA91">
        <f t="shared" ca="1" si="19"/>
        <v>-1.0237695601317931E-2</v>
      </c>
    </row>
    <row r="92" spans="1:27" x14ac:dyDescent="0.25">
      <c r="A92" s="20">
        <f t="shared" ca="1" si="20"/>
        <v>45418</v>
      </c>
      <c r="B92" vm="271">
        <f ca="1"/>
        <v>45422</v>
      </c>
      <c r="C92" vm="272">
        <f ca="1"/>
        <v>167.15</v>
      </c>
      <c r="D92" vm="273">
        <f ca="1"/>
        <v>2255370</v>
      </c>
      <c r="E92">
        <f t="shared" ca="1" si="21"/>
        <v>376985095.5</v>
      </c>
      <c r="F92">
        <f ca="1">SUM($E$2:E92)/SUM($D$2:D92)</f>
        <v>181.60623910049489</v>
      </c>
      <c r="G92">
        <f ca="1">_xlfn.STDEV.P($C$2:C92)</f>
        <v>10.870232168525989</v>
      </c>
      <c r="H92">
        <f t="shared" ca="1" si="22"/>
        <v>192.47647126902089</v>
      </c>
      <c r="I92">
        <f t="shared" ca="1" si="23"/>
        <v>170.73600693196889</v>
      </c>
      <c r="J92">
        <f t="shared" ca="1" si="32"/>
        <v>173.20750000000004</v>
      </c>
      <c r="K92">
        <f t="shared" ca="1" si="33"/>
        <v>7.8500558999015375</v>
      </c>
      <c r="L92">
        <f t="shared" ca="1" si="34"/>
        <v>188.90761179980311</v>
      </c>
      <c r="M92">
        <f t="shared" ca="1" si="35"/>
        <v>157.50738820019697</v>
      </c>
      <c r="N92">
        <f t="shared" ca="1" si="24"/>
        <v>0.87999999999999545</v>
      </c>
      <c r="O92">
        <f t="shared" ca="1" si="25"/>
        <v>0.87999999999999545</v>
      </c>
      <c r="P92">
        <f t="shared" ca="1" si="26"/>
        <v>0</v>
      </c>
      <c r="Q92">
        <f t="shared" ca="1" si="30"/>
        <v>0.6495119345640149</v>
      </c>
      <c r="R92">
        <f t="shared" ca="1" si="31"/>
        <v>1.2396028545053623</v>
      </c>
      <c r="S92">
        <f t="shared" ca="1" si="28"/>
        <v>0.52396776290353819</v>
      </c>
      <c r="T92">
        <f t="shared" ca="1" si="29"/>
        <v>34.381814081503208</v>
      </c>
      <c r="U92">
        <f>70</f>
        <v>70</v>
      </c>
      <c r="V92">
        <f>30</f>
        <v>30</v>
      </c>
      <c r="W92">
        <f t="shared" ca="1" si="27"/>
        <v>169.4755230514568</v>
      </c>
      <c r="X92">
        <f t="shared" ca="1" si="17"/>
        <v>174.52965590052608</v>
      </c>
      <c r="Y92">
        <f t="shared" ref="Y92:Y155" ca="1" si="36">W93-X93</f>
        <v>-4.8325578956931849</v>
      </c>
      <c r="Z92">
        <f t="shared" ca="1" si="18"/>
        <v>-5.0016277019130042</v>
      </c>
      <c r="AA92">
        <f t="shared" ca="1" si="19"/>
        <v>0.16906980621981926</v>
      </c>
    </row>
    <row r="93" spans="1:27" x14ac:dyDescent="0.25">
      <c r="A93" s="20">
        <f t="shared" ca="1" si="20"/>
        <v>45425</v>
      </c>
      <c r="B93" vm="274">
        <f ca="1"/>
        <v>45425</v>
      </c>
      <c r="C93" vm="275">
        <f ca="1"/>
        <v>167.56</v>
      </c>
      <c r="D93" vm="276">
        <f ca="1"/>
        <v>2414859</v>
      </c>
      <c r="E93">
        <f t="shared" ca="1" si="21"/>
        <v>404633774.04000002</v>
      </c>
      <c r="F93">
        <f ca="1">SUM($E$2:E93)/SUM($D$2:D93)</f>
        <v>181.53053179279053</v>
      </c>
      <c r="G93">
        <f ca="1">_xlfn.STDEV.P($C$2:C93)</f>
        <v>10.900652345162401</v>
      </c>
      <c r="H93">
        <f t="shared" ca="1" si="22"/>
        <v>192.43118413795293</v>
      </c>
      <c r="I93">
        <f t="shared" ca="1" si="23"/>
        <v>170.62987944762813</v>
      </c>
      <c r="J93">
        <f t="shared" ca="1" si="32"/>
        <v>172.52300000000002</v>
      </c>
      <c r="K93">
        <f t="shared" ca="1" si="33"/>
        <v>7.7074325713628689</v>
      </c>
      <c r="L93">
        <f t="shared" ca="1" si="34"/>
        <v>187.93786514272577</v>
      </c>
      <c r="M93">
        <f t="shared" ca="1" si="35"/>
        <v>157.10813485727428</v>
      </c>
      <c r="N93">
        <f t="shared" ca="1" si="24"/>
        <v>0.40999999999999659</v>
      </c>
      <c r="O93">
        <f t="shared" ca="1" si="25"/>
        <v>0.40999999999999659</v>
      </c>
      <c r="P93">
        <f t="shared" ca="1" si="26"/>
        <v>0</v>
      </c>
      <c r="Q93">
        <f t="shared" ca="1" si="30"/>
        <v>0.63240393923801363</v>
      </c>
      <c r="R93">
        <f t="shared" ca="1" si="31"/>
        <v>1.151059793469265</v>
      </c>
      <c r="S93">
        <f t="shared" ca="1" si="28"/>
        <v>0.54941015473398147</v>
      </c>
      <c r="T93">
        <f t="shared" ca="1" si="29"/>
        <v>35.459310309497099</v>
      </c>
      <c r="U93">
        <f>70</f>
        <v>70</v>
      </c>
      <c r="V93">
        <f>30</f>
        <v>30</v>
      </c>
      <c r="W93">
        <f t="shared" ca="1" si="27"/>
        <v>169.18082719738652</v>
      </c>
      <c r="X93">
        <f t="shared" ref="X93:X156" ca="1" si="37">C93*(2/(26+1)) + X92*(1-(2/(26+1)))</f>
        <v>174.01338509307971</v>
      </c>
      <c r="Y93">
        <f t="shared" ca="1" si="36"/>
        <v>-4.6198418166014221</v>
      </c>
      <c r="Z93">
        <f t="shared" ca="1" si="18"/>
        <v>-4.9252705248506876</v>
      </c>
      <c r="AA93">
        <f t="shared" ca="1" si="19"/>
        <v>0.30542870824926549</v>
      </c>
    </row>
    <row r="94" spans="1:27" x14ac:dyDescent="0.25">
      <c r="A94" s="20">
        <f t="shared" ca="1" si="20"/>
        <v>45425</v>
      </c>
      <c r="B94" vm="277">
        <f ca="1"/>
        <v>45426</v>
      </c>
      <c r="C94" vm="278">
        <f ca="1"/>
        <v>167.36</v>
      </c>
      <c r="D94" vm="279">
        <f ca="1"/>
        <v>2600967</v>
      </c>
      <c r="E94">
        <f t="shared" ca="1" si="21"/>
        <v>435297837.12000006</v>
      </c>
      <c r="F94">
        <f ca="1">SUM($E$2:E94)/SUM($D$2:D94)</f>
        <v>181.44874313887385</v>
      </c>
      <c r="G94">
        <f ca="1">_xlfn.STDEV.P($C$2:C94)</f>
        <v>10.931051892624337</v>
      </c>
      <c r="H94">
        <f t="shared" ca="1" si="22"/>
        <v>192.37979503149819</v>
      </c>
      <c r="I94">
        <f t="shared" ca="1" si="23"/>
        <v>170.51769124624951</v>
      </c>
      <c r="J94">
        <f t="shared" ca="1" si="32"/>
        <v>171.70350000000002</v>
      </c>
      <c r="K94">
        <f t="shared" ca="1" si="33"/>
        <v>7.3120853638631056</v>
      </c>
      <c r="L94">
        <f t="shared" ca="1" si="34"/>
        <v>186.32767072772623</v>
      </c>
      <c r="M94">
        <f t="shared" ca="1" si="35"/>
        <v>157.07932927227381</v>
      </c>
      <c r="N94">
        <f t="shared" ca="1" si="24"/>
        <v>-0.19999999999998863</v>
      </c>
      <c r="O94">
        <f t="shared" ca="1" si="25"/>
        <v>0</v>
      </c>
      <c r="P94">
        <f t="shared" ca="1" si="26"/>
        <v>0.19999999999998863</v>
      </c>
      <c r="Q94">
        <f t="shared" ca="1" si="30"/>
        <v>0.58723222929244123</v>
      </c>
      <c r="R94">
        <f t="shared" ca="1" si="31"/>
        <v>1.0831269510786024</v>
      </c>
      <c r="S94">
        <f t="shared" ca="1" si="28"/>
        <v>0.54216380518245078</v>
      </c>
      <c r="T94">
        <f t="shared" ca="1" si="29"/>
        <v>35.156045250219606</v>
      </c>
      <c r="U94">
        <f>70</f>
        <v>70</v>
      </c>
      <c r="V94">
        <f>30</f>
        <v>30</v>
      </c>
      <c r="W94">
        <f t="shared" ca="1" si="27"/>
        <v>168.90069993625013</v>
      </c>
      <c r="X94">
        <f t="shared" ca="1" si="37"/>
        <v>173.52054175285156</v>
      </c>
      <c r="Y94">
        <f t="shared" ca="1" si="36"/>
        <v>-4.3287412780925081</v>
      </c>
      <c r="Z94">
        <f t="shared" ca="1" si="18"/>
        <v>-4.8059646754990517</v>
      </c>
      <c r="AA94">
        <f t="shared" ca="1" si="19"/>
        <v>0.47722339740654363</v>
      </c>
    </row>
    <row r="95" spans="1:27" x14ac:dyDescent="0.25">
      <c r="A95" s="20">
        <f t="shared" ca="1" si="20"/>
        <v>45425</v>
      </c>
      <c r="B95" vm="280">
        <f ca="1"/>
        <v>45427</v>
      </c>
      <c r="C95" vm="281">
        <f ca="1"/>
        <v>168.26</v>
      </c>
      <c r="D95" vm="282">
        <f ca="1"/>
        <v>4468823</v>
      </c>
      <c r="E95">
        <f t="shared" ca="1" si="21"/>
        <v>751924157.9799999</v>
      </c>
      <c r="F95">
        <f ca="1">SUM($E$2:E95)/SUM($D$2:D95)</f>
        <v>181.31923916388817</v>
      </c>
      <c r="G95">
        <f ca="1">_xlfn.STDEV.P($C$2:C95)</f>
        <v>10.947690093319096</v>
      </c>
      <c r="H95">
        <f t="shared" ca="1" si="22"/>
        <v>192.26692925720727</v>
      </c>
      <c r="I95">
        <f t="shared" ca="1" si="23"/>
        <v>170.37154907056907</v>
      </c>
      <c r="J95">
        <f t="shared" ca="1" si="32"/>
        <v>170.96150000000003</v>
      </c>
      <c r="K95">
        <f t="shared" ca="1" si="33"/>
        <v>6.8319352848839321</v>
      </c>
      <c r="L95">
        <f t="shared" ca="1" si="34"/>
        <v>184.62537056976788</v>
      </c>
      <c r="M95">
        <f t="shared" ca="1" si="35"/>
        <v>157.29762943023218</v>
      </c>
      <c r="N95">
        <f t="shared" ca="1" si="24"/>
        <v>0.89999999999997726</v>
      </c>
      <c r="O95">
        <f t="shared" ca="1" si="25"/>
        <v>0.89999999999997726</v>
      </c>
      <c r="P95">
        <f t="shared" ca="1" si="26"/>
        <v>0</v>
      </c>
      <c r="Q95">
        <f t="shared" ca="1" si="30"/>
        <v>0.60957278434297957</v>
      </c>
      <c r="R95">
        <f t="shared" ca="1" si="31"/>
        <v>1.0057607402872735</v>
      </c>
      <c r="S95">
        <f t="shared" ca="1" si="28"/>
        <v>0.60608130733843169</v>
      </c>
      <c r="T95">
        <f t="shared" ca="1" si="29"/>
        <v>37.736651598468477</v>
      </c>
      <c r="U95">
        <f>70</f>
        <v>70</v>
      </c>
      <c r="V95">
        <f>30</f>
        <v>30</v>
      </c>
      <c r="W95">
        <f t="shared" ca="1" si="27"/>
        <v>168.80213071528857</v>
      </c>
      <c r="X95">
        <f t="shared" ca="1" si="37"/>
        <v>173.13087199338108</v>
      </c>
      <c r="Y95">
        <f t="shared" ca="1" si="36"/>
        <v>-3.9947024940403253</v>
      </c>
      <c r="Z95">
        <f t="shared" ca="1" si="18"/>
        <v>-4.6437122392073071</v>
      </c>
      <c r="AA95">
        <f t="shared" ca="1" si="19"/>
        <v>0.64900974516698184</v>
      </c>
    </row>
    <row r="96" spans="1:27" x14ac:dyDescent="0.25">
      <c r="A96" s="20">
        <f t="shared" ca="1" si="20"/>
        <v>45425</v>
      </c>
      <c r="B96" vm="283">
        <f ca="1"/>
        <v>45428</v>
      </c>
      <c r="C96" vm="284">
        <f ca="1"/>
        <v>168.97</v>
      </c>
      <c r="D96" vm="285">
        <f ca="1"/>
        <v>3492267</v>
      </c>
      <c r="E96">
        <f t="shared" ca="1" si="21"/>
        <v>590088354.99000001</v>
      </c>
      <c r="F96">
        <f ca="1">SUM($E$2:E96)/SUM($D$2:D96)</f>
        <v>181.22519879249069</v>
      </c>
      <c r="G96">
        <f ca="1">_xlfn.STDEV.P($C$2:C96)</f>
        <v>10.954317851929803</v>
      </c>
      <c r="H96">
        <f t="shared" ca="1" si="22"/>
        <v>192.17951664442049</v>
      </c>
      <c r="I96">
        <f t="shared" ca="1" si="23"/>
        <v>170.27088094056089</v>
      </c>
      <c r="J96">
        <f t="shared" ca="1" si="32"/>
        <v>170.3365</v>
      </c>
      <c r="K96">
        <f t="shared" ca="1" si="33"/>
        <v>6.3765873359212746</v>
      </c>
      <c r="L96">
        <f t="shared" ca="1" si="34"/>
        <v>183.08967467184254</v>
      </c>
      <c r="M96">
        <f t="shared" ca="1" si="35"/>
        <v>157.58332532815746</v>
      </c>
      <c r="N96">
        <f t="shared" ca="1" si="24"/>
        <v>0.71000000000000796</v>
      </c>
      <c r="O96">
        <f t="shared" ca="1" si="25"/>
        <v>0.71000000000000796</v>
      </c>
      <c r="P96">
        <f t="shared" ca="1" si="26"/>
        <v>0</v>
      </c>
      <c r="Q96">
        <f t="shared" ca="1" si="30"/>
        <v>0.61674615688991019</v>
      </c>
      <c r="R96">
        <f t="shared" ca="1" si="31"/>
        <v>0.93392068740961098</v>
      </c>
      <c r="S96">
        <f t="shared" ca="1" si="28"/>
        <v>0.66038386899915591</v>
      </c>
      <c r="T96">
        <f t="shared" ca="1" si="29"/>
        <v>39.772963429066635</v>
      </c>
      <c r="U96">
        <f>70</f>
        <v>70</v>
      </c>
      <c r="V96">
        <f>30</f>
        <v>30</v>
      </c>
      <c r="W96">
        <f t="shared" ca="1" si="27"/>
        <v>168.82795675909031</v>
      </c>
      <c r="X96">
        <f t="shared" ca="1" si="37"/>
        <v>172.82265925313064</v>
      </c>
      <c r="Y96">
        <f t="shared" ca="1" si="36"/>
        <v>-3.6826811960616226</v>
      </c>
      <c r="Z96">
        <f t="shared" ca="1" si="18"/>
        <v>-4.4515060305781704</v>
      </c>
      <c r="AA96">
        <f t="shared" ca="1" si="19"/>
        <v>0.76882483451654782</v>
      </c>
    </row>
    <row r="97" spans="1:28" x14ac:dyDescent="0.25">
      <c r="A97" s="20">
        <f t="shared" ca="1" si="20"/>
        <v>45425</v>
      </c>
      <c r="B97" vm="286">
        <f ca="1"/>
        <v>45429</v>
      </c>
      <c r="C97" vm="287">
        <f ca="1"/>
        <v>169.03</v>
      </c>
      <c r="D97" vm="288">
        <f ca="1"/>
        <v>2956387</v>
      </c>
      <c r="E97">
        <f t="shared" ca="1" si="21"/>
        <v>499718094.61000001</v>
      </c>
      <c r="F97">
        <f ca="1">SUM($E$2:E97)/SUM($D$2:D97)</f>
        <v>181.14708528440104</v>
      </c>
      <c r="G97">
        <f ca="1">_xlfn.STDEV.P($C$2:C97)</f>
        <v>10.958833288262515</v>
      </c>
      <c r="H97">
        <f t="shared" ca="1" si="22"/>
        <v>192.10591857266357</v>
      </c>
      <c r="I97">
        <f t="shared" ca="1" si="23"/>
        <v>170.18825199613852</v>
      </c>
      <c r="J97">
        <f t="shared" ca="1" si="32"/>
        <v>169.709</v>
      </c>
      <c r="K97">
        <f t="shared" ca="1" si="33"/>
        <v>5.8036829504611704</v>
      </c>
      <c r="L97">
        <f t="shared" ca="1" si="34"/>
        <v>181.31636590092234</v>
      </c>
      <c r="M97">
        <f t="shared" ca="1" si="35"/>
        <v>158.10163409907767</v>
      </c>
      <c r="N97">
        <f t="shared" ca="1" si="24"/>
        <v>6.0000000000002274E-2</v>
      </c>
      <c r="O97">
        <f t="shared" ca="1" si="25"/>
        <v>6.0000000000002274E-2</v>
      </c>
      <c r="P97">
        <f t="shared" ca="1" si="26"/>
        <v>0</v>
      </c>
      <c r="Q97">
        <f t="shared" ca="1" si="30"/>
        <v>0.57697857425491683</v>
      </c>
      <c r="R97">
        <f t="shared" ca="1" si="31"/>
        <v>0.86721206688035302</v>
      </c>
      <c r="S97">
        <f t="shared" ca="1" si="28"/>
        <v>0.66532581393902701</v>
      </c>
      <c r="T97">
        <f t="shared" ca="1" si="29"/>
        <v>39.951690436198739</v>
      </c>
      <c r="U97">
        <f>70</f>
        <v>70</v>
      </c>
      <c r="V97">
        <f>30</f>
        <v>30</v>
      </c>
      <c r="W97">
        <f t="shared" ca="1" si="27"/>
        <v>168.85904033461489</v>
      </c>
      <c r="X97">
        <f t="shared" ca="1" si="37"/>
        <v>172.54172153067651</v>
      </c>
      <c r="Y97">
        <f t="shared" ca="1" si="36"/>
        <v>-3.3252550372912992</v>
      </c>
      <c r="Z97">
        <f t="shared" ca="1" si="18"/>
        <v>-4.2262558319207963</v>
      </c>
      <c r="AA97">
        <f t="shared" ca="1" si="19"/>
        <v>0.90100079462949711</v>
      </c>
    </row>
    <row r="98" spans="1:28" x14ac:dyDescent="0.25">
      <c r="A98" s="20">
        <f t="shared" ca="1" si="20"/>
        <v>45432</v>
      </c>
      <c r="B98" vm="289">
        <f ca="1"/>
        <v>45432</v>
      </c>
      <c r="C98" vm="290">
        <f ca="1"/>
        <v>169.92</v>
      </c>
      <c r="D98" vm="291">
        <f ca="1"/>
        <v>2726261</v>
      </c>
      <c r="E98">
        <f t="shared" ca="1" si="21"/>
        <v>463246269.11999995</v>
      </c>
      <c r="F98">
        <f ca="1">SUM($E$2:E98)/SUM($D$2:D98)</f>
        <v>181.08115989023921</v>
      </c>
      <c r="G98">
        <f ca="1">_xlfn.STDEV.P($C$2:C98)</f>
        <v>10.952985895721968</v>
      </c>
      <c r="H98">
        <f t="shared" ca="1" si="22"/>
        <v>192.03414578596119</v>
      </c>
      <c r="I98">
        <f t="shared" ca="1" si="23"/>
        <v>170.12817399451723</v>
      </c>
      <c r="J98">
        <f t="shared" ca="1" si="32"/>
        <v>169.11000000000004</v>
      </c>
      <c r="K98">
        <f t="shared" ca="1" si="33"/>
        <v>5.0482930935014778</v>
      </c>
      <c r="L98">
        <f t="shared" ca="1" si="34"/>
        <v>179.20658618700298</v>
      </c>
      <c r="M98">
        <f t="shared" ca="1" si="35"/>
        <v>159.0134138129971</v>
      </c>
      <c r="N98">
        <f t="shared" ca="1" si="24"/>
        <v>0.88999999999998636</v>
      </c>
      <c r="O98">
        <f t="shared" ca="1" si="25"/>
        <v>0.88999999999998636</v>
      </c>
      <c r="P98">
        <f t="shared" ca="1" si="26"/>
        <v>0</v>
      </c>
      <c r="Q98">
        <f t="shared" ca="1" si="30"/>
        <v>0.59933724752242179</v>
      </c>
      <c r="R98">
        <f t="shared" ca="1" si="31"/>
        <v>0.8052683478174707</v>
      </c>
      <c r="S98">
        <f t="shared" ca="1" si="28"/>
        <v>0.74427021644003932</v>
      </c>
      <c r="T98">
        <f t="shared" ca="1" si="29"/>
        <v>42.66943329222547</v>
      </c>
      <c r="U98">
        <f>70</f>
        <v>70</v>
      </c>
      <c r="V98">
        <f>30</f>
        <v>30</v>
      </c>
      <c r="W98">
        <f t="shared" ca="1" si="27"/>
        <v>169.02226489852029</v>
      </c>
      <c r="X98">
        <f t="shared" ca="1" si="37"/>
        <v>172.34751993581159</v>
      </c>
      <c r="Y98">
        <f t="shared" ca="1" si="36"/>
        <v>-2.7241347700234542</v>
      </c>
      <c r="Z98">
        <f t="shared" ca="1" si="18"/>
        <v>-3.9258316195413281</v>
      </c>
      <c r="AA98">
        <f t="shared" ca="1" si="19"/>
        <v>1.2016968495178739</v>
      </c>
    </row>
    <row r="99" spans="1:28" x14ac:dyDescent="0.25">
      <c r="A99" s="20">
        <f t="shared" ca="1" si="20"/>
        <v>45432</v>
      </c>
      <c r="B99" vm="292">
        <f ca="1"/>
        <v>45433</v>
      </c>
      <c r="C99" vm="293">
        <f ca="1"/>
        <v>173.47</v>
      </c>
      <c r="D99" vm="294">
        <f ca="1"/>
        <v>6459800</v>
      </c>
      <c r="E99">
        <f t="shared" ca="1" si="21"/>
        <v>1120581506</v>
      </c>
      <c r="F99">
        <f ca="1">SUM($E$2:E99)/SUM($D$2:D99)</f>
        <v>180.9767149799458</v>
      </c>
      <c r="G99">
        <f ca="1">_xlfn.STDEV.P($C$2:C99)</f>
        <v>10.918196499235503</v>
      </c>
      <c r="H99">
        <f t="shared" ca="1" si="22"/>
        <v>191.8949114791813</v>
      </c>
      <c r="I99">
        <f t="shared" ca="1" si="23"/>
        <v>170.05851848071029</v>
      </c>
      <c r="J99">
        <f t="shared" ca="1" si="32"/>
        <v>168.67400000000001</v>
      </c>
      <c r="K99">
        <f t="shared" ca="1" si="33"/>
        <v>4.157056651045302</v>
      </c>
      <c r="L99">
        <f t="shared" ca="1" si="34"/>
        <v>176.9881133020906</v>
      </c>
      <c r="M99">
        <f t="shared" ca="1" si="35"/>
        <v>160.35988669790942</v>
      </c>
      <c r="N99">
        <f t="shared" ca="1" si="24"/>
        <v>3.5500000000000114</v>
      </c>
      <c r="O99">
        <f t="shared" ca="1" si="25"/>
        <v>3.5500000000000114</v>
      </c>
      <c r="P99">
        <f t="shared" ca="1" si="26"/>
        <v>0</v>
      </c>
      <c r="Q99">
        <f t="shared" ca="1" si="30"/>
        <v>0.81009887269939251</v>
      </c>
      <c r="R99">
        <f t="shared" ca="1" si="31"/>
        <v>0.74774918011622282</v>
      </c>
      <c r="S99">
        <f t="shared" ca="1" si="28"/>
        <v>1.0833831640891651</v>
      </c>
      <c r="T99">
        <f t="shared" ca="1" si="29"/>
        <v>52.001148073153871</v>
      </c>
      <c r="U99">
        <f>70</f>
        <v>70</v>
      </c>
      <c r="V99">
        <f>30</f>
        <v>30</v>
      </c>
      <c r="W99">
        <f t="shared" ca="1" si="27"/>
        <v>169.7065318372095</v>
      </c>
      <c r="X99">
        <f t="shared" ca="1" si="37"/>
        <v>172.43066660723295</v>
      </c>
      <c r="Y99">
        <f t="shared" ca="1" si="36"/>
        <v>-2.2045774692293207</v>
      </c>
      <c r="Z99">
        <f t="shared" ca="1" si="18"/>
        <v>-3.5815807894789269</v>
      </c>
      <c r="AA99">
        <f t="shared" ca="1" si="19"/>
        <v>1.3770033202496061</v>
      </c>
    </row>
    <row r="100" spans="1:28" x14ac:dyDescent="0.25">
      <c r="A100" s="20">
        <f t="shared" ca="1" si="20"/>
        <v>45432</v>
      </c>
      <c r="B100" vm="295">
        <f ca="1"/>
        <v>45434</v>
      </c>
      <c r="C100" vm="296">
        <f ca="1"/>
        <v>173.69</v>
      </c>
      <c r="D100" vm="297">
        <f ca="1"/>
        <v>3294900</v>
      </c>
      <c r="E100">
        <f t="shared" ca="1" si="21"/>
        <v>572291181</v>
      </c>
      <c r="F100">
        <f ca="1">SUM($E$2:E100)/SUM($D$2:D100)</f>
        <v>180.92606699387878</v>
      </c>
      <c r="G100">
        <f ca="1">_xlfn.STDEV.P($C$2:C100)</f>
        <v>10.882243685464578</v>
      </c>
      <c r="H100">
        <f t="shared" ca="1" si="22"/>
        <v>191.80831067934335</v>
      </c>
      <c r="I100">
        <f t="shared" ca="1" si="23"/>
        <v>170.0438233084142</v>
      </c>
      <c r="J100">
        <f t="shared" ca="1" si="32"/>
        <v>168.15350000000004</v>
      </c>
      <c r="K100">
        <f t="shared" ca="1" si="33"/>
        <v>2.4074626848504548</v>
      </c>
      <c r="L100">
        <f t="shared" ca="1" si="34"/>
        <v>172.96842536970095</v>
      </c>
      <c r="M100">
        <f t="shared" ca="1" si="35"/>
        <v>163.33857463029912</v>
      </c>
      <c r="N100">
        <f t="shared" ca="1" si="24"/>
        <v>0.21999999999999886</v>
      </c>
      <c r="O100">
        <f t="shared" ca="1" si="25"/>
        <v>0.21999999999999886</v>
      </c>
      <c r="P100">
        <f t="shared" ca="1" si="26"/>
        <v>0</v>
      </c>
      <c r="Q100">
        <f t="shared" ca="1" si="30"/>
        <v>0.76794895322086443</v>
      </c>
      <c r="R100">
        <f t="shared" ca="1" si="31"/>
        <v>0.69433852439363541</v>
      </c>
      <c r="S100">
        <f t="shared" ca="1" si="28"/>
        <v>1.1060151874642312</v>
      </c>
      <c r="T100">
        <f t="shared" ca="1" si="29"/>
        <v>52.516961608237018</v>
      </c>
      <c r="U100">
        <f>70</f>
        <v>70</v>
      </c>
      <c r="V100">
        <f>30</f>
        <v>30</v>
      </c>
      <c r="W100">
        <f t="shared" ca="1" si="27"/>
        <v>170.31937309302342</v>
      </c>
      <c r="X100">
        <f t="shared" ca="1" si="37"/>
        <v>172.52395056225274</v>
      </c>
      <c r="Y100">
        <f t="shared" ca="1" si="36"/>
        <v>-2.013305196878008</v>
      </c>
      <c r="Z100">
        <f t="shared" ca="1" si="18"/>
        <v>-3.2679256709587432</v>
      </c>
      <c r="AA100">
        <f t="shared" ca="1" si="19"/>
        <v>1.2546204740807352</v>
      </c>
    </row>
    <row r="101" spans="1:28" x14ac:dyDescent="0.25">
      <c r="A101" s="20">
        <f t="shared" ca="1" si="20"/>
        <v>45432</v>
      </c>
      <c r="B101" vm="298">
        <f ca="1"/>
        <v>45435</v>
      </c>
      <c r="C101" vm="299">
        <f ca="1"/>
        <v>170.67</v>
      </c>
      <c r="D101" vm="300">
        <f ca="1"/>
        <v>3341335</v>
      </c>
      <c r="E101">
        <f t="shared" ca="1" si="21"/>
        <v>570265644.44999993</v>
      </c>
      <c r="F101">
        <f ca="1">SUM($E$2:E101)/SUM($D$2:D101)</f>
        <v>180.85428119100783</v>
      </c>
      <c r="G101">
        <f ca="1">_xlfn.STDEV.P($C$2:C101)</f>
        <v>10.868342160145675</v>
      </c>
      <c r="H101">
        <f t="shared" ca="1" si="22"/>
        <v>191.72262335115352</v>
      </c>
      <c r="I101">
        <f t="shared" ca="1" si="23"/>
        <v>169.98593903086214</v>
      </c>
      <c r="J101">
        <f t="shared" ca="1" si="32"/>
        <v>168.24150000000003</v>
      </c>
      <c r="K101">
        <f t="shared" ca="1" si="33"/>
        <v>2.4679765310664372</v>
      </c>
      <c r="L101">
        <f t="shared" ca="1" si="34"/>
        <v>173.17745306213291</v>
      </c>
      <c r="M101">
        <f t="shared" ca="1" si="35"/>
        <v>163.30554693786715</v>
      </c>
      <c r="N101">
        <f t="shared" ca="1" si="24"/>
        <v>-3.0200000000000102</v>
      </c>
      <c r="O101">
        <f t="shared" ca="1" si="25"/>
        <v>0</v>
      </c>
      <c r="P101">
        <f t="shared" ca="1" si="26"/>
        <v>3.0200000000000102</v>
      </c>
      <c r="Q101">
        <f t="shared" ca="1" si="30"/>
        <v>0.71309545656223128</v>
      </c>
      <c r="R101">
        <f t="shared" ca="1" si="31"/>
        <v>0.86045720122266212</v>
      </c>
      <c r="S101">
        <f t="shared" ca="1" si="28"/>
        <v>0.82874018085845769</v>
      </c>
      <c r="T101">
        <f t="shared" ca="1" si="29"/>
        <v>45.317546447162648</v>
      </c>
      <c r="U101">
        <f>70</f>
        <v>70</v>
      </c>
      <c r="V101">
        <f>30</f>
        <v>30</v>
      </c>
      <c r="W101">
        <f t="shared" ca="1" si="27"/>
        <v>170.37331569409673</v>
      </c>
      <c r="X101">
        <f t="shared" ca="1" si="37"/>
        <v>172.38662089097474</v>
      </c>
      <c r="Y101">
        <f t="shared" ca="1" si="36"/>
        <v>-1.8229544969232734</v>
      </c>
      <c r="Z101">
        <f t="shared" ca="1" si="18"/>
        <v>-2.9789314361516492</v>
      </c>
      <c r="AA101">
        <f t="shared" ca="1" si="19"/>
        <v>1.1559769392283759</v>
      </c>
      <c r="AB101">
        <f ca="1">AVERAGE(C2:C101)</f>
        <v>180.01369999999994</v>
      </c>
    </row>
    <row r="102" spans="1:28" x14ac:dyDescent="0.25">
      <c r="A102" s="20">
        <f t="shared" ca="1" si="20"/>
        <v>45432</v>
      </c>
      <c r="B102" vm="301">
        <f ca="1"/>
        <v>45436</v>
      </c>
      <c r="C102" vm="302">
        <f ca="1"/>
        <v>170.89</v>
      </c>
      <c r="D102" vm="303">
        <f ca="1"/>
        <v>2587829</v>
      </c>
      <c r="E102">
        <f t="shared" ca="1" si="21"/>
        <v>442234097.80999994</v>
      </c>
      <c r="F102">
        <f ca="1">SUM($E$2:E102)/SUM($D$2:D102)</f>
        <v>180.80055682188433</v>
      </c>
      <c r="G102">
        <f ca="1">_xlfn.STDEV.P($C$2:C102)</f>
        <v>10.852067310213357</v>
      </c>
      <c r="H102">
        <f t="shared" ca="1" si="22"/>
        <v>191.65262413209769</v>
      </c>
      <c r="I102">
        <f t="shared" ca="1" si="23"/>
        <v>169.94848951167097</v>
      </c>
      <c r="J102">
        <f t="shared" ca="1" si="32"/>
        <v>168.42949999999999</v>
      </c>
      <c r="K102">
        <f t="shared" ca="1" si="33"/>
        <v>2.5214813419683915</v>
      </c>
      <c r="L102">
        <f t="shared" ca="1" si="34"/>
        <v>173.47246268393678</v>
      </c>
      <c r="M102">
        <f t="shared" ca="1" si="35"/>
        <v>163.3865373160632</v>
      </c>
      <c r="N102">
        <f t="shared" ca="1" si="24"/>
        <v>0.21999999999999886</v>
      </c>
      <c r="O102">
        <f t="shared" ca="1" si="25"/>
        <v>0.21999999999999886</v>
      </c>
      <c r="P102">
        <f t="shared" ca="1" si="26"/>
        <v>0</v>
      </c>
      <c r="Q102">
        <f t="shared" ca="1" si="30"/>
        <v>0.67787435252207184</v>
      </c>
      <c r="R102">
        <f t="shared" ca="1" si="31"/>
        <v>0.79899597256390054</v>
      </c>
      <c r="S102">
        <f t="shared" ca="1" si="28"/>
        <v>0.84840772143924437</v>
      </c>
      <c r="T102">
        <f t="shared" ca="1" si="29"/>
        <v>45.899382024796999</v>
      </c>
      <c r="U102">
        <f>70</f>
        <v>70</v>
      </c>
      <c r="V102">
        <f>30</f>
        <v>30</v>
      </c>
      <c r="W102">
        <f t="shared" ca="1" si="27"/>
        <v>170.45280558731261</v>
      </c>
      <c r="X102">
        <f t="shared" ca="1" si="37"/>
        <v>172.27576008423588</v>
      </c>
      <c r="Y102">
        <f t="shared" ca="1" si="36"/>
        <v>-1.7511645810393475</v>
      </c>
      <c r="Z102">
        <f t="shared" ref="Z102:Z165" ca="1" si="38">Y102*(2/(9+1)) + Z101*(1-(2/(9+1)))</f>
        <v>-2.7333780651291892</v>
      </c>
      <c r="AA102">
        <f t="shared" ref="AA102:AA165" ca="1" si="39">Y102-Z102</f>
        <v>0.98221348408984177</v>
      </c>
      <c r="AB102">
        <f t="shared" ref="AB102:AB165" ca="1" si="40">AVERAGE(C3:C102)</f>
        <v>180.10759999999991</v>
      </c>
    </row>
    <row r="103" spans="1:28" x14ac:dyDescent="0.25">
      <c r="A103" s="20">
        <f t="shared" ca="1" si="20"/>
        <v>45439</v>
      </c>
      <c r="B103" vm="304">
        <f ca="1"/>
        <v>45440</v>
      </c>
      <c r="C103" vm="305">
        <f ca="1"/>
        <v>169.66</v>
      </c>
      <c r="D103" vm="306">
        <f ca="1"/>
        <v>2629645</v>
      </c>
      <c r="E103">
        <f t="shared" ca="1" si="21"/>
        <v>446145570.69999999</v>
      </c>
      <c r="F103">
        <f ca="1">SUM($E$2:E103)/SUM($D$2:D103)</f>
        <v>180.73985232427762</v>
      </c>
      <c r="G103">
        <f ca="1">_xlfn.STDEV.P($C$2:C103)</f>
        <v>10.845984090704233</v>
      </c>
      <c r="H103">
        <f t="shared" ca="1" si="22"/>
        <v>191.58583641498186</v>
      </c>
      <c r="I103">
        <f t="shared" ca="1" si="23"/>
        <v>169.89386823357339</v>
      </c>
      <c r="J103">
        <f t="shared" ca="1" si="32"/>
        <v>168.541</v>
      </c>
      <c r="K103">
        <f t="shared" ca="1" si="33"/>
        <v>2.5242610174485742</v>
      </c>
      <c r="L103">
        <f t="shared" ca="1" si="34"/>
        <v>173.58952203489716</v>
      </c>
      <c r="M103">
        <f t="shared" ca="1" si="35"/>
        <v>163.49247796510284</v>
      </c>
      <c r="N103">
        <f t="shared" ca="1" si="24"/>
        <v>-1.2299999999999898</v>
      </c>
      <c r="O103">
        <f t="shared" ca="1" si="25"/>
        <v>0</v>
      </c>
      <c r="P103">
        <f t="shared" ca="1" si="26"/>
        <v>1.2299999999999898</v>
      </c>
      <c r="Q103">
        <f t="shared" ca="1" si="30"/>
        <v>0.62945475591335243</v>
      </c>
      <c r="R103">
        <f t="shared" ca="1" si="31"/>
        <v>0.82978197452362124</v>
      </c>
      <c r="S103">
        <f t="shared" ca="1" si="28"/>
        <v>0.75857848837307307</v>
      </c>
      <c r="T103">
        <f t="shared" ca="1" si="29"/>
        <v>43.135890344869537</v>
      </c>
      <c r="U103">
        <f>70</f>
        <v>70</v>
      </c>
      <c r="V103">
        <f>30</f>
        <v>30</v>
      </c>
      <c r="W103">
        <f t="shared" ca="1" si="27"/>
        <v>170.33083549695684</v>
      </c>
      <c r="X103">
        <f t="shared" ca="1" si="37"/>
        <v>172.08200007799618</v>
      </c>
      <c r="Y103">
        <f t="shared" ca="1" si="36"/>
        <v>-1.8831677571298826</v>
      </c>
      <c r="Z103">
        <f t="shared" ca="1" si="38"/>
        <v>-2.563336003529328</v>
      </c>
      <c r="AA103">
        <f t="shared" ca="1" si="39"/>
        <v>0.6801682463994454</v>
      </c>
      <c r="AB103">
        <f t="shared" ca="1" si="40"/>
        <v>180.2031999999999</v>
      </c>
    </row>
    <row r="104" spans="1:28" x14ac:dyDescent="0.25">
      <c r="A104" s="20">
        <f t="shared" ca="1" si="20"/>
        <v>45439</v>
      </c>
      <c r="B104" vm="307">
        <f ca="1"/>
        <v>45441</v>
      </c>
      <c r="C104" vm="308">
        <f ca="1"/>
        <v>167.05</v>
      </c>
      <c r="D104" vm="309">
        <f ca="1"/>
        <v>4206576</v>
      </c>
      <c r="E104">
        <f t="shared" ca="1" si="21"/>
        <v>702708520.80000007</v>
      </c>
      <c r="F104">
        <f ca="1">SUM($E$2:E104)/SUM($D$2:D104)</f>
        <v>180.62155492512846</v>
      </c>
      <c r="G104">
        <f ca="1">_xlfn.STDEV.P($C$2:C104)</f>
        <v>10.865625380615111</v>
      </c>
      <c r="H104">
        <f t="shared" ca="1" si="22"/>
        <v>191.48718030574358</v>
      </c>
      <c r="I104">
        <f t="shared" ca="1" si="23"/>
        <v>169.75592954451335</v>
      </c>
      <c r="J104">
        <f t="shared" ca="1" si="32"/>
        <v>168.58350000000002</v>
      </c>
      <c r="K104">
        <f t="shared" ca="1" si="33"/>
        <v>2.4896909023960512</v>
      </c>
      <c r="L104">
        <f t="shared" ca="1" si="34"/>
        <v>173.56288180479211</v>
      </c>
      <c r="M104">
        <f t="shared" ca="1" si="35"/>
        <v>163.60411819520792</v>
      </c>
      <c r="N104">
        <f t="shared" ca="1" si="24"/>
        <v>-2.6099999999999852</v>
      </c>
      <c r="O104">
        <f t="shared" ca="1" si="25"/>
        <v>0</v>
      </c>
      <c r="P104">
        <f t="shared" ca="1" si="26"/>
        <v>2.6099999999999852</v>
      </c>
      <c r="Q104">
        <f t="shared" ca="1" si="30"/>
        <v>0.58449370191954153</v>
      </c>
      <c r="R104">
        <f t="shared" ca="1" si="31"/>
        <v>0.95694040491479004</v>
      </c>
      <c r="S104">
        <f t="shared" ca="1" si="28"/>
        <v>0.61079425523012298</v>
      </c>
      <c r="T104">
        <f t="shared" ca="1" si="29"/>
        <v>37.918825029759191</v>
      </c>
      <c r="U104">
        <f>70</f>
        <v>70</v>
      </c>
      <c r="V104">
        <f>30</f>
        <v>30</v>
      </c>
      <c r="W104">
        <f t="shared" ca="1" si="27"/>
        <v>169.82609157434808</v>
      </c>
      <c r="X104">
        <f t="shared" ca="1" si="37"/>
        <v>171.70925933147797</v>
      </c>
      <c r="Y104">
        <f t="shared" ca="1" si="36"/>
        <v>-2.0784048009941785</v>
      </c>
      <c r="Z104">
        <f t="shared" ca="1" si="38"/>
        <v>-2.4663497630222979</v>
      </c>
      <c r="AA104">
        <f t="shared" ca="1" si="39"/>
        <v>0.38794496202811946</v>
      </c>
      <c r="AB104">
        <f t="shared" ca="1" si="40"/>
        <v>180.2650999999999</v>
      </c>
    </row>
    <row r="105" spans="1:28" x14ac:dyDescent="0.25">
      <c r="A105" s="20">
        <f t="shared" ca="1" si="20"/>
        <v>45439</v>
      </c>
      <c r="B105" vm="310">
        <f ca="1"/>
        <v>45442</v>
      </c>
      <c r="C105" vm="311">
        <f ca="1"/>
        <v>165.63</v>
      </c>
      <c r="D105" vm="312">
        <f ca="1"/>
        <v>3852963</v>
      </c>
      <c r="E105">
        <f t="shared" ca="1" si="21"/>
        <v>638166261.68999994</v>
      </c>
      <c r="F105">
        <f ca="1">SUM($E$2:E105)/SUM($D$2:D105)</f>
        <v>180.50383082767883</v>
      </c>
      <c r="G105">
        <f ca="1">_xlfn.STDEV.P($C$2:C105)</f>
        <v>10.900067551769398</v>
      </c>
      <c r="H105">
        <f t="shared" ca="1" si="22"/>
        <v>191.40389837944824</v>
      </c>
      <c r="I105">
        <f t="shared" ca="1" si="23"/>
        <v>169.60376327590942</v>
      </c>
      <c r="J105">
        <f t="shared" ca="1" si="32"/>
        <v>168.64349999999999</v>
      </c>
      <c r="K105">
        <f t="shared" ca="1" si="33"/>
        <v>2.3970624017523448</v>
      </c>
      <c r="L105">
        <f t="shared" ca="1" si="34"/>
        <v>173.43762480350469</v>
      </c>
      <c r="M105">
        <f t="shared" ca="1" si="35"/>
        <v>163.84937519649529</v>
      </c>
      <c r="N105">
        <f t="shared" ca="1" si="24"/>
        <v>-1.4200000000000159</v>
      </c>
      <c r="O105">
        <f t="shared" ca="1" si="25"/>
        <v>0</v>
      </c>
      <c r="P105">
        <f t="shared" ca="1" si="26"/>
        <v>1.4200000000000159</v>
      </c>
      <c r="Q105">
        <f t="shared" ca="1" si="30"/>
        <v>0.54274415178243141</v>
      </c>
      <c r="R105">
        <f t="shared" ca="1" si="31"/>
        <v>0.9900160902780204</v>
      </c>
      <c r="S105">
        <f t="shared" ca="1" si="28"/>
        <v>0.54821750586903673</v>
      </c>
      <c r="T105">
        <f t="shared" ca="1" si="29"/>
        <v>35.409592243391813</v>
      </c>
      <c r="U105">
        <f>70</f>
        <v>70</v>
      </c>
      <c r="V105">
        <f>30</f>
        <v>30</v>
      </c>
      <c r="W105">
        <f t="shared" ca="1" si="27"/>
        <v>169.18053902444836</v>
      </c>
      <c r="X105">
        <f t="shared" ca="1" si="37"/>
        <v>171.25894382544254</v>
      </c>
      <c r="Y105">
        <f t="shared" ca="1" si="36"/>
        <v>-2.110360834779641</v>
      </c>
      <c r="Z105">
        <f t="shared" ca="1" si="38"/>
        <v>-2.3951519773737666</v>
      </c>
      <c r="AA105">
        <f t="shared" ca="1" si="39"/>
        <v>0.28479114259412563</v>
      </c>
      <c r="AB105">
        <f t="shared" ca="1" si="40"/>
        <v>180.32979999999992</v>
      </c>
    </row>
    <row r="106" spans="1:28" x14ac:dyDescent="0.25">
      <c r="A106" s="20">
        <f t="shared" ca="1" si="20"/>
        <v>45439</v>
      </c>
      <c r="B106" vm="313">
        <f ca="1"/>
        <v>45443</v>
      </c>
      <c r="C106" vm="314">
        <f ca="1"/>
        <v>166.85</v>
      </c>
      <c r="D106" vm="315">
        <f ca="1"/>
        <v>4905002</v>
      </c>
      <c r="E106">
        <f t="shared" ca="1" si="21"/>
        <v>818399583.69999993</v>
      </c>
      <c r="F106">
        <f ca="1">SUM($E$2:E106)/SUM($D$2:D106)</f>
        <v>180.36868658801032</v>
      </c>
      <c r="G106">
        <f ca="1">_xlfn.STDEV.P($C$2:C106)</f>
        <v>10.918087179739819</v>
      </c>
      <c r="H106">
        <f t="shared" ca="1" si="22"/>
        <v>191.28677376775013</v>
      </c>
      <c r="I106">
        <f t="shared" ca="1" si="23"/>
        <v>169.45059940827051</v>
      </c>
      <c r="J106">
        <f t="shared" ca="1" si="32"/>
        <v>168.75150000000002</v>
      </c>
      <c r="K106">
        <f t="shared" ca="1" si="33"/>
        <v>2.2539492241980832</v>
      </c>
      <c r="L106">
        <f t="shared" ca="1" si="34"/>
        <v>173.25939844839618</v>
      </c>
      <c r="M106">
        <f t="shared" ca="1" si="35"/>
        <v>164.24360155160386</v>
      </c>
      <c r="N106">
        <f t="shared" ca="1" si="24"/>
        <v>1.2199999999999989</v>
      </c>
      <c r="O106">
        <f t="shared" ca="1" si="25"/>
        <v>1.2199999999999989</v>
      </c>
      <c r="P106">
        <f t="shared" ca="1" si="26"/>
        <v>0</v>
      </c>
      <c r="Q106">
        <f t="shared" ca="1" si="30"/>
        <v>0.59111956951225764</v>
      </c>
      <c r="R106">
        <f t="shared" ca="1" si="31"/>
        <v>0.91930065525816185</v>
      </c>
      <c r="S106">
        <f t="shared" ca="1" si="28"/>
        <v>0.64301006001813077</v>
      </c>
      <c r="T106">
        <f t="shared" ca="1" si="29"/>
        <v>39.136099995092856</v>
      </c>
      <c r="U106">
        <f>70</f>
        <v>70</v>
      </c>
      <c r="V106">
        <f>30</f>
        <v>30</v>
      </c>
      <c r="W106">
        <f t="shared" ca="1" si="27"/>
        <v>168.82199455914864</v>
      </c>
      <c r="X106">
        <f t="shared" ca="1" si="37"/>
        <v>170.93235539392828</v>
      </c>
      <c r="Y106">
        <f t="shared" ca="1" si="36"/>
        <v>-2.2365900825058418</v>
      </c>
      <c r="Z106">
        <f t="shared" ca="1" si="38"/>
        <v>-2.3634395984001819</v>
      </c>
      <c r="AA106">
        <f t="shared" ca="1" si="39"/>
        <v>0.12684951589434013</v>
      </c>
      <c r="AB106">
        <f t="shared" ca="1" si="40"/>
        <v>180.38689999999991</v>
      </c>
    </row>
    <row r="107" spans="1:28" x14ac:dyDescent="0.25">
      <c r="A107" s="20">
        <f t="shared" ca="1" si="20"/>
        <v>45446</v>
      </c>
      <c r="B107" vm="316">
        <f ca="1"/>
        <v>45446</v>
      </c>
      <c r="C107" vm="317">
        <f ca="1"/>
        <v>165.28</v>
      </c>
      <c r="D107" vm="318">
        <f ca="1"/>
        <v>2776058</v>
      </c>
      <c r="E107">
        <f t="shared" ca="1" si="21"/>
        <v>458826866.24000001</v>
      </c>
      <c r="F107">
        <f ca="1">SUM($E$2:E107)/SUM($D$2:D107)</f>
        <v>180.28463271344827</v>
      </c>
      <c r="G107">
        <f ca="1">_xlfn.STDEV.P($C$2:C107)</f>
        <v>10.952369753294816</v>
      </c>
      <c r="H107">
        <f t="shared" ca="1" si="22"/>
        <v>191.23700246674309</v>
      </c>
      <c r="I107">
        <f t="shared" ca="1" si="23"/>
        <v>169.33226296015346</v>
      </c>
      <c r="J107">
        <f t="shared" ca="1" si="32"/>
        <v>168.73000000000002</v>
      </c>
      <c r="K107">
        <f t="shared" ca="1" si="33"/>
        <v>2.2863070659909153</v>
      </c>
      <c r="L107">
        <f t="shared" ca="1" si="34"/>
        <v>173.30261413198184</v>
      </c>
      <c r="M107">
        <f t="shared" ca="1" si="35"/>
        <v>164.1573858680182</v>
      </c>
      <c r="N107">
        <f t="shared" ca="1" si="24"/>
        <v>-1.5699999999999932</v>
      </c>
      <c r="O107">
        <f t="shared" ca="1" si="25"/>
        <v>0</v>
      </c>
      <c r="P107">
        <f t="shared" ca="1" si="26"/>
        <v>1.5699999999999932</v>
      </c>
      <c r="Q107">
        <f t="shared" ca="1" si="30"/>
        <v>0.54889674311852488</v>
      </c>
      <c r="R107">
        <f t="shared" ca="1" si="31"/>
        <v>0.96577917988257844</v>
      </c>
      <c r="S107">
        <f t="shared" ca="1" si="28"/>
        <v>0.56834600968024696</v>
      </c>
      <c r="T107">
        <f t="shared" ca="1" si="29"/>
        <v>36.238559997109363</v>
      </c>
      <c r="U107">
        <f>70</f>
        <v>70</v>
      </c>
      <c r="V107">
        <f>30</f>
        <v>30</v>
      </c>
      <c r="W107">
        <f t="shared" ca="1" si="27"/>
        <v>168.2770723192796</v>
      </c>
      <c r="X107">
        <f t="shared" ca="1" si="37"/>
        <v>170.51366240178544</v>
      </c>
      <c r="Y107">
        <f t="shared" ca="1" si="36"/>
        <v>-2.2677202329180375</v>
      </c>
      <c r="Z107">
        <f t="shared" ca="1" si="38"/>
        <v>-2.3442957253037533</v>
      </c>
      <c r="AA107">
        <f t="shared" ca="1" si="39"/>
        <v>7.6575492385715815E-2</v>
      </c>
      <c r="AB107">
        <f t="shared" ca="1" si="40"/>
        <v>180.43889999999988</v>
      </c>
    </row>
    <row r="108" spans="1:28" x14ac:dyDescent="0.25">
      <c r="A108" s="20">
        <f t="shared" ca="1" si="20"/>
        <v>45446</v>
      </c>
      <c r="B108" vm="319">
        <f ca="1"/>
        <v>45447</v>
      </c>
      <c r="C108" vm="320">
        <f ca="1"/>
        <v>165.81</v>
      </c>
      <c r="D108" vm="321">
        <f ca="1"/>
        <v>2594203</v>
      </c>
      <c r="E108">
        <f t="shared" ca="1" si="21"/>
        <v>430144799.43000001</v>
      </c>
      <c r="F108">
        <f ca="1">SUM($E$2:E108)/SUM($D$2:D108)</f>
        <v>180.20967189528824</v>
      </c>
      <c r="G108">
        <f ca="1">_xlfn.STDEV.P($C$2:C108)</f>
        <v>10.978177447469511</v>
      </c>
      <c r="H108">
        <f t="shared" ca="1" si="22"/>
        <v>191.18784934275774</v>
      </c>
      <c r="I108">
        <f t="shared" ca="1" si="23"/>
        <v>169.23149444781873</v>
      </c>
      <c r="J108">
        <f t="shared" ca="1" si="32"/>
        <v>168.59</v>
      </c>
      <c r="K108">
        <f t="shared" ca="1" si="33"/>
        <v>2.3779336452164972</v>
      </c>
      <c r="L108">
        <f t="shared" ca="1" si="34"/>
        <v>173.34586729043301</v>
      </c>
      <c r="M108">
        <f t="shared" ca="1" si="35"/>
        <v>163.834132709567</v>
      </c>
      <c r="N108">
        <f t="shared" ca="1" si="24"/>
        <v>0.53000000000000114</v>
      </c>
      <c r="O108">
        <f t="shared" ca="1" si="25"/>
        <v>0.53000000000000114</v>
      </c>
      <c r="P108">
        <f t="shared" ca="1" si="26"/>
        <v>0</v>
      </c>
      <c r="Q108">
        <f t="shared" ca="1" si="30"/>
        <v>0.547546975752916</v>
      </c>
      <c r="R108">
        <f t="shared" ca="1" si="31"/>
        <v>0.89679495274810861</v>
      </c>
      <c r="S108">
        <f t="shared" ca="1" si="28"/>
        <v>0.61055983207201525</v>
      </c>
      <c r="T108">
        <f t="shared" ca="1" si="29"/>
        <v>37.909788876736023</v>
      </c>
      <c r="U108">
        <f>70</f>
        <v>70</v>
      </c>
      <c r="V108">
        <f>30</f>
        <v>30</v>
      </c>
      <c r="W108">
        <f t="shared" ca="1" si="27"/>
        <v>167.89752273169813</v>
      </c>
      <c r="X108">
        <f t="shared" ca="1" si="37"/>
        <v>170.16524296461617</v>
      </c>
      <c r="Y108">
        <f t="shared" ca="1" si="36"/>
        <v>-2.1410248210424925</v>
      </c>
      <c r="Z108">
        <f t="shared" ca="1" si="38"/>
        <v>-2.303641544451501</v>
      </c>
      <c r="AA108">
        <f t="shared" ca="1" si="39"/>
        <v>0.16261672340900857</v>
      </c>
      <c r="AB108">
        <f t="shared" ca="1" si="40"/>
        <v>180.48469999999995</v>
      </c>
    </row>
    <row r="109" spans="1:28" x14ac:dyDescent="0.25">
      <c r="A109" s="20">
        <f t="shared" ca="1" si="20"/>
        <v>45446</v>
      </c>
      <c r="B109" vm="322">
        <f ca="1"/>
        <v>45448</v>
      </c>
      <c r="C109" vm="323">
        <f ca="1"/>
        <v>167.38</v>
      </c>
      <c r="D109" vm="324">
        <f ca="1"/>
        <v>3049377</v>
      </c>
      <c r="E109">
        <f t="shared" ca="1" si="21"/>
        <v>510404722.25999999</v>
      </c>
      <c r="F109">
        <f ca="1">SUM($E$2:E109)/SUM($D$2:D109)</f>
        <v>180.13204472490989</v>
      </c>
      <c r="G109">
        <f ca="1">_xlfn.STDEV.P($C$2:C109)</f>
        <v>10.985551369361888</v>
      </c>
      <c r="H109">
        <f t="shared" ca="1" si="22"/>
        <v>191.11759609427179</v>
      </c>
      <c r="I109">
        <f t="shared" ca="1" si="23"/>
        <v>169.14649335554799</v>
      </c>
      <c r="J109">
        <f t="shared" ca="1" si="32"/>
        <v>168.54000000000002</v>
      </c>
      <c r="K109">
        <f t="shared" ca="1" si="33"/>
        <v>2.3930469456762675</v>
      </c>
      <c r="L109">
        <f t="shared" ca="1" si="34"/>
        <v>173.32609389135254</v>
      </c>
      <c r="M109">
        <f t="shared" ca="1" si="35"/>
        <v>163.7539061086475</v>
      </c>
      <c r="N109">
        <f t="shared" ca="1" si="24"/>
        <v>1.5699999999999932</v>
      </c>
      <c r="O109">
        <f t="shared" ca="1" si="25"/>
        <v>1.5699999999999932</v>
      </c>
      <c r="P109">
        <f t="shared" ca="1" si="26"/>
        <v>0</v>
      </c>
      <c r="Q109">
        <f t="shared" ca="1" si="30"/>
        <v>0.6205793346277072</v>
      </c>
      <c r="R109">
        <f t="shared" ca="1" si="31"/>
        <v>0.83273817040895803</v>
      </c>
      <c r="S109">
        <f t="shared" ca="1" si="28"/>
        <v>0.7452274396440125</v>
      </c>
      <c r="T109">
        <f t="shared" ca="1" si="29"/>
        <v>42.700877989634542</v>
      </c>
      <c r="U109">
        <f>70</f>
        <v>70</v>
      </c>
      <c r="V109">
        <f>30</f>
        <v>30</v>
      </c>
      <c r="W109">
        <f t="shared" ca="1" si="27"/>
        <v>167.81790384989841</v>
      </c>
      <c r="X109">
        <f t="shared" ca="1" si="37"/>
        <v>169.95892867094091</v>
      </c>
      <c r="Y109">
        <f t="shared" ca="1" si="36"/>
        <v>-1.9519497852876384</v>
      </c>
      <c r="Z109">
        <f t="shared" ca="1" si="38"/>
        <v>-2.2333031926187288</v>
      </c>
      <c r="AA109">
        <f t="shared" ca="1" si="39"/>
        <v>0.28135340733109038</v>
      </c>
      <c r="AB109">
        <f t="shared" ca="1" si="40"/>
        <v>180.53689999999992</v>
      </c>
    </row>
    <row r="110" spans="1:28" x14ac:dyDescent="0.25">
      <c r="A110" s="20">
        <f t="shared" ca="1" si="20"/>
        <v>45446</v>
      </c>
      <c r="B110" vm="325">
        <f ca="1"/>
        <v>45449</v>
      </c>
      <c r="C110" vm="326">
        <f ca="1"/>
        <v>168.2</v>
      </c>
      <c r="D110" vm="327">
        <f ca="1"/>
        <v>2207263</v>
      </c>
      <c r="E110">
        <f t="shared" ca="1" si="21"/>
        <v>371261636.59999996</v>
      </c>
      <c r="F110">
        <f ca="1">SUM($E$2:E110)/SUM($D$2:D110)</f>
        <v>180.08001420937839</v>
      </c>
      <c r="G110">
        <f ca="1">_xlfn.STDEV.P($C$2:C110)</f>
        <v>10.984074086072185</v>
      </c>
      <c r="H110">
        <f t="shared" ca="1" si="22"/>
        <v>191.06408829545057</v>
      </c>
      <c r="I110">
        <f t="shared" ca="1" si="23"/>
        <v>169.09594012330621</v>
      </c>
      <c r="J110">
        <f t="shared" ca="1" si="32"/>
        <v>168.45500000000001</v>
      </c>
      <c r="K110">
        <f t="shared" ca="1" si="33"/>
        <v>2.3722995728107104</v>
      </c>
      <c r="L110">
        <f t="shared" ca="1" si="34"/>
        <v>173.19959914562142</v>
      </c>
      <c r="M110">
        <f t="shared" ca="1" si="35"/>
        <v>163.71040085437861</v>
      </c>
      <c r="N110">
        <f t="shared" ca="1" si="24"/>
        <v>0.81999999999999318</v>
      </c>
      <c r="O110">
        <f t="shared" ca="1" si="25"/>
        <v>0.81999999999999318</v>
      </c>
      <c r="P110">
        <f t="shared" ca="1" si="26"/>
        <v>0</v>
      </c>
      <c r="Q110">
        <f t="shared" ca="1" si="30"/>
        <v>0.63482366786858468</v>
      </c>
      <c r="R110">
        <f t="shared" ca="1" si="31"/>
        <v>0.773256872522604</v>
      </c>
      <c r="S110">
        <f t="shared" ca="1" si="28"/>
        <v>0.82097384507892279</v>
      </c>
      <c r="T110">
        <f t="shared" ca="1" si="29"/>
        <v>45.0843293162918</v>
      </c>
      <c r="U110">
        <f>70</f>
        <v>70</v>
      </c>
      <c r="V110">
        <f>30</f>
        <v>30</v>
      </c>
      <c r="W110">
        <f t="shared" ca="1" si="27"/>
        <v>167.87668787299097</v>
      </c>
      <c r="X110">
        <f t="shared" ca="1" si="37"/>
        <v>169.82863765827861</v>
      </c>
      <c r="Y110">
        <f t="shared" ca="1" si="36"/>
        <v>-1.6371821671288842</v>
      </c>
      <c r="Z110">
        <f t="shared" ca="1" si="38"/>
        <v>-2.11407898752076</v>
      </c>
      <c r="AA110">
        <f t="shared" ca="1" si="39"/>
        <v>0.47689682039187575</v>
      </c>
      <c r="AB110">
        <f t="shared" ca="1" si="40"/>
        <v>180.56089999999992</v>
      </c>
    </row>
    <row r="111" spans="1:28" x14ac:dyDescent="0.25">
      <c r="A111" s="20">
        <f t="shared" ca="1" si="20"/>
        <v>45446</v>
      </c>
      <c r="B111" vm="328">
        <f ca="1"/>
        <v>45450</v>
      </c>
      <c r="C111" vm="329">
        <f ca="1"/>
        <v>170.01</v>
      </c>
      <c r="D111" vm="330">
        <f ca="1"/>
        <v>3475495</v>
      </c>
      <c r="E111">
        <f t="shared" ca="1" si="21"/>
        <v>590868904.94999993</v>
      </c>
      <c r="F111">
        <f ca="1">SUM($E$2:E111)/SUM($D$2:D111)</f>
        <v>180.01134465409586</v>
      </c>
      <c r="G111">
        <f ca="1">_xlfn.STDEV.P($C$2:C111)</f>
        <v>10.967079920914935</v>
      </c>
      <c r="H111">
        <f t="shared" ca="1" si="22"/>
        <v>190.97842457501079</v>
      </c>
      <c r="I111">
        <f t="shared" ca="1" si="23"/>
        <v>169.04426473318094</v>
      </c>
      <c r="J111">
        <f t="shared" ca="1" si="32"/>
        <v>168.642</v>
      </c>
      <c r="K111">
        <f t="shared" ca="1" si="33"/>
        <v>2.338158519681222</v>
      </c>
      <c r="L111">
        <f t="shared" ca="1" si="34"/>
        <v>173.31831703936243</v>
      </c>
      <c r="M111">
        <f t="shared" ca="1" si="35"/>
        <v>163.96568296063757</v>
      </c>
      <c r="N111">
        <f t="shared" ca="1" si="24"/>
        <v>1.8100000000000023</v>
      </c>
      <c r="O111">
        <f t="shared" ca="1" si="25"/>
        <v>1.8100000000000023</v>
      </c>
      <c r="P111">
        <f t="shared" ca="1" si="26"/>
        <v>0</v>
      </c>
      <c r="Q111">
        <f t="shared" ca="1" si="30"/>
        <v>0.7187648344494002</v>
      </c>
      <c r="R111">
        <f t="shared" ca="1" si="31"/>
        <v>0.71802423877098942</v>
      </c>
      <c r="S111">
        <f t="shared" ca="1" si="28"/>
        <v>1.0010314354842371</v>
      </c>
      <c r="T111">
        <f t="shared" ca="1" si="29"/>
        <v>50.025772595721058</v>
      </c>
      <c r="U111">
        <f>70</f>
        <v>70</v>
      </c>
      <c r="V111">
        <f>30</f>
        <v>30</v>
      </c>
      <c r="W111">
        <f t="shared" ca="1" si="27"/>
        <v>168.20488973868464</v>
      </c>
      <c r="X111">
        <f t="shared" ca="1" si="37"/>
        <v>169.84207190581353</v>
      </c>
      <c r="Y111">
        <f t="shared" ca="1" si="36"/>
        <v>-1.342396344729508</v>
      </c>
      <c r="Z111">
        <f t="shared" ca="1" si="38"/>
        <v>-1.9597424589625096</v>
      </c>
      <c r="AA111">
        <f t="shared" ca="1" si="39"/>
        <v>0.61734611423300167</v>
      </c>
      <c r="AB111">
        <f t="shared" ca="1" si="40"/>
        <v>180.59139999999996</v>
      </c>
    </row>
    <row r="112" spans="1:28" x14ac:dyDescent="0.25">
      <c r="A112" s="20">
        <f t="shared" ca="1" si="20"/>
        <v>45453</v>
      </c>
      <c r="B112" vm="331">
        <f ca="1"/>
        <v>45453</v>
      </c>
      <c r="C112" vm="332">
        <f ca="1"/>
        <v>170.38</v>
      </c>
      <c r="D112" vm="333">
        <f ca="1"/>
        <v>3444684</v>
      </c>
      <c r="E112">
        <f t="shared" ca="1" si="21"/>
        <v>586905259.91999996</v>
      </c>
      <c r="F112">
        <f ca="1">SUM($E$2:E112)/SUM($D$2:D112)</f>
        <v>179.9466857440718</v>
      </c>
      <c r="G112">
        <f ca="1">_xlfn.STDEV.P($C$2:C112)</f>
        <v>10.947152147977199</v>
      </c>
      <c r="H112">
        <f t="shared" ca="1" si="22"/>
        <v>190.89383789204899</v>
      </c>
      <c r="I112">
        <f t="shared" ca="1" si="23"/>
        <v>168.99953359609461</v>
      </c>
      <c r="J112">
        <f t="shared" ca="1" si="32"/>
        <v>168.80350000000004</v>
      </c>
      <c r="K112">
        <f t="shared" ca="1" si="33"/>
        <v>2.341228366297889</v>
      </c>
      <c r="L112">
        <f t="shared" ca="1" si="34"/>
        <v>173.48595673259581</v>
      </c>
      <c r="M112">
        <f t="shared" ca="1" si="35"/>
        <v>164.12104326740427</v>
      </c>
      <c r="N112">
        <f t="shared" ca="1" si="24"/>
        <v>0.37000000000000455</v>
      </c>
      <c r="O112">
        <f t="shared" ca="1" si="25"/>
        <v>0.37000000000000455</v>
      </c>
      <c r="P112">
        <f t="shared" ca="1" si="26"/>
        <v>0</v>
      </c>
      <c r="Q112">
        <f t="shared" ca="1" si="30"/>
        <v>0.69385306056015761</v>
      </c>
      <c r="R112">
        <f t="shared" ca="1" si="31"/>
        <v>0.66673679314449019</v>
      </c>
      <c r="S112">
        <f t="shared" ca="1" si="28"/>
        <v>1.0406701230447784</v>
      </c>
      <c r="T112">
        <f t="shared" ca="1" si="29"/>
        <v>50.996489402806972</v>
      </c>
      <c r="U112">
        <f>70</f>
        <v>70</v>
      </c>
      <c r="V112">
        <f>30</f>
        <v>30</v>
      </c>
      <c r="W112">
        <f t="shared" ca="1" si="27"/>
        <v>168.5395220865793</v>
      </c>
      <c r="X112">
        <f t="shared" ca="1" si="37"/>
        <v>169.8819184313088</v>
      </c>
      <c r="Y112">
        <f t="shared" ca="1" si="36"/>
        <v>-1.1806992320834979</v>
      </c>
      <c r="Z112">
        <f t="shared" ca="1" si="38"/>
        <v>-1.8039338135867076</v>
      </c>
      <c r="AA112">
        <f t="shared" ca="1" si="39"/>
        <v>0.62323458150320965</v>
      </c>
      <c r="AB112">
        <f t="shared" ca="1" si="40"/>
        <v>180.63439999999994</v>
      </c>
    </row>
    <row r="113" spans="1:28" x14ac:dyDescent="0.25">
      <c r="A113" s="20">
        <f t="shared" ca="1" si="20"/>
        <v>45453</v>
      </c>
      <c r="B113" vm="334">
        <f ca="1"/>
        <v>45454</v>
      </c>
      <c r="C113" vm="335">
        <f ca="1"/>
        <v>169.32</v>
      </c>
      <c r="D113" vm="336">
        <f ca="1"/>
        <v>2951251</v>
      </c>
      <c r="E113">
        <f t="shared" ca="1" si="21"/>
        <v>499705819.31999999</v>
      </c>
      <c r="F113">
        <f ca="1">SUM($E$2:E113)/SUM($D$2:D113)</f>
        <v>179.88591350110451</v>
      </c>
      <c r="G113">
        <f ca="1">_xlfn.STDEV.P($C$2:C113)</f>
        <v>10.934714239623831</v>
      </c>
      <c r="H113">
        <f t="shared" ca="1" si="22"/>
        <v>190.82062774072836</v>
      </c>
      <c r="I113">
        <f t="shared" ca="1" si="23"/>
        <v>168.95119926148067</v>
      </c>
      <c r="J113">
        <f t="shared" ca="1" si="32"/>
        <v>168.89150000000001</v>
      </c>
      <c r="K113">
        <f t="shared" ca="1" si="33"/>
        <v>2.3250495750232463</v>
      </c>
      <c r="L113">
        <f t="shared" ca="1" si="34"/>
        <v>173.54159915004649</v>
      </c>
      <c r="M113">
        <f t="shared" ca="1" si="35"/>
        <v>164.24140084995352</v>
      </c>
      <c r="N113">
        <f t="shared" ca="1" si="24"/>
        <v>-1.0600000000000023</v>
      </c>
      <c r="O113">
        <f t="shared" ca="1" si="25"/>
        <v>0</v>
      </c>
      <c r="P113">
        <f t="shared" ca="1" si="26"/>
        <v>1.0600000000000023</v>
      </c>
      <c r="Q113">
        <f t="shared" ca="1" si="30"/>
        <v>0.64429212766300359</v>
      </c>
      <c r="R113">
        <f t="shared" ca="1" si="31"/>
        <v>0.69482702220559822</v>
      </c>
      <c r="S113">
        <f t="shared" ca="1" si="28"/>
        <v>0.92726981978596479</v>
      </c>
      <c r="T113">
        <f t="shared" ca="1" si="29"/>
        <v>48.113129270552463</v>
      </c>
      <c r="U113">
        <f>70</f>
        <v>70</v>
      </c>
      <c r="V113">
        <f>30</f>
        <v>30</v>
      </c>
      <c r="W113">
        <f t="shared" ca="1" si="27"/>
        <v>168.65959561172096</v>
      </c>
      <c r="X113">
        <f t="shared" ca="1" si="37"/>
        <v>169.84029484380446</v>
      </c>
      <c r="Y113">
        <f t="shared" ca="1" si="36"/>
        <v>-1.0660852636903542</v>
      </c>
      <c r="Z113">
        <f t="shared" ca="1" si="38"/>
        <v>-1.656364103607437</v>
      </c>
      <c r="AA113">
        <f t="shared" ca="1" si="39"/>
        <v>0.59027883991708285</v>
      </c>
      <c r="AB113">
        <f t="shared" ca="1" si="40"/>
        <v>180.65919999999997</v>
      </c>
    </row>
    <row r="114" spans="1:28" x14ac:dyDescent="0.25">
      <c r="A114" s="20">
        <f t="shared" ca="1" si="20"/>
        <v>45453</v>
      </c>
      <c r="B114" vm="337">
        <f ca="1"/>
        <v>45455</v>
      </c>
      <c r="C114" vm="338">
        <f ca="1"/>
        <v>169</v>
      </c>
      <c r="D114" vm="339">
        <f ca="1"/>
        <v>3522698</v>
      </c>
      <c r="E114">
        <f t="shared" ca="1" si="21"/>
        <v>595335962</v>
      </c>
      <c r="F114">
        <f ca="1">SUM($E$2:E114)/SUM($D$2:D114)</f>
        <v>179.81210828098864</v>
      </c>
      <c r="G114">
        <f ca="1">_xlfn.STDEV.P($C$2:C114)</f>
        <v>10.924301236530461</v>
      </c>
      <c r="H114">
        <f t="shared" ca="1" si="22"/>
        <v>190.73640951751909</v>
      </c>
      <c r="I114">
        <f t="shared" ca="1" si="23"/>
        <v>168.88780704445819</v>
      </c>
      <c r="J114">
        <f t="shared" ca="1" si="32"/>
        <v>168.97350000000003</v>
      </c>
      <c r="K114">
        <f t="shared" ca="1" si="33"/>
        <v>2.2969436787082715</v>
      </c>
      <c r="L114">
        <f t="shared" ca="1" si="34"/>
        <v>173.56738735741658</v>
      </c>
      <c r="M114">
        <f t="shared" ca="1" si="35"/>
        <v>164.37961264258348</v>
      </c>
      <c r="N114">
        <f t="shared" ca="1" si="24"/>
        <v>-0.31999999999999318</v>
      </c>
      <c r="O114">
        <f t="shared" ca="1" si="25"/>
        <v>0</v>
      </c>
      <c r="P114">
        <f t="shared" ca="1" si="26"/>
        <v>0.31999999999999318</v>
      </c>
      <c r="Q114">
        <f t="shared" ca="1" si="30"/>
        <v>0.59827126140136044</v>
      </c>
      <c r="R114">
        <f t="shared" ca="1" si="31"/>
        <v>0.66805366347662642</v>
      </c>
      <c r="S114">
        <f t="shared" ca="1" si="28"/>
        <v>0.89554371768263275</v>
      </c>
      <c r="T114">
        <f t="shared" ca="1" si="29"/>
        <v>47.244688124495788</v>
      </c>
      <c r="U114">
        <f>70</f>
        <v>70</v>
      </c>
      <c r="V114">
        <f>30</f>
        <v>30</v>
      </c>
      <c r="W114">
        <f t="shared" ca="1" si="27"/>
        <v>168.71196551761005</v>
      </c>
      <c r="X114">
        <f t="shared" ca="1" si="37"/>
        <v>169.77805078130041</v>
      </c>
      <c r="Y114">
        <f t="shared" ca="1" si="36"/>
        <v>-0.95456622561951576</v>
      </c>
      <c r="Z114">
        <f t="shared" ca="1" si="38"/>
        <v>-1.5160045280098529</v>
      </c>
      <c r="AA114">
        <f t="shared" ca="1" si="39"/>
        <v>0.5614383023903371</v>
      </c>
      <c r="AB114">
        <f t="shared" ca="1" si="40"/>
        <v>180.63439999999994</v>
      </c>
    </row>
    <row r="115" spans="1:28" x14ac:dyDescent="0.25">
      <c r="A115" s="20">
        <f t="shared" ca="1" si="20"/>
        <v>45453</v>
      </c>
      <c r="B115" vm="340">
        <f ca="1"/>
        <v>45456</v>
      </c>
      <c r="C115" vm="341">
        <f ca="1"/>
        <v>169.12</v>
      </c>
      <c r="D115" vm="342">
        <f ca="1"/>
        <v>3525717</v>
      </c>
      <c r="E115">
        <f t="shared" ca="1" si="21"/>
        <v>596269259.03999996</v>
      </c>
      <c r="F115">
        <f ca="1">SUM($E$2:E115)/SUM($D$2:D115)</f>
        <v>179.7400439182901</v>
      </c>
      <c r="G115">
        <f ca="1">_xlfn.STDEV.P($C$2:C115)</f>
        <v>10.912483192189644</v>
      </c>
      <c r="H115">
        <f t="shared" ca="1" si="22"/>
        <v>190.65252711047975</v>
      </c>
      <c r="I115">
        <f t="shared" ca="1" si="23"/>
        <v>168.82756072610044</v>
      </c>
      <c r="J115">
        <f t="shared" ca="1" si="32"/>
        <v>169.01650000000001</v>
      </c>
      <c r="K115">
        <f t="shared" ca="1" si="33"/>
        <v>2.2909255197064127</v>
      </c>
      <c r="L115">
        <f t="shared" ca="1" si="34"/>
        <v>173.59835103941282</v>
      </c>
      <c r="M115">
        <f t="shared" ca="1" si="35"/>
        <v>164.4346489605872</v>
      </c>
      <c r="N115">
        <f t="shared" ca="1" si="24"/>
        <v>0.12000000000000455</v>
      </c>
      <c r="O115">
        <f t="shared" ca="1" si="25"/>
        <v>0.12000000000000455</v>
      </c>
      <c r="P115">
        <f t="shared" ca="1" si="26"/>
        <v>0</v>
      </c>
      <c r="Q115">
        <f t="shared" ca="1" si="30"/>
        <v>0.5641090284441207</v>
      </c>
      <c r="R115">
        <f t="shared" ca="1" si="31"/>
        <v>0.62033554465686735</v>
      </c>
      <c r="S115">
        <f t="shared" ca="1" si="28"/>
        <v>0.90936112448006212</v>
      </c>
      <c r="T115">
        <f t="shared" ca="1" si="29"/>
        <v>47.626460642833614</v>
      </c>
      <c r="U115">
        <f>70</f>
        <v>70</v>
      </c>
      <c r="V115">
        <f>30</f>
        <v>30</v>
      </c>
      <c r="W115">
        <f t="shared" ca="1" si="27"/>
        <v>168.77474005336234</v>
      </c>
      <c r="X115">
        <f t="shared" ca="1" si="37"/>
        <v>169.72930627898185</v>
      </c>
      <c r="Y115">
        <f t="shared" ca="1" si="36"/>
        <v>-0.84913602512961006</v>
      </c>
      <c r="Z115">
        <f t="shared" ca="1" si="38"/>
        <v>-1.3826308274338044</v>
      </c>
      <c r="AA115">
        <f t="shared" ca="1" si="39"/>
        <v>0.53349480230419433</v>
      </c>
      <c r="AB115">
        <f t="shared" ca="1" si="40"/>
        <v>180.59729999999993</v>
      </c>
    </row>
    <row r="116" spans="1:28" x14ac:dyDescent="0.25">
      <c r="A116" s="20">
        <f t="shared" ca="1" si="20"/>
        <v>45453</v>
      </c>
      <c r="B116" vm="343">
        <f ca="1"/>
        <v>45457</v>
      </c>
      <c r="C116" vm="344">
        <f ca="1"/>
        <v>169.21</v>
      </c>
      <c r="D116" vm="345">
        <f ca="1"/>
        <v>2777717</v>
      </c>
      <c r="E116">
        <f t="shared" ca="1" si="21"/>
        <v>470017493.56999999</v>
      </c>
      <c r="F116">
        <f ca="1">SUM($E$2:E116)/SUM($D$2:D116)</f>
        <v>179.68442431178903</v>
      </c>
      <c r="G116">
        <f ca="1">_xlfn.STDEV.P($C$2:C116)</f>
        <v>10.899565681848523</v>
      </c>
      <c r="H116">
        <f t="shared" ca="1" si="22"/>
        <v>190.58398999363754</v>
      </c>
      <c r="I116">
        <f t="shared" ca="1" si="23"/>
        <v>168.78485862994052</v>
      </c>
      <c r="J116">
        <f t="shared" ca="1" si="32"/>
        <v>169.02849999999995</v>
      </c>
      <c r="K116">
        <f t="shared" ca="1" si="33"/>
        <v>2.2912976672619365</v>
      </c>
      <c r="L116">
        <f t="shared" ca="1" si="34"/>
        <v>173.61109533452384</v>
      </c>
      <c r="M116">
        <f t="shared" ca="1" si="35"/>
        <v>164.44590466547606</v>
      </c>
      <c r="N116">
        <f t="shared" ca="1" si="24"/>
        <v>9.0000000000003411E-2</v>
      </c>
      <c r="O116">
        <f t="shared" ca="1" si="25"/>
        <v>9.0000000000003411E-2</v>
      </c>
      <c r="P116">
        <f t="shared" ca="1" si="26"/>
        <v>0</v>
      </c>
      <c r="Q116">
        <f t="shared" ca="1" si="30"/>
        <v>0.53024409784096949</v>
      </c>
      <c r="R116">
        <f t="shared" ca="1" si="31"/>
        <v>0.5760258628956626</v>
      </c>
      <c r="S116">
        <f t="shared" ca="1" si="28"/>
        <v>0.92052133766260125</v>
      </c>
      <c r="T116">
        <f t="shared" ca="1" si="29"/>
        <v>47.930805016878146</v>
      </c>
      <c r="U116">
        <f>70</f>
        <v>70</v>
      </c>
      <c r="V116">
        <f>30</f>
        <v>30</v>
      </c>
      <c r="W116">
        <f t="shared" ca="1" si="27"/>
        <v>168.84170312207581</v>
      </c>
      <c r="X116">
        <f t="shared" ca="1" si="37"/>
        <v>169.69083914720542</v>
      </c>
      <c r="Y116">
        <f t="shared" ca="1" si="36"/>
        <v>-0.73372334924570737</v>
      </c>
      <c r="Z116">
        <f t="shared" ca="1" si="38"/>
        <v>-1.2528493317961851</v>
      </c>
      <c r="AA116">
        <f t="shared" ca="1" si="39"/>
        <v>0.5191259825504777</v>
      </c>
      <c r="AB116">
        <f t="shared" ca="1" si="40"/>
        <v>180.54999999999993</v>
      </c>
    </row>
    <row r="117" spans="1:28" x14ac:dyDescent="0.25">
      <c r="A117" s="20">
        <f t="shared" ca="1" si="20"/>
        <v>45460</v>
      </c>
      <c r="B117" vm="346">
        <f ca="1"/>
        <v>45460</v>
      </c>
      <c r="C117" vm="347">
        <f ca="1"/>
        <v>169.5</v>
      </c>
      <c r="D117" vm="348">
        <f ca="1"/>
        <v>3239815</v>
      </c>
      <c r="E117">
        <f t="shared" ca="1" si="21"/>
        <v>549148642.5</v>
      </c>
      <c r="F117">
        <f ca="1">SUM($E$2:E117)/SUM($D$2:D117)</f>
        <v>179.62206532069527</v>
      </c>
      <c r="G117">
        <f ca="1">_xlfn.STDEV.P($C$2:C117)</f>
        <v>10.884186653772058</v>
      </c>
      <c r="H117">
        <f t="shared" ca="1" si="22"/>
        <v>190.50625197446732</v>
      </c>
      <c r="I117">
        <f t="shared" ca="1" si="23"/>
        <v>168.73787866692322</v>
      </c>
      <c r="J117">
        <f t="shared" ca="1" si="32"/>
        <v>169.05199999999996</v>
      </c>
      <c r="K117">
        <f t="shared" ca="1" si="33"/>
        <v>2.2937227841494505</v>
      </c>
      <c r="L117">
        <f t="shared" ca="1" si="34"/>
        <v>173.63944556829887</v>
      </c>
      <c r="M117">
        <f t="shared" ca="1" si="35"/>
        <v>164.46455443170106</v>
      </c>
      <c r="N117">
        <f t="shared" ca="1" si="24"/>
        <v>0.28999999999999204</v>
      </c>
      <c r="O117">
        <f t="shared" ca="1" si="25"/>
        <v>0.28999999999999204</v>
      </c>
      <c r="P117">
        <f t="shared" ca="1" si="26"/>
        <v>0</v>
      </c>
      <c r="Q117">
        <f t="shared" ca="1" si="30"/>
        <v>0.51308380513804253</v>
      </c>
      <c r="R117">
        <f t="shared" ca="1" si="31"/>
        <v>0.53488115840311523</v>
      </c>
      <c r="S117">
        <f t="shared" ca="1" si="28"/>
        <v>0.95924823127038428</v>
      </c>
      <c r="T117">
        <f t="shared" ca="1" si="29"/>
        <v>48.96001517114572</v>
      </c>
      <c r="U117">
        <f>70</f>
        <v>70</v>
      </c>
      <c r="V117">
        <f>30</f>
        <v>30</v>
      </c>
      <c r="W117">
        <f t="shared" ca="1" si="27"/>
        <v>168.94297956483337</v>
      </c>
      <c r="X117">
        <f t="shared" ca="1" si="37"/>
        <v>169.67670291407907</v>
      </c>
      <c r="Y117">
        <f t="shared" ca="1" si="36"/>
        <v>-0.5511781091743444</v>
      </c>
      <c r="Z117">
        <f t="shared" ca="1" si="38"/>
        <v>-1.1125150872718168</v>
      </c>
      <c r="AA117">
        <f t="shared" ca="1" si="39"/>
        <v>0.56133697809747241</v>
      </c>
      <c r="AB117">
        <f t="shared" ca="1" si="40"/>
        <v>180.50569999999993</v>
      </c>
    </row>
    <row r="118" spans="1:28" x14ac:dyDescent="0.25">
      <c r="A118" s="20">
        <f t="shared" ca="1" si="20"/>
        <v>45460</v>
      </c>
      <c r="B118" vm="349">
        <f ca="1"/>
        <v>45461</v>
      </c>
      <c r="C118" vm="350">
        <f ca="1"/>
        <v>170.55</v>
      </c>
      <c r="D118" vm="351">
        <f ca="1"/>
        <v>3386442</v>
      </c>
      <c r="E118">
        <f t="shared" ca="1" si="21"/>
        <v>577557683.10000002</v>
      </c>
      <c r="F118">
        <f ca="1">SUM($E$2:E118)/SUM($D$2:D118)</f>
        <v>179.56437253264076</v>
      </c>
      <c r="G118">
        <f ca="1">_xlfn.STDEV.P($C$2:C118)</f>
        <v>10.861651714864383</v>
      </c>
      <c r="H118">
        <f t="shared" ca="1" si="22"/>
        <v>190.42602424750515</v>
      </c>
      <c r="I118">
        <f t="shared" ca="1" si="23"/>
        <v>168.70272081777637</v>
      </c>
      <c r="J118">
        <f t="shared" ca="1" si="32"/>
        <v>169.08350000000002</v>
      </c>
      <c r="K118">
        <f t="shared" ca="1" si="33"/>
        <v>2.3105348549176807</v>
      </c>
      <c r="L118">
        <f t="shared" ca="1" si="34"/>
        <v>173.70456970983537</v>
      </c>
      <c r="M118">
        <f t="shared" ca="1" si="35"/>
        <v>164.46243029016466</v>
      </c>
      <c r="N118">
        <f t="shared" ca="1" si="24"/>
        <v>1.0500000000000114</v>
      </c>
      <c r="O118">
        <f t="shared" ca="1" si="25"/>
        <v>1.0500000000000114</v>
      </c>
      <c r="P118">
        <f t="shared" ca="1" si="26"/>
        <v>0</v>
      </c>
      <c r="Q118">
        <f t="shared" ca="1" si="30"/>
        <v>0.55143496191389751</v>
      </c>
      <c r="R118">
        <f t="shared" ca="1" si="31"/>
        <v>0.49667536137432128</v>
      </c>
      <c r="S118">
        <f t="shared" ca="1" si="28"/>
        <v>1.1102522991840267</v>
      </c>
      <c r="T118">
        <f t="shared" ca="1" si="29"/>
        <v>52.612301363838299</v>
      </c>
      <c r="U118">
        <f>70</f>
        <v>70</v>
      </c>
      <c r="V118">
        <f>30</f>
        <v>30</v>
      </c>
      <c r="W118">
        <f t="shared" ca="1" si="27"/>
        <v>169.19021347793591</v>
      </c>
      <c r="X118">
        <f t="shared" ca="1" si="37"/>
        <v>169.74139158711026</v>
      </c>
      <c r="Y118">
        <f t="shared" ca="1" si="36"/>
        <v>-0.13304519334434417</v>
      </c>
      <c r="Z118">
        <f t="shared" ca="1" si="38"/>
        <v>-0.91662110848632239</v>
      </c>
      <c r="AA118">
        <f t="shared" ca="1" si="39"/>
        <v>0.78357591514197822</v>
      </c>
      <c r="AB118">
        <f t="shared" ca="1" si="40"/>
        <v>180.30689999999993</v>
      </c>
    </row>
    <row r="119" spans="1:28" x14ac:dyDescent="0.25">
      <c r="A119" s="20">
        <f t="shared" ca="1" si="20"/>
        <v>45460</v>
      </c>
      <c r="B119" vm="352">
        <f ca="1"/>
        <v>45463</v>
      </c>
      <c r="C119" vm="353">
        <f ca="1"/>
        <v>173.92</v>
      </c>
      <c r="D119" vm="354">
        <f ca="1"/>
        <v>4723078</v>
      </c>
      <c r="E119">
        <f t="shared" ca="1" si="21"/>
        <v>821437725.75999999</v>
      </c>
      <c r="F119">
        <f ca="1">SUM($E$2:E119)/SUM($D$2:D119)</f>
        <v>179.51475015929282</v>
      </c>
      <c r="G119">
        <f ca="1">_xlfn.STDEV.P($C$2:C119)</f>
        <v>10.823099544376664</v>
      </c>
      <c r="H119">
        <f t="shared" ca="1" si="22"/>
        <v>190.33784970366949</v>
      </c>
      <c r="I119">
        <f t="shared" ca="1" si="23"/>
        <v>168.69165061491614</v>
      </c>
      <c r="J119">
        <f t="shared" ca="1" si="32"/>
        <v>169.10600000000002</v>
      </c>
      <c r="K119">
        <f t="shared" ca="1" si="33"/>
        <v>2.3572182535218986</v>
      </c>
      <c r="L119">
        <f t="shared" ca="1" si="34"/>
        <v>173.82043650704381</v>
      </c>
      <c r="M119">
        <f t="shared" ca="1" si="35"/>
        <v>164.39156349295624</v>
      </c>
      <c r="N119">
        <f t="shared" ca="1" si="24"/>
        <v>3.3699999999999761</v>
      </c>
      <c r="O119">
        <f t="shared" ca="1" si="25"/>
        <v>3.3699999999999761</v>
      </c>
      <c r="P119">
        <f t="shared" ca="1" si="26"/>
        <v>0</v>
      </c>
      <c r="Q119">
        <f t="shared" ca="1" si="30"/>
        <v>0.75276103606290312</v>
      </c>
      <c r="R119">
        <f t="shared" ca="1" si="31"/>
        <v>0.46119854984758402</v>
      </c>
      <c r="S119">
        <f t="shared" ca="1" si="28"/>
        <v>1.6321843082804013</v>
      </c>
      <c r="T119">
        <f t="shared" ca="1" si="29"/>
        <v>62.008739401182083</v>
      </c>
      <c r="U119">
        <f>70</f>
        <v>70</v>
      </c>
      <c r="V119">
        <f>30</f>
        <v>30</v>
      </c>
      <c r="W119">
        <f t="shared" ca="1" si="27"/>
        <v>169.91787294286885</v>
      </c>
      <c r="X119">
        <f t="shared" ca="1" si="37"/>
        <v>170.0509181362132</v>
      </c>
      <c r="Y119">
        <f t="shared" ca="1" si="36"/>
        <v>7.960076855485454E-2</v>
      </c>
      <c r="Z119">
        <f t="shared" ca="1" si="38"/>
        <v>-0.71737673307808703</v>
      </c>
      <c r="AA119">
        <f t="shared" ca="1" si="39"/>
        <v>0.79697750163294157</v>
      </c>
      <c r="AB119">
        <f t="shared" ca="1" si="40"/>
        <v>180.17189999999988</v>
      </c>
    </row>
    <row r="120" spans="1:28" x14ac:dyDescent="0.25">
      <c r="A120" s="20">
        <f t="shared" ca="1" si="20"/>
        <v>45460</v>
      </c>
      <c r="B120" vm="355">
        <f ca="1"/>
        <v>45464</v>
      </c>
      <c r="C120" vm="356">
        <f ca="1"/>
        <v>172.46</v>
      </c>
      <c r="D120" vm="357">
        <f ca="1"/>
        <v>10182025</v>
      </c>
      <c r="E120">
        <f t="shared" ca="1" si="21"/>
        <v>1755992031.5</v>
      </c>
      <c r="F120">
        <f ca="1">SUM($E$2:E120)/SUM($D$2:D120)</f>
        <v>179.38353061645182</v>
      </c>
      <c r="G120">
        <f ca="1">_xlfn.STDEV.P($C$2:C120)</f>
        <v>10.79069455357349</v>
      </c>
      <c r="H120">
        <f t="shared" ca="1" si="22"/>
        <v>190.17422517002532</v>
      </c>
      <c r="I120">
        <f t="shared" ca="1" si="23"/>
        <v>168.59283606287832</v>
      </c>
      <c r="J120">
        <f t="shared" ca="1" si="32"/>
        <v>169.04450000000003</v>
      </c>
      <c r="K120">
        <f t="shared" ca="1" si="33"/>
        <v>2.2446860640890929</v>
      </c>
      <c r="L120">
        <f t="shared" ca="1" si="34"/>
        <v>173.53387212817822</v>
      </c>
      <c r="M120">
        <f t="shared" ca="1" si="35"/>
        <v>164.55512787182184</v>
      </c>
      <c r="N120">
        <f t="shared" ca="1" si="24"/>
        <v>-1.4599999999999795</v>
      </c>
      <c r="O120">
        <f t="shared" ca="1" si="25"/>
        <v>0</v>
      </c>
      <c r="P120">
        <f t="shared" ca="1" si="26"/>
        <v>1.4599999999999795</v>
      </c>
      <c r="Q120">
        <f t="shared" ca="1" si="30"/>
        <v>0.69899239062983853</v>
      </c>
      <c r="R120">
        <f t="shared" ca="1" si="31"/>
        <v>0.53254151057275512</v>
      </c>
      <c r="S120">
        <f t="shared" ca="1" si="28"/>
        <v>1.3125594470148692</v>
      </c>
      <c r="T120">
        <f t="shared" ca="1" si="29"/>
        <v>56.757868374331551</v>
      </c>
      <c r="U120">
        <f>70</f>
        <v>70</v>
      </c>
      <c r="V120">
        <f>30</f>
        <v>30</v>
      </c>
      <c r="W120">
        <f t="shared" ca="1" si="27"/>
        <v>170.30896941319671</v>
      </c>
      <c r="X120">
        <f t="shared" ca="1" si="37"/>
        <v>170.22936864464185</v>
      </c>
      <c r="Y120">
        <f t="shared" ca="1" si="36"/>
        <v>0.44871540231002882</v>
      </c>
      <c r="Z120">
        <f t="shared" ca="1" si="38"/>
        <v>-0.48415830600046394</v>
      </c>
      <c r="AA120">
        <f t="shared" ca="1" si="39"/>
        <v>0.93287370831049277</v>
      </c>
      <c r="AB120">
        <f t="shared" ca="1" si="40"/>
        <v>180.02509999999992</v>
      </c>
    </row>
    <row r="121" spans="1:28" x14ac:dyDescent="0.25">
      <c r="A121" s="20">
        <f t="shared" ca="1" si="20"/>
        <v>45467</v>
      </c>
      <c r="B121" vm="358">
        <f ca="1"/>
        <v>45467</v>
      </c>
      <c r="C121" vm="359">
        <f ca="1"/>
        <v>175.01</v>
      </c>
      <c r="D121" vm="360">
        <f ca="1"/>
        <v>4864735</v>
      </c>
      <c r="E121">
        <f t="shared" ca="1" si="21"/>
        <v>851377272.3499999</v>
      </c>
      <c r="F121">
        <f ca="1">SUM($E$2:E121)/SUM($D$2:D121)</f>
        <v>179.34500658994872</v>
      </c>
      <c r="G121">
        <f ca="1">_xlfn.STDEV.P($C$2:C121)</f>
        <v>10.749671726253887</v>
      </c>
      <c r="H121">
        <f t="shared" ca="1" si="22"/>
        <v>190.09467831620262</v>
      </c>
      <c r="I121">
        <f t="shared" ca="1" si="23"/>
        <v>168.59533486369483</v>
      </c>
      <c r="J121">
        <f t="shared" ca="1" si="32"/>
        <v>169.26150000000001</v>
      </c>
      <c r="K121">
        <f t="shared" ca="1" si="33"/>
        <v>2.5928733807151176</v>
      </c>
      <c r="L121">
        <f t="shared" ca="1" si="34"/>
        <v>174.44724676143025</v>
      </c>
      <c r="M121">
        <f t="shared" ca="1" si="35"/>
        <v>164.07575323856977</v>
      </c>
      <c r="N121">
        <f t="shared" ca="1" si="24"/>
        <v>2.5499999999999829</v>
      </c>
      <c r="O121">
        <f t="shared" ca="1" si="25"/>
        <v>2.5499999999999829</v>
      </c>
      <c r="P121">
        <f t="shared" ca="1" si="26"/>
        <v>0</v>
      </c>
      <c r="Q121">
        <f t="shared" ca="1" si="30"/>
        <v>0.83120721987056323</v>
      </c>
      <c r="R121">
        <f t="shared" ca="1" si="31"/>
        <v>0.49450283124612976</v>
      </c>
      <c r="S121">
        <f t="shared" ca="1" si="28"/>
        <v>1.6808947640925538</v>
      </c>
      <c r="T121">
        <f t="shared" ca="1" si="29"/>
        <v>62.699020737634726</v>
      </c>
      <c r="U121">
        <f>70</f>
        <v>70</v>
      </c>
      <c r="V121">
        <f>30</f>
        <v>30</v>
      </c>
      <c r="W121">
        <f t="shared" ca="1" si="27"/>
        <v>171.03220488808952</v>
      </c>
      <c r="X121">
        <f t="shared" ca="1" si="37"/>
        <v>170.58348948577949</v>
      </c>
      <c r="Y121">
        <f t="shared" ca="1" si="36"/>
        <v>0.54054350109473148</v>
      </c>
      <c r="Z121">
        <f t="shared" ca="1" si="38"/>
        <v>-0.27921794458142485</v>
      </c>
      <c r="AA121">
        <f t="shared" ca="1" si="39"/>
        <v>0.81976144567615639</v>
      </c>
      <c r="AB121">
        <f t="shared" ca="1" si="40"/>
        <v>179.89649999999992</v>
      </c>
    </row>
    <row r="122" spans="1:28" x14ac:dyDescent="0.25">
      <c r="A122" s="20">
        <f t="shared" ca="1" si="20"/>
        <v>45467</v>
      </c>
      <c r="B122" vm="361">
        <f ca="1"/>
        <v>45468</v>
      </c>
      <c r="C122" vm="362">
        <f ca="1"/>
        <v>172.6</v>
      </c>
      <c r="D122" vm="363">
        <f ca="1"/>
        <v>4119267</v>
      </c>
      <c r="E122">
        <f t="shared" ca="1" si="21"/>
        <v>710985484.19999993</v>
      </c>
      <c r="F122">
        <f ca="1">SUM($E$2:E122)/SUM($D$2:D122)</f>
        <v>179.29507039980857</v>
      </c>
      <c r="G122">
        <f ca="1">_xlfn.STDEV.P($C$2:C122)</f>
        <v>10.717250718996945</v>
      </c>
      <c r="H122">
        <f t="shared" ca="1" si="22"/>
        <v>190.01232111880552</v>
      </c>
      <c r="I122">
        <f t="shared" ca="1" si="23"/>
        <v>168.57781968081161</v>
      </c>
      <c r="J122">
        <f t="shared" ca="1" si="32"/>
        <v>169.34700000000001</v>
      </c>
      <c r="K122">
        <f t="shared" ca="1" si="33"/>
        <v>2.676252485925243</v>
      </c>
      <c r="L122">
        <f t="shared" ca="1" si="34"/>
        <v>174.6995049718505</v>
      </c>
      <c r="M122">
        <f t="shared" ca="1" si="35"/>
        <v>163.99449502814952</v>
      </c>
      <c r="N122">
        <f t="shared" ca="1" si="24"/>
        <v>-2.4099999999999966</v>
      </c>
      <c r="O122">
        <f t="shared" ca="1" si="25"/>
        <v>0</v>
      </c>
      <c r="P122">
        <f t="shared" ca="1" si="26"/>
        <v>2.4099999999999966</v>
      </c>
      <c r="Q122">
        <f t="shared" ca="1" si="30"/>
        <v>0.77183527559409448</v>
      </c>
      <c r="R122">
        <f t="shared" ca="1" si="31"/>
        <v>0.63132405758569177</v>
      </c>
      <c r="S122">
        <f t="shared" ca="1" si="28"/>
        <v>1.2225659173289634</v>
      </c>
      <c r="T122">
        <f t="shared" ca="1" si="29"/>
        <v>55.006958749651815</v>
      </c>
      <c r="U122">
        <f>70</f>
        <v>70</v>
      </c>
      <c r="V122">
        <f>30</f>
        <v>30</v>
      </c>
      <c r="W122">
        <f t="shared" ca="1" si="27"/>
        <v>171.27340413607575</v>
      </c>
      <c r="X122">
        <f t="shared" ca="1" si="37"/>
        <v>170.73286063498102</v>
      </c>
      <c r="Y122">
        <f t="shared" ca="1" si="36"/>
        <v>0.54809493460302861</v>
      </c>
      <c r="Z122">
        <f t="shared" ca="1" si="38"/>
        <v>-0.11375536874453415</v>
      </c>
      <c r="AA122">
        <f t="shared" ca="1" si="39"/>
        <v>0.66185030334756279</v>
      </c>
      <c r="AB122">
        <f t="shared" ca="1" si="40"/>
        <v>179.78589999999986</v>
      </c>
    </row>
    <row r="123" spans="1:28" x14ac:dyDescent="0.25">
      <c r="A123" s="20">
        <f t="shared" ca="1" si="20"/>
        <v>45467</v>
      </c>
      <c r="B123" vm="364">
        <f ca="1"/>
        <v>45469</v>
      </c>
      <c r="C123" vm="365">
        <f ca="1"/>
        <v>171.87</v>
      </c>
      <c r="D123" vm="366">
        <f ca="1"/>
        <v>2779016</v>
      </c>
      <c r="E123">
        <f t="shared" ca="1" si="21"/>
        <v>477629479.92000002</v>
      </c>
      <c r="F123">
        <f ca="1">SUM($E$2:E123)/SUM($D$2:D123)</f>
        <v>179.25816915967474</v>
      </c>
      <c r="G123">
        <f ca="1">_xlfn.STDEV.P($C$2:C123)</f>
        <v>10.688366889174045</v>
      </c>
      <c r="H123">
        <f t="shared" ca="1" si="22"/>
        <v>189.94653604884877</v>
      </c>
      <c r="I123">
        <f t="shared" ca="1" si="23"/>
        <v>168.5698022705007</v>
      </c>
      <c r="J123">
        <f t="shared" ca="1" si="32"/>
        <v>169.45750000000001</v>
      </c>
      <c r="K123">
        <f t="shared" ca="1" si="33"/>
        <v>2.7348393102029909</v>
      </c>
      <c r="L123">
        <f t="shared" ca="1" si="34"/>
        <v>174.92717862040598</v>
      </c>
      <c r="M123">
        <f t="shared" ca="1" si="35"/>
        <v>163.98782137959404</v>
      </c>
      <c r="N123">
        <f t="shared" ca="1" si="24"/>
        <v>-0.72999999999998977</v>
      </c>
      <c r="O123">
        <f t="shared" ca="1" si="25"/>
        <v>0</v>
      </c>
      <c r="P123">
        <f t="shared" ca="1" si="26"/>
        <v>0.72999999999998977</v>
      </c>
      <c r="Q123">
        <f t="shared" ca="1" si="30"/>
        <v>0.71670418448023054</v>
      </c>
      <c r="R123">
        <f t="shared" ca="1" si="31"/>
        <v>0.63837233918671299</v>
      </c>
      <c r="S123">
        <f t="shared" ca="1" si="28"/>
        <v>1.1227055755475126</v>
      </c>
      <c r="T123">
        <f t="shared" ca="1" si="29"/>
        <v>52.890310765680795</v>
      </c>
      <c r="U123">
        <f>70</f>
        <v>70</v>
      </c>
      <c r="V123">
        <f>30</f>
        <v>30</v>
      </c>
      <c r="W123">
        <f t="shared" ca="1" si="27"/>
        <v>171.36518811514102</v>
      </c>
      <c r="X123">
        <f t="shared" ca="1" si="37"/>
        <v>170.817093180538</v>
      </c>
      <c r="Y123">
        <f t="shared" ca="1" si="36"/>
        <v>0.46639768239896284</v>
      </c>
      <c r="Z123">
        <f t="shared" ca="1" si="38"/>
        <v>2.2752414841652469E-3</v>
      </c>
      <c r="AA123">
        <f t="shared" ca="1" si="39"/>
        <v>0.4641224409147976</v>
      </c>
      <c r="AB123">
        <f t="shared" ca="1" si="40"/>
        <v>179.63559999999984</v>
      </c>
    </row>
    <row r="124" spans="1:28" x14ac:dyDescent="0.25">
      <c r="A124" s="20">
        <f t="shared" ca="1" si="20"/>
        <v>45467</v>
      </c>
      <c r="B124" vm="367">
        <f ca="1"/>
        <v>45470</v>
      </c>
      <c r="C124" vm="368">
        <f ca="1"/>
        <v>170.85</v>
      </c>
      <c r="D124" vm="369">
        <f ca="1"/>
        <v>2894001</v>
      </c>
      <c r="E124">
        <f t="shared" ca="1" si="21"/>
        <v>494440070.84999996</v>
      </c>
      <c r="F124">
        <f ca="1">SUM($E$2:E124)/SUM($D$2:D124)</f>
        <v>179.21487716627513</v>
      </c>
      <c r="G124">
        <f ca="1">_xlfn.STDEV.P($C$2:C124)</f>
        <v>10.664849500677443</v>
      </c>
      <c r="H124">
        <f t="shared" ca="1" si="22"/>
        <v>189.87972666695256</v>
      </c>
      <c r="I124">
        <f t="shared" ca="1" si="23"/>
        <v>168.5500276655977</v>
      </c>
      <c r="J124">
        <f t="shared" ca="1" si="32"/>
        <v>169.64749999999998</v>
      </c>
      <c r="K124">
        <f t="shared" ca="1" si="33"/>
        <v>2.6904174495106838</v>
      </c>
      <c r="L124">
        <f t="shared" ca="1" si="34"/>
        <v>175.02833489902136</v>
      </c>
      <c r="M124">
        <f t="shared" ca="1" si="35"/>
        <v>164.2666651009786</v>
      </c>
      <c r="N124">
        <f t="shared" ca="1" si="24"/>
        <v>-1.0200000000000102</v>
      </c>
      <c r="O124">
        <f t="shared" ca="1" si="25"/>
        <v>0</v>
      </c>
      <c r="P124">
        <f t="shared" ca="1" si="26"/>
        <v>1.0200000000000102</v>
      </c>
      <c r="Q124">
        <f t="shared" ca="1" si="30"/>
        <v>0.66551102844592835</v>
      </c>
      <c r="R124">
        <f t="shared" ca="1" si="31"/>
        <v>0.66563145781623423</v>
      </c>
      <c r="S124">
        <f t="shared" ca="1" si="28"/>
        <v>0.99981907500180212</v>
      </c>
      <c r="T124">
        <f t="shared" ca="1" si="29"/>
        <v>49.995476465834848</v>
      </c>
      <c r="U124">
        <f>70</f>
        <v>70</v>
      </c>
      <c r="V124">
        <f>30</f>
        <v>30</v>
      </c>
      <c r="W124">
        <f t="shared" ca="1" si="27"/>
        <v>171.28592840511934</v>
      </c>
      <c r="X124">
        <f t="shared" ca="1" si="37"/>
        <v>170.81953072272037</v>
      </c>
      <c r="Y124">
        <f t="shared" ca="1" si="36"/>
        <v>0.56459615793824014</v>
      </c>
      <c r="Z124">
        <f t="shared" ca="1" si="38"/>
        <v>0.11473942477498024</v>
      </c>
      <c r="AA124">
        <f t="shared" ca="1" si="39"/>
        <v>0.44985673316325991</v>
      </c>
      <c r="AB124">
        <f t="shared" ca="1" si="40"/>
        <v>179.48619999999985</v>
      </c>
    </row>
    <row r="125" spans="1:28" x14ac:dyDescent="0.25">
      <c r="A125" s="20">
        <f t="shared" ca="1" si="20"/>
        <v>45467</v>
      </c>
      <c r="B125" vm="370">
        <f ca="1"/>
        <v>45471</v>
      </c>
      <c r="C125" vm="371">
        <f ca="1"/>
        <v>172.95</v>
      </c>
      <c r="D125" vm="372">
        <f ca="1"/>
        <v>4193459</v>
      </c>
      <c r="E125">
        <f t="shared" ca="1" si="21"/>
        <v>725258734.04999995</v>
      </c>
      <c r="F125">
        <f ca="1">SUM($E$2:E125)/SUM($D$2:D125)</f>
        <v>179.16848289987942</v>
      </c>
      <c r="G125">
        <f ca="1">_xlfn.STDEV.P($C$2:C125)</f>
        <v>10.631604161341048</v>
      </c>
      <c r="H125">
        <f t="shared" ca="1" si="22"/>
        <v>189.80008706122047</v>
      </c>
      <c r="I125">
        <f t="shared" ca="1" si="23"/>
        <v>168.53687873853838</v>
      </c>
      <c r="J125">
        <f t="shared" ca="1" si="32"/>
        <v>170.01349999999996</v>
      </c>
      <c r="K125">
        <f t="shared" ca="1" si="33"/>
        <v>2.6118722363368696</v>
      </c>
      <c r="L125">
        <f t="shared" ca="1" si="34"/>
        <v>175.23724447267369</v>
      </c>
      <c r="M125">
        <f t="shared" ca="1" si="35"/>
        <v>164.78975552732624</v>
      </c>
      <c r="N125">
        <f t="shared" ca="1" si="24"/>
        <v>2.0999999999999943</v>
      </c>
      <c r="O125">
        <f t="shared" ca="1" si="25"/>
        <v>2.0999999999999943</v>
      </c>
      <c r="P125">
        <f t="shared" ca="1" si="26"/>
        <v>0</v>
      </c>
      <c r="Q125">
        <f t="shared" ca="1" si="30"/>
        <v>0.76797452641407593</v>
      </c>
      <c r="R125">
        <f t="shared" ca="1" si="31"/>
        <v>0.61808635368650322</v>
      </c>
      <c r="S125">
        <f t="shared" ca="1" si="28"/>
        <v>1.2425036110789089</v>
      </c>
      <c r="T125">
        <f t="shared" ca="1" si="29"/>
        <v>55.406983736410488</v>
      </c>
      <c r="U125">
        <f>70</f>
        <v>70</v>
      </c>
      <c r="V125">
        <f>30</f>
        <v>30</v>
      </c>
      <c r="W125">
        <f t="shared" ca="1" si="27"/>
        <v>171.54193941971636</v>
      </c>
      <c r="X125">
        <f t="shared" ca="1" si="37"/>
        <v>170.97734326177812</v>
      </c>
      <c r="Y125">
        <f t="shared" ca="1" si="36"/>
        <v>0.80660811275745914</v>
      </c>
      <c r="Z125">
        <f t="shared" ca="1" si="38"/>
        <v>0.25311316237147607</v>
      </c>
      <c r="AA125">
        <f t="shared" ca="1" si="39"/>
        <v>0.55349495038598306</v>
      </c>
      <c r="AB125">
        <f t="shared" ca="1" si="40"/>
        <v>179.38149999999987</v>
      </c>
    </row>
    <row r="126" spans="1:28" x14ac:dyDescent="0.25">
      <c r="A126" s="20">
        <f t="shared" ca="1" si="20"/>
        <v>45474</v>
      </c>
      <c r="B126" vm="373">
        <f ca="1"/>
        <v>45474</v>
      </c>
      <c r="C126" vm="374">
        <f ca="1"/>
        <v>175.1</v>
      </c>
      <c r="D126" vm="375">
        <f ca="1"/>
        <v>3320961</v>
      </c>
      <c r="E126">
        <f t="shared" ca="1" si="21"/>
        <v>581500271.10000002</v>
      </c>
      <c r="F126">
        <f ca="1">SUM($E$2:E126)/SUM($D$2:D126)</f>
        <v>179.14476173188899</v>
      </c>
      <c r="G126">
        <f ca="1">_xlfn.STDEV.P($C$2:C126)</f>
        <v>10.592193839918151</v>
      </c>
      <c r="H126">
        <f t="shared" ca="1" si="22"/>
        <v>189.73695557180713</v>
      </c>
      <c r="I126">
        <f t="shared" ca="1" si="23"/>
        <v>168.55256789197085</v>
      </c>
      <c r="J126">
        <f t="shared" ca="1" si="32"/>
        <v>170.42599999999996</v>
      </c>
      <c r="K126">
        <f t="shared" ca="1" si="33"/>
        <v>2.7345477832627751</v>
      </c>
      <c r="L126">
        <f t="shared" ca="1" si="34"/>
        <v>175.8950955665255</v>
      </c>
      <c r="M126">
        <f t="shared" ca="1" si="35"/>
        <v>164.95690443347442</v>
      </c>
      <c r="N126">
        <f t="shared" ca="1" si="24"/>
        <v>2.1500000000000057</v>
      </c>
      <c r="O126">
        <f t="shared" ca="1" si="25"/>
        <v>2.1500000000000057</v>
      </c>
      <c r="P126">
        <f t="shared" ca="1" si="26"/>
        <v>0</v>
      </c>
      <c r="Q126">
        <f t="shared" ca="1" si="30"/>
        <v>0.86669063167021376</v>
      </c>
      <c r="R126">
        <f t="shared" ca="1" si="31"/>
        <v>0.57393732842318157</v>
      </c>
      <c r="S126">
        <f t="shared" ca="1" si="28"/>
        <v>1.5100788688049511</v>
      </c>
      <c r="T126">
        <f t="shared" ca="1" si="29"/>
        <v>60.160614376388097</v>
      </c>
      <c r="U126">
        <f>70</f>
        <v>70</v>
      </c>
      <c r="V126">
        <f>30</f>
        <v>30</v>
      </c>
      <c r="W126">
        <f t="shared" ca="1" si="27"/>
        <v>172.08933335514462</v>
      </c>
      <c r="X126">
        <f t="shared" ca="1" si="37"/>
        <v>171.28272524238716</v>
      </c>
      <c r="Y126">
        <f t="shared" ca="1" si="36"/>
        <v>1.1625250789234371</v>
      </c>
      <c r="Z126">
        <f t="shared" ca="1" si="38"/>
        <v>0.43499554568186827</v>
      </c>
      <c r="AA126">
        <f t="shared" ca="1" si="39"/>
        <v>0.72752953324156888</v>
      </c>
      <c r="AB126">
        <f t="shared" ca="1" si="40"/>
        <v>179.29839999999984</v>
      </c>
    </row>
    <row r="127" spans="1:28" x14ac:dyDescent="0.25">
      <c r="A127" s="20">
        <f t="shared" ca="1" si="20"/>
        <v>45474</v>
      </c>
      <c r="B127" vm="376">
        <f ca="1"/>
        <v>45475</v>
      </c>
      <c r="C127" vm="377">
        <f ca="1"/>
        <v>177.3</v>
      </c>
      <c r="D127" vm="378">
        <f ca="1"/>
        <v>2883275</v>
      </c>
      <c r="E127">
        <f t="shared" ca="1" si="21"/>
        <v>511204657.50000006</v>
      </c>
      <c r="F127">
        <f ca="1">SUM($E$2:E127)/SUM($D$2:D127)</f>
        <v>179.1354705005393</v>
      </c>
      <c r="G127">
        <f ca="1">_xlfn.STDEV.P($C$2:C127)</f>
        <v>10.550260310726301</v>
      </c>
      <c r="H127">
        <f t="shared" ca="1" si="22"/>
        <v>189.68573081126561</v>
      </c>
      <c r="I127">
        <f t="shared" ca="1" si="23"/>
        <v>168.58521018981298</v>
      </c>
      <c r="J127">
        <f t="shared" ca="1" si="32"/>
        <v>171.02699999999999</v>
      </c>
      <c r="K127">
        <f t="shared" ca="1" si="33"/>
        <v>2.8619446829771276</v>
      </c>
      <c r="L127">
        <f t="shared" ca="1" si="34"/>
        <v>176.75088936595424</v>
      </c>
      <c r="M127">
        <f t="shared" ca="1" si="35"/>
        <v>165.30311063404574</v>
      </c>
      <c r="N127">
        <f t="shared" ca="1" si="24"/>
        <v>2.2000000000000171</v>
      </c>
      <c r="O127">
        <f t="shared" ca="1" si="25"/>
        <v>2.2000000000000171</v>
      </c>
      <c r="P127">
        <f t="shared" ca="1" si="26"/>
        <v>0</v>
      </c>
      <c r="Q127">
        <f t="shared" ca="1" si="30"/>
        <v>0.96192701512234258</v>
      </c>
      <c r="R127">
        <f t="shared" ca="1" si="31"/>
        <v>0.53294180496438293</v>
      </c>
      <c r="S127">
        <f t="shared" ca="1" si="28"/>
        <v>1.8049381868000187</v>
      </c>
      <c r="T127">
        <f t="shared" ca="1" si="29"/>
        <v>64.348590471405771</v>
      </c>
      <c r="U127">
        <f>70</f>
        <v>70</v>
      </c>
      <c r="V127">
        <f>30</f>
        <v>30</v>
      </c>
      <c r="W127">
        <f t="shared" ca="1" si="27"/>
        <v>172.89097437743007</v>
      </c>
      <c r="X127">
        <f t="shared" ca="1" si="37"/>
        <v>171.72844929850663</v>
      </c>
      <c r="Y127">
        <f t="shared" ca="1" si="36"/>
        <v>1.30288708855295</v>
      </c>
      <c r="Z127">
        <f t="shared" ca="1" si="38"/>
        <v>0.60857385425608457</v>
      </c>
      <c r="AA127">
        <f t="shared" ca="1" si="39"/>
        <v>0.69431323429686542</v>
      </c>
      <c r="AB127">
        <f t="shared" ca="1" si="40"/>
        <v>179.23399999999987</v>
      </c>
    </row>
    <row r="128" spans="1:28" x14ac:dyDescent="0.25">
      <c r="A128" s="20">
        <f t="shared" ca="1" si="20"/>
        <v>45474</v>
      </c>
      <c r="B128" vm="379">
        <f ca="1"/>
        <v>45476</v>
      </c>
      <c r="C128" vm="380">
        <f ca="1"/>
        <v>175.73</v>
      </c>
      <c r="D128" vm="381">
        <f ca="1"/>
        <v>1649049</v>
      </c>
      <c r="E128">
        <f t="shared" ca="1" si="21"/>
        <v>289787380.76999998</v>
      </c>
      <c r="F128">
        <f ca="1">SUM($E$2:E128)/SUM($D$2:D128)</f>
        <v>179.12568893460573</v>
      </c>
      <c r="G128">
        <f ca="1">_xlfn.STDEV.P($C$2:C128)</f>
        <v>10.510547133903261</v>
      </c>
      <c r="H128">
        <f t="shared" ca="1" si="22"/>
        <v>189.63623606850899</v>
      </c>
      <c r="I128">
        <f t="shared" ca="1" si="23"/>
        <v>168.61514180070247</v>
      </c>
      <c r="J128">
        <f t="shared" ca="1" si="32"/>
        <v>171.52299999999997</v>
      </c>
      <c r="K128">
        <f t="shared" ca="1" si="33"/>
        <v>2.7682848575664281</v>
      </c>
      <c r="L128">
        <f t="shared" ca="1" si="34"/>
        <v>177.05956971513282</v>
      </c>
      <c r="M128">
        <f t="shared" ca="1" si="35"/>
        <v>165.98643028486711</v>
      </c>
      <c r="N128">
        <f t="shared" ca="1" si="24"/>
        <v>-1.5700000000000216</v>
      </c>
      <c r="O128">
        <f t="shared" ca="1" si="25"/>
        <v>0</v>
      </c>
      <c r="P128">
        <f t="shared" ca="1" si="26"/>
        <v>1.5700000000000216</v>
      </c>
      <c r="Q128">
        <f t="shared" ca="1" si="30"/>
        <v>0.89321794261360388</v>
      </c>
      <c r="R128">
        <f t="shared" ca="1" si="31"/>
        <v>0.60701739032407143</v>
      </c>
      <c r="S128">
        <f t="shared" ca="1" si="28"/>
        <v>1.4714865782292286</v>
      </c>
      <c r="T128">
        <f t="shared" ca="1" si="29"/>
        <v>59.538521924060767</v>
      </c>
      <c r="U128">
        <f>70</f>
        <v>70</v>
      </c>
      <c r="V128">
        <f>30</f>
        <v>30</v>
      </c>
      <c r="W128">
        <f t="shared" ca="1" si="27"/>
        <v>173.32774755013315</v>
      </c>
      <c r="X128">
        <f t="shared" ca="1" si="37"/>
        <v>172.0248604615802</v>
      </c>
      <c r="Y128">
        <f t="shared" ca="1" si="36"/>
        <v>1.4211435110427146</v>
      </c>
      <c r="Z128">
        <f t="shared" ca="1" si="38"/>
        <v>0.77108778561341063</v>
      </c>
      <c r="AA128">
        <f t="shared" ca="1" si="39"/>
        <v>0.65005572542930401</v>
      </c>
      <c r="AB128">
        <f t="shared" ca="1" si="40"/>
        <v>179.14769999999987</v>
      </c>
    </row>
    <row r="129" spans="1:28" x14ac:dyDescent="0.25">
      <c r="A129" s="20">
        <f t="shared" ca="1" si="20"/>
        <v>45474</v>
      </c>
      <c r="B129" vm="382">
        <f ca="1"/>
        <v>45478</v>
      </c>
      <c r="C129" vm="383">
        <f ca="1"/>
        <v>176.02</v>
      </c>
      <c r="D129" vm="384">
        <f ca="1"/>
        <v>2085970</v>
      </c>
      <c r="E129">
        <f t="shared" ca="1" si="21"/>
        <v>367172439.40000004</v>
      </c>
      <c r="F129">
        <f ca="1">SUM($E$2:E129)/SUM($D$2:D129)</f>
        <v>179.11444576822376</v>
      </c>
      <c r="G129">
        <f ca="1">_xlfn.STDEV.P($C$2:C129)</f>
        <v>10.470826602575892</v>
      </c>
      <c r="H129">
        <f t="shared" ca="1" si="22"/>
        <v>189.58527237079966</v>
      </c>
      <c r="I129">
        <f t="shared" ca="1" si="23"/>
        <v>168.64361916564786</v>
      </c>
      <c r="J129">
        <f t="shared" ca="1" si="32"/>
        <v>171.95499999999998</v>
      </c>
      <c r="K129">
        <f t="shared" ca="1" si="33"/>
        <v>2.7618710286592623</v>
      </c>
      <c r="L129">
        <f t="shared" ca="1" si="34"/>
        <v>177.4787420573185</v>
      </c>
      <c r="M129">
        <f t="shared" ca="1" si="35"/>
        <v>166.43125794268147</v>
      </c>
      <c r="N129">
        <f t="shared" ca="1" si="24"/>
        <v>0.29000000000002046</v>
      </c>
      <c r="O129">
        <f t="shared" ca="1" si="25"/>
        <v>0.29000000000002046</v>
      </c>
      <c r="P129">
        <f t="shared" ca="1" si="26"/>
        <v>0</v>
      </c>
      <c r="Q129">
        <f t="shared" ca="1" si="30"/>
        <v>0.85013094671263367</v>
      </c>
      <c r="R129">
        <f t="shared" ca="1" si="31"/>
        <v>0.5636590053009235</v>
      </c>
      <c r="S129">
        <f t="shared" ca="1" si="28"/>
        <v>1.5082362540429386</v>
      </c>
      <c r="T129">
        <f t="shared" ca="1" si="29"/>
        <v>60.131347340660803</v>
      </c>
      <c r="U129">
        <f>70</f>
        <v>70</v>
      </c>
      <c r="V129">
        <f>30</f>
        <v>30</v>
      </c>
      <c r="W129">
        <f t="shared" ca="1" si="27"/>
        <v>173.74194023472808</v>
      </c>
      <c r="X129">
        <f t="shared" ca="1" si="37"/>
        <v>172.32079672368536</v>
      </c>
      <c r="Y129">
        <f t="shared" ca="1" si="36"/>
        <v>1.6268299558874446</v>
      </c>
      <c r="Z129">
        <f t="shared" ca="1" si="38"/>
        <v>0.94223621966821747</v>
      </c>
      <c r="AA129">
        <f t="shared" ca="1" si="39"/>
        <v>0.68459373621922714</v>
      </c>
      <c r="AB129">
        <f t="shared" ca="1" si="40"/>
        <v>179.04449999999989</v>
      </c>
    </row>
    <row r="130" spans="1:28" x14ac:dyDescent="0.25">
      <c r="A130" s="20">
        <f t="shared" ca="1" si="20"/>
        <v>45481</v>
      </c>
      <c r="B130" vm="385">
        <f ca="1"/>
        <v>45481</v>
      </c>
      <c r="C130" vm="386">
        <f ca="1"/>
        <v>177.64</v>
      </c>
      <c r="D130" vm="387">
        <f ca="1"/>
        <v>2503038</v>
      </c>
      <c r="E130">
        <f t="shared" ca="1" si="21"/>
        <v>444639670.31999999</v>
      </c>
      <c r="F130">
        <f ca="1">SUM($E$2:E130)/SUM($D$2:D130)</f>
        <v>179.1080684750813</v>
      </c>
      <c r="G130">
        <f ca="1">_xlfn.STDEV.P($C$2:C130)</f>
        <v>10.430201061198805</v>
      </c>
      <c r="H130">
        <f t="shared" ca="1" si="22"/>
        <v>189.5382695362801</v>
      </c>
      <c r="I130">
        <f t="shared" ca="1" si="23"/>
        <v>168.6778674138825</v>
      </c>
      <c r="J130">
        <f t="shared" ca="1" si="32"/>
        <v>172.42699999999996</v>
      </c>
      <c r="K130">
        <f t="shared" ca="1" si="33"/>
        <v>2.8900393368293527</v>
      </c>
      <c r="L130">
        <f t="shared" ca="1" si="34"/>
        <v>178.20707867365866</v>
      </c>
      <c r="M130">
        <f t="shared" ca="1" si="35"/>
        <v>166.64692132634127</v>
      </c>
      <c r="N130">
        <f t="shared" ca="1" si="24"/>
        <v>1.6199999999999761</v>
      </c>
      <c r="O130">
        <f t="shared" ca="1" si="25"/>
        <v>1.6199999999999761</v>
      </c>
      <c r="P130">
        <f t="shared" ca="1" si="26"/>
        <v>0</v>
      </c>
      <c r="Q130">
        <f t="shared" ca="1" si="30"/>
        <v>0.90512159337601528</v>
      </c>
      <c r="R130">
        <f t="shared" ca="1" si="31"/>
        <v>0.52339764777942899</v>
      </c>
      <c r="S130">
        <f t="shared" ca="1" si="28"/>
        <v>1.7293191844023208</v>
      </c>
      <c r="T130">
        <f t="shared" ca="1" si="29"/>
        <v>63.36082618277625</v>
      </c>
      <c r="U130">
        <f>70</f>
        <v>70</v>
      </c>
      <c r="V130">
        <f>30</f>
        <v>30</v>
      </c>
      <c r="W130">
        <f t="shared" ca="1" si="27"/>
        <v>174.34164173707759</v>
      </c>
      <c r="X130">
        <f t="shared" ca="1" si="37"/>
        <v>172.71481178119015</v>
      </c>
      <c r="Y130">
        <f t="shared" ca="1" si="36"/>
        <v>1.6769053191602552</v>
      </c>
      <c r="Z130">
        <f t="shared" ca="1" si="38"/>
        <v>1.0891700395666251</v>
      </c>
      <c r="AA130">
        <f t="shared" ca="1" si="39"/>
        <v>0.58773527959363014</v>
      </c>
      <c r="AB130">
        <f t="shared" ca="1" si="40"/>
        <v>178.9592999999999</v>
      </c>
    </row>
    <row r="131" spans="1:28" x14ac:dyDescent="0.25">
      <c r="A131" s="20">
        <f t="shared" ref="A131:A194" ca="1" si="41">B131 - WEEKDAY(B131, 2) + 1</f>
        <v>45481</v>
      </c>
      <c r="B131" vm="388">
        <f ca="1"/>
        <v>45482</v>
      </c>
      <c r="C131" vm="389">
        <f ca="1"/>
        <v>176.48</v>
      </c>
      <c r="D131" vm="390">
        <f ca="1"/>
        <v>2513305</v>
      </c>
      <c r="E131">
        <f t="shared" ref="E131:E194" ca="1" si="42">C131*D131</f>
        <v>443548066.39999998</v>
      </c>
      <c r="F131">
        <f ca="1">SUM($E$2:E131)/SUM($D$2:D131)</f>
        <v>179.09670424628987</v>
      </c>
      <c r="G131">
        <f ca="1">_xlfn.STDEV.P($C$2:C131)</f>
        <v>10.390810512207011</v>
      </c>
      <c r="H131">
        <f t="shared" ref="H131:H194" ca="1" si="43">F131 + G131</f>
        <v>189.4875147584969</v>
      </c>
      <c r="I131">
        <f t="shared" ref="I131:I194" ca="1" si="44">F131 - G131</f>
        <v>168.70589373408285</v>
      </c>
      <c r="J131">
        <f t="shared" ca="1" si="32"/>
        <v>172.75049999999999</v>
      </c>
      <c r="K131">
        <f t="shared" ca="1" si="33"/>
        <v>2.9663560403118709</v>
      </c>
      <c r="L131">
        <f t="shared" ca="1" si="34"/>
        <v>178.68321208062372</v>
      </c>
      <c r="M131">
        <f t="shared" ca="1" si="35"/>
        <v>166.81778791937626</v>
      </c>
      <c r="N131">
        <f t="shared" ca="1" si="24"/>
        <v>-1.1599999999999966</v>
      </c>
      <c r="O131">
        <f t="shared" ca="1" si="25"/>
        <v>0</v>
      </c>
      <c r="P131">
        <f t="shared" ca="1" si="26"/>
        <v>1.1599999999999966</v>
      </c>
      <c r="Q131">
        <f t="shared" ca="1" si="30"/>
        <v>0.84047005099201422</v>
      </c>
      <c r="R131">
        <f t="shared" ca="1" si="31"/>
        <v>0.56886924436661235</v>
      </c>
      <c r="S131">
        <f t="shared" ca="1" si="28"/>
        <v>1.4774397795539225</v>
      </c>
      <c r="T131">
        <f t="shared" ca="1" si="29"/>
        <v>59.635749443723874</v>
      </c>
      <c r="U131">
        <f>70</f>
        <v>70</v>
      </c>
      <c r="V131">
        <f>30</f>
        <v>30</v>
      </c>
      <c r="W131">
        <f t="shared" ca="1" si="27"/>
        <v>174.67061993137335</v>
      </c>
      <c r="X131">
        <f t="shared" ca="1" si="37"/>
        <v>172.9937146122131</v>
      </c>
      <c r="Y131">
        <f t="shared" ca="1" si="36"/>
        <v>1.8055181499960895</v>
      </c>
      <c r="Z131">
        <f t="shared" ca="1" si="38"/>
        <v>1.2324396616525179</v>
      </c>
      <c r="AA131">
        <f t="shared" ca="1" si="39"/>
        <v>0.57307848834357156</v>
      </c>
      <c r="AB131">
        <f t="shared" ca="1" si="40"/>
        <v>178.88709999999992</v>
      </c>
    </row>
    <row r="132" spans="1:28" x14ac:dyDescent="0.25">
      <c r="A132" s="20">
        <f t="shared" ca="1" si="41"/>
        <v>45481</v>
      </c>
      <c r="B132" vm="391">
        <f ca="1"/>
        <v>45483</v>
      </c>
      <c r="C132" vm="392">
        <f ca="1"/>
        <v>177.84</v>
      </c>
      <c r="D132" vm="393">
        <f ca="1"/>
        <v>3462182</v>
      </c>
      <c r="E132">
        <f t="shared" ca="1" si="42"/>
        <v>615714446.88</v>
      </c>
      <c r="F132">
        <f ca="1">SUM($E$2:E132)/SUM($D$2:D132)</f>
        <v>179.08926272424904</v>
      </c>
      <c r="G132">
        <f ca="1">_xlfn.STDEV.P($C$2:C132)</f>
        <v>10.351079161109023</v>
      </c>
      <c r="H132">
        <f t="shared" ca="1" si="43"/>
        <v>189.44034188535807</v>
      </c>
      <c r="I132">
        <f t="shared" ca="1" si="44"/>
        <v>168.73818356314001</v>
      </c>
      <c r="J132">
        <f t="shared" ca="1" si="32"/>
        <v>173.12349999999998</v>
      </c>
      <c r="K132">
        <f t="shared" ca="1" si="33"/>
        <v>3.1177526909787523</v>
      </c>
      <c r="L132">
        <f t="shared" ca="1" si="34"/>
        <v>179.35900538195747</v>
      </c>
      <c r="M132">
        <f t="shared" ca="1" si="35"/>
        <v>166.88799461804248</v>
      </c>
      <c r="N132">
        <f t="shared" ref="N132:N195" ca="1" si="45">C132-C131</f>
        <v>1.3600000000000136</v>
      </c>
      <c r="O132">
        <f t="shared" ref="O132:O195" ca="1" si="46">MAX(N132,0)</f>
        <v>1.3600000000000136</v>
      </c>
      <c r="P132">
        <f t="shared" ref="P132:P195" ca="1" si="47">MAX(-N132,0)</f>
        <v>0</v>
      </c>
      <c r="Q132">
        <f t="shared" ca="1" si="30"/>
        <v>0.87757933306401426</v>
      </c>
      <c r="R132">
        <f t="shared" ca="1" si="31"/>
        <v>0.52823572691185439</v>
      </c>
      <c r="S132">
        <f t="shared" ca="1" si="28"/>
        <v>1.6613403606652568</v>
      </c>
      <c r="T132">
        <f t="shared" ca="1" si="29"/>
        <v>62.424948917468434</v>
      </c>
      <c r="U132">
        <f>70</f>
        <v>70</v>
      </c>
      <c r="V132">
        <f>30</f>
        <v>30</v>
      </c>
      <c r="W132">
        <f t="shared" ca="1" si="27"/>
        <v>175.15821686500823</v>
      </c>
      <c r="X132">
        <f t="shared" ca="1" si="37"/>
        <v>173.35269871501214</v>
      </c>
      <c r="Y132">
        <f t="shared" ca="1" si="36"/>
        <v>1.9232003604800525</v>
      </c>
      <c r="Z132">
        <f t="shared" ca="1" si="38"/>
        <v>1.3705918014180249</v>
      </c>
      <c r="AA132">
        <f t="shared" ca="1" si="39"/>
        <v>0.55260855906202755</v>
      </c>
      <c r="AB132">
        <f t="shared" ca="1" si="40"/>
        <v>178.82979999999992</v>
      </c>
    </row>
    <row r="133" spans="1:28" x14ac:dyDescent="0.25">
      <c r="A133" s="20">
        <f t="shared" ca="1" si="41"/>
        <v>45481</v>
      </c>
      <c r="B133" vm="394">
        <f ca="1"/>
        <v>45484</v>
      </c>
      <c r="C133" vm="395">
        <f ca="1"/>
        <v>178.31</v>
      </c>
      <c r="D133" vm="396">
        <f ca="1"/>
        <v>2807145</v>
      </c>
      <c r="E133">
        <f t="shared" ca="1" si="42"/>
        <v>500542024.94999999</v>
      </c>
      <c r="F133">
        <f ca="1">SUM($E$2:E133)/SUM($D$2:D133)</f>
        <v>179.08553925793854</v>
      </c>
      <c r="G133">
        <f ca="1">_xlfn.STDEV.P($C$2:C133)</f>
        <v>10.311844178718065</v>
      </c>
      <c r="H133">
        <f t="shared" ca="1" si="43"/>
        <v>189.39738343665661</v>
      </c>
      <c r="I133">
        <f t="shared" ca="1" si="44"/>
        <v>168.77369507922046</v>
      </c>
      <c r="J133">
        <f t="shared" ca="1" si="32"/>
        <v>173.57299999999998</v>
      </c>
      <c r="K133">
        <f t="shared" ca="1" si="33"/>
        <v>3.1878009249076538</v>
      </c>
      <c r="L133">
        <f t="shared" ca="1" si="34"/>
        <v>179.94860184981528</v>
      </c>
      <c r="M133">
        <f t="shared" ca="1" si="35"/>
        <v>167.19739815018468</v>
      </c>
      <c r="N133">
        <f t="shared" ca="1" si="45"/>
        <v>0.46999999999999886</v>
      </c>
      <c r="O133">
        <f t="shared" ca="1" si="46"/>
        <v>0.46999999999999886</v>
      </c>
      <c r="P133">
        <f t="shared" ca="1" si="47"/>
        <v>0</v>
      </c>
      <c r="Q133">
        <f t="shared" ca="1" si="30"/>
        <v>0.84846652355944163</v>
      </c>
      <c r="R133">
        <f t="shared" ca="1" si="31"/>
        <v>0.49050460356100761</v>
      </c>
      <c r="S133">
        <f t="shared" ca="1" si="28"/>
        <v>1.7297829977530714</v>
      </c>
      <c r="T133">
        <f t="shared" ca="1" si="29"/>
        <v>63.367051490059239</v>
      </c>
      <c r="U133">
        <f>70</f>
        <v>70</v>
      </c>
      <c r="V133">
        <f>30</f>
        <v>30</v>
      </c>
      <c r="W133">
        <f t="shared" ca="1" si="27"/>
        <v>175.64310657808389</v>
      </c>
      <c r="X133">
        <f t="shared" ca="1" si="37"/>
        <v>173.71990621760384</v>
      </c>
      <c r="Y133">
        <f t="shared" ca="1" si="36"/>
        <v>2.3540545098850885</v>
      </c>
      <c r="Z133">
        <f t="shared" ca="1" si="38"/>
        <v>1.5672843431114376</v>
      </c>
      <c r="AA133">
        <f t="shared" ca="1" si="39"/>
        <v>0.78677016677365086</v>
      </c>
      <c r="AB133">
        <f t="shared" ca="1" si="40"/>
        <v>178.74419999999995</v>
      </c>
    </row>
    <row r="134" spans="1:28" x14ac:dyDescent="0.25">
      <c r="A134" s="20">
        <f t="shared" ca="1" si="41"/>
        <v>45481</v>
      </c>
      <c r="B134" vm="397">
        <f ca="1"/>
        <v>45485</v>
      </c>
      <c r="C134" vm="398">
        <f ca="1"/>
        <v>182.83</v>
      </c>
      <c r="D134" vm="399">
        <f ca="1"/>
        <v>4785565</v>
      </c>
      <c r="E134">
        <f t="shared" ca="1" si="42"/>
        <v>874944848.95000005</v>
      </c>
      <c r="F134">
        <f ca="1">SUM($E$2:E134)/SUM($D$2:D134)</f>
        <v>179.11579430626361</v>
      </c>
      <c r="G134">
        <f ca="1">_xlfn.STDEV.P($C$2:C134)</f>
        <v>10.281653353470524</v>
      </c>
      <c r="H134">
        <f t="shared" ca="1" si="43"/>
        <v>189.39744765973413</v>
      </c>
      <c r="I134">
        <f t="shared" ca="1" si="44"/>
        <v>168.83414095279309</v>
      </c>
      <c r="J134">
        <f t="shared" ca="1" si="32"/>
        <v>174.2645</v>
      </c>
      <c r="K134">
        <f t="shared" ca="1" si="33"/>
        <v>3.6149957778238426</v>
      </c>
      <c r="L134">
        <f t="shared" ca="1" si="34"/>
        <v>181.49449155564767</v>
      </c>
      <c r="M134">
        <f t="shared" ca="1" si="35"/>
        <v>167.03450844435233</v>
      </c>
      <c r="N134">
        <f t="shared" ca="1" si="45"/>
        <v>4.5200000000000102</v>
      </c>
      <c r="O134">
        <f t="shared" ca="1" si="46"/>
        <v>4.5200000000000102</v>
      </c>
      <c r="P134">
        <f t="shared" ca="1" si="47"/>
        <v>0</v>
      </c>
      <c r="Q134">
        <f t="shared" ca="1" si="30"/>
        <v>1.1107189147337679</v>
      </c>
      <c r="R134">
        <f t="shared" ca="1" si="31"/>
        <v>0.45546856044950706</v>
      </c>
      <c r="S134">
        <f t="shared" ca="1" si="28"/>
        <v>2.4386291638605897</v>
      </c>
      <c r="T134">
        <f t="shared" ca="1" si="29"/>
        <v>70.91864367027911</v>
      </c>
      <c r="U134">
        <f>70</f>
        <v>70</v>
      </c>
      <c r="V134">
        <f>30</f>
        <v>30</v>
      </c>
      <c r="W134">
        <f t="shared" ca="1" si="27"/>
        <v>176.74878248914791</v>
      </c>
      <c r="X134">
        <f t="shared" ca="1" si="37"/>
        <v>174.39472797926283</v>
      </c>
      <c r="Y134">
        <f t="shared" ca="1" si="36"/>
        <v>2.6687800741211447</v>
      </c>
      <c r="Z134">
        <f t="shared" ca="1" si="38"/>
        <v>1.7875834893133793</v>
      </c>
      <c r="AA134">
        <f t="shared" ca="1" si="39"/>
        <v>0.88119658480776542</v>
      </c>
      <c r="AB134">
        <f t="shared" ca="1" si="40"/>
        <v>178.6961</v>
      </c>
    </row>
    <row r="135" spans="1:28" x14ac:dyDescent="0.25">
      <c r="A135" s="20">
        <f t="shared" ca="1" si="41"/>
        <v>45488</v>
      </c>
      <c r="B135" vm="400">
        <f ca="1"/>
        <v>45488</v>
      </c>
      <c r="C135" vm="401">
        <f ca="1"/>
        <v>182.88</v>
      </c>
      <c r="D135" vm="402">
        <f ca="1"/>
        <v>2925794</v>
      </c>
      <c r="E135">
        <f t="shared" ca="1" si="42"/>
        <v>535069206.71999997</v>
      </c>
      <c r="F135">
        <f ca="1">SUM($E$2:E135)/SUM($D$2:D135)</f>
        <v>179.13429774079054</v>
      </c>
      <c r="G135">
        <f ca="1">_xlfn.STDEV.P($C$2:C135)</f>
        <v>10.251873667781705</v>
      </c>
      <c r="H135">
        <f t="shared" ca="1" si="43"/>
        <v>189.38617140857224</v>
      </c>
      <c r="I135">
        <f t="shared" ca="1" si="44"/>
        <v>168.88242407300885</v>
      </c>
      <c r="J135">
        <f t="shared" ca="1" si="32"/>
        <v>174.95249999999999</v>
      </c>
      <c r="K135">
        <f t="shared" ca="1" si="33"/>
        <v>3.8837703804963875</v>
      </c>
      <c r="L135">
        <f t="shared" ca="1" si="34"/>
        <v>182.72004076099276</v>
      </c>
      <c r="M135">
        <f t="shared" ca="1" si="35"/>
        <v>167.18495923900721</v>
      </c>
      <c r="N135">
        <f t="shared" ca="1" si="45"/>
        <v>4.9999999999982947E-2</v>
      </c>
      <c r="O135">
        <f t="shared" ca="1" si="46"/>
        <v>4.9999999999982947E-2</v>
      </c>
      <c r="P135">
        <f t="shared" ca="1" si="47"/>
        <v>0</v>
      </c>
      <c r="Q135">
        <f t="shared" ca="1" si="30"/>
        <v>1.0349532779670689</v>
      </c>
      <c r="R135">
        <f t="shared" ca="1" si="31"/>
        <v>0.42293509184597083</v>
      </c>
      <c r="S135">
        <f t="shared" ca="1" si="28"/>
        <v>2.447073553177729</v>
      </c>
      <c r="T135">
        <f t="shared" ca="1" si="29"/>
        <v>70.989885055451253</v>
      </c>
      <c r="U135">
        <f>70</f>
        <v>70</v>
      </c>
      <c r="V135">
        <f>30</f>
        <v>30</v>
      </c>
      <c r="W135">
        <f t="shared" ca="1" si="27"/>
        <v>177.69204672158671</v>
      </c>
      <c r="X135">
        <f t="shared" ca="1" si="37"/>
        <v>175.02326664746556</v>
      </c>
      <c r="Y135">
        <f t="shared" ca="1" si="36"/>
        <v>3.1186786777348914</v>
      </c>
      <c r="Z135">
        <f t="shared" ca="1" si="38"/>
        <v>2.0538025269976821</v>
      </c>
      <c r="AA135">
        <f t="shared" ca="1" si="39"/>
        <v>1.0648761507372093</v>
      </c>
      <c r="AB135">
        <f t="shared" ca="1" si="40"/>
        <v>178.69050000000004</v>
      </c>
    </row>
    <row r="136" spans="1:28" x14ac:dyDescent="0.25">
      <c r="A136" s="20">
        <f t="shared" ca="1" si="41"/>
        <v>45488</v>
      </c>
      <c r="B136" vm="403">
        <f ca="1"/>
        <v>45489</v>
      </c>
      <c r="C136" vm="404">
        <f ca="1"/>
        <v>185.81</v>
      </c>
      <c r="D136" vm="405">
        <f ca="1"/>
        <v>3374526</v>
      </c>
      <c r="E136">
        <f t="shared" ca="1" si="42"/>
        <v>627020676.06000006</v>
      </c>
      <c r="F136">
        <f ca="1">SUM($E$2:E136)/SUM($D$2:D136)</f>
        <v>179.17193254796882</v>
      </c>
      <c r="G136">
        <f ca="1">_xlfn.STDEV.P($C$2:C136)</f>
        <v>10.235638574683556</v>
      </c>
      <c r="H136">
        <f t="shared" ca="1" si="43"/>
        <v>189.40757112265237</v>
      </c>
      <c r="I136">
        <f t="shared" ca="1" si="44"/>
        <v>168.93629397328527</v>
      </c>
      <c r="J136">
        <f t="shared" ca="1" si="32"/>
        <v>175.78249999999997</v>
      </c>
      <c r="K136">
        <f t="shared" ca="1" si="33"/>
        <v>4.3390562580503982</v>
      </c>
      <c r="L136">
        <f t="shared" ca="1" si="34"/>
        <v>184.46061251610075</v>
      </c>
      <c r="M136">
        <f t="shared" ca="1" si="35"/>
        <v>167.10438748389919</v>
      </c>
      <c r="N136">
        <f t="shared" ca="1" si="45"/>
        <v>2.9300000000000068</v>
      </c>
      <c r="O136">
        <f t="shared" ca="1" si="46"/>
        <v>2.9300000000000068</v>
      </c>
      <c r="P136">
        <f t="shared" ca="1" si="47"/>
        <v>0</v>
      </c>
      <c r="Q136">
        <f t="shared" ca="1" si="30"/>
        <v>1.1703137581122789</v>
      </c>
      <c r="R136">
        <f t="shared" ca="1" si="31"/>
        <v>0.39272544242840146</v>
      </c>
      <c r="S136">
        <f t="shared" ca="1" si="28"/>
        <v>2.9799794759302896</v>
      </c>
      <c r="T136">
        <f t="shared" ca="1" si="29"/>
        <v>74.874242290753074</v>
      </c>
      <c r="U136">
        <f>70</f>
        <v>70</v>
      </c>
      <c r="V136">
        <f>30</f>
        <v>30</v>
      </c>
      <c r="W136">
        <f t="shared" ca="1" si="27"/>
        <v>178.94096261057337</v>
      </c>
      <c r="X136">
        <f t="shared" ca="1" si="37"/>
        <v>175.82228393283847</v>
      </c>
      <c r="Y136">
        <f t="shared" ca="1" si="36"/>
        <v>3.5664490517600598</v>
      </c>
      <c r="Z136">
        <f t="shared" ca="1" si="38"/>
        <v>2.3563318319501576</v>
      </c>
      <c r="AA136">
        <f t="shared" ca="1" si="39"/>
        <v>1.2101172198099022</v>
      </c>
      <c r="AB136">
        <f t="shared" ca="1" si="40"/>
        <v>178.75160000000002</v>
      </c>
    </row>
    <row r="137" spans="1:28" x14ac:dyDescent="0.25">
      <c r="A137" s="20">
        <f t="shared" ca="1" si="41"/>
        <v>45488</v>
      </c>
      <c r="B137" vm="406">
        <f ca="1"/>
        <v>45490</v>
      </c>
      <c r="C137" vm="407">
        <f ca="1"/>
        <v>187.45</v>
      </c>
      <c r="D137" vm="408">
        <f ca="1"/>
        <v>4225302</v>
      </c>
      <c r="E137">
        <f t="shared" ca="1" si="42"/>
        <v>792032859.89999998</v>
      </c>
      <c r="F137">
        <f ca="1">SUM($E$2:E137)/SUM($D$2:D137)</f>
        <v>179.22995710014885</v>
      </c>
      <c r="G137">
        <f ca="1">_xlfn.STDEV.P($C$2:C137)</f>
        <v>10.229308403352581</v>
      </c>
      <c r="H137">
        <f t="shared" ca="1" si="43"/>
        <v>189.45926550350143</v>
      </c>
      <c r="I137">
        <f t="shared" ca="1" si="44"/>
        <v>169.00064869679628</v>
      </c>
      <c r="J137">
        <f t="shared" ca="1" si="32"/>
        <v>176.68</v>
      </c>
      <c r="K137">
        <f t="shared" ca="1" si="33"/>
        <v>4.8028029097052984</v>
      </c>
      <c r="L137">
        <f t="shared" ca="1" si="34"/>
        <v>186.28560581941059</v>
      </c>
      <c r="M137">
        <f t="shared" ca="1" si="35"/>
        <v>167.07439418058942</v>
      </c>
      <c r="N137">
        <f t="shared" ca="1" si="45"/>
        <v>1.6399999999999864</v>
      </c>
      <c r="O137">
        <f t="shared" ca="1" si="46"/>
        <v>1.6399999999999864</v>
      </c>
      <c r="P137">
        <f t="shared" ca="1" si="47"/>
        <v>0</v>
      </c>
      <c r="Q137">
        <f t="shared" ca="1" si="30"/>
        <v>1.2038627753899722</v>
      </c>
      <c r="R137">
        <f t="shared" ca="1" si="31"/>
        <v>0.36467362511208712</v>
      </c>
      <c r="S137">
        <f t="shared" ca="1" si="28"/>
        <v>3.3012060442263942</v>
      </c>
      <c r="T137">
        <f t="shared" ca="1" si="29"/>
        <v>76.75070690132776</v>
      </c>
      <c r="U137">
        <f>70</f>
        <v>70</v>
      </c>
      <c r="V137">
        <f>30</f>
        <v>30</v>
      </c>
      <c r="W137">
        <f t="shared" ca="1" si="27"/>
        <v>180.25004528586976</v>
      </c>
      <c r="X137">
        <f t="shared" ca="1" si="37"/>
        <v>176.6835962341097</v>
      </c>
      <c r="Y137">
        <f t="shared" ca="1" si="36"/>
        <v>3.6987312644377823</v>
      </c>
      <c r="Z137">
        <f t="shared" ca="1" si="38"/>
        <v>2.6248117184476829</v>
      </c>
      <c r="AA137">
        <f t="shared" ca="1" si="39"/>
        <v>1.0739195459900994</v>
      </c>
      <c r="AB137">
        <f t="shared" ca="1" si="40"/>
        <v>178.78400000000002</v>
      </c>
    </row>
    <row r="138" spans="1:28" x14ac:dyDescent="0.25">
      <c r="A138" s="20">
        <f t="shared" ca="1" si="41"/>
        <v>45488</v>
      </c>
      <c r="B138" vm="409">
        <f ca="1"/>
        <v>45491</v>
      </c>
      <c r="C138" vm="410">
        <f ca="1"/>
        <v>185.22</v>
      </c>
      <c r="D138" vm="411">
        <f ca="1"/>
        <v>3487808</v>
      </c>
      <c r="E138">
        <f t="shared" ca="1" si="42"/>
        <v>646011797.75999999</v>
      </c>
      <c r="F138">
        <f ca="1">SUM($E$2:E138)/SUM($D$2:D138)</f>
        <v>179.26441604712701</v>
      </c>
      <c r="G138">
        <f ca="1">_xlfn.STDEV.P($C$2:C138)</f>
        <v>10.209665004936593</v>
      </c>
      <c r="H138">
        <f t="shared" ca="1" si="43"/>
        <v>189.47408105206361</v>
      </c>
      <c r="I138">
        <f t="shared" ca="1" si="44"/>
        <v>169.05475104219042</v>
      </c>
      <c r="J138">
        <f t="shared" ca="1" si="32"/>
        <v>177.41349999999997</v>
      </c>
      <c r="K138">
        <f t="shared" ca="1" si="33"/>
        <v>4.9357218583666063</v>
      </c>
      <c r="L138">
        <f t="shared" ca="1" si="34"/>
        <v>187.28494371673318</v>
      </c>
      <c r="M138">
        <f t="shared" ca="1" si="35"/>
        <v>167.54205628326676</v>
      </c>
      <c r="N138">
        <f t="shared" ca="1" si="45"/>
        <v>-2.2299999999999898</v>
      </c>
      <c r="O138">
        <f t="shared" ca="1" si="46"/>
        <v>0</v>
      </c>
      <c r="P138">
        <f t="shared" ca="1" si="47"/>
        <v>2.2299999999999898</v>
      </c>
      <c r="Q138">
        <f t="shared" ca="1" si="30"/>
        <v>1.1178725771478313</v>
      </c>
      <c r="R138">
        <f t="shared" ca="1" si="31"/>
        <v>0.49791122331836585</v>
      </c>
      <c r="S138">
        <f t="shared" ca="1" si="28"/>
        <v>2.2451242807858147</v>
      </c>
      <c r="T138">
        <f t="shared" ca="1" si="29"/>
        <v>69.184539220240666</v>
      </c>
      <c r="U138">
        <f>70</f>
        <v>70</v>
      </c>
      <c r="V138">
        <f>30</f>
        <v>30</v>
      </c>
      <c r="W138">
        <f t="shared" ca="1" si="27"/>
        <v>181.01465370342825</v>
      </c>
      <c r="X138">
        <f t="shared" ca="1" si="37"/>
        <v>177.31592243899047</v>
      </c>
      <c r="Y138">
        <f t="shared" ca="1" si="36"/>
        <v>3.6030693938640752</v>
      </c>
      <c r="Z138">
        <f t="shared" ca="1" si="38"/>
        <v>2.8204632535309617</v>
      </c>
      <c r="AA138">
        <f t="shared" ca="1" si="39"/>
        <v>0.78260614033311349</v>
      </c>
      <c r="AB138">
        <f t="shared" ca="1" si="40"/>
        <v>178.77900000000005</v>
      </c>
    </row>
    <row r="139" spans="1:28" x14ac:dyDescent="0.25">
      <c r="A139" s="20">
        <f t="shared" ca="1" si="41"/>
        <v>45488</v>
      </c>
      <c r="B139" vm="412">
        <f ca="1"/>
        <v>45492</v>
      </c>
      <c r="C139" vm="413">
        <f ca="1"/>
        <v>183.25</v>
      </c>
      <c r="D139" vm="414">
        <f ca="1"/>
        <v>3816039</v>
      </c>
      <c r="E139">
        <f t="shared" ca="1" si="42"/>
        <v>699289146.75</v>
      </c>
      <c r="F139">
        <f ca="1">SUM($E$2:E139)/SUM($D$2:D139)</f>
        <v>179.28934473085445</v>
      </c>
      <c r="G139">
        <f ca="1">_xlfn.STDEV.P($C$2:C139)</f>
        <v>10.181617563831939</v>
      </c>
      <c r="H139">
        <f t="shared" ca="1" si="43"/>
        <v>189.47096229468639</v>
      </c>
      <c r="I139">
        <f t="shared" ca="1" si="44"/>
        <v>169.10772716702252</v>
      </c>
      <c r="J139">
        <f t="shared" ca="1" si="32"/>
        <v>177.87999999999997</v>
      </c>
      <c r="K139">
        <f t="shared" ca="1" si="33"/>
        <v>5.0282015200582197</v>
      </c>
      <c r="L139">
        <f t="shared" ca="1" si="34"/>
        <v>187.9364030401164</v>
      </c>
      <c r="M139">
        <f t="shared" ca="1" si="35"/>
        <v>167.82359695988353</v>
      </c>
      <c r="N139">
        <f t="shared" ca="1" si="45"/>
        <v>-1.9699999999999989</v>
      </c>
      <c r="O139">
        <f t="shared" ca="1" si="46"/>
        <v>0</v>
      </c>
      <c r="P139">
        <f t="shared" ca="1" si="47"/>
        <v>1.9699999999999989</v>
      </c>
      <c r="Q139">
        <f t="shared" ca="1" si="30"/>
        <v>1.0380245359229863</v>
      </c>
      <c r="R139">
        <f t="shared" ca="1" si="31"/>
        <v>0.60306042165276819</v>
      </c>
      <c r="S139">
        <f t="shared" ca="1" si="28"/>
        <v>1.7212612511995737</v>
      </c>
      <c r="T139">
        <f t="shared" ca="1" si="29"/>
        <v>63.252333837510655</v>
      </c>
      <c r="U139">
        <f>70</f>
        <v>70</v>
      </c>
      <c r="V139">
        <f>30</f>
        <v>30</v>
      </c>
      <c r="W139">
        <f t="shared" ca="1" si="27"/>
        <v>181.35855313367006</v>
      </c>
      <c r="X139">
        <f t="shared" ca="1" si="37"/>
        <v>177.75548373980598</v>
      </c>
      <c r="Y139">
        <f t="shared" ca="1" si="36"/>
        <v>3.5588548867893337</v>
      </c>
      <c r="Z139">
        <f t="shared" ca="1" si="38"/>
        <v>2.9681415801826363</v>
      </c>
      <c r="AA139">
        <f t="shared" ca="1" si="39"/>
        <v>0.59071330660669741</v>
      </c>
      <c r="AB139">
        <f t="shared" ca="1" si="40"/>
        <v>178.77020000000005</v>
      </c>
    </row>
    <row r="140" spans="1:28" x14ac:dyDescent="0.25">
      <c r="A140" s="20">
        <f t="shared" ca="1" si="41"/>
        <v>45495</v>
      </c>
      <c r="B140" vm="415">
        <f ca="1"/>
        <v>45495</v>
      </c>
      <c r="C140" vm="416">
        <f ca="1"/>
        <v>184.15</v>
      </c>
      <c r="D140" vm="417">
        <f ca="1"/>
        <v>2488525</v>
      </c>
      <c r="E140">
        <f t="shared" ca="1" si="42"/>
        <v>458261878.75</v>
      </c>
      <c r="F140">
        <f ca="1">SUM($E$2:E140)/SUM($D$2:D140)</f>
        <v>179.30909002446029</v>
      </c>
      <c r="G140">
        <f ca="1">_xlfn.STDEV.P($C$2:C140)</f>
        <v>10.157226717635455</v>
      </c>
      <c r="H140">
        <f t="shared" ca="1" si="43"/>
        <v>189.46631674209576</v>
      </c>
      <c r="I140">
        <f t="shared" ca="1" si="44"/>
        <v>169.15186330682482</v>
      </c>
      <c r="J140">
        <f t="shared" ca="1" si="32"/>
        <v>178.46449999999999</v>
      </c>
      <c r="K140">
        <f t="shared" ca="1" si="33"/>
        <v>5.0444189848521566</v>
      </c>
      <c r="L140">
        <f t="shared" ca="1" si="34"/>
        <v>188.5533379697043</v>
      </c>
      <c r="M140">
        <f t="shared" ca="1" si="35"/>
        <v>168.37566203029567</v>
      </c>
      <c r="N140">
        <f t="shared" ca="1" si="45"/>
        <v>0.90000000000000568</v>
      </c>
      <c r="O140">
        <f t="shared" ca="1" si="46"/>
        <v>0.90000000000000568</v>
      </c>
      <c r="P140">
        <f t="shared" ca="1" si="47"/>
        <v>0</v>
      </c>
      <c r="Q140">
        <f t="shared" ca="1" si="30"/>
        <v>1.0281656404999162</v>
      </c>
      <c r="R140">
        <f t="shared" ca="1" si="31"/>
        <v>0.55998467724899903</v>
      </c>
      <c r="S140">
        <f t="shared" ca="1" si="28"/>
        <v>1.8360603107051428</v>
      </c>
      <c r="T140">
        <f t="shared" ca="1" si="29"/>
        <v>64.739818958526826</v>
      </c>
      <c r="U140">
        <f>70</f>
        <v>70</v>
      </c>
      <c r="V140">
        <f>30</f>
        <v>30</v>
      </c>
      <c r="W140">
        <f t="shared" ca="1" si="27"/>
        <v>181.7880064977208</v>
      </c>
      <c r="X140">
        <f t="shared" ca="1" si="37"/>
        <v>178.22915161093147</v>
      </c>
      <c r="Y140">
        <f t="shared" ca="1" si="36"/>
        <v>3.4796685363827464</v>
      </c>
      <c r="Z140">
        <f t="shared" ca="1" si="38"/>
        <v>3.0704469714226588</v>
      </c>
      <c r="AA140">
        <f t="shared" ca="1" si="39"/>
        <v>0.40922156496008766</v>
      </c>
      <c r="AB140">
        <f t="shared" ca="1" si="40"/>
        <v>178.76300000000006</v>
      </c>
    </row>
    <row r="141" spans="1:28" x14ac:dyDescent="0.25">
      <c r="A141" s="20">
        <f t="shared" ca="1" si="41"/>
        <v>45495</v>
      </c>
      <c r="B141" vm="418">
        <f ca="1"/>
        <v>45496</v>
      </c>
      <c r="C141" vm="236">
        <f ca="1"/>
        <v>184.1</v>
      </c>
      <c r="D141" vm="419">
        <f ca="1"/>
        <v>2180225</v>
      </c>
      <c r="E141">
        <f t="shared" ca="1" si="42"/>
        <v>401379422.5</v>
      </c>
      <c r="F141">
        <f ca="1">SUM($E$2:E141)/SUM($D$2:D141)</f>
        <v>179.32608040797732</v>
      </c>
      <c r="G141">
        <f ca="1">_xlfn.STDEV.P($C$2:C141)</f>
        <v>10.13274753621411</v>
      </c>
      <c r="H141">
        <f t="shared" ca="1" si="43"/>
        <v>189.45882794419143</v>
      </c>
      <c r="I141">
        <f t="shared" ca="1" si="44"/>
        <v>169.1933328717632</v>
      </c>
      <c r="J141">
        <f t="shared" ca="1" si="32"/>
        <v>178.91899999999998</v>
      </c>
      <c r="K141">
        <f t="shared" ca="1" si="33"/>
        <v>5.1256372132745875</v>
      </c>
      <c r="L141">
        <f t="shared" ca="1" si="34"/>
        <v>189.17027442654916</v>
      </c>
      <c r="M141">
        <f t="shared" ca="1" si="35"/>
        <v>168.66772557345081</v>
      </c>
      <c r="N141">
        <f t="shared" ca="1" si="45"/>
        <v>-5.0000000000011369E-2</v>
      </c>
      <c r="O141">
        <f t="shared" ca="1" si="46"/>
        <v>0</v>
      </c>
      <c r="P141">
        <f t="shared" ca="1" si="47"/>
        <v>5.0000000000011369E-2</v>
      </c>
      <c r="Q141">
        <f t="shared" ca="1" si="30"/>
        <v>0.95472523760706507</v>
      </c>
      <c r="R141">
        <f t="shared" ca="1" si="31"/>
        <v>0.52355720030264274</v>
      </c>
      <c r="S141">
        <f t="shared" ca="1" si="28"/>
        <v>1.823535684458518</v>
      </c>
      <c r="T141">
        <f t="shared" ca="1" si="29"/>
        <v>64.583412014083535</v>
      </c>
      <c r="U141">
        <f>70</f>
        <v>70</v>
      </c>
      <c r="V141">
        <f>30</f>
        <v>30</v>
      </c>
      <c r="W141">
        <f t="shared" ca="1" si="27"/>
        <v>182.14369780576374</v>
      </c>
      <c r="X141">
        <f t="shared" ca="1" si="37"/>
        <v>178.66402926938099</v>
      </c>
      <c r="Y141">
        <f t="shared" ca="1" si="36"/>
        <v>3.3715918397806206</v>
      </c>
      <c r="Z141">
        <f t="shared" ca="1" si="38"/>
        <v>3.1306759450942514</v>
      </c>
      <c r="AA141">
        <f t="shared" ca="1" si="39"/>
        <v>0.2409158946863692</v>
      </c>
      <c r="AB141">
        <f t="shared" ca="1" si="40"/>
        <v>178.75100000000003</v>
      </c>
    </row>
    <row r="142" spans="1:28" x14ac:dyDescent="0.25">
      <c r="A142" s="20">
        <f t="shared" ca="1" si="41"/>
        <v>45495</v>
      </c>
      <c r="B142" vm="420">
        <f ca="1"/>
        <v>45497</v>
      </c>
      <c r="C142" vm="421">
        <f ca="1"/>
        <v>184.02</v>
      </c>
      <c r="D142" vm="422">
        <f ca="1"/>
        <v>6962071</v>
      </c>
      <c r="E142">
        <f t="shared" ca="1" si="42"/>
        <v>1281160305.4200001</v>
      </c>
      <c r="F142">
        <f ca="1">SUM($E$2:E142)/SUM($D$2:D142)</f>
        <v>179.37864186376308</v>
      </c>
      <c r="G142">
        <f ca="1">_xlfn.STDEV.P($C$2:C142)</f>
        <v>10.108070363054638</v>
      </c>
      <c r="H142">
        <f t="shared" ca="1" si="43"/>
        <v>189.48671222681773</v>
      </c>
      <c r="I142">
        <f t="shared" ca="1" si="44"/>
        <v>169.27057150070843</v>
      </c>
      <c r="J142">
        <f t="shared" ca="1" si="32"/>
        <v>179.48999999999998</v>
      </c>
      <c r="K142">
        <f t="shared" ca="1" si="33"/>
        <v>5.0196487610400133</v>
      </c>
      <c r="L142">
        <f t="shared" ca="1" si="34"/>
        <v>189.52929752208001</v>
      </c>
      <c r="M142">
        <f t="shared" ca="1" si="35"/>
        <v>169.45070247791995</v>
      </c>
      <c r="N142">
        <f t="shared" ca="1" si="45"/>
        <v>-7.9999999999984084E-2</v>
      </c>
      <c r="O142">
        <f t="shared" ca="1" si="46"/>
        <v>0</v>
      </c>
      <c r="P142">
        <f t="shared" ca="1" si="47"/>
        <v>7.9999999999984084E-2</v>
      </c>
      <c r="Q142">
        <f t="shared" ca="1" si="30"/>
        <v>0.88653057777798894</v>
      </c>
      <c r="R142">
        <f t="shared" ca="1" si="31"/>
        <v>0.49187454313816709</v>
      </c>
      <c r="S142">
        <f t="shared" ca="1" si="28"/>
        <v>1.8023510062584462</v>
      </c>
      <c r="T142">
        <f t="shared" ca="1" si="29"/>
        <v>64.31567645285277</v>
      </c>
      <c r="U142">
        <f>70</f>
        <v>70</v>
      </c>
      <c r="V142">
        <f>30</f>
        <v>30</v>
      </c>
      <c r="W142">
        <f t="shared" ca="1" si="27"/>
        <v>182.43235968180008</v>
      </c>
      <c r="X142">
        <f t="shared" ca="1" si="37"/>
        <v>179.06076784201946</v>
      </c>
      <c r="Y142">
        <f t="shared" ca="1" si="36"/>
        <v>3.8834794211917085</v>
      </c>
      <c r="Z142">
        <f t="shared" ca="1" si="38"/>
        <v>3.2812366403137432</v>
      </c>
      <c r="AA142">
        <f t="shared" ca="1" si="39"/>
        <v>0.60224278087796534</v>
      </c>
      <c r="AB142">
        <f t="shared" ca="1" si="40"/>
        <v>178.74090000000001</v>
      </c>
    </row>
    <row r="143" spans="1:28" x14ac:dyDescent="0.25">
      <c r="A143" s="20">
        <f t="shared" ca="1" si="41"/>
        <v>45495</v>
      </c>
      <c r="B143" vm="423">
        <f ca="1"/>
        <v>45498</v>
      </c>
      <c r="C143" vm="424">
        <f ca="1"/>
        <v>191.98</v>
      </c>
      <c r="D143" vm="425">
        <f ca="1"/>
        <v>9532802</v>
      </c>
      <c r="E143">
        <f t="shared" ca="1" si="42"/>
        <v>1830107327.9599998</v>
      </c>
      <c r="F143">
        <f ca="1">SUM($E$2:E143)/SUM($D$2:D143)</f>
        <v>179.56893490961338</v>
      </c>
      <c r="G143">
        <f ca="1">_xlfn.STDEV.P($C$2:C143)</f>
        <v>10.136587330937113</v>
      </c>
      <c r="H143">
        <f t="shared" ca="1" si="43"/>
        <v>189.70552224055049</v>
      </c>
      <c r="I143">
        <f t="shared" ca="1" si="44"/>
        <v>169.43234757867626</v>
      </c>
      <c r="J143">
        <f t="shared" ca="1" si="32"/>
        <v>180.49549999999996</v>
      </c>
      <c r="K143">
        <f t="shared" ca="1" si="33"/>
        <v>5.4117595883506562</v>
      </c>
      <c r="L143">
        <f t="shared" ca="1" si="34"/>
        <v>191.31901917670129</v>
      </c>
      <c r="M143">
        <f t="shared" ca="1" si="35"/>
        <v>169.67198082329864</v>
      </c>
      <c r="N143">
        <f t="shared" ca="1" si="45"/>
        <v>7.9599999999999795</v>
      </c>
      <c r="O143">
        <f t="shared" ca="1" si="46"/>
        <v>7.9599999999999795</v>
      </c>
      <c r="P143">
        <f t="shared" ca="1" si="47"/>
        <v>0</v>
      </c>
      <c r="Q143">
        <f t="shared" ca="1" si="30"/>
        <v>1.3917783936509882</v>
      </c>
      <c r="R143">
        <f t="shared" ca="1" si="31"/>
        <v>0.45674064719972657</v>
      </c>
      <c r="S143">
        <f t="shared" ca="1" si="28"/>
        <v>3.047196263752681</v>
      </c>
      <c r="T143">
        <f t="shared" ca="1" si="29"/>
        <v>75.291536786684759</v>
      </c>
      <c r="U143">
        <f>70</f>
        <v>70</v>
      </c>
      <c r="V143">
        <f>30</f>
        <v>30</v>
      </c>
      <c r="W143">
        <f t="shared" ref="W143:W206" ca="1" si="48">C143*(2/(12+1)) + W142*(1-(2/(12+1)))</f>
        <v>183.90122742306158</v>
      </c>
      <c r="X143">
        <f t="shared" ca="1" si="37"/>
        <v>180.01774800186988</v>
      </c>
      <c r="Y143">
        <f t="shared" ca="1" si="36"/>
        <v>4.2219271910016687</v>
      </c>
      <c r="Z143">
        <f t="shared" ca="1" si="38"/>
        <v>3.4693747504513284</v>
      </c>
      <c r="AA143">
        <f t="shared" ca="1" si="39"/>
        <v>0.75255244055034032</v>
      </c>
      <c r="AB143">
        <f t="shared" ca="1" si="40"/>
        <v>178.77869999999999</v>
      </c>
    </row>
    <row r="144" spans="1:28" x14ac:dyDescent="0.25">
      <c r="A144" s="20">
        <f t="shared" ca="1" si="41"/>
        <v>45495</v>
      </c>
      <c r="B144" vm="426">
        <f ca="1"/>
        <v>45499</v>
      </c>
      <c r="C144" vm="427">
        <f ca="1"/>
        <v>191.75</v>
      </c>
      <c r="D144" vm="428">
        <f ca="1"/>
        <v>4294875</v>
      </c>
      <c r="E144">
        <f t="shared" ca="1" si="42"/>
        <v>823542281.25</v>
      </c>
      <c r="F144">
        <f ca="1">SUM($E$2:E144)/SUM($D$2:D144)</f>
        <v>179.65124935281563</v>
      </c>
      <c r="G144">
        <f ca="1">_xlfn.STDEV.P($C$2:C144)</f>
        <v>10.161634055605095</v>
      </c>
      <c r="H144">
        <f t="shared" ca="1" si="43"/>
        <v>189.81288340842073</v>
      </c>
      <c r="I144">
        <f t="shared" ca="1" si="44"/>
        <v>169.48961529721052</v>
      </c>
      <c r="J144">
        <f t="shared" ca="1" si="32"/>
        <v>181.54049999999995</v>
      </c>
      <c r="K144">
        <f t="shared" ca="1" si="33"/>
        <v>5.4687788254879415</v>
      </c>
      <c r="L144">
        <f t="shared" ca="1" si="34"/>
        <v>192.47805765097584</v>
      </c>
      <c r="M144">
        <f t="shared" ca="1" si="35"/>
        <v>170.60294234902406</v>
      </c>
      <c r="N144">
        <f t="shared" ca="1" si="45"/>
        <v>-0.22999999999998977</v>
      </c>
      <c r="O144">
        <f t="shared" ca="1" si="46"/>
        <v>0</v>
      </c>
      <c r="P144">
        <f t="shared" ca="1" si="47"/>
        <v>0.22999999999998977</v>
      </c>
      <c r="Q144">
        <f t="shared" ca="1" si="30"/>
        <v>1.2923656512473463</v>
      </c>
      <c r="R144">
        <f t="shared" ca="1" si="31"/>
        <v>0.44054488668545966</v>
      </c>
      <c r="S144">
        <f t="shared" ref="S144:S207" ca="1" si="49">IF(R144=0,NA(),Q144/R144)</f>
        <v>2.9335618010930853</v>
      </c>
      <c r="T144">
        <f t="shared" ref="T144:T207" ca="1" si="50">100-(100/(1+S144))</f>
        <v>74.577747838559105</v>
      </c>
      <c r="U144">
        <f>70</f>
        <v>70</v>
      </c>
      <c r="V144">
        <f>30</f>
        <v>30</v>
      </c>
      <c r="W144">
        <f t="shared" ca="1" si="48"/>
        <v>185.10873089643673</v>
      </c>
      <c r="X144">
        <f t="shared" ca="1" si="37"/>
        <v>180.88680370543506</v>
      </c>
      <c r="Y144">
        <f t="shared" ca="1" si="36"/>
        <v>4.4190366722943395</v>
      </c>
      <c r="Z144">
        <f t="shared" ca="1" si="38"/>
        <v>3.6593071348199304</v>
      </c>
      <c r="AA144">
        <f t="shared" ca="1" si="39"/>
        <v>0.75972953747440908</v>
      </c>
      <c r="AB144">
        <f t="shared" ca="1" si="40"/>
        <v>178.76559999999998</v>
      </c>
    </row>
    <row r="145" spans="1:28" x14ac:dyDescent="0.25">
      <c r="A145" s="20">
        <f t="shared" ca="1" si="41"/>
        <v>45502</v>
      </c>
      <c r="B145" vm="429">
        <f ca="1"/>
        <v>45502</v>
      </c>
      <c r="C145" vm="430">
        <f ca="1"/>
        <v>191.5</v>
      </c>
      <c r="D145" vm="431">
        <f ca="1"/>
        <v>3336806</v>
      </c>
      <c r="E145">
        <f t="shared" ca="1" si="42"/>
        <v>638998349</v>
      </c>
      <c r="F145">
        <f ca="1">SUM($E$2:E145)/SUM($D$2:D145)</f>
        <v>179.7131321058491</v>
      </c>
      <c r="G145">
        <f ca="1">_xlfn.STDEV.P($C$2:C145)</f>
        <v>10.183228608971952</v>
      </c>
      <c r="H145">
        <f t="shared" ca="1" si="43"/>
        <v>189.89636071482104</v>
      </c>
      <c r="I145">
        <f t="shared" ca="1" si="44"/>
        <v>169.52990349687715</v>
      </c>
      <c r="J145">
        <f t="shared" ca="1" si="32"/>
        <v>182.46799999999996</v>
      </c>
      <c r="K145">
        <f t="shared" ca="1" si="33"/>
        <v>5.5080473185293073</v>
      </c>
      <c r="L145">
        <f t="shared" ca="1" si="34"/>
        <v>193.48409463705858</v>
      </c>
      <c r="M145">
        <f t="shared" ca="1" si="35"/>
        <v>171.45190536294135</v>
      </c>
      <c r="N145">
        <f t="shared" ca="1" si="45"/>
        <v>-0.25</v>
      </c>
      <c r="O145">
        <f t="shared" ca="1" si="46"/>
        <v>0</v>
      </c>
      <c r="P145">
        <f t="shared" ca="1" si="47"/>
        <v>0.25</v>
      </c>
      <c r="Q145">
        <f t="shared" ref="Q145:Q208" ca="1" si="51">(Q144*13+O145)/14</f>
        <v>1.2000538190153929</v>
      </c>
      <c r="R145">
        <f t="shared" ref="R145:R208" ca="1" si="52">(R144*13+P145)/14</f>
        <v>0.42693453763649825</v>
      </c>
      <c r="S145">
        <f t="shared" ca="1" si="49"/>
        <v>2.8108614160355092</v>
      </c>
      <c r="T145">
        <f t="shared" ca="1" si="50"/>
        <v>73.759213709736173</v>
      </c>
      <c r="U145">
        <f>70</f>
        <v>70</v>
      </c>
      <c r="V145">
        <f>30</f>
        <v>30</v>
      </c>
      <c r="W145">
        <f t="shared" ca="1" si="48"/>
        <v>186.09200306621568</v>
      </c>
      <c r="X145">
        <f t="shared" ca="1" si="37"/>
        <v>181.67296639392134</v>
      </c>
      <c r="Y145">
        <f t="shared" ca="1" si="36"/>
        <v>4.4864126286086048</v>
      </c>
      <c r="Z145">
        <f t="shared" ca="1" si="38"/>
        <v>3.8247282335776656</v>
      </c>
      <c r="AA145">
        <f t="shared" ca="1" si="39"/>
        <v>0.66168439503093923</v>
      </c>
      <c r="AB145">
        <f t="shared" ca="1" si="40"/>
        <v>178.76109999999997</v>
      </c>
    </row>
    <row r="146" spans="1:28" x14ac:dyDescent="0.25">
      <c r="A146" s="20">
        <f t="shared" ca="1" si="41"/>
        <v>45502</v>
      </c>
      <c r="B146" vm="432">
        <f ca="1"/>
        <v>45503</v>
      </c>
      <c r="C146" vm="433">
        <f ca="1"/>
        <v>191.04</v>
      </c>
      <c r="D146" vm="434">
        <f ca="1"/>
        <v>3064978</v>
      </c>
      <c r="E146">
        <f t="shared" ca="1" si="42"/>
        <v>585533397.12</v>
      </c>
      <c r="F146">
        <f ca="1">SUM($E$2:E146)/SUM($D$2:D146)</f>
        <v>179.76721063392196</v>
      </c>
      <c r="G146">
        <f ca="1">_xlfn.STDEV.P($C$2:C146)</f>
        <v>10.199804081958868</v>
      </c>
      <c r="H146">
        <f t="shared" ca="1" si="43"/>
        <v>189.96701471588082</v>
      </c>
      <c r="I146">
        <f t="shared" ca="1" si="44"/>
        <v>169.5674065519631</v>
      </c>
      <c r="J146">
        <f t="shared" ca="1" si="32"/>
        <v>183.26499999999999</v>
      </c>
      <c r="K146">
        <f t="shared" ca="1" si="33"/>
        <v>5.5389562953777896</v>
      </c>
      <c r="L146">
        <f t="shared" ca="1" si="34"/>
        <v>194.34291259075556</v>
      </c>
      <c r="M146">
        <f t="shared" ca="1" si="35"/>
        <v>172.18708740924441</v>
      </c>
      <c r="N146">
        <f t="shared" ca="1" si="45"/>
        <v>-0.46000000000000796</v>
      </c>
      <c r="O146">
        <f t="shared" ca="1" si="46"/>
        <v>0</v>
      </c>
      <c r="P146">
        <f t="shared" ca="1" si="47"/>
        <v>0.46000000000000796</v>
      </c>
      <c r="Q146">
        <f t="shared" ca="1" si="51"/>
        <v>1.1143356890857219</v>
      </c>
      <c r="R146">
        <f t="shared" ca="1" si="52"/>
        <v>0.42929635637674896</v>
      </c>
      <c r="S146">
        <f t="shared" ca="1" si="49"/>
        <v>2.5957259420757461</v>
      </c>
      <c r="T146">
        <f t="shared" ca="1" si="50"/>
        <v>72.189204179929277</v>
      </c>
      <c r="U146">
        <f>70</f>
        <v>70</v>
      </c>
      <c r="V146">
        <f>30</f>
        <v>30</v>
      </c>
      <c r="W146">
        <f t="shared" ca="1" si="48"/>
        <v>186.85323336372096</v>
      </c>
      <c r="X146">
        <f t="shared" ca="1" si="37"/>
        <v>182.36682073511236</v>
      </c>
      <c r="Y146">
        <f t="shared" ca="1" si="36"/>
        <v>4.5758221370758179</v>
      </c>
      <c r="Z146">
        <f t="shared" ca="1" si="38"/>
        <v>3.974947014277296</v>
      </c>
      <c r="AA146">
        <f t="shared" ca="1" si="39"/>
        <v>0.60087512279852184</v>
      </c>
      <c r="AB146">
        <f t="shared" ca="1" si="40"/>
        <v>178.70989999999998</v>
      </c>
    </row>
    <row r="147" spans="1:28" x14ac:dyDescent="0.25">
      <c r="A147" s="20">
        <f t="shared" ca="1" si="41"/>
        <v>45502</v>
      </c>
      <c r="B147" vm="435">
        <f ca="1"/>
        <v>45504</v>
      </c>
      <c r="C147" vm="436">
        <f ca="1"/>
        <v>192.14</v>
      </c>
      <c r="D147" vm="437">
        <f ca="1"/>
        <v>5558405</v>
      </c>
      <c r="E147">
        <f t="shared" ca="1" si="42"/>
        <v>1067991936.6999999</v>
      </c>
      <c r="F147">
        <f ca="1">SUM($E$2:E147)/SUM($D$2:D147)</f>
        <v>179.87341964400161</v>
      </c>
      <c r="G147">
        <f ca="1">_xlfn.STDEV.P($C$2:C147)</f>
        <v>10.224843315871164</v>
      </c>
      <c r="H147">
        <f t="shared" ca="1" si="43"/>
        <v>190.09826295987278</v>
      </c>
      <c r="I147">
        <f t="shared" ca="1" si="44"/>
        <v>169.64857632813045</v>
      </c>
      <c r="J147">
        <f t="shared" ca="1" si="32"/>
        <v>184.00700000000001</v>
      </c>
      <c r="K147">
        <f t="shared" ca="1" si="33"/>
        <v>5.6897591291168386</v>
      </c>
      <c r="L147">
        <f t="shared" ca="1" si="34"/>
        <v>195.38651825823368</v>
      </c>
      <c r="M147">
        <f t="shared" ca="1" si="35"/>
        <v>172.62748174176633</v>
      </c>
      <c r="N147">
        <f t="shared" ca="1" si="45"/>
        <v>1.0999999999999943</v>
      </c>
      <c r="O147">
        <f t="shared" ca="1" si="46"/>
        <v>1.0999999999999943</v>
      </c>
      <c r="P147">
        <f t="shared" ca="1" si="47"/>
        <v>0</v>
      </c>
      <c r="Q147">
        <f t="shared" ca="1" si="51"/>
        <v>1.1133117112938842</v>
      </c>
      <c r="R147">
        <f t="shared" ca="1" si="52"/>
        <v>0.39863233092126688</v>
      </c>
      <c r="S147">
        <f t="shared" ca="1" si="49"/>
        <v>2.7928284409870714</v>
      </c>
      <c r="T147">
        <f t="shared" ca="1" si="50"/>
        <v>73.634452083475907</v>
      </c>
      <c r="U147">
        <f>70</f>
        <v>70</v>
      </c>
      <c r="V147">
        <f>30</f>
        <v>30</v>
      </c>
      <c r="W147">
        <f t="shared" ca="1" si="48"/>
        <v>187.66658207699467</v>
      </c>
      <c r="X147">
        <f t="shared" ca="1" si="37"/>
        <v>183.09075993991885</v>
      </c>
      <c r="Y147">
        <f t="shared" ca="1" si="36"/>
        <v>4.3958914427173283</v>
      </c>
      <c r="Z147">
        <f t="shared" ca="1" si="38"/>
        <v>4.0591358999653027</v>
      </c>
      <c r="AA147">
        <f t="shared" ca="1" si="39"/>
        <v>0.33675554275202568</v>
      </c>
      <c r="AB147">
        <f t="shared" ca="1" si="40"/>
        <v>178.66589999999997</v>
      </c>
    </row>
    <row r="148" spans="1:28" x14ac:dyDescent="0.25">
      <c r="A148" s="20">
        <f t="shared" ca="1" si="41"/>
        <v>45502</v>
      </c>
      <c r="B148" vm="438">
        <f ca="1"/>
        <v>45505</v>
      </c>
      <c r="C148" vm="439">
        <f ca="1"/>
        <v>189.66</v>
      </c>
      <c r="D148" vm="440">
        <f ca="1"/>
        <v>4085354</v>
      </c>
      <c r="E148">
        <f t="shared" ca="1" si="42"/>
        <v>774828239.63999999</v>
      </c>
      <c r="F148">
        <f ca="1">SUM($E$2:E148)/SUM($D$2:D148)</f>
        <v>179.93477786768509</v>
      </c>
      <c r="G148">
        <f ca="1">_xlfn.STDEV.P($C$2:C148)</f>
        <v>10.228902431516863</v>
      </c>
      <c r="H148">
        <f t="shared" ca="1" si="43"/>
        <v>190.16368029920196</v>
      </c>
      <c r="I148">
        <f t="shared" ca="1" si="44"/>
        <v>169.70587543616821</v>
      </c>
      <c r="J148">
        <f t="shared" ca="1" si="32"/>
        <v>184.70349999999999</v>
      </c>
      <c r="K148">
        <f t="shared" ca="1" si="33"/>
        <v>5.4716458362995963</v>
      </c>
      <c r="L148">
        <f t="shared" ca="1" si="34"/>
        <v>195.64679167259919</v>
      </c>
      <c r="M148">
        <f t="shared" ca="1" si="35"/>
        <v>173.76020832740079</v>
      </c>
      <c r="N148">
        <f t="shared" ca="1" si="45"/>
        <v>-2.4799999999999898</v>
      </c>
      <c r="O148">
        <f t="shared" ca="1" si="46"/>
        <v>0</v>
      </c>
      <c r="P148">
        <f t="shared" ca="1" si="47"/>
        <v>2.4799999999999898</v>
      </c>
      <c r="Q148">
        <f t="shared" ca="1" si="51"/>
        <v>1.0337894462014638</v>
      </c>
      <c r="R148">
        <f t="shared" ca="1" si="52"/>
        <v>0.5473014501411757</v>
      </c>
      <c r="S148">
        <f t="shared" ca="1" si="49"/>
        <v>1.8888849023418433</v>
      </c>
      <c r="T148">
        <f t="shared" ca="1" si="50"/>
        <v>65.384567616752022</v>
      </c>
      <c r="U148">
        <f>70</f>
        <v>70</v>
      </c>
      <c r="V148">
        <f>30</f>
        <v>30</v>
      </c>
      <c r="W148">
        <f t="shared" ca="1" si="48"/>
        <v>187.97326175745701</v>
      </c>
      <c r="X148">
        <f t="shared" ca="1" si="37"/>
        <v>183.57737031473968</v>
      </c>
      <c r="Y148">
        <f t="shared" ca="1" si="36"/>
        <v>4.1617475489296964</v>
      </c>
      <c r="Z148">
        <f t="shared" ca="1" si="38"/>
        <v>4.0796582297581816</v>
      </c>
      <c r="AA148">
        <f t="shared" ca="1" si="39"/>
        <v>8.2089319171514852E-2</v>
      </c>
      <c r="AB148">
        <f t="shared" ca="1" si="40"/>
        <v>178.60299999999995</v>
      </c>
    </row>
    <row r="149" spans="1:28" x14ac:dyDescent="0.25">
      <c r="A149" s="20">
        <f t="shared" ca="1" si="41"/>
        <v>45502</v>
      </c>
      <c r="B149" vm="441">
        <f ca="1"/>
        <v>45506</v>
      </c>
      <c r="C149" vm="442">
        <f ca="1"/>
        <v>189.12</v>
      </c>
      <c r="D149" vm="443">
        <f ca="1"/>
        <v>4548824</v>
      </c>
      <c r="E149">
        <f t="shared" ca="1" si="42"/>
        <v>860273594.88</v>
      </c>
      <c r="F149">
        <f ca="1">SUM($E$2:E149)/SUM($D$2:D149)</f>
        <v>179.99845444077908</v>
      </c>
      <c r="G149">
        <f ca="1">_xlfn.STDEV.P($C$2:C149)</f>
        <v>10.228665343917539</v>
      </c>
      <c r="H149">
        <f t="shared" ca="1" si="43"/>
        <v>190.22711978469661</v>
      </c>
      <c r="I149">
        <f t="shared" ca="1" si="44"/>
        <v>169.76978909686156</v>
      </c>
      <c r="J149">
        <f t="shared" ca="1" si="32"/>
        <v>185.35849999999999</v>
      </c>
      <c r="K149">
        <f t="shared" ca="1" si="33"/>
        <v>5.1522149299316418</v>
      </c>
      <c r="L149">
        <f t="shared" ca="1" si="34"/>
        <v>195.66292985986328</v>
      </c>
      <c r="M149">
        <f t="shared" ca="1" si="35"/>
        <v>175.0540701401367</v>
      </c>
      <c r="N149">
        <f t="shared" ca="1" si="45"/>
        <v>-0.53999999999999204</v>
      </c>
      <c r="O149">
        <f t="shared" ca="1" si="46"/>
        <v>0</v>
      </c>
      <c r="P149">
        <f t="shared" ca="1" si="47"/>
        <v>0.53999999999999204</v>
      </c>
      <c r="Q149">
        <f t="shared" ca="1" si="51"/>
        <v>0.9599473429013593</v>
      </c>
      <c r="R149">
        <f t="shared" ca="1" si="52"/>
        <v>0.546779917988234</v>
      </c>
      <c r="S149">
        <f t="shared" ca="1" si="49"/>
        <v>1.7556375267645001</v>
      </c>
      <c r="T149">
        <f t="shared" ca="1" si="50"/>
        <v>63.710756937827796</v>
      </c>
      <c r="U149">
        <f>70</f>
        <v>70</v>
      </c>
      <c r="V149">
        <f>30</f>
        <v>30</v>
      </c>
      <c r="W149">
        <f t="shared" ca="1" si="48"/>
        <v>188.14968302554053</v>
      </c>
      <c r="X149">
        <f t="shared" ca="1" si="37"/>
        <v>183.98793547661083</v>
      </c>
      <c r="Y149">
        <f t="shared" ca="1" si="36"/>
        <v>3.4673983723276933</v>
      </c>
      <c r="Z149">
        <f t="shared" ca="1" si="38"/>
        <v>3.9572062582720839</v>
      </c>
      <c r="AA149">
        <f t="shared" ca="1" si="39"/>
        <v>-0.48980788594439062</v>
      </c>
      <c r="AB149">
        <f t="shared" ca="1" si="40"/>
        <v>178.57689999999994</v>
      </c>
    </row>
    <row r="150" spans="1:28" x14ac:dyDescent="0.25">
      <c r="A150" s="20">
        <f t="shared" ca="1" si="41"/>
        <v>45509</v>
      </c>
      <c r="B150" vm="444">
        <f ca="1"/>
        <v>45509</v>
      </c>
      <c r="C150" vm="445">
        <f ca="1"/>
        <v>183.31</v>
      </c>
      <c r="D150" vm="446">
        <f ca="1"/>
        <v>4975002</v>
      </c>
      <c r="E150">
        <f t="shared" ca="1" si="42"/>
        <v>911967616.62</v>
      </c>
      <c r="F150">
        <f ca="1">SUM($E$2:E150)/SUM($D$2:D150)</f>
        <v>180.02337366261364</v>
      </c>
      <c r="G150">
        <f ca="1">_xlfn.STDEV.P($C$2:C150)</f>
        <v>10.200466201784636</v>
      </c>
      <c r="H150">
        <f t="shared" ca="1" si="43"/>
        <v>190.22383986439826</v>
      </c>
      <c r="I150">
        <f t="shared" ca="1" si="44"/>
        <v>169.82290746082901</v>
      </c>
      <c r="J150">
        <f t="shared" ref="J150:J213" ca="1" si="53">AVERAGE(C131:C150)</f>
        <v>185.642</v>
      </c>
      <c r="K150">
        <f t="shared" ref="K150:K213" ca="1" si="54">_xlfn.STDEV.S(C131:C150)</f>
        <v>4.8524259803459984</v>
      </c>
      <c r="L150">
        <f t="shared" ref="L150:L213" ca="1" si="55">J150 + 2*K150</f>
        <v>195.34685196069199</v>
      </c>
      <c r="M150">
        <f t="shared" ref="M150:M213" ca="1" si="56">J150-2*K150</f>
        <v>175.937148039308</v>
      </c>
      <c r="N150">
        <f t="shared" ca="1" si="45"/>
        <v>-5.8100000000000023</v>
      </c>
      <c r="O150">
        <f t="shared" ca="1" si="46"/>
        <v>0</v>
      </c>
      <c r="P150">
        <f t="shared" ca="1" si="47"/>
        <v>5.8100000000000023</v>
      </c>
      <c r="Q150">
        <f t="shared" ca="1" si="51"/>
        <v>0.8913796755512623</v>
      </c>
      <c r="R150">
        <f t="shared" ca="1" si="52"/>
        <v>0.92272420956050305</v>
      </c>
      <c r="S150">
        <f t="shared" ca="1" si="49"/>
        <v>0.96603044150735973</v>
      </c>
      <c r="T150">
        <f t="shared" ca="1" si="50"/>
        <v>49.136087677599853</v>
      </c>
      <c r="U150">
        <f>70</f>
        <v>70</v>
      </c>
      <c r="V150">
        <f>30</f>
        <v>30</v>
      </c>
      <c r="W150">
        <f t="shared" ca="1" si="48"/>
        <v>187.4051164062266</v>
      </c>
      <c r="X150">
        <f t="shared" ca="1" si="37"/>
        <v>183.9377180338989</v>
      </c>
      <c r="Y150">
        <f t="shared" ca="1" si="36"/>
        <v>3.1622826542226505</v>
      </c>
      <c r="Z150">
        <f t="shared" ca="1" si="38"/>
        <v>3.7982215374621973</v>
      </c>
      <c r="AA150">
        <f t="shared" ca="1" si="39"/>
        <v>-0.63593888323954673</v>
      </c>
      <c r="AB150">
        <f t="shared" ca="1" si="40"/>
        <v>178.43219999999997</v>
      </c>
    </row>
    <row r="151" spans="1:28" x14ac:dyDescent="0.25">
      <c r="A151" s="20">
        <f t="shared" ca="1" si="41"/>
        <v>45509</v>
      </c>
      <c r="B151" vm="447">
        <f ca="1"/>
        <v>45510</v>
      </c>
      <c r="C151" vm="448">
        <f ca="1"/>
        <v>186.8</v>
      </c>
      <c r="D151" vm="449">
        <f ca="1"/>
        <v>3632517</v>
      </c>
      <c r="E151">
        <f t="shared" ca="1" si="42"/>
        <v>678554175.60000002</v>
      </c>
      <c r="F151">
        <f ca="1">SUM($E$2:E151)/SUM($D$2:D151)</f>
        <v>180.06040351941226</v>
      </c>
      <c r="G151">
        <f ca="1">_xlfn.STDEV.P($C$2:C151)</f>
        <v>10.186254660079923</v>
      </c>
      <c r="H151">
        <f t="shared" ca="1" si="43"/>
        <v>190.24665817949219</v>
      </c>
      <c r="I151">
        <f t="shared" ca="1" si="44"/>
        <v>169.87414885933234</v>
      </c>
      <c r="J151">
        <f t="shared" ca="1" si="53"/>
        <v>186.15799999999999</v>
      </c>
      <c r="K151">
        <f t="shared" ca="1" si="54"/>
        <v>4.3495209657592078</v>
      </c>
      <c r="L151">
        <f t="shared" ca="1" si="55"/>
        <v>194.85704193151841</v>
      </c>
      <c r="M151">
        <f t="shared" ca="1" si="56"/>
        <v>177.45895806848156</v>
      </c>
      <c r="N151">
        <f t="shared" ca="1" si="45"/>
        <v>3.4900000000000091</v>
      </c>
      <c r="O151">
        <f t="shared" ca="1" si="46"/>
        <v>3.4900000000000091</v>
      </c>
      <c r="P151">
        <f t="shared" ca="1" si="47"/>
        <v>0</v>
      </c>
      <c r="Q151">
        <f t="shared" ca="1" si="51"/>
        <v>1.0769954130118871</v>
      </c>
      <c r="R151">
        <f t="shared" ca="1" si="52"/>
        <v>0.85681533744903859</v>
      </c>
      <c r="S151">
        <f t="shared" ca="1" si="49"/>
        <v>1.2569749465717801</v>
      </c>
      <c r="T151">
        <f t="shared" ca="1" si="50"/>
        <v>55.692906493315547</v>
      </c>
      <c r="U151">
        <f>70</f>
        <v>70</v>
      </c>
      <c r="V151">
        <f>30</f>
        <v>30</v>
      </c>
      <c r="W151">
        <f t="shared" ca="1" si="48"/>
        <v>187.31202157449943</v>
      </c>
      <c r="X151">
        <f t="shared" ca="1" si="37"/>
        <v>184.14973892027677</v>
      </c>
      <c r="Y151">
        <f t="shared" ca="1" si="36"/>
        <v>2.8871944687645907</v>
      </c>
      <c r="Z151">
        <f t="shared" ca="1" si="38"/>
        <v>3.6160161237226762</v>
      </c>
      <c r="AA151">
        <f t="shared" ca="1" si="39"/>
        <v>-0.72882165495808549</v>
      </c>
      <c r="AB151">
        <f t="shared" ca="1" si="40"/>
        <v>178.33319999999992</v>
      </c>
    </row>
    <row r="152" spans="1:28" x14ac:dyDescent="0.25">
      <c r="A152" s="20">
        <f t="shared" ca="1" si="41"/>
        <v>45509</v>
      </c>
      <c r="B152" vm="450">
        <f ca="1"/>
        <v>45511</v>
      </c>
      <c r="C152" vm="448">
        <f ca="1"/>
        <v>186.8</v>
      </c>
      <c r="D152" vm="451">
        <f ca="1"/>
        <v>3801942</v>
      </c>
      <c r="E152">
        <f t="shared" ca="1" si="42"/>
        <v>710202765.60000002</v>
      </c>
      <c r="F152">
        <f ca="1">SUM($E$2:E152)/SUM($D$2:D152)</f>
        <v>180.09872951742034</v>
      </c>
      <c r="G152">
        <f ca="1">_xlfn.STDEV.P($C$2:C152)</f>
        <v>10.171950647901022</v>
      </c>
      <c r="H152">
        <f t="shared" ca="1" si="43"/>
        <v>190.27068016532135</v>
      </c>
      <c r="I152">
        <f t="shared" ca="1" si="44"/>
        <v>169.92677886951932</v>
      </c>
      <c r="J152">
        <f t="shared" ca="1" si="53"/>
        <v>186.60599999999999</v>
      </c>
      <c r="K152">
        <f t="shared" ca="1" si="54"/>
        <v>3.8842277563446084</v>
      </c>
      <c r="L152">
        <f t="shared" ca="1" si="55"/>
        <v>194.37445551268922</v>
      </c>
      <c r="M152">
        <f t="shared" ca="1" si="56"/>
        <v>178.83754448731077</v>
      </c>
      <c r="N152">
        <f t="shared" ca="1" si="45"/>
        <v>0</v>
      </c>
      <c r="O152">
        <f t="shared" ca="1" si="46"/>
        <v>0</v>
      </c>
      <c r="P152">
        <f t="shared" ca="1" si="47"/>
        <v>0</v>
      </c>
      <c r="Q152">
        <f t="shared" ca="1" si="51"/>
        <v>1.0000671692253236</v>
      </c>
      <c r="R152">
        <f t="shared" ca="1" si="52"/>
        <v>0.79561424191696439</v>
      </c>
      <c r="S152">
        <f t="shared" ca="1" si="49"/>
        <v>1.2569749465717801</v>
      </c>
      <c r="T152">
        <f t="shared" ca="1" si="50"/>
        <v>55.692906493315547</v>
      </c>
      <c r="U152">
        <f>70</f>
        <v>70</v>
      </c>
      <c r="V152">
        <f>30</f>
        <v>30</v>
      </c>
      <c r="W152">
        <f t="shared" ca="1" si="48"/>
        <v>187.23324902457642</v>
      </c>
      <c r="X152">
        <f t="shared" ca="1" si="37"/>
        <v>184.34605455581183</v>
      </c>
      <c r="Y152">
        <f t="shared" ca="1" si="36"/>
        <v>3.1022428195451823</v>
      </c>
      <c r="Z152">
        <f t="shared" ca="1" si="38"/>
        <v>3.5132614628871774</v>
      </c>
      <c r="AA152">
        <f t="shared" ca="1" si="39"/>
        <v>-0.41101864334199512</v>
      </c>
      <c r="AB152">
        <f t="shared" ca="1" si="40"/>
        <v>178.26689999999991</v>
      </c>
    </row>
    <row r="153" spans="1:28" x14ac:dyDescent="0.25">
      <c r="A153" s="20">
        <f t="shared" ca="1" si="41"/>
        <v>45509</v>
      </c>
      <c r="B153" vm="452">
        <f ca="1"/>
        <v>45512</v>
      </c>
      <c r="C153" vm="453">
        <f ca="1"/>
        <v>192.61</v>
      </c>
      <c r="D153" vm="454">
        <f ca="1"/>
        <v>3712698</v>
      </c>
      <c r="E153">
        <f t="shared" ca="1" si="42"/>
        <v>715102761.78000009</v>
      </c>
      <c r="F153">
        <f ca="1">SUM($E$2:E153)/SUM($D$2:D153)</f>
        <v>180.1678234756844</v>
      </c>
      <c r="G153">
        <f ca="1">_xlfn.STDEV.P($C$2:C153)</f>
        <v>10.197152819240301</v>
      </c>
      <c r="H153">
        <f t="shared" ca="1" si="43"/>
        <v>190.3649762949247</v>
      </c>
      <c r="I153">
        <f t="shared" ca="1" si="44"/>
        <v>169.9706706564441</v>
      </c>
      <c r="J153">
        <f t="shared" ca="1" si="53"/>
        <v>187.321</v>
      </c>
      <c r="K153">
        <f t="shared" ca="1" si="54"/>
        <v>3.5810699665411647</v>
      </c>
      <c r="L153">
        <f t="shared" ca="1" si="55"/>
        <v>194.48313993308233</v>
      </c>
      <c r="M153">
        <f t="shared" ca="1" si="56"/>
        <v>180.15886006691767</v>
      </c>
      <c r="N153">
        <f t="shared" ca="1" si="45"/>
        <v>5.8100000000000023</v>
      </c>
      <c r="O153">
        <f t="shared" ca="1" si="46"/>
        <v>5.8100000000000023</v>
      </c>
      <c r="P153">
        <f t="shared" ca="1" si="47"/>
        <v>0</v>
      </c>
      <c r="Q153">
        <f t="shared" ca="1" si="51"/>
        <v>1.3436337999949435</v>
      </c>
      <c r="R153">
        <f t="shared" ca="1" si="52"/>
        <v>0.73878465320860975</v>
      </c>
      <c r="S153">
        <f t="shared" ca="1" si="49"/>
        <v>1.8187083261129182</v>
      </c>
      <c r="T153">
        <f t="shared" ca="1" si="50"/>
        <v>64.522757082176383</v>
      </c>
      <c r="U153">
        <f>70</f>
        <v>70</v>
      </c>
      <c r="V153">
        <f>30</f>
        <v>30</v>
      </c>
      <c r="W153">
        <f t="shared" ca="1" si="48"/>
        <v>188.06044148233391</v>
      </c>
      <c r="X153">
        <f t="shared" ca="1" si="37"/>
        <v>184.95819866278873</v>
      </c>
      <c r="Y153">
        <f t="shared" ca="1" si="36"/>
        <v>3.142839187597815</v>
      </c>
      <c r="Z153">
        <f t="shared" ca="1" si="38"/>
        <v>3.4391770078293051</v>
      </c>
      <c r="AA153">
        <f t="shared" ca="1" si="39"/>
        <v>-0.29633782023149013</v>
      </c>
      <c r="AB153">
        <f t="shared" ca="1" si="40"/>
        <v>178.28229999999994</v>
      </c>
    </row>
    <row r="154" spans="1:28" x14ac:dyDescent="0.25">
      <c r="A154" s="20">
        <f t="shared" ca="1" si="41"/>
        <v>45509</v>
      </c>
      <c r="B154" vm="455">
        <f ca="1"/>
        <v>45513</v>
      </c>
      <c r="C154" vm="456">
        <f ca="1"/>
        <v>191.45</v>
      </c>
      <c r="D154" vm="457">
        <f ca="1"/>
        <v>2773706</v>
      </c>
      <c r="E154">
        <f t="shared" ca="1" si="42"/>
        <v>531026013.69999999</v>
      </c>
      <c r="F154">
        <f ca="1">SUM($E$2:E154)/SUM($D$2:D154)</f>
        <v>180.21418035810365</v>
      </c>
      <c r="G154">
        <f ca="1">_xlfn.STDEV.P($C$2:C154)</f>
        <v>10.21173407339227</v>
      </c>
      <c r="H154">
        <f t="shared" ca="1" si="43"/>
        <v>190.42591443149593</v>
      </c>
      <c r="I154">
        <f t="shared" ca="1" si="44"/>
        <v>170.00244628471137</v>
      </c>
      <c r="J154">
        <f t="shared" ca="1" si="53"/>
        <v>187.75199999999998</v>
      </c>
      <c r="K154">
        <f t="shared" ca="1" si="54"/>
        <v>3.5304802118572729</v>
      </c>
      <c r="L154">
        <f t="shared" ca="1" si="55"/>
        <v>194.81296042371451</v>
      </c>
      <c r="M154">
        <f t="shared" ca="1" si="56"/>
        <v>180.69103957628545</v>
      </c>
      <c r="N154">
        <f t="shared" ca="1" si="45"/>
        <v>-1.160000000000025</v>
      </c>
      <c r="O154">
        <f t="shared" ca="1" si="46"/>
        <v>0</v>
      </c>
      <c r="P154">
        <f t="shared" ca="1" si="47"/>
        <v>1.160000000000025</v>
      </c>
      <c r="Q154">
        <f t="shared" ca="1" si="51"/>
        <v>1.2476599571381617</v>
      </c>
      <c r="R154">
        <f t="shared" ca="1" si="52"/>
        <v>0.76887146369371084</v>
      </c>
      <c r="S154">
        <f t="shared" ca="1" si="49"/>
        <v>1.622715910334763</v>
      </c>
      <c r="T154">
        <f t="shared" ca="1" si="50"/>
        <v>61.871585250254569</v>
      </c>
      <c r="U154">
        <f>70</f>
        <v>70</v>
      </c>
      <c r="V154">
        <f>30</f>
        <v>30</v>
      </c>
      <c r="W154">
        <f t="shared" ca="1" si="48"/>
        <v>188.5819120235133</v>
      </c>
      <c r="X154">
        <f t="shared" ca="1" si="37"/>
        <v>185.43907283591548</v>
      </c>
      <c r="Y154">
        <f t="shared" ca="1" si="36"/>
        <v>2.9816786305154324</v>
      </c>
      <c r="Z154">
        <f t="shared" ca="1" si="38"/>
        <v>3.3476773323665308</v>
      </c>
      <c r="AA154">
        <f t="shared" ca="1" si="39"/>
        <v>-0.3659987018510984</v>
      </c>
      <c r="AB154">
        <f t="shared" ca="1" si="40"/>
        <v>178.27989999999994</v>
      </c>
    </row>
    <row r="155" spans="1:28" x14ac:dyDescent="0.25">
      <c r="A155" s="20">
        <f t="shared" ca="1" si="41"/>
        <v>45516</v>
      </c>
      <c r="B155" vm="458">
        <f ca="1"/>
        <v>45516</v>
      </c>
      <c r="C155" vm="459">
        <f ca="1"/>
        <v>189.48</v>
      </c>
      <c r="D155" vm="460">
        <f ca="1"/>
        <v>2290421</v>
      </c>
      <c r="E155">
        <f t="shared" ca="1" si="42"/>
        <v>433988971.07999998</v>
      </c>
      <c r="F155">
        <f ca="1">SUM($E$2:E155)/SUM($D$2:D155)</f>
        <v>180.24551242340235</v>
      </c>
      <c r="G155">
        <f ca="1">_xlfn.STDEV.P($C$2:C155)</f>
        <v>10.21155609369174</v>
      </c>
      <c r="H155">
        <f t="shared" ca="1" si="43"/>
        <v>190.45706851709409</v>
      </c>
      <c r="I155">
        <f t="shared" ca="1" si="44"/>
        <v>170.03395632971061</v>
      </c>
      <c r="J155">
        <f t="shared" ca="1" si="53"/>
        <v>188.08199999999999</v>
      </c>
      <c r="K155">
        <f t="shared" ca="1" si="54"/>
        <v>3.3552246767659133</v>
      </c>
      <c r="L155">
        <f t="shared" ca="1" si="55"/>
        <v>194.79244935353182</v>
      </c>
      <c r="M155">
        <f t="shared" ca="1" si="56"/>
        <v>181.37155064646817</v>
      </c>
      <c r="N155">
        <f t="shared" ca="1" si="45"/>
        <v>-1.9699999999999989</v>
      </c>
      <c r="O155">
        <f t="shared" ca="1" si="46"/>
        <v>0</v>
      </c>
      <c r="P155">
        <f t="shared" ca="1" si="47"/>
        <v>1.9699999999999989</v>
      </c>
      <c r="Q155">
        <f t="shared" ca="1" si="51"/>
        <v>1.1585413887711502</v>
      </c>
      <c r="R155">
        <f t="shared" ca="1" si="52"/>
        <v>0.85466635914415989</v>
      </c>
      <c r="S155">
        <f t="shared" ca="1" si="49"/>
        <v>1.3555481345156519</v>
      </c>
      <c r="T155">
        <f t="shared" ca="1" si="50"/>
        <v>57.547036065742709</v>
      </c>
      <c r="U155">
        <f>70</f>
        <v>70</v>
      </c>
      <c r="V155">
        <f>30</f>
        <v>30</v>
      </c>
      <c r="W155">
        <f t="shared" ca="1" si="48"/>
        <v>188.72007940451127</v>
      </c>
      <c r="X155">
        <f t="shared" ca="1" si="37"/>
        <v>185.73840077399583</v>
      </c>
      <c r="Y155">
        <f t="shared" ca="1" si="36"/>
        <v>2.9418898335931658</v>
      </c>
      <c r="Z155">
        <f t="shared" ca="1" si="38"/>
        <v>3.2665198326118579</v>
      </c>
      <c r="AA155">
        <f t="shared" ca="1" si="39"/>
        <v>-0.32462999901869205</v>
      </c>
      <c r="AB155">
        <f t="shared" ca="1" si="40"/>
        <v>178.24129999999994</v>
      </c>
    </row>
    <row r="156" spans="1:28" x14ac:dyDescent="0.25">
      <c r="A156" s="20">
        <f t="shared" ca="1" si="41"/>
        <v>45516</v>
      </c>
      <c r="B156" vm="461">
        <f ca="1"/>
        <v>45517</v>
      </c>
      <c r="C156" vm="462">
        <f ca="1"/>
        <v>190.99</v>
      </c>
      <c r="D156" vm="463">
        <f ca="1"/>
        <v>2178862</v>
      </c>
      <c r="E156">
        <f t="shared" ca="1" si="42"/>
        <v>416140853.38</v>
      </c>
      <c r="F156">
        <f ca="1">SUM($E$2:E156)/SUM($D$2:D156)</f>
        <v>180.27996411210881</v>
      </c>
      <c r="G156">
        <f ca="1">_xlfn.STDEV.P($C$2:C156)</f>
        <v>10.221290474474326</v>
      </c>
      <c r="H156">
        <f t="shared" ca="1" si="43"/>
        <v>190.50125458658314</v>
      </c>
      <c r="I156">
        <f t="shared" ca="1" si="44"/>
        <v>170.05867363763448</v>
      </c>
      <c r="J156">
        <f t="shared" ca="1" si="53"/>
        <v>188.34099999999998</v>
      </c>
      <c r="K156">
        <f t="shared" ca="1" si="54"/>
        <v>3.3705065994360677</v>
      </c>
      <c r="L156">
        <f t="shared" ca="1" si="55"/>
        <v>195.08201319887212</v>
      </c>
      <c r="M156">
        <f t="shared" ca="1" si="56"/>
        <v>181.59998680112784</v>
      </c>
      <c r="N156">
        <f t="shared" ca="1" si="45"/>
        <v>1.5100000000000193</v>
      </c>
      <c r="O156">
        <f t="shared" ca="1" si="46"/>
        <v>1.5100000000000193</v>
      </c>
      <c r="P156">
        <f t="shared" ca="1" si="47"/>
        <v>0</v>
      </c>
      <c r="Q156">
        <f t="shared" ca="1" si="51"/>
        <v>1.1836455752874981</v>
      </c>
      <c r="R156">
        <f t="shared" ca="1" si="52"/>
        <v>0.7936187620624342</v>
      </c>
      <c r="S156">
        <f t="shared" ca="1" si="49"/>
        <v>1.4914536196340333</v>
      </c>
      <c r="T156">
        <f t="shared" ca="1" si="50"/>
        <v>59.8627888506755</v>
      </c>
      <c r="U156">
        <f>70</f>
        <v>70</v>
      </c>
      <c r="V156">
        <f>30</f>
        <v>30</v>
      </c>
      <c r="W156">
        <f t="shared" ca="1" si="48"/>
        <v>189.06929795766337</v>
      </c>
      <c r="X156">
        <f t="shared" ca="1" si="37"/>
        <v>186.1274081240702</v>
      </c>
      <c r="Y156">
        <f t="shared" ref="Y156:Y219" ca="1" si="57">W157-X157</f>
        <v>2.983287330778353</v>
      </c>
      <c r="Z156">
        <f t="shared" ca="1" si="38"/>
        <v>3.2098733322451571</v>
      </c>
      <c r="AA156">
        <f t="shared" ca="1" si="39"/>
        <v>-0.22658600146680419</v>
      </c>
      <c r="AB156">
        <f t="shared" ca="1" si="40"/>
        <v>178.2116</v>
      </c>
    </row>
    <row r="157" spans="1:28" x14ac:dyDescent="0.25">
      <c r="A157" s="20">
        <f t="shared" ca="1" si="41"/>
        <v>45516</v>
      </c>
      <c r="B157" vm="464">
        <f ca="1"/>
        <v>45518</v>
      </c>
      <c r="C157" vm="465">
        <f ca="1"/>
        <v>192.32</v>
      </c>
      <c r="D157" vm="466">
        <f ca="1"/>
        <v>1895114</v>
      </c>
      <c r="E157">
        <f t="shared" ca="1" si="42"/>
        <v>364468324.47999996</v>
      </c>
      <c r="F157">
        <f ca="1">SUM($E$2:E157)/SUM($D$2:D157)</f>
        <v>180.31344898787492</v>
      </c>
      <c r="G157">
        <f ca="1">_xlfn.STDEV.P($C$2:C157)</f>
        <v>10.240487381009975</v>
      </c>
      <c r="H157">
        <f t="shared" ca="1" si="43"/>
        <v>190.55393636888491</v>
      </c>
      <c r="I157">
        <f t="shared" ca="1" si="44"/>
        <v>170.07296160686494</v>
      </c>
      <c r="J157">
        <f t="shared" ca="1" si="53"/>
        <v>188.58449999999999</v>
      </c>
      <c r="K157">
        <f t="shared" ca="1" si="54"/>
        <v>3.4769821684903679</v>
      </c>
      <c r="L157">
        <f t="shared" ca="1" si="55"/>
        <v>195.53846433698072</v>
      </c>
      <c r="M157">
        <f t="shared" ca="1" si="56"/>
        <v>181.63053566301926</v>
      </c>
      <c r="N157">
        <f t="shared" ca="1" si="45"/>
        <v>1.3299999999999841</v>
      </c>
      <c r="O157">
        <f t="shared" ca="1" si="46"/>
        <v>1.3299999999999841</v>
      </c>
      <c r="P157">
        <f t="shared" ca="1" si="47"/>
        <v>0</v>
      </c>
      <c r="Q157">
        <f t="shared" ca="1" si="51"/>
        <v>1.1940994627669614</v>
      </c>
      <c r="R157">
        <f t="shared" ca="1" si="52"/>
        <v>0.73693170762940319</v>
      </c>
      <c r="S157">
        <f t="shared" ca="1" si="49"/>
        <v>1.6203665148405639</v>
      </c>
      <c r="T157">
        <f t="shared" ca="1" si="50"/>
        <v>61.837399679149655</v>
      </c>
      <c r="U157">
        <f>70</f>
        <v>70</v>
      </c>
      <c r="V157">
        <f>30</f>
        <v>30</v>
      </c>
      <c r="W157">
        <f t="shared" ca="1" si="48"/>
        <v>189.56940596417667</v>
      </c>
      <c r="X157">
        <f t="shared" ref="X157:X220" ca="1" si="58">C157*(2/(26+1)) + X156*(1-(2/(26+1)))</f>
        <v>186.58611863339831</v>
      </c>
      <c r="Y157">
        <f t="shared" ca="1" si="57"/>
        <v>3.1117521809288178</v>
      </c>
      <c r="Z157">
        <f t="shared" ca="1" si="38"/>
        <v>3.1902491019818893</v>
      </c>
      <c r="AA157">
        <f t="shared" ca="1" si="39"/>
        <v>-7.8496921053071489E-2</v>
      </c>
      <c r="AB157">
        <f t="shared" ca="1" si="40"/>
        <v>178.21579999999997</v>
      </c>
    </row>
    <row r="158" spans="1:28" x14ac:dyDescent="0.25">
      <c r="A158" s="20">
        <f t="shared" ca="1" si="41"/>
        <v>45516</v>
      </c>
      <c r="B158" vm="467">
        <f ca="1"/>
        <v>45519</v>
      </c>
      <c r="C158" vm="468">
        <f ca="1"/>
        <v>193.95</v>
      </c>
      <c r="D158" vm="469">
        <f ca="1"/>
        <v>2471985</v>
      </c>
      <c r="E158">
        <f t="shared" ca="1" si="42"/>
        <v>479441490.75</v>
      </c>
      <c r="F158">
        <f ca="1">SUM($E$2:E158)/SUM($D$2:D158)</f>
        <v>180.36273949696948</v>
      </c>
      <c r="G158">
        <f ca="1">_xlfn.STDEV.P($C$2:C158)</f>
        <v>10.272464225024683</v>
      </c>
      <c r="H158">
        <f t="shared" ca="1" si="43"/>
        <v>190.63520372199417</v>
      </c>
      <c r="I158">
        <f t="shared" ca="1" si="44"/>
        <v>170.09027527194479</v>
      </c>
      <c r="J158">
        <f t="shared" ca="1" si="53"/>
        <v>189.02100000000002</v>
      </c>
      <c r="K158">
        <f t="shared" ca="1" si="54"/>
        <v>3.5788617714222135</v>
      </c>
      <c r="L158">
        <f t="shared" ca="1" si="55"/>
        <v>196.17872354284444</v>
      </c>
      <c r="M158">
        <f t="shared" ca="1" si="56"/>
        <v>181.86327645715559</v>
      </c>
      <c r="N158">
        <f t="shared" ca="1" si="45"/>
        <v>1.6299999999999955</v>
      </c>
      <c r="O158">
        <f t="shared" ca="1" si="46"/>
        <v>1.6299999999999955</v>
      </c>
      <c r="P158">
        <f t="shared" ca="1" si="47"/>
        <v>0</v>
      </c>
      <c r="Q158">
        <f t="shared" ca="1" si="51"/>
        <v>1.2252352154264639</v>
      </c>
      <c r="R158">
        <f t="shared" ca="1" si="52"/>
        <v>0.68429372851301729</v>
      </c>
      <c r="S158">
        <f t="shared" ca="1" si="49"/>
        <v>1.7905106599309659</v>
      </c>
      <c r="T158">
        <f t="shared" ca="1" si="50"/>
        <v>64.164265187765352</v>
      </c>
      <c r="U158">
        <f>70</f>
        <v>70</v>
      </c>
      <c r="V158">
        <f>30</f>
        <v>30</v>
      </c>
      <c r="W158">
        <f t="shared" ca="1" si="48"/>
        <v>190.24334350814948</v>
      </c>
      <c r="X158">
        <f t="shared" ca="1" si="58"/>
        <v>187.13159132722066</v>
      </c>
      <c r="Y158">
        <f t="shared" ca="1" si="57"/>
        <v>3.1633784631728474</v>
      </c>
      <c r="Z158">
        <f t="shared" ca="1" si="38"/>
        <v>3.1848749742200813</v>
      </c>
      <c r="AA158">
        <f t="shared" ca="1" si="39"/>
        <v>-2.1496511047233824E-2</v>
      </c>
      <c r="AB158">
        <f t="shared" ca="1" si="40"/>
        <v>178.24689999999998</v>
      </c>
    </row>
    <row r="159" spans="1:28" x14ac:dyDescent="0.25">
      <c r="A159" s="20">
        <f t="shared" ca="1" si="41"/>
        <v>45516</v>
      </c>
      <c r="B159" vm="470">
        <f ca="1"/>
        <v>45520</v>
      </c>
      <c r="C159" vm="471">
        <f ca="1"/>
        <v>193.78</v>
      </c>
      <c r="D159" vm="472">
        <f ca="1"/>
        <v>2494472</v>
      </c>
      <c r="E159">
        <f t="shared" ca="1" si="42"/>
        <v>483378784.16000003</v>
      </c>
      <c r="F159">
        <f ca="1">SUM($E$2:E159)/SUM($D$2:D159)</f>
        <v>180.41150067878155</v>
      </c>
      <c r="G159">
        <f ca="1">_xlfn.STDEV.P($C$2:C159)</f>
        <v>10.301648324215007</v>
      </c>
      <c r="H159">
        <f t="shared" ca="1" si="43"/>
        <v>190.71314900299654</v>
      </c>
      <c r="I159">
        <f t="shared" ca="1" si="44"/>
        <v>170.10985235456656</v>
      </c>
      <c r="J159">
        <f t="shared" ca="1" si="53"/>
        <v>189.54750000000004</v>
      </c>
      <c r="K159">
        <f t="shared" ca="1" si="54"/>
        <v>3.4576868979435513</v>
      </c>
      <c r="L159">
        <f t="shared" ca="1" si="55"/>
        <v>196.46287379588713</v>
      </c>
      <c r="M159">
        <f t="shared" ca="1" si="56"/>
        <v>182.63212620411295</v>
      </c>
      <c r="N159">
        <f t="shared" ca="1" si="45"/>
        <v>-0.16999999999998749</v>
      </c>
      <c r="O159">
        <f t="shared" ca="1" si="46"/>
        <v>0</v>
      </c>
      <c r="P159">
        <f t="shared" ca="1" si="47"/>
        <v>0.16999999999998749</v>
      </c>
      <c r="Q159">
        <f t="shared" ca="1" si="51"/>
        <v>1.1377184143245735</v>
      </c>
      <c r="R159">
        <f t="shared" ca="1" si="52"/>
        <v>0.64755846219065805</v>
      </c>
      <c r="S159">
        <f t="shared" ca="1" si="49"/>
        <v>1.7569354440612648</v>
      </c>
      <c r="T159">
        <f t="shared" ca="1" si="50"/>
        <v>63.727841282823377</v>
      </c>
      <c r="U159">
        <f>70</f>
        <v>70</v>
      </c>
      <c r="V159">
        <f>30</f>
        <v>30</v>
      </c>
      <c r="W159">
        <f t="shared" ca="1" si="48"/>
        <v>190.7874445068957</v>
      </c>
      <c r="X159">
        <f t="shared" ca="1" si="58"/>
        <v>187.62406604372285</v>
      </c>
      <c r="Y159">
        <f t="shared" ca="1" si="57"/>
        <v>3.2435599838692042</v>
      </c>
      <c r="Z159">
        <f t="shared" ca="1" si="38"/>
        <v>3.1966119761499061</v>
      </c>
      <c r="AA159">
        <f t="shared" ca="1" si="39"/>
        <v>4.6948007719298079E-2</v>
      </c>
      <c r="AB159">
        <f t="shared" ca="1" si="40"/>
        <v>178.29679999999999</v>
      </c>
    </row>
    <row r="160" spans="1:28" x14ac:dyDescent="0.25">
      <c r="A160" s="20">
        <f t="shared" ca="1" si="41"/>
        <v>45523</v>
      </c>
      <c r="B160" vm="473">
        <f ca="1"/>
        <v>45523</v>
      </c>
      <c r="C160" vm="474">
        <f ca="1"/>
        <v>194.73</v>
      </c>
      <c r="D160" vm="475">
        <f ca="1"/>
        <v>2361378</v>
      </c>
      <c r="E160">
        <f t="shared" ca="1" si="42"/>
        <v>459831137.94</v>
      </c>
      <c r="F160">
        <f ca="1">SUM($E$2:E160)/SUM($D$2:D160)</f>
        <v>180.46059182939553</v>
      </c>
      <c r="G160">
        <f ca="1">_xlfn.STDEV.P($C$2:C160)</f>
        <v>10.337997524125685</v>
      </c>
      <c r="H160">
        <f t="shared" ca="1" si="43"/>
        <v>190.79858935352121</v>
      </c>
      <c r="I160">
        <f t="shared" ca="1" si="44"/>
        <v>170.12259430526984</v>
      </c>
      <c r="J160">
        <f t="shared" ca="1" si="53"/>
        <v>190.07650000000007</v>
      </c>
      <c r="K160">
        <f t="shared" ca="1" si="54"/>
        <v>3.3972500876289211</v>
      </c>
      <c r="L160">
        <f t="shared" ca="1" si="55"/>
        <v>196.8710001752579</v>
      </c>
      <c r="M160">
        <f t="shared" ca="1" si="56"/>
        <v>183.28199982474223</v>
      </c>
      <c r="N160">
        <f t="shared" ca="1" si="45"/>
        <v>0.94999999999998863</v>
      </c>
      <c r="O160">
        <f t="shared" ca="1" si="46"/>
        <v>0.94999999999998863</v>
      </c>
      <c r="P160">
        <f t="shared" ca="1" si="47"/>
        <v>0</v>
      </c>
      <c r="Q160">
        <f t="shared" ca="1" si="51"/>
        <v>1.1243099561585317</v>
      </c>
      <c r="R160">
        <f t="shared" ca="1" si="52"/>
        <v>0.60130428631989674</v>
      </c>
      <c r="S160">
        <f t="shared" ca="1" si="49"/>
        <v>1.8697853678036038</v>
      </c>
      <c r="T160">
        <f t="shared" ca="1" si="50"/>
        <v>65.154188490223163</v>
      </c>
      <c r="U160">
        <f>70</f>
        <v>70</v>
      </c>
      <c r="V160">
        <f>30</f>
        <v>30</v>
      </c>
      <c r="W160">
        <f t="shared" ca="1" si="48"/>
        <v>191.3939915058348</v>
      </c>
      <c r="X160">
        <f t="shared" ca="1" si="58"/>
        <v>188.1504315219656</v>
      </c>
      <c r="Y160">
        <f t="shared" ca="1" si="57"/>
        <v>3.3731203207809983</v>
      </c>
      <c r="Z160">
        <f t="shared" ca="1" si="38"/>
        <v>3.2319136450761246</v>
      </c>
      <c r="AA160">
        <f t="shared" ca="1" si="39"/>
        <v>0.14120667570487377</v>
      </c>
      <c r="AB160">
        <f t="shared" ca="1" si="40"/>
        <v>178.35909999999996</v>
      </c>
    </row>
    <row r="161" spans="1:28" x14ac:dyDescent="0.25">
      <c r="A161" s="20">
        <f t="shared" ca="1" si="41"/>
        <v>45523</v>
      </c>
      <c r="B161" vm="476">
        <f ca="1"/>
        <v>45524</v>
      </c>
      <c r="C161" vm="477">
        <f ca="1"/>
        <v>196.03</v>
      </c>
      <c r="D161" vm="478">
        <f ca="1"/>
        <v>1790371</v>
      </c>
      <c r="E161">
        <f t="shared" ca="1" si="42"/>
        <v>350966427.13</v>
      </c>
      <c r="F161">
        <f ca="1">SUM($E$2:E161)/SUM($D$2:D161)</f>
        <v>180.50095895887651</v>
      </c>
      <c r="G161">
        <f ca="1">_xlfn.STDEV.P($C$2:C161)</f>
        <v>10.385067160952788</v>
      </c>
      <c r="H161">
        <f t="shared" ca="1" si="43"/>
        <v>190.8860261198293</v>
      </c>
      <c r="I161">
        <f t="shared" ca="1" si="44"/>
        <v>170.11589179792372</v>
      </c>
      <c r="J161">
        <f t="shared" ca="1" si="53"/>
        <v>190.673</v>
      </c>
      <c r="K161">
        <f t="shared" ca="1" si="54"/>
        <v>3.3395100491570657</v>
      </c>
      <c r="L161">
        <f t="shared" ca="1" si="55"/>
        <v>197.35202009831414</v>
      </c>
      <c r="M161">
        <f t="shared" ca="1" si="56"/>
        <v>183.99397990168586</v>
      </c>
      <c r="N161">
        <f t="shared" ca="1" si="45"/>
        <v>1.3000000000000114</v>
      </c>
      <c r="O161">
        <f t="shared" ca="1" si="46"/>
        <v>1.3000000000000114</v>
      </c>
      <c r="P161">
        <f t="shared" ca="1" si="47"/>
        <v>0</v>
      </c>
      <c r="Q161">
        <f t="shared" ca="1" si="51"/>
        <v>1.1368592450043518</v>
      </c>
      <c r="R161">
        <f t="shared" ca="1" si="52"/>
        <v>0.5583539801541898</v>
      </c>
      <c r="S161">
        <f t="shared" ca="1" si="49"/>
        <v>2.0360905185817919</v>
      </c>
      <c r="T161">
        <f t="shared" ca="1" si="50"/>
        <v>67.062905605755248</v>
      </c>
      <c r="U161">
        <f>70</f>
        <v>70</v>
      </c>
      <c r="V161">
        <f>30</f>
        <v>30</v>
      </c>
      <c r="W161">
        <f t="shared" ca="1" si="48"/>
        <v>192.10722358186024</v>
      </c>
      <c r="X161">
        <f t="shared" ca="1" si="58"/>
        <v>188.73410326107924</v>
      </c>
      <c r="Y161">
        <f t="shared" ca="1" si="57"/>
        <v>3.5303186437656109</v>
      </c>
      <c r="Z161">
        <f t="shared" ca="1" si="38"/>
        <v>3.2915946448140221</v>
      </c>
      <c r="AA161">
        <f t="shared" ca="1" si="39"/>
        <v>0.2387239989515888</v>
      </c>
      <c r="AB161">
        <f t="shared" ca="1" si="40"/>
        <v>178.41139999999996</v>
      </c>
    </row>
    <row r="162" spans="1:28" x14ac:dyDescent="0.25">
      <c r="A162" s="20">
        <f t="shared" ca="1" si="41"/>
        <v>45523</v>
      </c>
      <c r="B162" vm="479">
        <f ca="1"/>
        <v>45525</v>
      </c>
      <c r="C162" vm="480">
        <f ca="1"/>
        <v>197.21</v>
      </c>
      <c r="D162" vm="481">
        <f ca="1"/>
        <v>2579343</v>
      </c>
      <c r="E162">
        <f t="shared" ca="1" si="42"/>
        <v>508672233.03000003</v>
      </c>
      <c r="F162">
        <f ca="1">SUM($E$2:E162)/SUM($D$2:D162)</f>
        <v>180.56313945293101</v>
      </c>
      <c r="G162">
        <f ca="1">_xlfn.STDEV.P($C$2:C162)</f>
        <v>10.442064647033197</v>
      </c>
      <c r="H162">
        <f t="shared" ca="1" si="43"/>
        <v>191.0052040999642</v>
      </c>
      <c r="I162">
        <f t="shared" ca="1" si="44"/>
        <v>170.12107480589782</v>
      </c>
      <c r="J162">
        <f t="shared" ca="1" si="53"/>
        <v>191.33250000000004</v>
      </c>
      <c r="K162">
        <f t="shared" ca="1" si="54"/>
        <v>3.257908394240566</v>
      </c>
      <c r="L162">
        <f t="shared" ca="1" si="55"/>
        <v>197.84831678848116</v>
      </c>
      <c r="M162">
        <f t="shared" ca="1" si="56"/>
        <v>184.81668321151892</v>
      </c>
      <c r="N162">
        <f t="shared" ca="1" si="45"/>
        <v>1.1800000000000068</v>
      </c>
      <c r="O162">
        <f t="shared" ca="1" si="46"/>
        <v>1.1800000000000068</v>
      </c>
      <c r="P162">
        <f t="shared" ca="1" si="47"/>
        <v>0</v>
      </c>
      <c r="Q162">
        <f t="shared" ca="1" si="51"/>
        <v>1.1399407275040414</v>
      </c>
      <c r="R162">
        <f t="shared" ca="1" si="52"/>
        <v>0.51847155300031911</v>
      </c>
      <c r="S162">
        <f t="shared" ca="1" si="49"/>
        <v>2.1986562636028362</v>
      </c>
      <c r="T162">
        <f t="shared" ca="1" si="50"/>
        <v>68.736872061593743</v>
      </c>
      <c r="U162">
        <f>70</f>
        <v>70</v>
      </c>
      <c r="V162">
        <f>30</f>
        <v>30</v>
      </c>
      <c r="W162">
        <f t="shared" ca="1" si="48"/>
        <v>192.89226610772789</v>
      </c>
      <c r="X162">
        <f t="shared" ca="1" si="58"/>
        <v>189.36194746396228</v>
      </c>
      <c r="Y162">
        <f t="shared" ca="1" si="57"/>
        <v>3.5135330718160844</v>
      </c>
      <c r="Z162">
        <f t="shared" ca="1" si="38"/>
        <v>3.3359823302144345</v>
      </c>
      <c r="AA162">
        <f t="shared" ca="1" si="39"/>
        <v>0.17755074160164996</v>
      </c>
      <c r="AB162">
        <f t="shared" ca="1" si="40"/>
        <v>178.47389999999996</v>
      </c>
    </row>
    <row r="163" spans="1:28" x14ac:dyDescent="0.25">
      <c r="A163" s="20">
        <f t="shared" ca="1" si="41"/>
        <v>45523</v>
      </c>
      <c r="B163" vm="482">
        <f ca="1"/>
        <v>45526</v>
      </c>
      <c r="C163" vm="483">
        <f ca="1"/>
        <v>195.96</v>
      </c>
      <c r="D163" vm="484">
        <f ca="1"/>
        <v>1969496</v>
      </c>
      <c r="E163">
        <f t="shared" ca="1" si="42"/>
        <v>385942436.16000003</v>
      </c>
      <c r="F163">
        <f ca="1">SUM($E$2:E163)/SUM($D$2:D163)</f>
        <v>180.60676576716057</v>
      </c>
      <c r="G163">
        <f ca="1">_xlfn.STDEV.P($C$2:C163)</f>
        <v>10.484826794050274</v>
      </c>
      <c r="H163">
        <f t="shared" ca="1" si="43"/>
        <v>191.09159256121083</v>
      </c>
      <c r="I163">
        <f t="shared" ca="1" si="44"/>
        <v>170.1219389731103</v>
      </c>
      <c r="J163">
        <f t="shared" ca="1" si="53"/>
        <v>191.53149999999999</v>
      </c>
      <c r="K163">
        <f t="shared" ca="1" si="54"/>
        <v>3.4171999541021565</v>
      </c>
      <c r="L163">
        <f t="shared" ca="1" si="55"/>
        <v>198.36589990820431</v>
      </c>
      <c r="M163">
        <f t="shared" ca="1" si="56"/>
        <v>184.69710009179568</v>
      </c>
      <c r="N163">
        <f t="shared" ca="1" si="45"/>
        <v>-1.25</v>
      </c>
      <c r="O163">
        <f t="shared" ca="1" si="46"/>
        <v>0</v>
      </c>
      <c r="P163">
        <f t="shared" ca="1" si="47"/>
        <v>1.25</v>
      </c>
      <c r="Q163">
        <f t="shared" ca="1" si="51"/>
        <v>1.0585163898251813</v>
      </c>
      <c r="R163">
        <f t="shared" ca="1" si="52"/>
        <v>0.57072358492886777</v>
      </c>
      <c r="S163">
        <f t="shared" ca="1" si="49"/>
        <v>1.8546918644637922</v>
      </c>
      <c r="T163">
        <f t="shared" ca="1" si="50"/>
        <v>64.969949560989349</v>
      </c>
      <c r="U163">
        <f>70</f>
        <v>70</v>
      </c>
      <c r="V163">
        <f>30</f>
        <v>30</v>
      </c>
      <c r="W163">
        <f t="shared" ca="1" si="48"/>
        <v>193.36422516807744</v>
      </c>
      <c r="X163">
        <f t="shared" ca="1" si="58"/>
        <v>189.85069209626135</v>
      </c>
      <c r="Y163">
        <f t="shared" ca="1" si="57"/>
        <v>3.4715098109232656</v>
      </c>
      <c r="Z163">
        <f t="shared" ca="1" si="38"/>
        <v>3.363087826356201</v>
      </c>
      <c r="AA163">
        <f t="shared" ca="1" si="39"/>
        <v>0.10842198456706464</v>
      </c>
      <c r="AB163">
        <f t="shared" ca="1" si="40"/>
        <v>178.53519999999992</v>
      </c>
    </row>
    <row r="164" spans="1:28" x14ac:dyDescent="0.25">
      <c r="A164" s="20">
        <f t="shared" ca="1" si="41"/>
        <v>45523</v>
      </c>
      <c r="B164" vm="485">
        <f ca="1"/>
        <v>45527</v>
      </c>
      <c r="C164" vm="486">
        <f ca="1"/>
        <v>196.1</v>
      </c>
      <c r="D164" vm="487">
        <f ca="1"/>
        <v>2321961</v>
      </c>
      <c r="E164">
        <f t="shared" ca="1" si="42"/>
        <v>455336552.09999996</v>
      </c>
      <c r="F164">
        <f ca="1">SUM($E$2:E164)/SUM($D$2:D164)</f>
        <v>180.65834915868976</v>
      </c>
      <c r="G164">
        <f ca="1">_xlfn.STDEV.P($C$2:C164)</f>
        <v>10.527279608280582</v>
      </c>
      <c r="H164">
        <f t="shared" ca="1" si="43"/>
        <v>191.18562876697035</v>
      </c>
      <c r="I164">
        <f t="shared" ca="1" si="44"/>
        <v>170.13106955040917</v>
      </c>
      <c r="J164">
        <f t="shared" ca="1" si="53"/>
        <v>191.749</v>
      </c>
      <c r="K164">
        <f t="shared" ca="1" si="54"/>
        <v>3.566991803511157</v>
      </c>
      <c r="L164">
        <f t="shared" ca="1" si="55"/>
        <v>198.88298360702231</v>
      </c>
      <c r="M164">
        <f t="shared" ca="1" si="56"/>
        <v>184.61501639297768</v>
      </c>
      <c r="N164">
        <f t="shared" ca="1" si="45"/>
        <v>0.13999999999998636</v>
      </c>
      <c r="O164">
        <f t="shared" ca="1" si="46"/>
        <v>0.13999999999998636</v>
      </c>
      <c r="P164">
        <f t="shared" ca="1" si="47"/>
        <v>0</v>
      </c>
      <c r="Q164">
        <f t="shared" ca="1" si="51"/>
        <v>0.99290807626623878</v>
      </c>
      <c r="R164">
        <f t="shared" ca="1" si="52"/>
        <v>0.52995761457680579</v>
      </c>
      <c r="S164">
        <f t="shared" ca="1" si="49"/>
        <v>1.8735612980278038</v>
      </c>
      <c r="T164">
        <f t="shared" ca="1" si="50"/>
        <v>65.199976743620368</v>
      </c>
      <c r="U164">
        <f>70</f>
        <v>70</v>
      </c>
      <c r="V164">
        <f>30</f>
        <v>30</v>
      </c>
      <c r="W164">
        <f t="shared" ca="1" si="48"/>
        <v>193.78511360375785</v>
      </c>
      <c r="X164">
        <f t="shared" ca="1" si="58"/>
        <v>190.31360379283458</v>
      </c>
      <c r="Y164">
        <f t="shared" ca="1" si="57"/>
        <v>3.5489957482758996</v>
      </c>
      <c r="Z164">
        <f t="shared" ca="1" si="38"/>
        <v>3.4002694107401412</v>
      </c>
      <c r="AA164">
        <f t="shared" ca="1" si="39"/>
        <v>0.14872633753575837</v>
      </c>
      <c r="AB164">
        <f t="shared" ca="1" si="40"/>
        <v>178.6073999999999</v>
      </c>
    </row>
    <row r="165" spans="1:28" x14ac:dyDescent="0.25">
      <c r="A165" s="20">
        <f t="shared" ca="1" si="41"/>
        <v>45530</v>
      </c>
      <c r="B165" vm="488">
        <f ca="1"/>
        <v>45530</v>
      </c>
      <c r="C165" vm="489">
        <f ca="1"/>
        <v>197.98</v>
      </c>
      <c r="D165" vm="490">
        <f ca="1"/>
        <v>2567217</v>
      </c>
      <c r="E165">
        <f t="shared" ca="1" si="42"/>
        <v>508257621.65999997</v>
      </c>
      <c r="F165">
        <f ca="1">SUM($E$2:E165)/SUM($D$2:D165)</f>
        <v>180.72187771806114</v>
      </c>
      <c r="G165">
        <f ca="1">_xlfn.STDEV.P($C$2:C165)</f>
        <v>10.586320953279646</v>
      </c>
      <c r="H165">
        <f t="shared" ca="1" si="43"/>
        <v>191.30819867134079</v>
      </c>
      <c r="I165">
        <f t="shared" ca="1" si="44"/>
        <v>170.13555676478148</v>
      </c>
      <c r="J165">
        <f t="shared" ca="1" si="53"/>
        <v>192.07300000000004</v>
      </c>
      <c r="K165">
        <f t="shared" ca="1" si="54"/>
        <v>3.8279376060470809</v>
      </c>
      <c r="L165">
        <f t="shared" ca="1" si="55"/>
        <v>199.72887521209421</v>
      </c>
      <c r="M165">
        <f t="shared" ca="1" si="56"/>
        <v>184.41712478790586</v>
      </c>
      <c r="N165">
        <f t="shared" ca="1" si="45"/>
        <v>1.8799999999999955</v>
      </c>
      <c r="O165">
        <f t="shared" ca="1" si="46"/>
        <v>1.8799999999999955</v>
      </c>
      <c r="P165">
        <f t="shared" ca="1" si="47"/>
        <v>0</v>
      </c>
      <c r="Q165">
        <f t="shared" ca="1" si="51"/>
        <v>1.0562717851043641</v>
      </c>
      <c r="R165">
        <f t="shared" ca="1" si="52"/>
        <v>0.49210349924989105</v>
      </c>
      <c r="S165">
        <f t="shared" ca="1" si="49"/>
        <v>2.146442337261226</v>
      </c>
      <c r="T165">
        <f t="shared" ca="1" si="50"/>
        <v>68.218073213747971</v>
      </c>
      <c r="U165">
        <f>70</f>
        <v>70</v>
      </c>
      <c r="V165">
        <f>30</f>
        <v>30</v>
      </c>
      <c r="W165">
        <f t="shared" ca="1" si="48"/>
        <v>194.43048074164125</v>
      </c>
      <c r="X165">
        <f t="shared" ca="1" si="58"/>
        <v>190.88148499336535</v>
      </c>
      <c r="Y165">
        <f t="shared" ca="1" si="57"/>
        <v>3.629088767588911</v>
      </c>
      <c r="Z165">
        <f t="shared" ca="1" si="38"/>
        <v>3.4460332821098953</v>
      </c>
      <c r="AA165">
        <f t="shared" ca="1" si="39"/>
        <v>0.18305548547901562</v>
      </c>
      <c r="AB165">
        <f t="shared" ca="1" si="40"/>
        <v>178.67819999999992</v>
      </c>
    </row>
    <row r="166" spans="1:28" x14ac:dyDescent="0.25">
      <c r="A166" s="20">
        <f t="shared" ca="1" si="41"/>
        <v>45530</v>
      </c>
      <c r="B166" vm="491">
        <f ca="1"/>
        <v>45531</v>
      </c>
      <c r="C166" vm="492">
        <f ca="1"/>
        <v>198.73</v>
      </c>
      <c r="D166" vm="493">
        <f ca="1"/>
        <v>2617229</v>
      </c>
      <c r="E166">
        <f t="shared" ca="1" si="42"/>
        <v>520121919.16999996</v>
      </c>
      <c r="F166">
        <f ca="1">SUM($E$2:E166)/SUM($D$2:D166)</f>
        <v>180.78895979342377</v>
      </c>
      <c r="G166">
        <f ca="1">_xlfn.STDEV.P($C$2:C166)</f>
        <v>10.650907564204585</v>
      </c>
      <c r="H166">
        <f t="shared" ca="1" si="43"/>
        <v>191.43986735762834</v>
      </c>
      <c r="I166">
        <f t="shared" ca="1" si="44"/>
        <v>170.1380522292192</v>
      </c>
      <c r="J166">
        <f t="shared" ca="1" si="53"/>
        <v>192.45750000000004</v>
      </c>
      <c r="K166">
        <f t="shared" ca="1" si="54"/>
        <v>4.0955738303685818</v>
      </c>
      <c r="L166">
        <f t="shared" ca="1" si="55"/>
        <v>200.6486476607372</v>
      </c>
      <c r="M166">
        <f t="shared" ca="1" si="56"/>
        <v>184.26635233926288</v>
      </c>
      <c r="N166">
        <f t="shared" ca="1" si="45"/>
        <v>0.75</v>
      </c>
      <c r="O166">
        <f t="shared" ca="1" si="46"/>
        <v>0.75</v>
      </c>
      <c r="P166">
        <f t="shared" ca="1" si="47"/>
        <v>0</v>
      </c>
      <c r="Q166">
        <f t="shared" ca="1" si="51"/>
        <v>1.034395229025481</v>
      </c>
      <c r="R166">
        <f t="shared" ca="1" si="52"/>
        <v>0.45695324930347025</v>
      </c>
      <c r="S166">
        <f t="shared" ca="1" si="49"/>
        <v>2.2636784629547999</v>
      </c>
      <c r="T166">
        <f t="shared" ca="1" si="50"/>
        <v>69.35972672091475</v>
      </c>
      <c r="U166">
        <f>70</f>
        <v>70</v>
      </c>
      <c r="V166">
        <f>30</f>
        <v>30</v>
      </c>
      <c r="W166">
        <f t="shared" ca="1" si="48"/>
        <v>195.09194524292721</v>
      </c>
      <c r="X166">
        <f t="shared" ca="1" si="58"/>
        <v>191.4628564753383</v>
      </c>
      <c r="Y166">
        <f t="shared" ca="1" si="57"/>
        <v>3.6289441101550608</v>
      </c>
      <c r="Z166">
        <f t="shared" ref="Z166:Z229" ca="1" si="59">Y166*(2/(9+1)) + Z165*(1-(2/(9+1)))</f>
        <v>3.4826154477189286</v>
      </c>
      <c r="AA166">
        <f t="shared" ref="AA166:AA229" ca="1" si="60">Y166-Z166</f>
        <v>0.14632866243613218</v>
      </c>
      <c r="AB166">
        <f t="shared" ref="AB166:AB229" ca="1" si="61">AVERAGE(C67:C166)</f>
        <v>178.78609999999992</v>
      </c>
    </row>
    <row r="167" spans="1:28" x14ac:dyDescent="0.25">
      <c r="A167" s="20">
        <f t="shared" ca="1" si="41"/>
        <v>45530</v>
      </c>
      <c r="B167" vm="494">
        <f ca="1"/>
        <v>45532</v>
      </c>
      <c r="C167" vm="495">
        <f ca="1"/>
        <v>198.46</v>
      </c>
      <c r="D167" vm="496">
        <f ca="1"/>
        <v>2645244</v>
      </c>
      <c r="E167">
        <f t="shared" ca="1" si="42"/>
        <v>524975124.24000001</v>
      </c>
      <c r="F167">
        <f ca="1">SUM($E$2:E167)/SUM($D$2:D167)</f>
        <v>180.85524126636145</v>
      </c>
      <c r="G167">
        <f ca="1">_xlfn.STDEV.P($C$2:C167)</f>
        <v>10.710439933719499</v>
      </c>
      <c r="H167">
        <f t="shared" ca="1" si="43"/>
        <v>191.56568120008095</v>
      </c>
      <c r="I167">
        <f t="shared" ca="1" si="44"/>
        <v>170.14480133264195</v>
      </c>
      <c r="J167">
        <f t="shared" ca="1" si="53"/>
        <v>192.77350000000001</v>
      </c>
      <c r="K167">
        <f t="shared" ca="1" si="54"/>
        <v>4.3080882009736525</v>
      </c>
      <c r="L167">
        <f t="shared" ca="1" si="55"/>
        <v>201.38967640194733</v>
      </c>
      <c r="M167">
        <f t="shared" ca="1" si="56"/>
        <v>184.1573235980527</v>
      </c>
      <c r="N167">
        <f t="shared" ca="1" si="45"/>
        <v>-0.26999999999998181</v>
      </c>
      <c r="O167">
        <f t="shared" ca="1" si="46"/>
        <v>0</v>
      </c>
      <c r="P167">
        <f t="shared" ca="1" si="47"/>
        <v>0.26999999999998181</v>
      </c>
      <c r="Q167">
        <f t="shared" ca="1" si="51"/>
        <v>0.96050985552366086</v>
      </c>
      <c r="R167">
        <f t="shared" ca="1" si="52"/>
        <v>0.44359944578179256</v>
      </c>
      <c r="S167">
        <f t="shared" ca="1" si="49"/>
        <v>2.1652638763578111</v>
      </c>
      <c r="T167">
        <f t="shared" ca="1" si="50"/>
        <v>68.407057387244606</v>
      </c>
      <c r="U167">
        <f>70</f>
        <v>70</v>
      </c>
      <c r="V167">
        <f>30</f>
        <v>30</v>
      </c>
      <c r="W167">
        <f t="shared" ca="1" si="48"/>
        <v>195.61010751324608</v>
      </c>
      <c r="X167">
        <f t="shared" ca="1" si="58"/>
        <v>191.98116340309102</v>
      </c>
      <c r="Y167">
        <f t="shared" ca="1" si="57"/>
        <v>3.6225750012236801</v>
      </c>
      <c r="Z167">
        <f t="shared" ca="1" si="59"/>
        <v>3.5106073584198789</v>
      </c>
      <c r="AA167">
        <f t="shared" ca="1" si="60"/>
        <v>0.11196764280380123</v>
      </c>
      <c r="AB167">
        <f t="shared" ca="1" si="61"/>
        <v>178.87929999999994</v>
      </c>
    </row>
    <row r="168" spans="1:28" x14ac:dyDescent="0.25">
      <c r="A168" s="20">
        <f t="shared" ca="1" si="41"/>
        <v>45530</v>
      </c>
      <c r="B168" vm="497">
        <f ca="1"/>
        <v>45533</v>
      </c>
      <c r="C168" vm="498">
        <f ca="1"/>
        <v>198.9</v>
      </c>
      <c r="D168" vm="499">
        <f ca="1"/>
        <v>2989594</v>
      </c>
      <c r="E168">
        <f t="shared" ca="1" si="42"/>
        <v>594630246.60000002</v>
      </c>
      <c r="F168">
        <f ca="1">SUM($E$2:E168)/SUM($D$2:D168)</f>
        <v>180.93141240580789</v>
      </c>
      <c r="G168">
        <f ca="1">_xlfn.STDEV.P($C$2:C168)</f>
        <v>10.772276473806537</v>
      </c>
      <c r="H168">
        <f t="shared" ca="1" si="43"/>
        <v>191.70368887961442</v>
      </c>
      <c r="I168">
        <f t="shared" ca="1" si="44"/>
        <v>170.15913593200136</v>
      </c>
      <c r="J168">
        <f t="shared" ca="1" si="53"/>
        <v>193.23550000000003</v>
      </c>
      <c r="K168">
        <f t="shared" ca="1" si="54"/>
        <v>4.4497433101602359</v>
      </c>
      <c r="L168">
        <f t="shared" ca="1" si="55"/>
        <v>202.13498662032049</v>
      </c>
      <c r="M168">
        <f t="shared" ca="1" si="56"/>
        <v>184.33601337967957</v>
      </c>
      <c r="N168">
        <f t="shared" ca="1" si="45"/>
        <v>0.43999999999999773</v>
      </c>
      <c r="O168">
        <f t="shared" ca="1" si="46"/>
        <v>0.43999999999999773</v>
      </c>
      <c r="P168">
        <f t="shared" ca="1" si="47"/>
        <v>0</v>
      </c>
      <c r="Q168">
        <f t="shared" ca="1" si="51"/>
        <v>0.92333058012911351</v>
      </c>
      <c r="R168">
        <f t="shared" ca="1" si="52"/>
        <v>0.41191377108309307</v>
      </c>
      <c r="S168">
        <f t="shared" ca="1" si="49"/>
        <v>2.2415627855832359</v>
      </c>
      <c r="T168">
        <f t="shared" ca="1" si="50"/>
        <v>69.150682366928891</v>
      </c>
      <c r="U168">
        <f>70</f>
        <v>70</v>
      </c>
      <c r="V168">
        <f>30</f>
        <v>30</v>
      </c>
      <c r="W168">
        <f t="shared" ca="1" si="48"/>
        <v>196.11624481890053</v>
      </c>
      <c r="X168">
        <f t="shared" ca="1" si="58"/>
        <v>192.49366981767685</v>
      </c>
      <c r="Y168">
        <f t="shared" ca="1" si="57"/>
        <v>3.833965870280565</v>
      </c>
      <c r="Z168">
        <f t="shared" ca="1" si="59"/>
        <v>3.5752790607920164</v>
      </c>
      <c r="AA168">
        <f t="shared" ca="1" si="60"/>
        <v>0.25868680948854861</v>
      </c>
      <c r="AB168">
        <f t="shared" ca="1" si="61"/>
        <v>178.97009999999995</v>
      </c>
    </row>
    <row r="169" spans="1:28" x14ac:dyDescent="0.25">
      <c r="A169" s="20">
        <f t="shared" ca="1" si="41"/>
        <v>45530</v>
      </c>
      <c r="B169" vm="500">
        <f ca="1"/>
        <v>45534</v>
      </c>
      <c r="C169" vm="501">
        <f ca="1"/>
        <v>202.13</v>
      </c>
      <c r="D169" vm="502">
        <f ca="1"/>
        <v>4750999</v>
      </c>
      <c r="E169">
        <f t="shared" ca="1" si="42"/>
        <v>960319427.87</v>
      </c>
      <c r="F169">
        <f ca="1">SUM($E$2:E169)/SUM($D$2:D169)</f>
        <v>181.07267116190033</v>
      </c>
      <c r="G169">
        <f ca="1">_xlfn.STDEV.P($C$2:C169)</f>
        <v>10.866993741262915</v>
      </c>
      <c r="H169">
        <f t="shared" ca="1" si="43"/>
        <v>191.93966490316325</v>
      </c>
      <c r="I169">
        <f t="shared" ca="1" si="44"/>
        <v>170.20567742063741</v>
      </c>
      <c r="J169">
        <f t="shared" ca="1" si="53"/>
        <v>193.88600000000002</v>
      </c>
      <c r="K169">
        <f t="shared" ca="1" si="54"/>
        <v>4.7568005611910351</v>
      </c>
      <c r="L169">
        <f t="shared" ca="1" si="55"/>
        <v>203.39960112238208</v>
      </c>
      <c r="M169">
        <f t="shared" ca="1" si="56"/>
        <v>184.37239887761797</v>
      </c>
      <c r="N169">
        <f t="shared" ca="1" si="45"/>
        <v>3.2299999999999898</v>
      </c>
      <c r="O169">
        <f t="shared" ca="1" si="46"/>
        <v>3.2299999999999898</v>
      </c>
      <c r="P169">
        <f t="shared" ca="1" si="47"/>
        <v>0</v>
      </c>
      <c r="Q169">
        <f t="shared" ca="1" si="51"/>
        <v>1.0880926815484619</v>
      </c>
      <c r="R169">
        <f t="shared" ca="1" si="52"/>
        <v>0.38249135886287217</v>
      </c>
      <c r="S169">
        <f t="shared" ca="1" si="49"/>
        <v>2.8447510155087099</v>
      </c>
      <c r="T169">
        <f t="shared" ca="1" si="50"/>
        <v>73.990513404736376</v>
      </c>
      <c r="U169">
        <f>70</f>
        <v>70</v>
      </c>
      <c r="V169">
        <f>30</f>
        <v>30</v>
      </c>
      <c r="W169">
        <f t="shared" ca="1" si="48"/>
        <v>197.04143792368507</v>
      </c>
      <c r="X169">
        <f t="shared" ca="1" si="58"/>
        <v>193.2074720534045</v>
      </c>
      <c r="Y169">
        <f t="shared" ca="1" si="57"/>
        <v>3.8880873104786247</v>
      </c>
      <c r="Z169">
        <f t="shared" ca="1" si="59"/>
        <v>3.6378407107293382</v>
      </c>
      <c r="AA169">
        <f t="shared" ca="1" si="60"/>
        <v>0.25024659974928642</v>
      </c>
      <c r="AB169">
        <f t="shared" ca="1" si="61"/>
        <v>179.09829999999999</v>
      </c>
    </row>
    <row r="170" spans="1:28" x14ac:dyDescent="0.25">
      <c r="A170" s="20">
        <f t="shared" ca="1" si="41"/>
        <v>45537</v>
      </c>
      <c r="B170" vm="503">
        <f ca="1"/>
        <v>45538</v>
      </c>
      <c r="C170" vm="504">
        <f ca="1"/>
        <v>201.28</v>
      </c>
      <c r="D170" vm="505">
        <f ca="1"/>
        <v>3874697</v>
      </c>
      <c r="E170">
        <f t="shared" ca="1" si="42"/>
        <v>779899012.15999997</v>
      </c>
      <c r="F170">
        <f ca="1">SUM($E$2:E170)/SUM($D$2:D170)</f>
        <v>181.18189473395523</v>
      </c>
      <c r="G170">
        <f ca="1">_xlfn.STDEV.P($C$2:C170)</f>
        <v>10.948744427451771</v>
      </c>
      <c r="H170">
        <f t="shared" ca="1" si="43"/>
        <v>192.130639161407</v>
      </c>
      <c r="I170">
        <f t="shared" ca="1" si="44"/>
        <v>170.23315030650346</v>
      </c>
      <c r="J170">
        <f t="shared" ca="1" si="53"/>
        <v>194.78450000000004</v>
      </c>
      <c r="K170">
        <f t="shared" ca="1" si="54"/>
        <v>4.3321885498647141</v>
      </c>
      <c r="L170">
        <f t="shared" ca="1" si="55"/>
        <v>203.44887709972946</v>
      </c>
      <c r="M170">
        <f t="shared" ca="1" si="56"/>
        <v>186.12012290027062</v>
      </c>
      <c r="N170">
        <f t="shared" ca="1" si="45"/>
        <v>-0.84999999999999432</v>
      </c>
      <c r="O170">
        <f t="shared" ca="1" si="46"/>
        <v>0</v>
      </c>
      <c r="P170">
        <f t="shared" ca="1" si="47"/>
        <v>0.84999999999999432</v>
      </c>
      <c r="Q170">
        <f t="shared" ca="1" si="51"/>
        <v>1.010371775723572</v>
      </c>
      <c r="R170">
        <f t="shared" ca="1" si="52"/>
        <v>0.41588483322980946</v>
      </c>
      <c r="S170">
        <f t="shared" ca="1" si="49"/>
        <v>2.4294508839788853</v>
      </c>
      <c r="T170">
        <f t="shared" ca="1" si="50"/>
        <v>70.840812893060317</v>
      </c>
      <c r="U170">
        <f>70</f>
        <v>70</v>
      </c>
      <c r="V170">
        <f>30</f>
        <v>30</v>
      </c>
      <c r="W170">
        <f t="shared" ca="1" si="48"/>
        <v>197.69352439696428</v>
      </c>
      <c r="X170">
        <f t="shared" ca="1" si="58"/>
        <v>193.80543708648565</v>
      </c>
      <c r="Y170">
        <f t="shared" ca="1" si="57"/>
        <v>4.1119364466967738</v>
      </c>
      <c r="Z170">
        <f t="shared" ca="1" si="59"/>
        <v>3.7326598579228256</v>
      </c>
      <c r="AA170">
        <f t="shared" ca="1" si="60"/>
        <v>0.37927658877394821</v>
      </c>
      <c r="AB170">
        <f t="shared" ca="1" si="61"/>
        <v>179.25069999999997</v>
      </c>
    </row>
    <row r="171" spans="1:28" x14ac:dyDescent="0.25">
      <c r="A171" s="20">
        <f t="shared" ca="1" si="41"/>
        <v>45537</v>
      </c>
      <c r="B171" vm="506">
        <f ca="1"/>
        <v>45539</v>
      </c>
      <c r="C171" vm="507">
        <f ca="1"/>
        <v>204.11</v>
      </c>
      <c r="D171" vm="508">
        <f ca="1"/>
        <v>3142476</v>
      </c>
      <c r="E171">
        <f t="shared" ca="1" si="42"/>
        <v>641410776.36000001</v>
      </c>
      <c r="F171">
        <f ca="1">SUM($E$2:E171)/SUM($D$2:D171)</f>
        <v>181.28196618496483</v>
      </c>
      <c r="G171">
        <f ca="1">_xlfn.STDEV.P($C$2:C171)</f>
        <v>11.060342383182263</v>
      </c>
      <c r="H171">
        <f t="shared" ca="1" si="43"/>
        <v>192.3423085681471</v>
      </c>
      <c r="I171">
        <f t="shared" ca="1" si="44"/>
        <v>170.22162380178256</v>
      </c>
      <c r="J171">
        <f t="shared" ca="1" si="53"/>
        <v>195.65000000000003</v>
      </c>
      <c r="K171">
        <f t="shared" ca="1" si="54"/>
        <v>4.3819017741038815</v>
      </c>
      <c r="L171">
        <f t="shared" ca="1" si="55"/>
        <v>204.4138035482078</v>
      </c>
      <c r="M171">
        <f t="shared" ca="1" si="56"/>
        <v>186.88619645179227</v>
      </c>
      <c r="N171">
        <f t="shared" ca="1" si="45"/>
        <v>2.8300000000000125</v>
      </c>
      <c r="O171">
        <f t="shared" ca="1" si="46"/>
        <v>2.8300000000000125</v>
      </c>
      <c r="P171">
        <f t="shared" ca="1" si="47"/>
        <v>0</v>
      </c>
      <c r="Q171">
        <f t="shared" ca="1" si="51"/>
        <v>1.1403452203147464</v>
      </c>
      <c r="R171">
        <f t="shared" ca="1" si="52"/>
        <v>0.38617877371339449</v>
      </c>
      <c r="S171">
        <f t="shared" ca="1" si="49"/>
        <v>2.9528946123824564</v>
      </c>
      <c r="T171">
        <f t="shared" ca="1" si="50"/>
        <v>74.702082952894912</v>
      </c>
      <c r="U171">
        <f>70</f>
        <v>70</v>
      </c>
      <c r="V171">
        <f>30</f>
        <v>30</v>
      </c>
      <c r="W171">
        <f t="shared" ca="1" si="48"/>
        <v>198.68067448973903</v>
      </c>
      <c r="X171">
        <f t="shared" ca="1" si="58"/>
        <v>194.56873804304226</v>
      </c>
      <c r="Y171">
        <f t="shared" ca="1" si="57"/>
        <v>4.1192035882158393</v>
      </c>
      <c r="Z171">
        <f t="shared" ca="1" si="59"/>
        <v>3.8099686039814289</v>
      </c>
      <c r="AA171">
        <f t="shared" ca="1" si="60"/>
        <v>0.30923498423441043</v>
      </c>
      <c r="AB171">
        <f t="shared" ca="1" si="61"/>
        <v>179.43279999999999</v>
      </c>
    </row>
    <row r="172" spans="1:28" x14ac:dyDescent="0.25">
      <c r="A172" s="20">
        <f t="shared" ca="1" si="41"/>
        <v>45537</v>
      </c>
      <c r="B172" vm="509">
        <f ca="1"/>
        <v>45540</v>
      </c>
      <c r="C172" vm="510">
        <f ca="1"/>
        <v>202.59</v>
      </c>
      <c r="D172" vm="511">
        <f ca="1"/>
        <v>3229345</v>
      </c>
      <c r="E172">
        <f t="shared" ca="1" si="42"/>
        <v>654233003.54999995</v>
      </c>
      <c r="F172">
        <f ca="1">SUM($E$2:E172)/SUM($D$2:D172)</f>
        <v>181.37711082511842</v>
      </c>
      <c r="G172">
        <f ca="1">_xlfn.STDEV.P($C$2:C172)</f>
        <v>11.150191695678659</v>
      </c>
      <c r="H172">
        <f t="shared" ca="1" si="43"/>
        <v>192.52730252079709</v>
      </c>
      <c r="I172">
        <f t="shared" ca="1" si="44"/>
        <v>170.22691912943975</v>
      </c>
      <c r="J172">
        <f t="shared" ca="1" si="53"/>
        <v>196.43950000000001</v>
      </c>
      <c r="K172">
        <f t="shared" ca="1" si="54"/>
        <v>4.1179651017155772</v>
      </c>
      <c r="L172">
        <f t="shared" ca="1" si="55"/>
        <v>204.67543020343118</v>
      </c>
      <c r="M172">
        <f t="shared" ca="1" si="56"/>
        <v>188.20356979656884</v>
      </c>
      <c r="N172">
        <f t="shared" ca="1" si="45"/>
        <v>-1.5200000000000102</v>
      </c>
      <c r="O172">
        <f t="shared" ca="1" si="46"/>
        <v>0</v>
      </c>
      <c r="P172">
        <f t="shared" ca="1" si="47"/>
        <v>1.5200000000000102</v>
      </c>
      <c r="Q172">
        <f t="shared" ca="1" si="51"/>
        <v>1.0588919902922644</v>
      </c>
      <c r="R172">
        <f t="shared" ca="1" si="52"/>
        <v>0.46716600416243848</v>
      </c>
      <c r="S172">
        <f t="shared" ca="1" si="49"/>
        <v>2.2666289517164366</v>
      </c>
      <c r="T172">
        <f t="shared" ca="1" si="50"/>
        <v>69.387401667564532</v>
      </c>
      <c r="U172">
        <f>70</f>
        <v>70</v>
      </c>
      <c r="V172">
        <f>30</f>
        <v>30</v>
      </c>
      <c r="W172">
        <f t="shared" ca="1" si="48"/>
        <v>199.28210918362532</v>
      </c>
      <c r="X172">
        <f t="shared" ca="1" si="58"/>
        <v>195.16290559540948</v>
      </c>
      <c r="Y172">
        <f t="shared" ca="1" si="57"/>
        <v>3.9303763789989716</v>
      </c>
      <c r="Z172">
        <f t="shared" ca="1" si="59"/>
        <v>3.8340501589849376</v>
      </c>
      <c r="AA172">
        <f t="shared" ca="1" si="60"/>
        <v>9.6326220014034014E-2</v>
      </c>
      <c r="AB172">
        <f t="shared" ca="1" si="61"/>
        <v>179.63600000000002</v>
      </c>
    </row>
    <row r="173" spans="1:28" x14ac:dyDescent="0.25">
      <c r="A173" s="20">
        <f t="shared" ca="1" si="41"/>
        <v>45537</v>
      </c>
      <c r="B173" vm="512">
        <f ca="1"/>
        <v>45541</v>
      </c>
      <c r="C173" vm="513">
        <f ca="1"/>
        <v>200.74</v>
      </c>
      <c r="D173" vm="514">
        <f ca="1"/>
        <v>3304491</v>
      </c>
      <c r="E173">
        <f t="shared" ca="1" si="42"/>
        <v>663343523.34000003</v>
      </c>
      <c r="F173">
        <f ca="1">SUM($E$2:E173)/SUM($D$2:D173)</f>
        <v>181.4651794919375</v>
      </c>
      <c r="G173">
        <f ca="1">_xlfn.STDEV.P($C$2:C173)</f>
        <v>11.217329938590103</v>
      </c>
      <c r="H173">
        <f t="shared" ca="1" si="43"/>
        <v>192.6825094305276</v>
      </c>
      <c r="I173">
        <f t="shared" ca="1" si="44"/>
        <v>170.24784955334741</v>
      </c>
      <c r="J173">
        <f t="shared" ca="1" si="53"/>
        <v>196.84600000000006</v>
      </c>
      <c r="K173">
        <f t="shared" ca="1" si="54"/>
        <v>4.121314813196598</v>
      </c>
      <c r="L173">
        <f t="shared" ca="1" si="55"/>
        <v>205.08862962639324</v>
      </c>
      <c r="M173">
        <f t="shared" ca="1" si="56"/>
        <v>188.60337037360688</v>
      </c>
      <c r="N173">
        <f t="shared" ca="1" si="45"/>
        <v>-1.8499999999999943</v>
      </c>
      <c r="O173">
        <f t="shared" ca="1" si="46"/>
        <v>0</v>
      </c>
      <c r="P173">
        <f t="shared" ca="1" si="47"/>
        <v>1.8499999999999943</v>
      </c>
      <c r="Q173">
        <f t="shared" ca="1" si="51"/>
        <v>0.9832568481285312</v>
      </c>
      <c r="R173">
        <f t="shared" ca="1" si="52"/>
        <v>0.56593986100797822</v>
      </c>
      <c r="S173">
        <f t="shared" ca="1" si="49"/>
        <v>1.7373875138911092</v>
      </c>
      <c r="T173">
        <f t="shared" ca="1" si="50"/>
        <v>63.468818538646296</v>
      </c>
      <c r="U173">
        <f>70</f>
        <v>70</v>
      </c>
      <c r="V173">
        <f>30</f>
        <v>30</v>
      </c>
      <c r="W173">
        <f t="shared" ca="1" si="48"/>
        <v>199.5064000784522</v>
      </c>
      <c r="X173">
        <f t="shared" ca="1" si="58"/>
        <v>195.57602369945323</v>
      </c>
      <c r="Y173">
        <f t="shared" ca="1" si="57"/>
        <v>3.96020832187466</v>
      </c>
      <c r="Z173">
        <f t="shared" ca="1" si="59"/>
        <v>3.8592817915628825</v>
      </c>
      <c r="AA173">
        <f t="shared" ca="1" si="60"/>
        <v>0.10092653031177745</v>
      </c>
      <c r="AB173">
        <f t="shared" ca="1" si="61"/>
        <v>179.83090000000004</v>
      </c>
    </row>
    <row r="174" spans="1:28" x14ac:dyDescent="0.25">
      <c r="A174" s="20">
        <f t="shared" ca="1" si="41"/>
        <v>45544</v>
      </c>
      <c r="B174" vm="515">
        <f ca="1"/>
        <v>45544</v>
      </c>
      <c r="C174" vm="516">
        <f ca="1"/>
        <v>203.53</v>
      </c>
      <c r="D174" vm="517">
        <f ca="1"/>
        <v>3705004</v>
      </c>
      <c r="E174">
        <f t="shared" ca="1" si="42"/>
        <v>754079464.12</v>
      </c>
      <c r="F174">
        <f ca="1">SUM($E$2:E174)/SUM($D$2:D174)</f>
        <v>181.57713015564158</v>
      </c>
      <c r="G174">
        <f ca="1">_xlfn.STDEV.P($C$2:C174)</f>
        <v>11.311828206016232</v>
      </c>
      <c r="H174">
        <f t="shared" ca="1" si="43"/>
        <v>192.88895836165781</v>
      </c>
      <c r="I174">
        <f t="shared" ca="1" si="44"/>
        <v>170.26530194962535</v>
      </c>
      <c r="J174">
        <f t="shared" ca="1" si="53"/>
        <v>197.45000000000002</v>
      </c>
      <c r="K174">
        <f t="shared" ca="1" si="54"/>
        <v>4.1737412221499435</v>
      </c>
      <c r="L174">
        <f t="shared" ca="1" si="55"/>
        <v>205.7974824442999</v>
      </c>
      <c r="M174">
        <f t="shared" ca="1" si="56"/>
        <v>189.10251755570013</v>
      </c>
      <c r="N174">
        <f t="shared" ca="1" si="45"/>
        <v>2.789999999999992</v>
      </c>
      <c r="O174">
        <f t="shared" ca="1" si="46"/>
        <v>2.789999999999992</v>
      </c>
      <c r="P174">
        <f t="shared" ca="1" si="47"/>
        <v>0</v>
      </c>
      <c r="Q174">
        <f t="shared" ca="1" si="51"/>
        <v>1.1123099304050641</v>
      </c>
      <c r="R174">
        <f t="shared" ca="1" si="52"/>
        <v>0.52551558522169406</v>
      </c>
      <c r="S174">
        <f t="shared" ca="1" si="49"/>
        <v>2.1166069317160687</v>
      </c>
      <c r="T174">
        <f t="shared" ca="1" si="50"/>
        <v>67.913823529572298</v>
      </c>
      <c r="U174">
        <f>70</f>
        <v>70</v>
      </c>
      <c r="V174">
        <f>30</f>
        <v>30</v>
      </c>
      <c r="W174">
        <f t="shared" ca="1" si="48"/>
        <v>200.12541545099802</v>
      </c>
      <c r="X174">
        <f t="shared" ca="1" si="58"/>
        <v>196.16520712912336</v>
      </c>
      <c r="Y174">
        <f t="shared" ca="1" si="57"/>
        <v>4.0812423703171419</v>
      </c>
      <c r="Z174">
        <f t="shared" ca="1" si="59"/>
        <v>3.9036739073137348</v>
      </c>
      <c r="AA174">
        <f t="shared" ca="1" si="60"/>
        <v>0.17756846300340712</v>
      </c>
      <c r="AB174">
        <f t="shared" ca="1" si="61"/>
        <v>180.02870000000001</v>
      </c>
    </row>
    <row r="175" spans="1:28" x14ac:dyDescent="0.25">
      <c r="A175" s="20">
        <f t="shared" ca="1" si="41"/>
        <v>45544</v>
      </c>
      <c r="B175" vm="518">
        <f ca="1"/>
        <v>45545</v>
      </c>
      <c r="C175" vm="519">
        <f ca="1"/>
        <v>205.32</v>
      </c>
      <c r="D175" vm="520">
        <f ca="1"/>
        <v>3070644</v>
      </c>
      <c r="E175">
        <f t="shared" ca="1" si="42"/>
        <v>630464626.07999992</v>
      </c>
      <c r="F175">
        <f ca="1">SUM($E$2:E175)/SUM($D$2:D175)</f>
        <v>181.67655110118571</v>
      </c>
      <c r="G175">
        <f ca="1">_xlfn.STDEV.P($C$2:C175)</f>
        <v>11.423704955869068</v>
      </c>
      <c r="H175">
        <f t="shared" ca="1" si="43"/>
        <v>193.10025605705476</v>
      </c>
      <c r="I175">
        <f t="shared" ca="1" si="44"/>
        <v>170.25284614531665</v>
      </c>
      <c r="J175">
        <f t="shared" ca="1" si="53"/>
        <v>198.24200000000005</v>
      </c>
      <c r="K175">
        <f t="shared" ca="1" si="54"/>
        <v>4.0836833219146929</v>
      </c>
      <c r="L175">
        <f t="shared" ca="1" si="55"/>
        <v>206.40936664382943</v>
      </c>
      <c r="M175">
        <f t="shared" ca="1" si="56"/>
        <v>190.07463335617066</v>
      </c>
      <c r="N175">
        <f t="shared" ca="1" si="45"/>
        <v>1.789999999999992</v>
      </c>
      <c r="O175">
        <f t="shared" ca="1" si="46"/>
        <v>1.789999999999992</v>
      </c>
      <c r="P175">
        <f t="shared" ca="1" si="47"/>
        <v>0</v>
      </c>
      <c r="Q175">
        <f t="shared" ca="1" si="51"/>
        <v>1.1607163639475588</v>
      </c>
      <c r="R175">
        <f t="shared" ca="1" si="52"/>
        <v>0.4879787577058588</v>
      </c>
      <c r="S175">
        <f t="shared" ca="1" si="49"/>
        <v>2.3786206789091611</v>
      </c>
      <c r="T175">
        <f t="shared" ca="1" si="50"/>
        <v>70.40212278808211</v>
      </c>
      <c r="U175">
        <f>70</f>
        <v>70</v>
      </c>
      <c r="V175">
        <f>30</f>
        <v>30</v>
      </c>
      <c r="W175">
        <f t="shared" ca="1" si="48"/>
        <v>200.9245823046906</v>
      </c>
      <c r="X175">
        <f t="shared" ca="1" si="58"/>
        <v>196.84333993437346</v>
      </c>
      <c r="Y175">
        <f t="shared" ca="1" si="57"/>
        <v>4.4941181362442535</v>
      </c>
      <c r="Z175">
        <f t="shared" ca="1" si="59"/>
        <v>4.0217627530998392</v>
      </c>
      <c r="AA175">
        <f t="shared" ca="1" si="60"/>
        <v>0.47235538314441428</v>
      </c>
      <c r="AB175">
        <f t="shared" ca="1" si="61"/>
        <v>180.2509</v>
      </c>
    </row>
    <row r="176" spans="1:28" x14ac:dyDescent="0.25">
      <c r="A176" s="20">
        <f t="shared" ca="1" si="41"/>
        <v>45544</v>
      </c>
      <c r="B176" vm="521">
        <f ca="1"/>
        <v>45546</v>
      </c>
      <c r="C176" vm="522">
        <f ca="1"/>
        <v>209.89</v>
      </c>
      <c r="D176" vm="523">
        <f ca="1"/>
        <v>5554309</v>
      </c>
      <c r="E176">
        <f t="shared" ca="1" si="42"/>
        <v>1165793916.01</v>
      </c>
      <c r="F176">
        <f ca="1">SUM($E$2:E176)/SUM($D$2:D176)</f>
        <v>181.88864311825628</v>
      </c>
      <c r="G176">
        <f ca="1">_xlfn.STDEV.P($C$2:C176)</f>
        <v>11.590244857479354</v>
      </c>
      <c r="H176">
        <f t="shared" ca="1" si="43"/>
        <v>193.47888797573563</v>
      </c>
      <c r="I176">
        <f t="shared" ca="1" si="44"/>
        <v>170.29839826077693</v>
      </c>
      <c r="J176">
        <f t="shared" ca="1" si="53"/>
        <v>199.18700000000007</v>
      </c>
      <c r="K176">
        <f t="shared" ca="1" si="54"/>
        <v>4.4843401204401836</v>
      </c>
      <c r="L176">
        <f t="shared" ca="1" si="55"/>
        <v>208.15568024088043</v>
      </c>
      <c r="M176">
        <f t="shared" ca="1" si="56"/>
        <v>190.21831975911971</v>
      </c>
      <c r="N176">
        <f t="shared" ca="1" si="45"/>
        <v>4.5699999999999932</v>
      </c>
      <c r="O176">
        <f t="shared" ca="1" si="46"/>
        <v>4.5699999999999932</v>
      </c>
      <c r="P176">
        <f t="shared" ca="1" si="47"/>
        <v>0</v>
      </c>
      <c r="Q176">
        <f t="shared" ca="1" si="51"/>
        <v>1.4042366236655899</v>
      </c>
      <c r="R176">
        <f t="shared" ca="1" si="52"/>
        <v>0.45312313215544037</v>
      </c>
      <c r="S176">
        <f t="shared" ca="1" si="49"/>
        <v>3.0990177371564367</v>
      </c>
      <c r="T176">
        <f t="shared" ca="1" si="50"/>
        <v>75.603911372832499</v>
      </c>
      <c r="U176">
        <f>70</f>
        <v>70</v>
      </c>
      <c r="V176">
        <f>30</f>
        <v>30</v>
      </c>
      <c r="W176">
        <f t="shared" ca="1" si="48"/>
        <v>202.30387733473819</v>
      </c>
      <c r="X176">
        <f t="shared" ca="1" si="58"/>
        <v>197.80975919849394</v>
      </c>
      <c r="Y176">
        <f t="shared" ca="1" si="57"/>
        <v>4.9035892561444712</v>
      </c>
      <c r="Z176">
        <f t="shared" ca="1" si="59"/>
        <v>4.198128053708766</v>
      </c>
      <c r="AA176">
        <f t="shared" ca="1" si="60"/>
        <v>0.7054612024357052</v>
      </c>
      <c r="AB176">
        <f t="shared" ca="1" si="61"/>
        <v>180.53509999999997</v>
      </c>
    </row>
    <row r="177" spans="1:28" x14ac:dyDescent="0.25">
      <c r="A177" s="20">
        <f t="shared" ca="1" si="41"/>
        <v>45544</v>
      </c>
      <c r="B177" vm="524">
        <f ca="1"/>
        <v>45547</v>
      </c>
      <c r="C177" vm="525">
        <f ca="1"/>
        <v>211.61</v>
      </c>
      <c r="D177" vm="526">
        <f ca="1"/>
        <v>4616446</v>
      </c>
      <c r="E177">
        <f t="shared" ca="1" si="42"/>
        <v>976886138.06000006</v>
      </c>
      <c r="F177">
        <f ca="1">SUM($E$2:E177)/SUM($D$2:D177)</f>
        <v>182.07319115893452</v>
      </c>
      <c r="G177">
        <f ca="1">_xlfn.STDEV.P($C$2:C177)</f>
        <v>11.774399376142505</v>
      </c>
      <c r="H177">
        <f t="shared" ca="1" si="43"/>
        <v>193.84759053507702</v>
      </c>
      <c r="I177">
        <f t="shared" ca="1" si="44"/>
        <v>170.29879178279202</v>
      </c>
      <c r="J177">
        <f t="shared" ca="1" si="53"/>
        <v>200.15150000000003</v>
      </c>
      <c r="K177">
        <f t="shared" ca="1" si="54"/>
        <v>4.9770359758859666</v>
      </c>
      <c r="L177">
        <f t="shared" ca="1" si="55"/>
        <v>210.10557195177196</v>
      </c>
      <c r="M177">
        <f t="shared" ca="1" si="56"/>
        <v>190.19742804822809</v>
      </c>
      <c r="N177">
        <f t="shared" ca="1" si="45"/>
        <v>1.7200000000000273</v>
      </c>
      <c r="O177">
        <f t="shared" ca="1" si="46"/>
        <v>1.7200000000000273</v>
      </c>
      <c r="P177">
        <f t="shared" ca="1" si="47"/>
        <v>0</v>
      </c>
      <c r="Q177">
        <f t="shared" ca="1" si="51"/>
        <v>1.4267911505466213</v>
      </c>
      <c r="R177">
        <f t="shared" ca="1" si="52"/>
        <v>0.42075719414433749</v>
      </c>
      <c r="S177">
        <f t="shared" ca="1" si="49"/>
        <v>3.3910083307028893</v>
      </c>
      <c r="T177">
        <f t="shared" ca="1" si="50"/>
        <v>77.226187593228161</v>
      </c>
      <c r="U177">
        <f>70</f>
        <v>70</v>
      </c>
      <c r="V177">
        <f>30</f>
        <v>30</v>
      </c>
      <c r="W177">
        <f t="shared" ca="1" si="48"/>
        <v>203.73558851400924</v>
      </c>
      <c r="X177">
        <f t="shared" ca="1" si="58"/>
        <v>198.83199925786477</v>
      </c>
      <c r="Y177">
        <f t="shared" ca="1" si="57"/>
        <v>5.4221938172498199</v>
      </c>
      <c r="Z177">
        <f t="shared" ca="1" si="59"/>
        <v>4.4429412064169771</v>
      </c>
      <c r="AA177">
        <f t="shared" ca="1" si="60"/>
        <v>0.97925261083284276</v>
      </c>
      <c r="AB177">
        <f t="shared" ca="1" si="61"/>
        <v>180.83539999999996</v>
      </c>
    </row>
    <row r="178" spans="1:28" x14ac:dyDescent="0.25">
      <c r="A178" s="20">
        <f t="shared" ca="1" si="41"/>
        <v>45544</v>
      </c>
      <c r="B178" vm="527">
        <f ca="1"/>
        <v>45548</v>
      </c>
      <c r="C178" vm="528">
        <f ca="1"/>
        <v>214.79</v>
      </c>
      <c r="D178" vm="529">
        <f ca="1"/>
        <v>4572344</v>
      </c>
      <c r="E178">
        <f t="shared" ca="1" si="42"/>
        <v>982093767.75999999</v>
      </c>
      <c r="F178">
        <f ca="1">SUM($E$2:E178)/SUM($D$2:D178)</f>
        <v>182.27316821363084</v>
      </c>
      <c r="G178">
        <f ca="1">_xlfn.STDEV.P($C$2:C178)</f>
        <v>11.998095282246432</v>
      </c>
      <c r="H178">
        <f t="shared" ca="1" si="43"/>
        <v>194.27126349587726</v>
      </c>
      <c r="I178">
        <f t="shared" ca="1" si="44"/>
        <v>170.27507293138441</v>
      </c>
      <c r="J178">
        <f t="shared" ca="1" si="53"/>
        <v>201.19350000000003</v>
      </c>
      <c r="K178">
        <f t="shared" ca="1" si="54"/>
        <v>5.7342858730346018</v>
      </c>
      <c r="L178">
        <f t="shared" ca="1" si="55"/>
        <v>212.66207174606924</v>
      </c>
      <c r="M178">
        <f t="shared" ca="1" si="56"/>
        <v>189.72492825393081</v>
      </c>
      <c r="N178">
        <f t="shared" ca="1" si="45"/>
        <v>3.1799999999999784</v>
      </c>
      <c r="O178">
        <f t="shared" ca="1" si="46"/>
        <v>3.1799999999999784</v>
      </c>
      <c r="P178">
        <f t="shared" ca="1" si="47"/>
        <v>0</v>
      </c>
      <c r="Q178">
        <f t="shared" ca="1" si="51"/>
        <v>1.5520203540790038</v>
      </c>
      <c r="R178">
        <f t="shared" ca="1" si="52"/>
        <v>0.39070310884831339</v>
      </c>
      <c r="S178">
        <f t="shared" ca="1" si="49"/>
        <v>3.9723777951343622</v>
      </c>
      <c r="T178">
        <f t="shared" ca="1" si="50"/>
        <v>79.888897400786135</v>
      </c>
      <c r="U178">
        <f>70</f>
        <v>70</v>
      </c>
      <c r="V178">
        <f>30</f>
        <v>30</v>
      </c>
      <c r="W178">
        <f t="shared" ca="1" si="48"/>
        <v>205.43626720416165</v>
      </c>
      <c r="X178">
        <f t="shared" ca="1" si="58"/>
        <v>200.01407338691183</v>
      </c>
      <c r="Y178">
        <f t="shared" ca="1" si="57"/>
        <v>5.9557763786030193</v>
      </c>
      <c r="Z178">
        <f t="shared" ca="1" si="59"/>
        <v>4.7455082408541855</v>
      </c>
      <c r="AA178">
        <f t="shared" ca="1" si="60"/>
        <v>1.2102681377488338</v>
      </c>
      <c r="AB178">
        <f t="shared" ca="1" si="61"/>
        <v>181.16429999999997</v>
      </c>
    </row>
    <row r="179" spans="1:28" x14ac:dyDescent="0.25">
      <c r="A179" s="20">
        <f t="shared" ca="1" si="41"/>
        <v>45551</v>
      </c>
      <c r="B179" vm="530">
        <f ca="1"/>
        <v>45551</v>
      </c>
      <c r="C179" vm="531">
        <f ca="1"/>
        <v>217.16</v>
      </c>
      <c r="D179" vm="532">
        <f ca="1"/>
        <v>4176257</v>
      </c>
      <c r="E179">
        <f t="shared" ca="1" si="42"/>
        <v>906915970.12</v>
      </c>
      <c r="F179">
        <f ca="1">SUM($E$2:E179)/SUM($D$2:D179)</f>
        <v>182.46685554486405</v>
      </c>
      <c r="G179">
        <f ca="1">_xlfn.STDEV.P($C$2:C179)</f>
        <v>12.249214834458764</v>
      </c>
      <c r="H179">
        <f t="shared" ca="1" si="43"/>
        <v>194.71607037932282</v>
      </c>
      <c r="I179">
        <f t="shared" ca="1" si="44"/>
        <v>170.21764071040528</v>
      </c>
      <c r="J179">
        <f t="shared" ca="1" si="53"/>
        <v>202.36250000000004</v>
      </c>
      <c r="K179">
        <f t="shared" ca="1" si="54"/>
        <v>6.4782899587370801</v>
      </c>
      <c r="L179">
        <f t="shared" ca="1" si="55"/>
        <v>215.3190799174742</v>
      </c>
      <c r="M179">
        <f t="shared" ca="1" si="56"/>
        <v>189.40592008252588</v>
      </c>
      <c r="N179">
        <f t="shared" ca="1" si="45"/>
        <v>2.3700000000000045</v>
      </c>
      <c r="O179">
        <f t="shared" ca="1" si="46"/>
        <v>2.3700000000000045</v>
      </c>
      <c r="P179">
        <f t="shared" ca="1" si="47"/>
        <v>0</v>
      </c>
      <c r="Q179">
        <f t="shared" ca="1" si="51"/>
        <v>1.6104474716447896</v>
      </c>
      <c r="R179">
        <f t="shared" ca="1" si="52"/>
        <v>0.36279574393057673</v>
      </c>
      <c r="S179">
        <f t="shared" ca="1" si="49"/>
        <v>4.4389921838580308</v>
      </c>
      <c r="T179">
        <f t="shared" ca="1" si="50"/>
        <v>81.614240907206607</v>
      </c>
      <c r="U179">
        <f>70</f>
        <v>70</v>
      </c>
      <c r="V179">
        <f>30</f>
        <v>30</v>
      </c>
      <c r="W179">
        <f t="shared" ca="1" si="48"/>
        <v>207.23991840352139</v>
      </c>
      <c r="X179">
        <f t="shared" ca="1" si="58"/>
        <v>201.28414202491837</v>
      </c>
      <c r="Y179">
        <f t="shared" ca="1" si="57"/>
        <v>6.0642438967161922</v>
      </c>
      <c r="Z179">
        <f t="shared" ca="1" si="59"/>
        <v>5.0092553720265869</v>
      </c>
      <c r="AA179">
        <f t="shared" ca="1" si="60"/>
        <v>1.0549885246896054</v>
      </c>
      <c r="AB179">
        <f t="shared" ca="1" si="61"/>
        <v>181.51399999999998</v>
      </c>
    </row>
    <row r="180" spans="1:28" x14ac:dyDescent="0.25">
      <c r="A180" s="20">
        <f t="shared" ca="1" si="41"/>
        <v>45551</v>
      </c>
      <c r="B180" vm="533">
        <f ca="1"/>
        <v>45552</v>
      </c>
      <c r="C180" vm="534">
        <f ca="1"/>
        <v>214.13</v>
      </c>
      <c r="D180" vm="535">
        <f ca="1"/>
        <v>5635210</v>
      </c>
      <c r="E180">
        <f t="shared" ca="1" si="42"/>
        <v>1206667517.3</v>
      </c>
      <c r="F180">
        <f ca="1">SUM($E$2:E180)/SUM($D$2:D180)</f>
        <v>182.7022928456355</v>
      </c>
      <c r="G180">
        <f ca="1">_xlfn.STDEV.P($C$2:C180)</f>
        <v>12.444366155000386</v>
      </c>
      <c r="H180">
        <f t="shared" ca="1" si="43"/>
        <v>195.14665900063588</v>
      </c>
      <c r="I180">
        <f t="shared" ca="1" si="44"/>
        <v>170.25792669063512</v>
      </c>
      <c r="J180">
        <f t="shared" ca="1" si="53"/>
        <v>203.33250000000004</v>
      </c>
      <c r="K180">
        <f t="shared" ca="1" si="54"/>
        <v>6.7230850335557291</v>
      </c>
      <c r="L180">
        <f t="shared" ca="1" si="55"/>
        <v>216.77867006711151</v>
      </c>
      <c r="M180">
        <f t="shared" ca="1" si="56"/>
        <v>189.88632993288857</v>
      </c>
      <c r="N180">
        <f t="shared" ca="1" si="45"/>
        <v>-3.0300000000000011</v>
      </c>
      <c r="O180">
        <f t="shared" ca="1" si="46"/>
        <v>0</v>
      </c>
      <c r="P180">
        <f t="shared" ca="1" si="47"/>
        <v>3.0300000000000011</v>
      </c>
      <c r="Q180">
        <f t="shared" ca="1" si="51"/>
        <v>1.4954155093844475</v>
      </c>
      <c r="R180">
        <f t="shared" ca="1" si="52"/>
        <v>0.55331033364982141</v>
      </c>
      <c r="S180">
        <f t="shared" ca="1" si="49"/>
        <v>2.7026704878619974</v>
      </c>
      <c r="T180">
        <f t="shared" ca="1" si="50"/>
        <v>72.992465754698529</v>
      </c>
      <c r="U180">
        <f>70</f>
        <v>70</v>
      </c>
      <c r="V180">
        <f>30</f>
        <v>30</v>
      </c>
      <c r="W180">
        <f t="shared" ca="1" si="48"/>
        <v>208.29993095682579</v>
      </c>
      <c r="X180">
        <f t="shared" ca="1" si="58"/>
        <v>202.2356870601096</v>
      </c>
      <c r="Y180">
        <f t="shared" ca="1" si="57"/>
        <v>6.1447327625118078</v>
      </c>
      <c r="Z180">
        <f t="shared" ca="1" si="59"/>
        <v>5.2363508501236318</v>
      </c>
      <c r="AA180">
        <f t="shared" ca="1" si="60"/>
        <v>0.908381912388176</v>
      </c>
      <c r="AB180">
        <f t="shared" ca="1" si="61"/>
        <v>181.81429999999997</v>
      </c>
    </row>
    <row r="181" spans="1:28" x14ac:dyDescent="0.25">
      <c r="A181" s="20">
        <f t="shared" ca="1" si="41"/>
        <v>45551</v>
      </c>
      <c r="B181" vm="536">
        <f ca="1"/>
        <v>45553</v>
      </c>
      <c r="C181" vm="537">
        <f ca="1"/>
        <v>214.94</v>
      </c>
      <c r="D181" vm="538">
        <f ca="1"/>
        <v>3482764</v>
      </c>
      <c r="E181">
        <f t="shared" ca="1" si="42"/>
        <v>748585294.15999997</v>
      </c>
      <c r="F181">
        <f ca="1">SUM($E$2:E181)/SUM($D$2:D181)</f>
        <v>182.84976433824153</v>
      </c>
      <c r="G181">
        <f ca="1">_xlfn.STDEV.P($C$2:C181)</f>
        <v>12.643291350468811</v>
      </c>
      <c r="H181">
        <f t="shared" ca="1" si="43"/>
        <v>195.49305568871034</v>
      </c>
      <c r="I181">
        <f t="shared" ca="1" si="44"/>
        <v>170.20647298777271</v>
      </c>
      <c r="J181">
        <f t="shared" ca="1" si="53"/>
        <v>204.27800000000005</v>
      </c>
      <c r="K181">
        <f t="shared" ca="1" si="54"/>
        <v>6.9673136105222362</v>
      </c>
      <c r="L181">
        <f t="shared" ca="1" si="55"/>
        <v>218.21262722104453</v>
      </c>
      <c r="M181">
        <f t="shared" ca="1" si="56"/>
        <v>190.34337277895557</v>
      </c>
      <c r="N181">
        <f t="shared" ca="1" si="45"/>
        <v>0.81000000000000227</v>
      </c>
      <c r="O181">
        <f t="shared" ca="1" si="46"/>
        <v>0.81000000000000227</v>
      </c>
      <c r="P181">
        <f t="shared" ca="1" si="47"/>
        <v>0</v>
      </c>
      <c r="Q181">
        <f t="shared" ca="1" si="51"/>
        <v>1.44645725871413</v>
      </c>
      <c r="R181">
        <f t="shared" ca="1" si="52"/>
        <v>0.51378816696054852</v>
      </c>
      <c r="S181">
        <f t="shared" ca="1" si="49"/>
        <v>2.815279431737471</v>
      </c>
      <c r="T181">
        <f t="shared" ca="1" si="50"/>
        <v>73.789600004616119</v>
      </c>
      <c r="U181">
        <f>70</f>
        <v>70</v>
      </c>
      <c r="V181">
        <f>30</f>
        <v>30</v>
      </c>
      <c r="W181">
        <f t="shared" ca="1" si="48"/>
        <v>209.32148004039107</v>
      </c>
      <c r="X181">
        <f t="shared" ca="1" si="58"/>
        <v>203.17674727787926</v>
      </c>
      <c r="Y181">
        <f t="shared" ca="1" si="57"/>
        <v>6.0540077113543873</v>
      </c>
      <c r="Z181">
        <f t="shared" ca="1" si="59"/>
        <v>5.3998822223697829</v>
      </c>
      <c r="AA181">
        <f t="shared" ca="1" si="60"/>
        <v>0.65412548898460443</v>
      </c>
      <c r="AB181">
        <f t="shared" ca="1" si="61"/>
        <v>182.27459999999999</v>
      </c>
    </row>
    <row r="182" spans="1:28" x14ac:dyDescent="0.25">
      <c r="A182" s="20">
        <f t="shared" ca="1" si="41"/>
        <v>45551</v>
      </c>
      <c r="B182" vm="539">
        <f ca="1"/>
        <v>45554</v>
      </c>
      <c r="C182" vm="540">
        <f ca="1"/>
        <v>213.89</v>
      </c>
      <c r="D182" vm="541">
        <f ca="1"/>
        <v>5279559</v>
      </c>
      <c r="E182">
        <f t="shared" ca="1" si="42"/>
        <v>1129244874.51</v>
      </c>
      <c r="F182">
        <f ca="1">SUM($E$2:E182)/SUM($D$2:D182)</f>
        <v>183.06353165369211</v>
      </c>
      <c r="G182">
        <f ca="1">_xlfn.STDEV.P($C$2:C182)</f>
        <v>12.820163954552884</v>
      </c>
      <c r="H182">
        <f t="shared" ca="1" si="43"/>
        <v>195.88369560824501</v>
      </c>
      <c r="I182">
        <f t="shared" ca="1" si="44"/>
        <v>170.24336769913921</v>
      </c>
      <c r="J182">
        <f t="shared" ca="1" si="53"/>
        <v>205.11200000000002</v>
      </c>
      <c r="K182">
        <f t="shared" ca="1" si="54"/>
        <v>7.0742249714981771</v>
      </c>
      <c r="L182">
        <f t="shared" ca="1" si="55"/>
        <v>219.26044994299639</v>
      </c>
      <c r="M182">
        <f t="shared" ca="1" si="56"/>
        <v>190.96355005700366</v>
      </c>
      <c r="N182">
        <f t="shared" ca="1" si="45"/>
        <v>-1.0500000000000114</v>
      </c>
      <c r="O182">
        <f t="shared" ca="1" si="46"/>
        <v>0</v>
      </c>
      <c r="P182">
        <f t="shared" ca="1" si="47"/>
        <v>1.0500000000000114</v>
      </c>
      <c r="Q182">
        <f t="shared" ca="1" si="51"/>
        <v>1.3431388830916922</v>
      </c>
      <c r="R182">
        <f t="shared" ca="1" si="52"/>
        <v>0.55208901217765305</v>
      </c>
      <c r="S182">
        <f t="shared" ca="1" si="49"/>
        <v>2.4328303108113523</v>
      </c>
      <c r="T182">
        <f t="shared" ca="1" si="50"/>
        <v>70.869518459721093</v>
      </c>
      <c r="U182">
        <f>70</f>
        <v>70</v>
      </c>
      <c r="V182">
        <f>30</f>
        <v>30</v>
      </c>
      <c r="W182">
        <f t="shared" ca="1" si="48"/>
        <v>210.02432926494629</v>
      </c>
      <c r="X182">
        <f t="shared" ca="1" si="58"/>
        <v>203.9703215535919</v>
      </c>
      <c r="Y182">
        <f t="shared" ca="1" si="57"/>
        <v>6.2178669138794476</v>
      </c>
      <c r="Z182">
        <f t="shared" ca="1" si="59"/>
        <v>5.563479160671716</v>
      </c>
      <c r="AA182">
        <f t="shared" ca="1" si="60"/>
        <v>0.65438775320773157</v>
      </c>
      <c r="AB182">
        <f t="shared" ca="1" si="61"/>
        <v>182.74219999999997</v>
      </c>
    </row>
    <row r="183" spans="1:28" x14ac:dyDescent="0.25">
      <c r="A183" s="20">
        <f t="shared" ca="1" si="41"/>
        <v>45551</v>
      </c>
      <c r="B183" vm="542">
        <f ca="1"/>
        <v>45555</v>
      </c>
      <c r="C183" vm="543">
        <f ca="1"/>
        <v>217.7</v>
      </c>
      <c r="D183" vm="544">
        <f ca="1"/>
        <v>9958980</v>
      </c>
      <c r="E183">
        <f t="shared" ca="1" si="42"/>
        <v>2168069946</v>
      </c>
      <c r="F183">
        <f ca="1">SUM($E$2:E183)/SUM($D$2:D183)</f>
        <v>183.50771435310747</v>
      </c>
      <c r="G183">
        <f ca="1">_xlfn.STDEV.P($C$2:C183)</f>
        <v>13.043309613137721</v>
      </c>
      <c r="H183">
        <f t="shared" ca="1" si="43"/>
        <v>196.5510239662452</v>
      </c>
      <c r="I183">
        <f t="shared" ca="1" si="44"/>
        <v>170.46440473996975</v>
      </c>
      <c r="J183">
        <f t="shared" ca="1" si="53"/>
        <v>206.19900000000001</v>
      </c>
      <c r="K183">
        <f t="shared" ca="1" si="54"/>
        <v>7.2617084404211782</v>
      </c>
      <c r="L183">
        <f t="shared" ca="1" si="55"/>
        <v>220.72241688084236</v>
      </c>
      <c r="M183">
        <f t="shared" ca="1" si="56"/>
        <v>191.67558311915766</v>
      </c>
      <c r="N183">
        <f t="shared" ca="1" si="45"/>
        <v>3.8100000000000023</v>
      </c>
      <c r="O183">
        <f t="shared" ca="1" si="46"/>
        <v>3.8100000000000023</v>
      </c>
      <c r="P183">
        <f t="shared" ca="1" si="47"/>
        <v>0</v>
      </c>
      <c r="Q183">
        <f t="shared" ca="1" si="51"/>
        <v>1.5193432485851428</v>
      </c>
      <c r="R183">
        <f t="shared" ca="1" si="52"/>
        <v>0.51265408273639212</v>
      </c>
      <c r="S183">
        <f t="shared" ca="1" si="49"/>
        <v>2.9636811638665765</v>
      </c>
      <c r="T183">
        <f t="shared" ca="1" si="50"/>
        <v>74.770927361258828</v>
      </c>
      <c r="U183">
        <f>70</f>
        <v>70</v>
      </c>
      <c r="V183">
        <f>30</f>
        <v>30</v>
      </c>
      <c r="W183">
        <f t="shared" ca="1" si="48"/>
        <v>211.20520168572378</v>
      </c>
      <c r="X183">
        <f t="shared" ca="1" si="58"/>
        <v>204.98733477184433</v>
      </c>
      <c r="Y183">
        <f t="shared" ca="1" si="57"/>
        <v>6.4987495721098298</v>
      </c>
      <c r="Z183">
        <f t="shared" ca="1" si="59"/>
        <v>5.7505332429593388</v>
      </c>
      <c r="AA183">
        <f t="shared" ca="1" si="60"/>
        <v>0.74821632915049108</v>
      </c>
      <c r="AB183">
        <f t="shared" ca="1" si="61"/>
        <v>183.24489999999997</v>
      </c>
    </row>
    <row r="184" spans="1:28" x14ac:dyDescent="0.25">
      <c r="A184" s="20">
        <f t="shared" ca="1" si="41"/>
        <v>45558</v>
      </c>
      <c r="B184" vm="545">
        <f ca="1"/>
        <v>45558</v>
      </c>
      <c r="C184" vm="546">
        <f ca="1"/>
        <v>220.5</v>
      </c>
      <c r="D184" vm="547">
        <f ca="1"/>
        <v>4074755</v>
      </c>
      <c r="E184">
        <f t="shared" ca="1" si="42"/>
        <v>898483477.5</v>
      </c>
      <c r="F184">
        <f ca="1">SUM($E$2:E184)/SUM($D$2:D184)</f>
        <v>183.70080135454666</v>
      </c>
      <c r="G184">
        <f ca="1">_xlfn.STDEV.P($C$2:C184)</f>
        <v>13.299023689833406</v>
      </c>
      <c r="H184">
        <f t="shared" ca="1" si="43"/>
        <v>196.99982504438006</v>
      </c>
      <c r="I184">
        <f t="shared" ca="1" si="44"/>
        <v>170.40177766471325</v>
      </c>
      <c r="J184">
        <f t="shared" ca="1" si="53"/>
        <v>207.41899999999995</v>
      </c>
      <c r="K184">
        <f t="shared" ca="1" si="54"/>
        <v>7.5207662683504442</v>
      </c>
      <c r="L184">
        <f t="shared" ca="1" si="55"/>
        <v>222.46053253670084</v>
      </c>
      <c r="M184">
        <f t="shared" ca="1" si="56"/>
        <v>192.37746746329907</v>
      </c>
      <c r="N184">
        <f t="shared" ca="1" si="45"/>
        <v>2.8000000000000114</v>
      </c>
      <c r="O184">
        <f t="shared" ca="1" si="46"/>
        <v>2.8000000000000114</v>
      </c>
      <c r="P184">
        <f t="shared" ca="1" si="47"/>
        <v>0</v>
      </c>
      <c r="Q184">
        <f t="shared" ca="1" si="51"/>
        <v>1.610818730829062</v>
      </c>
      <c r="R184">
        <f t="shared" ca="1" si="52"/>
        <v>0.476035933969507</v>
      </c>
      <c r="S184">
        <f t="shared" ca="1" si="49"/>
        <v>3.3838175143564788</v>
      </c>
      <c r="T184">
        <f t="shared" ca="1" si="50"/>
        <v>77.188831498457233</v>
      </c>
      <c r="U184">
        <f>70</f>
        <v>70</v>
      </c>
      <c r="V184">
        <f>30</f>
        <v>30</v>
      </c>
      <c r="W184">
        <f t="shared" ca="1" si="48"/>
        <v>212.63517065715089</v>
      </c>
      <c r="X184">
        <f t="shared" ca="1" si="58"/>
        <v>206.13642108504106</v>
      </c>
      <c r="Y184">
        <f t="shared" ca="1" si="57"/>
        <v>6.6822473861409435</v>
      </c>
      <c r="Z184">
        <f t="shared" ca="1" si="59"/>
        <v>5.9368760715956599</v>
      </c>
      <c r="AA184">
        <f t="shared" ca="1" si="60"/>
        <v>0.7453713145452836</v>
      </c>
      <c r="AB184">
        <f t="shared" ca="1" si="61"/>
        <v>183.78790000000001</v>
      </c>
    </row>
    <row r="185" spans="1:28" x14ac:dyDescent="0.25">
      <c r="A185" s="20">
        <f t="shared" ca="1" si="41"/>
        <v>45558</v>
      </c>
      <c r="B185" vm="548">
        <f ca="1"/>
        <v>45559</v>
      </c>
      <c r="C185" vm="549">
        <f ca="1"/>
        <v>220.97</v>
      </c>
      <c r="D185" vm="550">
        <f ca="1"/>
        <v>3184114</v>
      </c>
      <c r="E185">
        <f t="shared" ca="1" si="42"/>
        <v>703593670.58000004</v>
      </c>
      <c r="F185">
        <f ca="1">SUM($E$2:E185)/SUM($D$2:D185)</f>
        <v>183.85219625624785</v>
      </c>
      <c r="G185">
        <f ca="1">_xlfn.STDEV.P($C$2:C185)</f>
        <v>13.551200097787081</v>
      </c>
      <c r="H185">
        <f t="shared" ca="1" si="43"/>
        <v>197.40339635403492</v>
      </c>
      <c r="I185">
        <f t="shared" ca="1" si="44"/>
        <v>170.30099615846078</v>
      </c>
      <c r="J185">
        <f t="shared" ca="1" si="53"/>
        <v>208.5685</v>
      </c>
      <c r="K185">
        <f t="shared" ca="1" si="54"/>
        <v>7.7554207018805785</v>
      </c>
      <c r="L185">
        <f t="shared" ca="1" si="55"/>
        <v>224.07934140376116</v>
      </c>
      <c r="M185">
        <f t="shared" ca="1" si="56"/>
        <v>193.05765859623884</v>
      </c>
      <c r="N185">
        <f t="shared" ca="1" si="45"/>
        <v>0.46999999999999886</v>
      </c>
      <c r="O185">
        <f t="shared" ca="1" si="46"/>
        <v>0.46999999999999886</v>
      </c>
      <c r="P185">
        <f t="shared" ca="1" si="47"/>
        <v>0</v>
      </c>
      <c r="Q185">
        <f t="shared" ca="1" si="51"/>
        <v>1.5293316786269862</v>
      </c>
      <c r="R185">
        <f t="shared" ca="1" si="52"/>
        <v>0.44203336725739939</v>
      </c>
      <c r="S185">
        <f t="shared" ca="1" si="49"/>
        <v>3.4597652392527296</v>
      </c>
      <c r="T185">
        <f t="shared" ca="1" si="50"/>
        <v>77.57729507377482</v>
      </c>
      <c r="U185">
        <f>70</f>
        <v>70</v>
      </c>
      <c r="V185">
        <f>30</f>
        <v>30</v>
      </c>
      <c r="W185">
        <f t="shared" ca="1" si="48"/>
        <v>213.9174520945123</v>
      </c>
      <c r="X185">
        <f t="shared" ca="1" si="58"/>
        <v>207.23520470837136</v>
      </c>
      <c r="Y185">
        <f t="shared" ca="1" si="57"/>
        <v>6.7706032531323785</v>
      </c>
      <c r="Z185">
        <f t="shared" ca="1" si="59"/>
        <v>6.1036215079030036</v>
      </c>
      <c r="AA185">
        <f t="shared" ca="1" si="60"/>
        <v>0.66698174522937492</v>
      </c>
      <c r="AB185">
        <f t="shared" ca="1" si="61"/>
        <v>184.35330000000002</v>
      </c>
    </row>
    <row r="186" spans="1:28" x14ac:dyDescent="0.25">
      <c r="A186" s="20">
        <f t="shared" ca="1" si="41"/>
        <v>45558</v>
      </c>
      <c r="B186" vm="551">
        <f ca="1"/>
        <v>45560</v>
      </c>
      <c r="C186" vm="552">
        <f ca="1"/>
        <v>221.23</v>
      </c>
      <c r="D186" vm="553">
        <f ca="1"/>
        <v>2537751</v>
      </c>
      <c r="E186">
        <f t="shared" ca="1" si="42"/>
        <v>561426653.73000002</v>
      </c>
      <c r="F186">
        <f ca="1">SUM($E$2:E186)/SUM($D$2:D186)</f>
        <v>183.9728196598964</v>
      </c>
      <c r="G186">
        <f ca="1">_xlfn.STDEV.P($C$2:C186)</f>
        <v>13.79692726867022</v>
      </c>
      <c r="H186">
        <f t="shared" ca="1" si="43"/>
        <v>197.76974692856663</v>
      </c>
      <c r="I186">
        <f t="shared" ca="1" si="44"/>
        <v>170.17589239122617</v>
      </c>
      <c r="J186">
        <f t="shared" ca="1" si="53"/>
        <v>209.69349999999994</v>
      </c>
      <c r="K186">
        <f t="shared" ca="1" si="54"/>
        <v>7.8839926266354432</v>
      </c>
      <c r="L186">
        <f t="shared" ca="1" si="55"/>
        <v>225.46148525327084</v>
      </c>
      <c r="M186">
        <f t="shared" ca="1" si="56"/>
        <v>193.92551474672905</v>
      </c>
      <c r="N186">
        <f t="shared" ca="1" si="45"/>
        <v>0.25999999999999091</v>
      </c>
      <c r="O186">
        <f t="shared" ca="1" si="46"/>
        <v>0.25999999999999091</v>
      </c>
      <c r="P186">
        <f t="shared" ca="1" si="47"/>
        <v>0</v>
      </c>
      <c r="Q186">
        <f t="shared" ca="1" si="51"/>
        <v>1.4386651301536293</v>
      </c>
      <c r="R186">
        <f t="shared" ca="1" si="52"/>
        <v>0.41045955531044231</v>
      </c>
      <c r="S186">
        <f t="shared" ca="1" si="49"/>
        <v>3.5050106923824096</v>
      </c>
      <c r="T186">
        <f t="shared" ca="1" si="50"/>
        <v>77.802494416030683</v>
      </c>
      <c r="U186">
        <f>70</f>
        <v>70</v>
      </c>
      <c r="V186">
        <f>30</f>
        <v>30</v>
      </c>
      <c r="W186">
        <f t="shared" ca="1" si="48"/>
        <v>215.04245946458735</v>
      </c>
      <c r="X186">
        <f t="shared" ca="1" si="58"/>
        <v>208.27185621145497</v>
      </c>
      <c r="Y186">
        <f t="shared" ca="1" si="57"/>
        <v>6.9381686389161814</v>
      </c>
      <c r="Z186">
        <f t="shared" ca="1" si="59"/>
        <v>6.2705309341056399</v>
      </c>
      <c r="AA186">
        <f t="shared" ca="1" si="60"/>
        <v>0.66763770481054152</v>
      </c>
      <c r="AB186">
        <f t="shared" ca="1" si="61"/>
        <v>184.9187</v>
      </c>
    </row>
    <row r="187" spans="1:28" x14ac:dyDescent="0.25">
      <c r="A187" s="20">
        <f t="shared" ca="1" si="41"/>
        <v>45558</v>
      </c>
      <c r="B187" vm="554">
        <f ca="1"/>
        <v>45561</v>
      </c>
      <c r="C187" vm="555">
        <f ca="1"/>
        <v>223.43</v>
      </c>
      <c r="D187" vm="556">
        <f ca="1"/>
        <v>2673210</v>
      </c>
      <c r="E187">
        <f t="shared" ca="1" si="42"/>
        <v>597275310.30000007</v>
      </c>
      <c r="F187">
        <f ca="1">SUM($E$2:E187)/SUM($D$2:D187)</f>
        <v>184.1064958564196</v>
      </c>
      <c r="G187">
        <f ca="1">_xlfn.STDEV.P($C$2:C187)</f>
        <v>14.065307708890483</v>
      </c>
      <c r="H187">
        <f t="shared" ca="1" si="43"/>
        <v>198.17180356531009</v>
      </c>
      <c r="I187">
        <f t="shared" ca="1" si="44"/>
        <v>170.04118814752911</v>
      </c>
      <c r="J187">
        <f t="shared" ca="1" si="53"/>
        <v>210.94199999999995</v>
      </c>
      <c r="K187">
        <f t="shared" ca="1" si="54"/>
        <v>7.9878668518012503</v>
      </c>
      <c r="L187">
        <f t="shared" ca="1" si="55"/>
        <v>226.91773370360244</v>
      </c>
      <c r="M187">
        <f t="shared" ca="1" si="56"/>
        <v>194.96626629639746</v>
      </c>
      <c r="N187">
        <f t="shared" ca="1" si="45"/>
        <v>2.2000000000000171</v>
      </c>
      <c r="O187">
        <f t="shared" ca="1" si="46"/>
        <v>2.2000000000000171</v>
      </c>
      <c r="P187">
        <f t="shared" ca="1" si="47"/>
        <v>0</v>
      </c>
      <c r="Q187">
        <f t="shared" ca="1" si="51"/>
        <v>1.4930461922855141</v>
      </c>
      <c r="R187">
        <f t="shared" ca="1" si="52"/>
        <v>0.3811410156454107</v>
      </c>
      <c r="S187">
        <f t="shared" ca="1" si="49"/>
        <v>3.917306537469452</v>
      </c>
      <c r="T187">
        <f t="shared" ca="1" si="50"/>
        <v>79.66366358533709</v>
      </c>
      <c r="U187">
        <f>70</f>
        <v>70</v>
      </c>
      <c r="V187">
        <f>30</f>
        <v>30</v>
      </c>
      <c r="W187">
        <f t="shared" ca="1" si="48"/>
        <v>216.33285031618931</v>
      </c>
      <c r="X187">
        <f t="shared" ca="1" si="58"/>
        <v>209.39468167727313</v>
      </c>
      <c r="Y187">
        <f t="shared" ca="1" si="57"/>
        <v>6.7837749253403672</v>
      </c>
      <c r="Z187">
        <f t="shared" ca="1" si="59"/>
        <v>6.3731797323525861</v>
      </c>
      <c r="AA187">
        <f t="shared" ca="1" si="60"/>
        <v>0.41059519298778113</v>
      </c>
      <c r="AB187">
        <f t="shared" ca="1" si="61"/>
        <v>185.49590000000001</v>
      </c>
    </row>
    <row r="188" spans="1:28" x14ac:dyDescent="0.25">
      <c r="A188" s="20">
        <f t="shared" ca="1" si="41"/>
        <v>45558</v>
      </c>
      <c r="B188" vm="557">
        <f ca="1"/>
        <v>45562</v>
      </c>
      <c r="C188" vm="558">
        <f ca="1"/>
        <v>220.84</v>
      </c>
      <c r="D188" vm="559">
        <f ca="1"/>
        <v>3830335</v>
      </c>
      <c r="E188">
        <f t="shared" ca="1" si="42"/>
        <v>845891181.39999998</v>
      </c>
      <c r="F188">
        <f ca="1">SUM($E$2:E188)/SUM($D$2:D188)</f>
        <v>184.28395196532313</v>
      </c>
      <c r="G188">
        <f ca="1">_xlfn.STDEV.P($C$2:C188)</f>
        <v>14.285768309016545</v>
      </c>
      <c r="H188">
        <f t="shared" ca="1" si="43"/>
        <v>198.56972027433966</v>
      </c>
      <c r="I188">
        <f t="shared" ca="1" si="44"/>
        <v>169.99818365630659</v>
      </c>
      <c r="J188">
        <f t="shared" ca="1" si="53"/>
        <v>212.03899999999999</v>
      </c>
      <c r="K188">
        <f t="shared" ca="1" si="54"/>
        <v>7.7500654666165296</v>
      </c>
      <c r="L188">
        <f t="shared" ca="1" si="55"/>
        <v>227.53913093323305</v>
      </c>
      <c r="M188">
        <f t="shared" ca="1" si="56"/>
        <v>196.53886906676692</v>
      </c>
      <c r="N188">
        <f t="shared" ca="1" si="45"/>
        <v>-2.5900000000000034</v>
      </c>
      <c r="O188">
        <f t="shared" ca="1" si="46"/>
        <v>0</v>
      </c>
      <c r="P188">
        <f t="shared" ca="1" si="47"/>
        <v>2.5900000000000034</v>
      </c>
      <c r="Q188">
        <f t="shared" ca="1" si="51"/>
        <v>1.3864000356936916</v>
      </c>
      <c r="R188">
        <f t="shared" ca="1" si="52"/>
        <v>0.53891665738502448</v>
      </c>
      <c r="S188">
        <f t="shared" ca="1" si="49"/>
        <v>2.5725685348471048</v>
      </c>
      <c r="T188">
        <f t="shared" ca="1" si="50"/>
        <v>72.008934461412736</v>
      </c>
      <c r="U188">
        <f>70</f>
        <v>70</v>
      </c>
      <c r="V188">
        <f>30</f>
        <v>30</v>
      </c>
      <c r="W188">
        <f t="shared" ca="1" si="48"/>
        <v>217.0262579598525</v>
      </c>
      <c r="X188">
        <f t="shared" ca="1" si="58"/>
        <v>210.24248303451213</v>
      </c>
      <c r="Y188">
        <f t="shared" ca="1" si="57"/>
        <v>6.6046485124209369</v>
      </c>
      <c r="Z188">
        <f t="shared" ca="1" si="59"/>
        <v>6.4194734883662568</v>
      </c>
      <c r="AA188">
        <f t="shared" ca="1" si="60"/>
        <v>0.18517502405468012</v>
      </c>
      <c r="AB188">
        <f t="shared" ca="1" si="61"/>
        <v>186.01820000000001</v>
      </c>
    </row>
    <row r="189" spans="1:28" x14ac:dyDescent="0.25">
      <c r="A189" s="20">
        <f t="shared" ca="1" si="41"/>
        <v>45565</v>
      </c>
      <c r="B189" vm="560">
        <f ca="1"/>
        <v>45565</v>
      </c>
      <c r="C189" vm="561">
        <f ca="1"/>
        <v>221.08</v>
      </c>
      <c r="D189" vm="562">
        <f ca="1"/>
        <v>3544264</v>
      </c>
      <c r="E189">
        <f t="shared" ca="1" si="42"/>
        <v>783565885.12</v>
      </c>
      <c r="F189">
        <f ca="1">SUM($E$2:E189)/SUM($D$2:D189)</f>
        <v>184.44770224874614</v>
      </c>
      <c r="G189">
        <f ca="1">_xlfn.STDEV.P($C$2:C189)</f>
        <v>14.50115799765571</v>
      </c>
      <c r="H189">
        <f t="shared" ca="1" si="43"/>
        <v>198.94886024640186</v>
      </c>
      <c r="I189">
        <f t="shared" ca="1" si="44"/>
        <v>169.94654425109042</v>
      </c>
      <c r="J189">
        <f t="shared" ca="1" si="53"/>
        <v>212.98649999999998</v>
      </c>
      <c r="K189">
        <f t="shared" ca="1" si="54"/>
        <v>7.6323516931821898</v>
      </c>
      <c r="L189">
        <f t="shared" ca="1" si="55"/>
        <v>228.25120338636435</v>
      </c>
      <c r="M189">
        <f t="shared" ca="1" si="56"/>
        <v>197.7217966136356</v>
      </c>
      <c r="N189">
        <f t="shared" ca="1" si="45"/>
        <v>0.24000000000000909</v>
      </c>
      <c r="O189">
        <f t="shared" ca="1" si="46"/>
        <v>0.24000000000000909</v>
      </c>
      <c r="P189">
        <f t="shared" ca="1" si="47"/>
        <v>0</v>
      </c>
      <c r="Q189">
        <f t="shared" ca="1" si="51"/>
        <v>1.3045143188584285</v>
      </c>
      <c r="R189">
        <f t="shared" ca="1" si="52"/>
        <v>0.50042261042895131</v>
      </c>
      <c r="S189">
        <f t="shared" ca="1" si="49"/>
        <v>2.6068252946049486</v>
      </c>
      <c r="T189">
        <f t="shared" ca="1" si="50"/>
        <v>72.274786874324363</v>
      </c>
      <c r="U189">
        <f>70</f>
        <v>70</v>
      </c>
      <c r="V189">
        <f>30</f>
        <v>30</v>
      </c>
      <c r="W189">
        <f t="shared" ca="1" si="48"/>
        <v>217.64991058141365</v>
      </c>
      <c r="X189">
        <f t="shared" ca="1" si="58"/>
        <v>211.04526206899271</v>
      </c>
      <c r="Y189">
        <f t="shared" ca="1" si="57"/>
        <v>6.2510349579977742</v>
      </c>
      <c r="Z189">
        <f t="shared" ca="1" si="59"/>
        <v>6.3857857822925608</v>
      </c>
      <c r="AA189">
        <f t="shared" ca="1" si="60"/>
        <v>-0.13475082429478658</v>
      </c>
      <c r="AB189">
        <f t="shared" ca="1" si="61"/>
        <v>186.54520000000005</v>
      </c>
    </row>
    <row r="190" spans="1:28" x14ac:dyDescent="0.25">
      <c r="A190" s="20">
        <f t="shared" ca="1" si="41"/>
        <v>45565</v>
      </c>
      <c r="B190" vm="563">
        <f ca="1"/>
        <v>45566</v>
      </c>
      <c r="C190" vm="564">
        <f ca="1"/>
        <v>219.35</v>
      </c>
      <c r="D190" vm="565">
        <f ca="1"/>
        <v>3548374</v>
      </c>
      <c r="E190">
        <f t="shared" ca="1" si="42"/>
        <v>778335836.89999998</v>
      </c>
      <c r="F190">
        <f ca="1">SUM($E$2:E190)/SUM($D$2:D190)</f>
        <v>184.60251530358329</v>
      </c>
      <c r="G190">
        <f ca="1">_xlfn.STDEV.P($C$2:C190)</f>
        <v>14.686227372160888</v>
      </c>
      <c r="H190">
        <f t="shared" ca="1" si="43"/>
        <v>199.28874267574417</v>
      </c>
      <c r="I190">
        <f t="shared" ca="1" si="44"/>
        <v>169.9162879314224</v>
      </c>
      <c r="J190">
        <f t="shared" ca="1" si="53"/>
        <v>213.88999999999996</v>
      </c>
      <c r="K190">
        <f t="shared" ca="1" si="54"/>
        <v>7.2327064163605543</v>
      </c>
      <c r="L190">
        <f t="shared" ca="1" si="55"/>
        <v>228.35541283272107</v>
      </c>
      <c r="M190">
        <f t="shared" ca="1" si="56"/>
        <v>199.42458716727884</v>
      </c>
      <c r="N190">
        <f t="shared" ca="1" si="45"/>
        <v>-1.7300000000000182</v>
      </c>
      <c r="O190">
        <f t="shared" ca="1" si="46"/>
        <v>0</v>
      </c>
      <c r="P190">
        <f t="shared" ca="1" si="47"/>
        <v>1.7300000000000182</v>
      </c>
      <c r="Q190">
        <f t="shared" ca="1" si="51"/>
        <v>1.2113347246542552</v>
      </c>
      <c r="R190">
        <f t="shared" ca="1" si="52"/>
        <v>0.58824956682688467</v>
      </c>
      <c r="S190">
        <f t="shared" ca="1" si="49"/>
        <v>2.0592190678327138</v>
      </c>
      <c r="T190">
        <f t="shared" ca="1" si="50"/>
        <v>67.311919224259924</v>
      </c>
      <c r="U190">
        <f>70</f>
        <v>70</v>
      </c>
      <c r="V190">
        <f>30</f>
        <v>30</v>
      </c>
      <c r="W190">
        <f t="shared" ca="1" si="48"/>
        <v>217.9114627996577</v>
      </c>
      <c r="X190">
        <f t="shared" ca="1" si="58"/>
        <v>211.66042784165992</v>
      </c>
      <c r="Y190">
        <f t="shared" ca="1" si="57"/>
        <v>5.9330638260935871</v>
      </c>
      <c r="Z190">
        <f t="shared" ca="1" si="59"/>
        <v>6.295241391052766</v>
      </c>
      <c r="AA190">
        <f t="shared" ca="1" si="60"/>
        <v>-0.36217756495917897</v>
      </c>
      <c r="AB190">
        <f t="shared" ca="1" si="61"/>
        <v>187.03970000000001</v>
      </c>
    </row>
    <row r="191" spans="1:28" x14ac:dyDescent="0.25">
      <c r="A191" s="20">
        <f t="shared" ca="1" si="41"/>
        <v>45565</v>
      </c>
      <c r="B191" vm="566">
        <f ca="1"/>
        <v>45567</v>
      </c>
      <c r="C191" vm="567">
        <f ca="1"/>
        <v>219.73</v>
      </c>
      <c r="D191" vm="568">
        <f ca="1"/>
        <v>3343399</v>
      </c>
      <c r="E191">
        <f t="shared" ca="1" si="42"/>
        <v>734645062.26999998</v>
      </c>
      <c r="F191">
        <f ca="1">SUM($E$2:E191)/SUM($D$2:D191)</f>
        <v>184.74871555953109</v>
      </c>
      <c r="G191">
        <f ca="1">_xlfn.STDEV.P($C$2:C191)</f>
        <v>14.869495500628569</v>
      </c>
      <c r="H191">
        <f t="shared" ca="1" si="43"/>
        <v>199.61821106015967</v>
      </c>
      <c r="I191">
        <f t="shared" ca="1" si="44"/>
        <v>169.87922005890252</v>
      </c>
      <c r="J191">
        <f t="shared" ca="1" si="53"/>
        <v>214.67099999999996</v>
      </c>
      <c r="K191">
        <f t="shared" ca="1" si="54"/>
        <v>6.9592300693320039</v>
      </c>
      <c r="L191">
        <f t="shared" ca="1" si="55"/>
        <v>228.58946013866398</v>
      </c>
      <c r="M191">
        <f t="shared" ca="1" si="56"/>
        <v>200.75253986133595</v>
      </c>
      <c r="N191">
        <f t="shared" ca="1" si="45"/>
        <v>0.37999999999999545</v>
      </c>
      <c r="O191">
        <f t="shared" ca="1" si="46"/>
        <v>0.37999999999999545</v>
      </c>
      <c r="P191">
        <f t="shared" ca="1" si="47"/>
        <v>0</v>
      </c>
      <c r="Q191">
        <f t="shared" ca="1" si="51"/>
        <v>1.1519536728932367</v>
      </c>
      <c r="R191">
        <f t="shared" ca="1" si="52"/>
        <v>0.54623174062496438</v>
      </c>
      <c r="S191">
        <f t="shared" ca="1" si="49"/>
        <v>2.108910169839715</v>
      </c>
      <c r="T191">
        <f t="shared" ca="1" si="50"/>
        <v>67.834387442222024</v>
      </c>
      <c r="U191">
        <f>70</f>
        <v>70</v>
      </c>
      <c r="V191">
        <f>30</f>
        <v>30</v>
      </c>
      <c r="W191">
        <f t="shared" ca="1" si="48"/>
        <v>218.19123775355649</v>
      </c>
      <c r="X191">
        <f t="shared" ca="1" si="58"/>
        <v>212.25817392746291</v>
      </c>
      <c r="Y191">
        <f t="shared" ca="1" si="57"/>
        <v>5.8548463999453872</v>
      </c>
      <c r="Z191">
        <f t="shared" ca="1" si="59"/>
        <v>6.2071623928312905</v>
      </c>
      <c r="AA191">
        <f t="shared" ca="1" si="60"/>
        <v>-0.35231599288590321</v>
      </c>
      <c r="AB191">
        <f t="shared" ca="1" si="61"/>
        <v>187.57429999999999</v>
      </c>
    </row>
    <row r="192" spans="1:28" x14ac:dyDescent="0.25">
      <c r="A192" s="20">
        <f t="shared" ca="1" si="41"/>
        <v>45565</v>
      </c>
      <c r="B192" vm="569">
        <f ca="1"/>
        <v>45568</v>
      </c>
      <c r="C192" vm="570">
        <f ca="1"/>
        <v>222.72</v>
      </c>
      <c r="D192" vm="571">
        <f ca="1"/>
        <v>3788265</v>
      </c>
      <c r="E192">
        <f t="shared" ca="1" si="42"/>
        <v>843722380.79999995</v>
      </c>
      <c r="F192">
        <f ca="1">SUM($E$2:E192)/SUM($D$2:D192)</f>
        <v>184.92693919128027</v>
      </c>
      <c r="G192">
        <f ca="1">_xlfn.STDEV.P($C$2:C192)</f>
        <v>15.084299376636617</v>
      </c>
      <c r="H192">
        <f t="shared" ca="1" si="43"/>
        <v>200.01123856791688</v>
      </c>
      <c r="I192">
        <f t="shared" ca="1" si="44"/>
        <v>169.84263981464366</v>
      </c>
      <c r="J192">
        <f t="shared" ca="1" si="53"/>
        <v>215.67749999999995</v>
      </c>
      <c r="K192">
        <f t="shared" ca="1" si="54"/>
        <v>6.5645049318284467</v>
      </c>
      <c r="L192">
        <f t="shared" ca="1" si="55"/>
        <v>228.80650986365686</v>
      </c>
      <c r="M192">
        <f t="shared" ca="1" si="56"/>
        <v>202.54849013634305</v>
      </c>
      <c r="N192">
        <f t="shared" ca="1" si="45"/>
        <v>2.9900000000000091</v>
      </c>
      <c r="O192">
        <f t="shared" ca="1" si="46"/>
        <v>2.9900000000000091</v>
      </c>
      <c r="P192">
        <f t="shared" ca="1" si="47"/>
        <v>0</v>
      </c>
      <c r="Q192">
        <f t="shared" ca="1" si="51"/>
        <v>1.2832426962580061</v>
      </c>
      <c r="R192">
        <f t="shared" ca="1" si="52"/>
        <v>0.50721518772318119</v>
      </c>
      <c r="S192">
        <f t="shared" ca="1" si="49"/>
        <v>2.5299768763200983</v>
      </c>
      <c r="T192">
        <f t="shared" ca="1" si="50"/>
        <v>71.671202530865529</v>
      </c>
      <c r="U192">
        <f>70</f>
        <v>70</v>
      </c>
      <c r="V192">
        <f>30</f>
        <v>30</v>
      </c>
      <c r="W192">
        <f t="shared" ca="1" si="48"/>
        <v>218.88797040685549</v>
      </c>
      <c r="X192">
        <f t="shared" ca="1" si="58"/>
        <v>213.0331240069101</v>
      </c>
      <c r="Y192">
        <f t="shared" ca="1" si="57"/>
        <v>5.9884954660692529</v>
      </c>
      <c r="Z192">
        <f t="shared" ca="1" si="59"/>
        <v>6.163429007478884</v>
      </c>
      <c r="AA192">
        <f t="shared" ca="1" si="60"/>
        <v>-0.17493354140963113</v>
      </c>
      <c r="AB192">
        <f t="shared" ca="1" si="61"/>
        <v>188.13000000000002</v>
      </c>
    </row>
    <row r="193" spans="1:28" x14ac:dyDescent="0.25">
      <c r="A193" s="20">
        <f t="shared" ca="1" si="41"/>
        <v>45565</v>
      </c>
      <c r="B193" vm="572">
        <f ca="1"/>
        <v>45569</v>
      </c>
      <c r="C193" vm="573">
        <f ca="1"/>
        <v>226</v>
      </c>
      <c r="D193" vm="574">
        <f ca="1"/>
        <v>3554328</v>
      </c>
      <c r="E193">
        <f t="shared" ca="1" si="42"/>
        <v>803278128</v>
      </c>
      <c r="F193">
        <f ca="1">SUM($E$2:E193)/SUM($D$2:D193)</f>
        <v>185.10702350093638</v>
      </c>
      <c r="G193">
        <f ca="1">_xlfn.STDEV.P($C$2:C193)</f>
        <v>15.3352926907093</v>
      </c>
      <c r="H193">
        <f t="shared" ca="1" si="43"/>
        <v>200.44231619164569</v>
      </c>
      <c r="I193">
        <f t="shared" ca="1" si="44"/>
        <v>169.77173081022707</v>
      </c>
      <c r="J193">
        <f t="shared" ca="1" si="53"/>
        <v>216.94049999999999</v>
      </c>
      <c r="K193">
        <f t="shared" ca="1" si="54"/>
        <v>5.9395352245954864</v>
      </c>
      <c r="L193">
        <f t="shared" ca="1" si="55"/>
        <v>228.81957044919096</v>
      </c>
      <c r="M193">
        <f t="shared" ca="1" si="56"/>
        <v>205.06142955080901</v>
      </c>
      <c r="N193">
        <f t="shared" ca="1" si="45"/>
        <v>3.2800000000000011</v>
      </c>
      <c r="O193">
        <f t="shared" ca="1" si="46"/>
        <v>3.2800000000000011</v>
      </c>
      <c r="P193">
        <f t="shared" ca="1" si="47"/>
        <v>0</v>
      </c>
      <c r="Q193">
        <f t="shared" ca="1" si="51"/>
        <v>1.4258682179538629</v>
      </c>
      <c r="R193">
        <f t="shared" ca="1" si="52"/>
        <v>0.4709855314572397</v>
      </c>
      <c r="S193">
        <f t="shared" ca="1" si="49"/>
        <v>3.0274140556763918</v>
      </c>
      <c r="T193">
        <f t="shared" ca="1" si="50"/>
        <v>75.170171574721465</v>
      </c>
      <c r="U193">
        <f>70</f>
        <v>70</v>
      </c>
      <c r="V193">
        <f>30</f>
        <v>30</v>
      </c>
      <c r="W193">
        <f t="shared" ca="1" si="48"/>
        <v>219.98212880580081</v>
      </c>
      <c r="X193">
        <f t="shared" ca="1" si="58"/>
        <v>213.99363333973156</v>
      </c>
      <c r="Y193">
        <f t="shared" ca="1" si="57"/>
        <v>6.1143060396298665</v>
      </c>
      <c r="Z193">
        <f t="shared" ca="1" si="59"/>
        <v>6.1536044139090809</v>
      </c>
      <c r="AA193">
        <f t="shared" ca="1" si="60"/>
        <v>-3.9298374279214343E-2</v>
      </c>
      <c r="AB193">
        <f t="shared" ca="1" si="61"/>
        <v>188.71440000000001</v>
      </c>
    </row>
    <row r="194" spans="1:28" x14ac:dyDescent="0.25">
      <c r="A194" s="20">
        <f t="shared" ca="1" si="41"/>
        <v>45572</v>
      </c>
      <c r="B194" vm="575">
        <f ca="1"/>
        <v>45572</v>
      </c>
      <c r="C194" vm="576">
        <f ca="1"/>
        <v>227.12</v>
      </c>
      <c r="D194" vm="577">
        <f ca="1"/>
        <v>3457952</v>
      </c>
      <c r="E194">
        <f t="shared" ca="1" si="42"/>
        <v>785370058.24000001</v>
      </c>
      <c r="F194">
        <f ca="1">SUM($E$2:E194)/SUM($D$2:D194)</f>
        <v>185.28547291602774</v>
      </c>
      <c r="G194">
        <f ca="1">_xlfn.STDEV.P($C$2:C194)</f>
        <v>15.592197993445282</v>
      </c>
      <c r="H194">
        <f t="shared" ca="1" si="43"/>
        <v>200.87767090947301</v>
      </c>
      <c r="I194">
        <f t="shared" ca="1" si="44"/>
        <v>169.69327492258248</v>
      </c>
      <c r="J194">
        <f t="shared" ca="1" si="53"/>
        <v>218.11999999999998</v>
      </c>
      <c r="K194">
        <f t="shared" ca="1" si="54"/>
        <v>5.4591294852606431</v>
      </c>
      <c r="L194">
        <f t="shared" ca="1" si="55"/>
        <v>229.03825897052127</v>
      </c>
      <c r="M194">
        <f t="shared" ca="1" si="56"/>
        <v>207.20174102947868</v>
      </c>
      <c r="N194">
        <f t="shared" ca="1" si="45"/>
        <v>1.1200000000000045</v>
      </c>
      <c r="O194">
        <f t="shared" ca="1" si="46"/>
        <v>1.1200000000000045</v>
      </c>
      <c r="P194">
        <f t="shared" ca="1" si="47"/>
        <v>0</v>
      </c>
      <c r="Q194">
        <f t="shared" ca="1" si="51"/>
        <v>1.404020488100016</v>
      </c>
      <c r="R194">
        <f t="shared" ca="1" si="52"/>
        <v>0.43734370778172255</v>
      </c>
      <c r="S194">
        <f t="shared" ca="1" si="49"/>
        <v>3.2103365456460624</v>
      </c>
      <c r="T194">
        <f t="shared" ca="1" si="50"/>
        <v>76.248929529538287</v>
      </c>
      <c r="U194">
        <f>70</f>
        <v>70</v>
      </c>
      <c r="V194">
        <f>30</f>
        <v>30</v>
      </c>
      <c r="W194">
        <f t="shared" ca="1" si="48"/>
        <v>221.08026283567762</v>
      </c>
      <c r="X194">
        <f t="shared" ca="1" si="58"/>
        <v>214.96595679604775</v>
      </c>
      <c r="Y194">
        <f t="shared" ca="1" si="57"/>
        <v>6.2628549956716313</v>
      </c>
      <c r="Z194">
        <f t="shared" ca="1" si="59"/>
        <v>6.1754545302615913</v>
      </c>
      <c r="AA194">
        <f t="shared" ca="1" si="60"/>
        <v>8.7400465410039985E-2</v>
      </c>
      <c r="AB194">
        <f t="shared" ca="1" si="61"/>
        <v>189.31200000000001</v>
      </c>
    </row>
    <row r="195" spans="1:28" x14ac:dyDescent="0.25">
      <c r="A195" s="20">
        <f t="shared" ref="A195:A258" ca="1" si="62">B195 - WEEKDAY(B195, 2) + 1</f>
        <v>45572</v>
      </c>
      <c r="B195" vm="578">
        <f ca="1"/>
        <v>45573</v>
      </c>
      <c r="C195" vm="579">
        <f ca="1"/>
        <v>228.62</v>
      </c>
      <c r="D195" vm="580">
        <f ca="1"/>
        <v>3245342</v>
      </c>
      <c r="E195">
        <f t="shared" ref="E195:E258" ca="1" si="63">C195*D195</f>
        <v>741950088.03999996</v>
      </c>
      <c r="F195">
        <f ca="1">SUM($E$2:E195)/SUM($D$2:D195)</f>
        <v>185.45753273017104</v>
      </c>
      <c r="G195">
        <f ca="1">_xlfn.STDEV.P($C$2:C195)</f>
        <v>15.860107884788231</v>
      </c>
      <c r="H195">
        <f t="shared" ref="H195:H258" ca="1" si="64">F195 + G195</f>
        <v>201.31764061495926</v>
      </c>
      <c r="I195">
        <f t="shared" ref="I195:I258" ca="1" si="65">F195 - G195</f>
        <v>169.59742484538282</v>
      </c>
      <c r="J195">
        <f t="shared" ca="1" si="53"/>
        <v>219.285</v>
      </c>
      <c r="K195">
        <f t="shared" ca="1" si="54"/>
        <v>5.0549886771698924</v>
      </c>
      <c r="L195">
        <f t="shared" ca="1" si="55"/>
        <v>229.39497735433977</v>
      </c>
      <c r="M195">
        <f t="shared" ca="1" si="56"/>
        <v>209.17502264566022</v>
      </c>
      <c r="N195">
        <f t="shared" ca="1" si="45"/>
        <v>1.5</v>
      </c>
      <c r="O195">
        <f t="shared" ca="1" si="46"/>
        <v>1.5</v>
      </c>
      <c r="P195">
        <f t="shared" ca="1" si="47"/>
        <v>0</v>
      </c>
      <c r="Q195">
        <f t="shared" ca="1" si="51"/>
        <v>1.4108761675214434</v>
      </c>
      <c r="R195">
        <f t="shared" ca="1" si="52"/>
        <v>0.40610487151159946</v>
      </c>
      <c r="S195">
        <f t="shared" ca="1" si="49"/>
        <v>3.4741670600253927</v>
      </c>
      <c r="T195">
        <f t="shared" ca="1" si="50"/>
        <v>77.649471139901408</v>
      </c>
      <c r="U195">
        <f>70</f>
        <v>70</v>
      </c>
      <c r="V195">
        <f>30</f>
        <v>30</v>
      </c>
      <c r="W195">
        <f t="shared" ca="1" si="48"/>
        <v>222.24022239941954</v>
      </c>
      <c r="X195">
        <f t="shared" ca="1" si="58"/>
        <v>215.97736740374791</v>
      </c>
      <c r="Y195">
        <f t="shared" ca="1" si="57"/>
        <v>6.7609733515941173</v>
      </c>
      <c r="Z195">
        <f t="shared" ca="1" si="59"/>
        <v>6.2925582945280967</v>
      </c>
      <c r="AA195">
        <f t="shared" ca="1" si="60"/>
        <v>0.4684150570660206</v>
      </c>
      <c r="AB195">
        <f t="shared" ca="1" si="61"/>
        <v>189.91560000000001</v>
      </c>
    </row>
    <row r="196" spans="1:28" x14ac:dyDescent="0.25">
      <c r="A196" s="20">
        <f t="shared" ca="1" si="62"/>
        <v>45572</v>
      </c>
      <c r="B196" vm="581">
        <f ca="1"/>
        <v>45574</v>
      </c>
      <c r="C196" vm="582">
        <f ca="1"/>
        <v>234.3</v>
      </c>
      <c r="D196" vm="583">
        <f ca="1"/>
        <v>5083566</v>
      </c>
      <c r="E196">
        <f t="shared" ca="1" si="63"/>
        <v>1191079513.8</v>
      </c>
      <c r="F196">
        <f ca="1">SUM($E$2:E196)/SUM($D$2:D196)</f>
        <v>185.75942935780435</v>
      </c>
      <c r="G196">
        <f ca="1">_xlfn.STDEV.P($C$2:C196)</f>
        <v>16.200428029507442</v>
      </c>
      <c r="H196">
        <f t="shared" ca="1" si="64"/>
        <v>201.95985738731179</v>
      </c>
      <c r="I196">
        <f t="shared" ca="1" si="65"/>
        <v>169.55900132829692</v>
      </c>
      <c r="J196">
        <f t="shared" ca="1" si="53"/>
        <v>220.50549999999998</v>
      </c>
      <c r="K196">
        <f t="shared" ca="1" si="54"/>
        <v>5.5861534407101576</v>
      </c>
      <c r="L196">
        <f t="shared" ca="1" si="55"/>
        <v>231.67780688142031</v>
      </c>
      <c r="M196">
        <f t="shared" ca="1" si="56"/>
        <v>209.33319311857966</v>
      </c>
      <c r="N196">
        <f t="shared" ref="N196:N259" ca="1" si="66">C196-C195</f>
        <v>5.6800000000000068</v>
      </c>
      <c r="O196">
        <f t="shared" ref="O196:O259" ca="1" si="67">MAX(N196,0)</f>
        <v>5.6800000000000068</v>
      </c>
      <c r="P196">
        <f t="shared" ref="P196:P259" ca="1" si="68">MAX(-N196,0)</f>
        <v>0</v>
      </c>
      <c r="Q196">
        <f t="shared" ca="1" si="51"/>
        <v>1.715813584127055</v>
      </c>
      <c r="R196">
        <f t="shared" ca="1" si="52"/>
        <v>0.37709738068934234</v>
      </c>
      <c r="S196">
        <f t="shared" ca="1" si="49"/>
        <v>4.5500543678943348</v>
      </c>
      <c r="T196">
        <f t="shared" ca="1" si="50"/>
        <v>81.982158485063721</v>
      </c>
      <c r="U196">
        <f>70</f>
        <v>70</v>
      </c>
      <c r="V196">
        <f>30</f>
        <v>30</v>
      </c>
      <c r="W196">
        <f t="shared" ca="1" si="48"/>
        <v>224.09557279950886</v>
      </c>
      <c r="X196">
        <f t="shared" ca="1" si="58"/>
        <v>217.33459944791474</v>
      </c>
      <c r="Y196">
        <f t="shared" ca="1" si="57"/>
        <v>6.9720806292929751</v>
      </c>
      <c r="Z196">
        <f t="shared" ca="1" si="59"/>
        <v>6.4284627614810725</v>
      </c>
      <c r="AA196">
        <f t="shared" ca="1" si="60"/>
        <v>0.54361786781190258</v>
      </c>
      <c r="AB196">
        <f t="shared" ca="1" si="61"/>
        <v>190.56889999999999</v>
      </c>
    </row>
    <row r="197" spans="1:28" x14ac:dyDescent="0.25">
      <c r="A197" s="20">
        <f t="shared" ca="1" si="62"/>
        <v>45572</v>
      </c>
      <c r="B197" vm="584">
        <f ca="1"/>
        <v>45575</v>
      </c>
      <c r="C197" vm="585">
        <f ca="1"/>
        <v>233.02</v>
      </c>
      <c r="D197" vm="586">
        <f ca="1"/>
        <v>3142031</v>
      </c>
      <c r="E197">
        <f t="shared" ca="1" si="63"/>
        <v>732156063.62</v>
      </c>
      <c r="F197">
        <f ca="1">SUM($E$2:E197)/SUM($D$2:D197)</f>
        <v>185.93929393207603</v>
      </c>
      <c r="G197">
        <f ca="1">_xlfn.STDEV.P($C$2:C197)</f>
        <v>16.507744500013249</v>
      </c>
      <c r="H197">
        <f t="shared" ca="1" si="64"/>
        <v>202.44703843208927</v>
      </c>
      <c r="I197">
        <f t="shared" ca="1" si="65"/>
        <v>169.43154943206278</v>
      </c>
      <c r="J197">
        <f t="shared" ca="1" si="53"/>
        <v>221.57599999999996</v>
      </c>
      <c r="K197">
        <f t="shared" ca="1" si="54"/>
        <v>5.8375394960908933</v>
      </c>
      <c r="L197">
        <f t="shared" ca="1" si="55"/>
        <v>233.25107899218176</v>
      </c>
      <c r="M197">
        <f t="shared" ca="1" si="56"/>
        <v>209.90092100781817</v>
      </c>
      <c r="N197">
        <f t="shared" ca="1" si="66"/>
        <v>-1.2800000000000011</v>
      </c>
      <c r="O197">
        <f t="shared" ca="1" si="67"/>
        <v>0</v>
      </c>
      <c r="P197">
        <f t="shared" ca="1" si="68"/>
        <v>1.2800000000000011</v>
      </c>
      <c r="Q197">
        <f t="shared" ca="1" si="51"/>
        <v>1.5932554709751225</v>
      </c>
      <c r="R197">
        <f t="shared" ca="1" si="52"/>
        <v>0.44159042492581796</v>
      </c>
      <c r="S197">
        <f t="shared" ca="1" si="49"/>
        <v>3.6079936996885085</v>
      </c>
      <c r="T197">
        <f t="shared" ca="1" si="50"/>
        <v>78.298581439735955</v>
      </c>
      <c r="U197">
        <f>70</f>
        <v>70</v>
      </c>
      <c r="V197">
        <f>30</f>
        <v>30</v>
      </c>
      <c r="W197">
        <f t="shared" ca="1" si="48"/>
        <v>225.4685615995844</v>
      </c>
      <c r="X197">
        <f t="shared" ca="1" si="58"/>
        <v>218.49648097029143</v>
      </c>
      <c r="Y197">
        <f t="shared" ca="1" si="57"/>
        <v>7.0771694579254927</v>
      </c>
      <c r="Z197">
        <f t="shared" ca="1" si="59"/>
        <v>6.5582041007699567</v>
      </c>
      <c r="AA197">
        <f t="shared" ca="1" si="60"/>
        <v>0.51896535715553593</v>
      </c>
      <c r="AB197">
        <f t="shared" ca="1" si="61"/>
        <v>191.20879999999997</v>
      </c>
    </row>
    <row r="198" spans="1:28" x14ac:dyDescent="0.25">
      <c r="A198" s="20">
        <f t="shared" ca="1" si="62"/>
        <v>45572</v>
      </c>
      <c r="B198" vm="587">
        <f ca="1"/>
        <v>45576</v>
      </c>
      <c r="C198" vm="588">
        <f ca="1"/>
        <v>233.26</v>
      </c>
      <c r="D198" vm="589">
        <f ca="1"/>
        <v>3469322</v>
      </c>
      <c r="E198">
        <f t="shared" ca="1" si="63"/>
        <v>809254049.71999991</v>
      </c>
      <c r="F198">
        <f ca="1">SUM($E$2:E198)/SUM($D$2:D198)</f>
        <v>186.13731474902542</v>
      </c>
      <c r="G198">
        <f ca="1">_xlfn.STDEV.P($C$2:C198)</f>
        <v>16.806392424425617</v>
      </c>
      <c r="H198">
        <f t="shared" ca="1" si="64"/>
        <v>202.94370717345103</v>
      </c>
      <c r="I198">
        <f t="shared" ca="1" si="65"/>
        <v>169.33092232459981</v>
      </c>
      <c r="J198">
        <f t="shared" ca="1" si="53"/>
        <v>222.49949999999998</v>
      </c>
      <c r="K198">
        <f t="shared" ca="1" si="54"/>
        <v>6.1595860036890597</v>
      </c>
      <c r="L198">
        <f t="shared" ca="1" si="55"/>
        <v>234.8186720073781</v>
      </c>
      <c r="M198">
        <f t="shared" ca="1" si="56"/>
        <v>210.18032799262187</v>
      </c>
      <c r="N198">
        <f t="shared" ca="1" si="66"/>
        <v>0.23999999999998067</v>
      </c>
      <c r="O198">
        <f t="shared" ca="1" si="67"/>
        <v>0.23999999999998067</v>
      </c>
      <c r="P198">
        <f t="shared" ca="1" si="68"/>
        <v>0</v>
      </c>
      <c r="Q198">
        <f t="shared" ca="1" si="51"/>
        <v>1.4965943659054695</v>
      </c>
      <c r="R198">
        <f t="shared" ca="1" si="52"/>
        <v>0.41004825171683096</v>
      </c>
      <c r="S198">
        <f t="shared" ca="1" si="49"/>
        <v>3.6498006262418601</v>
      </c>
      <c r="T198">
        <f t="shared" ca="1" si="50"/>
        <v>78.493701550205245</v>
      </c>
      <c r="U198">
        <f>70</f>
        <v>70</v>
      </c>
      <c r="V198">
        <f>30</f>
        <v>30</v>
      </c>
      <c r="W198">
        <f t="shared" ca="1" si="48"/>
        <v>226.66724443041755</v>
      </c>
      <c r="X198">
        <f t="shared" ca="1" si="58"/>
        <v>219.59007497249206</v>
      </c>
      <c r="Y198">
        <f t="shared" ca="1" si="57"/>
        <v>7.2383966660230499</v>
      </c>
      <c r="Z198">
        <f t="shared" ca="1" si="59"/>
        <v>6.6942426138205757</v>
      </c>
      <c r="AA198">
        <f t="shared" ca="1" si="60"/>
        <v>0.54415405220247415</v>
      </c>
      <c r="AB198">
        <f t="shared" ca="1" si="61"/>
        <v>191.84219999999996</v>
      </c>
    </row>
    <row r="199" spans="1:28" x14ac:dyDescent="0.25">
      <c r="A199" s="20">
        <f t="shared" ca="1" si="62"/>
        <v>45579</v>
      </c>
      <c r="B199" vm="590">
        <f ca="1"/>
        <v>45579</v>
      </c>
      <c r="C199" vm="591">
        <f ca="1"/>
        <v>235.26</v>
      </c>
      <c r="D199" vm="592">
        <f ca="1"/>
        <v>2524389</v>
      </c>
      <c r="E199">
        <f t="shared" ca="1" si="63"/>
        <v>593887756.13999999</v>
      </c>
      <c r="F199">
        <f ca="1">SUM($E$2:E199)/SUM($D$2:D199)</f>
        <v>186.28643376566868</v>
      </c>
      <c r="G199">
        <f ca="1">_xlfn.STDEV.P($C$2:C199)</f>
        <v>17.121829140277814</v>
      </c>
      <c r="H199">
        <f t="shared" ca="1" si="64"/>
        <v>203.40826290594649</v>
      </c>
      <c r="I199">
        <f t="shared" ca="1" si="65"/>
        <v>169.16460462539087</v>
      </c>
      <c r="J199">
        <f t="shared" ca="1" si="53"/>
        <v>223.40450000000001</v>
      </c>
      <c r="K199">
        <f t="shared" ca="1" si="54"/>
        <v>6.644384629539684</v>
      </c>
      <c r="L199">
        <f t="shared" ca="1" si="55"/>
        <v>236.69326925907939</v>
      </c>
      <c r="M199">
        <f t="shared" ca="1" si="56"/>
        <v>210.11573074092064</v>
      </c>
      <c r="N199">
        <f t="shared" ca="1" si="66"/>
        <v>2</v>
      </c>
      <c r="O199">
        <f t="shared" ca="1" si="67"/>
        <v>2</v>
      </c>
      <c r="P199">
        <f t="shared" ca="1" si="68"/>
        <v>0</v>
      </c>
      <c r="Q199">
        <f t="shared" ca="1" si="51"/>
        <v>1.532551911197936</v>
      </c>
      <c r="R199">
        <f t="shared" ca="1" si="52"/>
        <v>0.3807590908799145</v>
      </c>
      <c r="S199">
        <f t="shared" ca="1" si="49"/>
        <v>4.0249909927463268</v>
      </c>
      <c r="T199">
        <f t="shared" ca="1" si="50"/>
        <v>80.099466816089432</v>
      </c>
      <c r="U199">
        <f>70</f>
        <v>70</v>
      </c>
      <c r="V199">
        <f>30</f>
        <v>30</v>
      </c>
      <c r="W199">
        <f t="shared" ca="1" si="48"/>
        <v>227.98920682573794</v>
      </c>
      <c r="X199">
        <f t="shared" ca="1" si="58"/>
        <v>220.75081015971489</v>
      </c>
      <c r="Y199">
        <f t="shared" ca="1" si="57"/>
        <v>7.0987496448342711</v>
      </c>
      <c r="Z199">
        <f t="shared" ca="1" si="59"/>
        <v>6.7751440200233146</v>
      </c>
      <c r="AA199">
        <f t="shared" ca="1" si="60"/>
        <v>0.32360562481095645</v>
      </c>
      <c r="AB199">
        <f t="shared" ca="1" si="61"/>
        <v>192.46009999999995</v>
      </c>
    </row>
    <row r="200" spans="1:28" x14ac:dyDescent="0.25">
      <c r="A200" s="20">
        <f t="shared" ca="1" si="62"/>
        <v>45579</v>
      </c>
      <c r="B200" vm="593">
        <f ca="1"/>
        <v>45580</v>
      </c>
      <c r="C200" vm="594">
        <f ca="1"/>
        <v>232.96</v>
      </c>
      <c r="D200" vm="595">
        <f ca="1"/>
        <v>3350556</v>
      </c>
      <c r="E200">
        <f t="shared" ca="1" si="63"/>
        <v>780545525.75999999</v>
      </c>
      <c r="F200">
        <f ca="1">SUM($E$2:E200)/SUM($D$2:D200)</f>
        <v>186.47373308769664</v>
      </c>
      <c r="G200">
        <f ca="1">_xlfn.STDEV.P($C$2:C200)</f>
        <v>17.39346451379749</v>
      </c>
      <c r="H200">
        <f t="shared" ca="1" si="64"/>
        <v>203.86719760149413</v>
      </c>
      <c r="I200">
        <f t="shared" ca="1" si="65"/>
        <v>169.08026857389916</v>
      </c>
      <c r="J200">
        <f t="shared" ca="1" si="53"/>
        <v>224.346</v>
      </c>
      <c r="K200">
        <f t="shared" ca="1" si="54"/>
        <v>6.5949417618433372</v>
      </c>
      <c r="L200">
        <f t="shared" ca="1" si="55"/>
        <v>237.53588352368666</v>
      </c>
      <c r="M200">
        <f t="shared" ca="1" si="56"/>
        <v>211.15611647631334</v>
      </c>
      <c r="N200">
        <f t="shared" ca="1" si="66"/>
        <v>-2.2999999999999829</v>
      </c>
      <c r="O200">
        <f t="shared" ca="1" si="67"/>
        <v>0</v>
      </c>
      <c r="P200">
        <f t="shared" ca="1" si="68"/>
        <v>2.2999999999999829</v>
      </c>
      <c r="Q200">
        <f t="shared" ca="1" si="51"/>
        <v>1.4230839175409407</v>
      </c>
      <c r="R200">
        <f t="shared" ca="1" si="52"/>
        <v>0.51784772724563366</v>
      </c>
      <c r="S200">
        <f t="shared" ca="1" si="49"/>
        <v>2.7480740817578622</v>
      </c>
      <c r="T200">
        <f t="shared" ca="1" si="50"/>
        <v>73.319630877439977</v>
      </c>
      <c r="U200">
        <f>70</f>
        <v>70</v>
      </c>
      <c r="V200">
        <f>30</f>
        <v>30</v>
      </c>
      <c r="W200">
        <f t="shared" ca="1" si="48"/>
        <v>228.75394423716287</v>
      </c>
      <c r="X200">
        <f t="shared" ca="1" si="58"/>
        <v>221.6551945923286</v>
      </c>
      <c r="Y200">
        <f t="shared" ca="1" si="57"/>
        <v>6.9650803302865256</v>
      </c>
      <c r="Z200">
        <f t="shared" ca="1" si="59"/>
        <v>6.8131312820759575</v>
      </c>
      <c r="AA200">
        <f t="shared" ca="1" si="60"/>
        <v>0.15194904821056809</v>
      </c>
      <c r="AB200">
        <f t="shared" ca="1" si="61"/>
        <v>193.05279999999991</v>
      </c>
    </row>
    <row r="201" spans="1:28" x14ac:dyDescent="0.25">
      <c r="A201" s="20">
        <f t="shared" ca="1" si="62"/>
        <v>45579</v>
      </c>
      <c r="B201" vm="596">
        <f ca="1"/>
        <v>45581</v>
      </c>
      <c r="C201" vm="597">
        <f ca="1"/>
        <v>233.67</v>
      </c>
      <c r="D201" vm="598">
        <f ca="1"/>
        <v>2846669</v>
      </c>
      <c r="E201">
        <f t="shared" ca="1" si="63"/>
        <v>665181145.23000002</v>
      </c>
      <c r="F201">
        <f ca="1">SUM($E$2:E201)/SUM($D$2:D201)</f>
        <v>186.63410000057576</v>
      </c>
      <c r="G201">
        <f ca="1">_xlfn.STDEV.P($C$2:C201)</f>
        <v>17.664552313531757</v>
      </c>
      <c r="H201">
        <f t="shared" ca="1" si="64"/>
        <v>204.29865231410753</v>
      </c>
      <c r="I201">
        <f t="shared" ca="1" si="65"/>
        <v>168.96954768704398</v>
      </c>
      <c r="J201">
        <f t="shared" ca="1" si="53"/>
        <v>225.28249999999997</v>
      </c>
      <c r="K201">
        <f t="shared" ca="1" si="54"/>
        <v>6.5183763517579987</v>
      </c>
      <c r="L201">
        <f t="shared" ca="1" si="55"/>
        <v>238.31925270351596</v>
      </c>
      <c r="M201">
        <f t="shared" ca="1" si="56"/>
        <v>212.24574729648398</v>
      </c>
      <c r="N201">
        <f t="shared" ca="1" si="66"/>
        <v>0.70999999999997954</v>
      </c>
      <c r="O201">
        <f t="shared" ca="1" si="67"/>
        <v>0.70999999999997954</v>
      </c>
      <c r="P201">
        <f t="shared" ca="1" si="68"/>
        <v>0</v>
      </c>
      <c r="Q201">
        <f t="shared" ca="1" si="51"/>
        <v>1.3721493520023007</v>
      </c>
      <c r="R201">
        <f t="shared" ca="1" si="52"/>
        <v>0.48085860387094559</v>
      </c>
      <c r="S201">
        <f t="shared" ca="1" si="49"/>
        <v>2.8535401903104196</v>
      </c>
      <c r="T201">
        <f t="shared" ca="1" si="50"/>
        <v>74.049835979018411</v>
      </c>
      <c r="U201">
        <f>70</f>
        <v>70</v>
      </c>
      <c r="V201">
        <f>30</f>
        <v>30</v>
      </c>
      <c r="W201">
        <f t="shared" ca="1" si="48"/>
        <v>229.51026050836856</v>
      </c>
      <c r="X201">
        <f t="shared" ca="1" si="58"/>
        <v>222.54518017808203</v>
      </c>
      <c r="Y201">
        <f t="shared" ca="1" si="57"/>
        <v>6.7179595815065341</v>
      </c>
      <c r="Z201">
        <f t="shared" ca="1" si="59"/>
        <v>6.7940969419620734</v>
      </c>
      <c r="AA201">
        <f t="shared" ca="1" si="60"/>
        <v>-7.6137360455539316E-2</v>
      </c>
      <c r="AB201">
        <f t="shared" ca="1" si="61"/>
        <v>193.68279999999993</v>
      </c>
    </row>
    <row r="202" spans="1:28" x14ac:dyDescent="0.25">
      <c r="A202" s="20">
        <f t="shared" ca="1" si="62"/>
        <v>45579</v>
      </c>
      <c r="B202" vm="599">
        <f ca="1"/>
        <v>45582</v>
      </c>
      <c r="C202" vm="600">
        <f ca="1"/>
        <v>232.88</v>
      </c>
      <c r="D202" vm="601">
        <f ca="1"/>
        <v>5040092</v>
      </c>
      <c r="E202">
        <f t="shared" ca="1" si="63"/>
        <v>1173736624.96</v>
      </c>
      <c r="F202">
        <f ca="1">SUM($E$2:E202)/SUM($D$2:D202)</f>
        <v>186.91065209733051</v>
      </c>
      <c r="G202">
        <f ca="1">_xlfn.STDEV.P($C$2:C202)</f>
        <v>17.915731683810545</v>
      </c>
      <c r="H202">
        <f t="shared" ca="1" si="64"/>
        <v>204.82638378114106</v>
      </c>
      <c r="I202">
        <f t="shared" ca="1" si="65"/>
        <v>168.99492041351996</v>
      </c>
      <c r="J202">
        <f t="shared" ca="1" si="53"/>
        <v>226.23200000000003</v>
      </c>
      <c r="K202">
        <f t="shared" ca="1" si="54"/>
        <v>6.1438772260211278</v>
      </c>
      <c r="L202">
        <f t="shared" ca="1" si="55"/>
        <v>238.51975445204229</v>
      </c>
      <c r="M202">
        <f t="shared" ca="1" si="56"/>
        <v>213.94424554795776</v>
      </c>
      <c r="N202">
        <f t="shared" ca="1" si="66"/>
        <v>-0.78999999999999204</v>
      </c>
      <c r="O202">
        <f t="shared" ca="1" si="67"/>
        <v>0</v>
      </c>
      <c r="P202">
        <f t="shared" ca="1" si="68"/>
        <v>0.78999999999999204</v>
      </c>
      <c r="Q202">
        <f t="shared" ca="1" si="51"/>
        <v>1.2741386840021363</v>
      </c>
      <c r="R202">
        <f t="shared" ca="1" si="52"/>
        <v>0.50294013216587741</v>
      </c>
      <c r="S202">
        <f t="shared" ca="1" si="49"/>
        <v>2.5333804214731184</v>
      </c>
      <c r="T202">
        <f t="shared" ca="1" si="50"/>
        <v>71.69849037701168</v>
      </c>
      <c r="U202">
        <f>70</f>
        <v>70</v>
      </c>
      <c r="V202">
        <f>30</f>
        <v>30</v>
      </c>
      <c r="W202">
        <f t="shared" ca="1" si="48"/>
        <v>230.02868196861954</v>
      </c>
      <c r="X202">
        <f t="shared" ca="1" si="58"/>
        <v>223.310722387113</v>
      </c>
      <c r="Y202">
        <f t="shared" ca="1" si="57"/>
        <v>6.393543501049237</v>
      </c>
      <c r="Z202">
        <f t="shared" ca="1" si="59"/>
        <v>6.7139862537795061</v>
      </c>
      <c r="AA202">
        <f t="shared" ca="1" si="60"/>
        <v>-0.32044275273026912</v>
      </c>
      <c r="AB202">
        <f t="shared" ca="1" si="61"/>
        <v>194.3026999999999</v>
      </c>
    </row>
    <row r="203" spans="1:28" x14ac:dyDescent="0.25">
      <c r="A203" s="20">
        <f t="shared" ca="1" si="62"/>
        <v>45579</v>
      </c>
      <c r="B203" vm="602">
        <f ca="1"/>
        <v>45583</v>
      </c>
      <c r="C203" vm="603">
        <f ca="1"/>
        <v>232.2</v>
      </c>
      <c r="D203" vm="604">
        <f ca="1"/>
        <v>4715688</v>
      </c>
      <c r="E203">
        <f t="shared" ca="1" si="63"/>
        <v>1094982753.5999999</v>
      </c>
      <c r="F203">
        <f ca="1">SUM($E$2:E203)/SUM($D$2:D203)</f>
        <v>187.16264204984651</v>
      </c>
      <c r="G203">
        <f ca="1">_xlfn.STDEV.P($C$2:C203)</f>
        <v>18.14976796845065</v>
      </c>
      <c r="H203">
        <f t="shared" ca="1" si="64"/>
        <v>205.31241001829716</v>
      </c>
      <c r="I203">
        <f t="shared" ca="1" si="65"/>
        <v>169.01287408139586</v>
      </c>
      <c r="J203">
        <f t="shared" ca="1" si="53"/>
        <v>226.95700000000002</v>
      </c>
      <c r="K203">
        <f t="shared" ca="1" si="54"/>
        <v>5.9360930798490328</v>
      </c>
      <c r="L203">
        <f t="shared" ca="1" si="55"/>
        <v>238.82918615969808</v>
      </c>
      <c r="M203">
        <f t="shared" ca="1" si="56"/>
        <v>215.08481384030196</v>
      </c>
      <c r="N203">
        <f t="shared" ca="1" si="66"/>
        <v>-0.68000000000000682</v>
      </c>
      <c r="O203">
        <f t="shared" ca="1" si="67"/>
        <v>0</v>
      </c>
      <c r="P203">
        <f t="shared" ca="1" si="68"/>
        <v>0.68000000000000682</v>
      </c>
      <c r="Q203">
        <f t="shared" ca="1" si="51"/>
        <v>1.1831287780019835</v>
      </c>
      <c r="R203">
        <f t="shared" ca="1" si="52"/>
        <v>0.51558726558260093</v>
      </c>
      <c r="S203">
        <f t="shared" ca="1" si="49"/>
        <v>2.2947207136023366</v>
      </c>
      <c r="T203">
        <f t="shared" ca="1" si="50"/>
        <v>69.648413722247383</v>
      </c>
      <c r="U203">
        <f>70</f>
        <v>70</v>
      </c>
      <c r="V203">
        <f>30</f>
        <v>30</v>
      </c>
      <c r="W203">
        <f t="shared" ca="1" si="48"/>
        <v>230.36273089652423</v>
      </c>
      <c r="X203">
        <f t="shared" ca="1" si="58"/>
        <v>223.96918739547499</v>
      </c>
      <c r="Y203">
        <f t="shared" ca="1" si="57"/>
        <v>6.0306130277445504</v>
      </c>
      <c r="Z203">
        <f t="shared" ca="1" si="59"/>
        <v>6.5773116085725158</v>
      </c>
      <c r="AA203">
        <f t="shared" ca="1" si="60"/>
        <v>-0.54669858082796541</v>
      </c>
      <c r="AB203">
        <f t="shared" ca="1" si="61"/>
        <v>194.92809999999994</v>
      </c>
    </row>
    <row r="204" spans="1:28" x14ac:dyDescent="0.25">
      <c r="A204" s="20">
        <f t="shared" ca="1" si="62"/>
        <v>45586</v>
      </c>
      <c r="B204" vm="605">
        <f ca="1"/>
        <v>45586</v>
      </c>
      <c r="C204" vm="606">
        <f ca="1"/>
        <v>231.75</v>
      </c>
      <c r="D204" vm="607">
        <f ca="1"/>
        <v>2733336</v>
      </c>
      <c r="E204">
        <f t="shared" ca="1" si="63"/>
        <v>633450618</v>
      </c>
      <c r="F204">
        <f ca="1">SUM($E$2:E204)/SUM($D$2:D204)</f>
        <v>187.30597580874331</v>
      </c>
      <c r="G204">
        <f ca="1">_xlfn.STDEV.P($C$2:C204)</f>
        <v>18.370523638724897</v>
      </c>
      <c r="H204">
        <f t="shared" ca="1" si="64"/>
        <v>205.67649944746822</v>
      </c>
      <c r="I204">
        <f t="shared" ca="1" si="65"/>
        <v>168.93545217001841</v>
      </c>
      <c r="J204">
        <f t="shared" ca="1" si="53"/>
        <v>227.51950000000002</v>
      </c>
      <c r="K204">
        <f t="shared" ca="1" si="54"/>
        <v>5.82399164527307</v>
      </c>
      <c r="L204">
        <f t="shared" ca="1" si="55"/>
        <v>239.16748329054616</v>
      </c>
      <c r="M204">
        <f t="shared" ca="1" si="56"/>
        <v>215.87151670945389</v>
      </c>
      <c r="N204">
        <f t="shared" ca="1" si="66"/>
        <v>-0.44999999999998863</v>
      </c>
      <c r="O204">
        <f t="shared" ca="1" si="67"/>
        <v>0</v>
      </c>
      <c r="P204">
        <f t="shared" ca="1" si="68"/>
        <v>0.44999999999998863</v>
      </c>
      <c r="Q204">
        <f t="shared" ca="1" si="51"/>
        <v>1.0986195795732703</v>
      </c>
      <c r="R204">
        <f t="shared" ca="1" si="52"/>
        <v>0.51090246089812863</v>
      </c>
      <c r="S204">
        <f t="shared" ca="1" si="49"/>
        <v>2.1503509253840325</v>
      </c>
      <c r="T204">
        <f t="shared" ca="1" si="50"/>
        <v>68.257504522989024</v>
      </c>
      <c r="U204">
        <f>70</f>
        <v>70</v>
      </c>
      <c r="V204">
        <f>30</f>
        <v>30</v>
      </c>
      <c r="W204">
        <f t="shared" ca="1" si="48"/>
        <v>230.57615691244359</v>
      </c>
      <c r="X204">
        <f t="shared" ca="1" si="58"/>
        <v>224.54554388469904</v>
      </c>
      <c r="Y204">
        <f t="shared" ca="1" si="57"/>
        <v>5.7174268959218182</v>
      </c>
      <c r="Z204">
        <f t="shared" ca="1" si="59"/>
        <v>6.4053346660423767</v>
      </c>
      <c r="AA204">
        <f t="shared" ca="1" si="60"/>
        <v>-0.68790777012055848</v>
      </c>
      <c r="AB204">
        <f t="shared" ca="1" si="61"/>
        <v>195.57509999999994</v>
      </c>
    </row>
    <row r="205" spans="1:28" x14ac:dyDescent="0.25">
      <c r="A205" s="20">
        <f t="shared" ca="1" si="62"/>
        <v>45586</v>
      </c>
      <c r="B205" vm="608">
        <f ca="1"/>
        <v>45587</v>
      </c>
      <c r="C205" vm="609">
        <f ca="1"/>
        <v>232.25</v>
      </c>
      <c r="D205" vm="610">
        <f ca="1"/>
        <v>3180807</v>
      </c>
      <c r="E205">
        <f t="shared" ca="1" si="63"/>
        <v>738742425.75</v>
      </c>
      <c r="F205">
        <f ca="1">SUM($E$2:E205)/SUM($D$2:D205)</f>
        <v>187.47348219327128</v>
      </c>
      <c r="G205">
        <f ca="1">_xlfn.STDEV.P($C$2:C205)</f>
        <v>18.589826497819992</v>
      </c>
      <c r="H205">
        <f t="shared" ca="1" si="64"/>
        <v>206.06330869109127</v>
      </c>
      <c r="I205">
        <f t="shared" ca="1" si="65"/>
        <v>168.8836556954513</v>
      </c>
      <c r="J205">
        <f t="shared" ca="1" si="53"/>
        <v>228.08350000000002</v>
      </c>
      <c r="K205">
        <f t="shared" ca="1" si="54"/>
        <v>5.7012392697137626</v>
      </c>
      <c r="L205">
        <f t="shared" ca="1" si="55"/>
        <v>239.48597853942755</v>
      </c>
      <c r="M205">
        <f t="shared" ca="1" si="56"/>
        <v>216.68102146057248</v>
      </c>
      <c r="N205">
        <f t="shared" ca="1" si="66"/>
        <v>0.5</v>
      </c>
      <c r="O205">
        <f t="shared" ca="1" si="67"/>
        <v>0.5</v>
      </c>
      <c r="P205">
        <f t="shared" ca="1" si="68"/>
        <v>0</v>
      </c>
      <c r="Q205">
        <f t="shared" ca="1" si="51"/>
        <v>1.0558610381751794</v>
      </c>
      <c r="R205">
        <f t="shared" ca="1" si="52"/>
        <v>0.47440942797683372</v>
      </c>
      <c r="S205">
        <f t="shared" ca="1" si="49"/>
        <v>2.2256324935994716</v>
      </c>
      <c r="T205">
        <f t="shared" ca="1" si="50"/>
        <v>68.998328173334357</v>
      </c>
      <c r="U205">
        <f>70</f>
        <v>70</v>
      </c>
      <c r="V205">
        <f>30</f>
        <v>30</v>
      </c>
      <c r="W205">
        <f t="shared" ca="1" si="48"/>
        <v>230.83367123360611</v>
      </c>
      <c r="X205">
        <f t="shared" ca="1" si="58"/>
        <v>225.11624433768429</v>
      </c>
      <c r="Y205">
        <f t="shared" ca="1" si="57"/>
        <v>5.4467833237424941</v>
      </c>
      <c r="Z205">
        <f t="shared" ca="1" si="59"/>
        <v>6.2136243975824001</v>
      </c>
      <c r="AA205">
        <f t="shared" ca="1" si="60"/>
        <v>-0.76684107383990607</v>
      </c>
      <c r="AB205">
        <f t="shared" ca="1" si="61"/>
        <v>196.24129999999997</v>
      </c>
    </row>
    <row r="206" spans="1:28" x14ac:dyDescent="0.25">
      <c r="A206" s="20">
        <f t="shared" ca="1" si="62"/>
        <v>45586</v>
      </c>
      <c r="B206" vm="611">
        <f ca="1"/>
        <v>45588</v>
      </c>
      <c r="C206" vm="612">
        <f ca="1"/>
        <v>232.75</v>
      </c>
      <c r="D206" vm="613">
        <f ca="1"/>
        <v>5791002</v>
      </c>
      <c r="E206">
        <f t="shared" ca="1" si="63"/>
        <v>1347855715.5</v>
      </c>
      <c r="F206">
        <f ca="1">SUM($E$2:E206)/SUM($D$2:D206)</f>
        <v>187.77863116616399</v>
      </c>
      <c r="G206">
        <f ca="1">_xlfn.STDEV.P($C$2:C206)</f>
        <v>18.807727407804535</v>
      </c>
      <c r="H206">
        <f t="shared" ca="1" si="64"/>
        <v>206.58635857396854</v>
      </c>
      <c r="I206">
        <f t="shared" ca="1" si="65"/>
        <v>168.97090375835944</v>
      </c>
      <c r="J206">
        <f t="shared" ca="1" si="53"/>
        <v>228.65950000000004</v>
      </c>
      <c r="K206">
        <f t="shared" ca="1" si="54"/>
        <v>5.5523759494661853</v>
      </c>
      <c r="L206">
        <f t="shared" ca="1" si="55"/>
        <v>239.7642518989324</v>
      </c>
      <c r="M206">
        <f t="shared" ca="1" si="56"/>
        <v>217.55474810106767</v>
      </c>
      <c r="N206">
        <f t="shared" ca="1" si="66"/>
        <v>0.5</v>
      </c>
      <c r="O206">
        <f t="shared" ca="1" si="67"/>
        <v>0.5</v>
      </c>
      <c r="P206">
        <f t="shared" ca="1" si="68"/>
        <v>0</v>
      </c>
      <c r="Q206">
        <f t="shared" ca="1" si="51"/>
        <v>1.0161566783055238</v>
      </c>
      <c r="R206">
        <f t="shared" ca="1" si="52"/>
        <v>0.44052304026420275</v>
      </c>
      <c r="S206">
        <f t="shared" ca="1" si="49"/>
        <v>2.3067049516776374</v>
      </c>
      <c r="T206">
        <f t="shared" ca="1" si="50"/>
        <v>69.758414657084671</v>
      </c>
      <c r="U206">
        <f>70</f>
        <v>70</v>
      </c>
      <c r="V206">
        <f>30</f>
        <v>30</v>
      </c>
      <c r="W206">
        <f t="shared" ca="1" si="48"/>
        <v>231.12849104382053</v>
      </c>
      <c r="X206">
        <f t="shared" ca="1" si="58"/>
        <v>225.68170772007804</v>
      </c>
      <c r="Y206">
        <f t="shared" ca="1" si="57"/>
        <v>4.0271419686305876</v>
      </c>
      <c r="Z206">
        <f t="shared" ca="1" si="59"/>
        <v>5.7763279117920376</v>
      </c>
      <c r="AA206">
        <f t="shared" ca="1" si="60"/>
        <v>-1.74918594316145</v>
      </c>
      <c r="AB206">
        <f t="shared" ca="1" si="61"/>
        <v>196.9002999999999</v>
      </c>
    </row>
    <row r="207" spans="1:28" x14ac:dyDescent="0.25">
      <c r="A207" s="20">
        <f t="shared" ca="1" si="62"/>
        <v>45586</v>
      </c>
      <c r="B207" vm="614">
        <f ca="1"/>
        <v>45589</v>
      </c>
      <c r="C207" vm="615">
        <f ca="1"/>
        <v>218.39</v>
      </c>
      <c r="D207" vm="616">
        <f ca="1"/>
        <v>11193440</v>
      </c>
      <c r="E207">
        <f t="shared" ca="1" si="63"/>
        <v>2444535361.5999999</v>
      </c>
      <c r="F207">
        <f ca="1">SUM($E$2:E207)/SUM($D$2:D207)</f>
        <v>188.1722813229832</v>
      </c>
      <c r="G207">
        <f ca="1">_xlfn.STDEV.P($C$2:C207)</f>
        <v>18.880868144634906</v>
      </c>
      <c r="H207">
        <f t="shared" ca="1" si="64"/>
        <v>207.05314946761811</v>
      </c>
      <c r="I207">
        <f t="shared" ca="1" si="65"/>
        <v>169.29141317834828</v>
      </c>
      <c r="J207">
        <f t="shared" ca="1" si="53"/>
        <v>228.40750000000003</v>
      </c>
      <c r="K207">
        <f t="shared" ca="1" si="54"/>
        <v>5.9053658694979756</v>
      </c>
      <c r="L207">
        <f t="shared" ca="1" si="55"/>
        <v>240.21823173899597</v>
      </c>
      <c r="M207">
        <f t="shared" ca="1" si="56"/>
        <v>216.59676826100409</v>
      </c>
      <c r="N207">
        <f t="shared" ca="1" si="66"/>
        <v>-14.360000000000014</v>
      </c>
      <c r="O207">
        <f t="shared" ca="1" si="67"/>
        <v>0</v>
      </c>
      <c r="P207">
        <f t="shared" ca="1" si="68"/>
        <v>14.360000000000014</v>
      </c>
      <c r="Q207">
        <f t="shared" ca="1" si="51"/>
        <v>0.94357405842655784</v>
      </c>
      <c r="R207">
        <f t="shared" ca="1" si="52"/>
        <v>1.4347713945310463</v>
      </c>
      <c r="S207">
        <f t="shared" ca="1" si="49"/>
        <v>0.65764766570005684</v>
      </c>
      <c r="T207">
        <f t="shared" ca="1" si="50"/>
        <v>39.673549410291564</v>
      </c>
      <c r="U207">
        <f>70</f>
        <v>70</v>
      </c>
      <c r="V207">
        <f>30</f>
        <v>30</v>
      </c>
      <c r="W207">
        <f t="shared" ref="W207:W270" ca="1" si="69">C207*(2/(12+1)) + W206*(1-(2/(12+1)))</f>
        <v>229.16872319092505</v>
      </c>
      <c r="X207">
        <f t="shared" ca="1" si="58"/>
        <v>225.14158122229446</v>
      </c>
      <c r="Y207">
        <f t="shared" ca="1" si="57"/>
        <v>2.5722418531596531</v>
      </c>
      <c r="Z207">
        <f t="shared" ca="1" si="59"/>
        <v>5.1355107000655602</v>
      </c>
      <c r="AA207">
        <f t="shared" ca="1" si="60"/>
        <v>-2.5632688469059071</v>
      </c>
      <c r="AB207">
        <f t="shared" ca="1" si="61"/>
        <v>197.43139999999991</v>
      </c>
    </row>
    <row r="208" spans="1:28" x14ac:dyDescent="0.25">
      <c r="A208" s="20">
        <f t="shared" ca="1" si="62"/>
        <v>45586</v>
      </c>
      <c r="B208" vm="617">
        <f ca="1"/>
        <v>45590</v>
      </c>
      <c r="C208" vm="618">
        <f ca="1"/>
        <v>214.67</v>
      </c>
      <c r="D208" vm="619">
        <f ca="1"/>
        <v>8482235</v>
      </c>
      <c r="E208">
        <f t="shared" ca="1" si="63"/>
        <v>1820881387.4499998</v>
      </c>
      <c r="F208">
        <f ca="1">SUM($E$2:E208)/SUM($D$2:D208)</f>
        <v>188.42800518153069</v>
      </c>
      <c r="G208">
        <f ca="1">_xlfn.STDEV.P($C$2:C208)</f>
        <v>18.925047676918439</v>
      </c>
      <c r="H208">
        <f t="shared" ca="1" si="64"/>
        <v>207.35305285844913</v>
      </c>
      <c r="I208">
        <f t="shared" ca="1" si="65"/>
        <v>169.50295750461225</v>
      </c>
      <c r="J208">
        <f t="shared" ca="1" si="53"/>
        <v>228.09900000000002</v>
      </c>
      <c r="K208">
        <f t="shared" ca="1" si="54"/>
        <v>6.4569097219873495</v>
      </c>
      <c r="L208">
        <f t="shared" ca="1" si="55"/>
        <v>241.01281944397471</v>
      </c>
      <c r="M208">
        <f t="shared" ca="1" si="56"/>
        <v>215.18518055602533</v>
      </c>
      <c r="N208">
        <f t="shared" ca="1" si="66"/>
        <v>-3.7199999999999989</v>
      </c>
      <c r="O208">
        <f t="shared" ca="1" si="67"/>
        <v>0</v>
      </c>
      <c r="P208">
        <f t="shared" ca="1" si="68"/>
        <v>3.7199999999999989</v>
      </c>
      <c r="Q208">
        <f t="shared" ca="1" si="51"/>
        <v>0.87617591139608941</v>
      </c>
      <c r="R208">
        <f t="shared" ca="1" si="52"/>
        <v>1.5980020092074001</v>
      </c>
      <c r="S208">
        <f t="shared" ref="S208:S271" ca="1" si="70">IF(R208=0,NA(),Q208/R208)</f>
        <v>0.54829462437951981</v>
      </c>
      <c r="T208">
        <f t="shared" ref="T208:T271" ca="1" si="71">100-(100/(1+S208))</f>
        <v>35.412809406300781</v>
      </c>
      <c r="U208">
        <f>70</f>
        <v>70</v>
      </c>
      <c r="V208">
        <f>30</f>
        <v>30</v>
      </c>
      <c r="W208">
        <f t="shared" ca="1" si="69"/>
        <v>226.93815039232121</v>
      </c>
      <c r="X208">
        <f t="shared" ca="1" si="58"/>
        <v>224.36590853916155</v>
      </c>
      <c r="Y208">
        <f t="shared" ca="1" si="57"/>
        <v>1.2626506874412655</v>
      </c>
      <c r="Z208">
        <f t="shared" ca="1" si="59"/>
        <v>4.3609386975407016</v>
      </c>
      <c r="AA208">
        <f t="shared" ca="1" si="60"/>
        <v>-3.0982880100994361</v>
      </c>
      <c r="AB208">
        <f t="shared" ca="1" si="61"/>
        <v>197.9199999999999</v>
      </c>
    </row>
    <row r="209" spans="1:28" x14ac:dyDescent="0.25">
      <c r="A209" s="20">
        <f t="shared" ca="1" si="62"/>
        <v>45593</v>
      </c>
      <c r="B209" vm="620">
        <f ca="1"/>
        <v>45593</v>
      </c>
      <c r="C209" vm="621">
        <f ca="1"/>
        <v>212.91</v>
      </c>
      <c r="D209" vm="622">
        <f ca="1"/>
        <v>4993343</v>
      </c>
      <c r="E209">
        <f t="shared" ca="1" si="63"/>
        <v>1063132658.13</v>
      </c>
      <c r="F209">
        <f ca="1">SUM($E$2:E209)/SUM($D$2:D209)</f>
        <v>188.56630777098886</v>
      </c>
      <c r="G209">
        <f ca="1">_xlfn.STDEV.P($C$2:C209)</f>
        <v>18.956496408877236</v>
      </c>
      <c r="H209">
        <f t="shared" ca="1" si="64"/>
        <v>207.52280417986609</v>
      </c>
      <c r="I209">
        <f t="shared" ca="1" si="65"/>
        <v>169.60981136211163</v>
      </c>
      <c r="J209">
        <f t="shared" ca="1" si="53"/>
        <v>227.69050000000001</v>
      </c>
      <c r="K209">
        <f t="shared" ca="1" si="54"/>
        <v>7.1460106463603017</v>
      </c>
      <c r="L209">
        <f t="shared" ca="1" si="55"/>
        <v>241.98252129272061</v>
      </c>
      <c r="M209">
        <f t="shared" ca="1" si="56"/>
        <v>213.39847870727942</v>
      </c>
      <c r="N209">
        <f t="shared" ca="1" si="66"/>
        <v>-1.7599999999999909</v>
      </c>
      <c r="O209">
        <f t="shared" ca="1" si="67"/>
        <v>0</v>
      </c>
      <c r="P209">
        <f t="shared" ca="1" si="68"/>
        <v>1.7599999999999909</v>
      </c>
      <c r="Q209">
        <f t="shared" ref="Q209:Q272" ca="1" si="72">(Q208*13+O209)/14</f>
        <v>0.81359191772494022</v>
      </c>
      <c r="R209">
        <f t="shared" ref="R209:R272" ca="1" si="73">(R208*13+P209)/14</f>
        <v>1.6095732942640137</v>
      </c>
      <c r="S209">
        <f t="shared" ca="1" si="70"/>
        <v>0.50547056205785246</v>
      </c>
      <c r="T209">
        <f t="shared" ca="1" si="71"/>
        <v>33.575585919588917</v>
      </c>
      <c r="U209">
        <f>70</f>
        <v>70</v>
      </c>
      <c r="V209">
        <f>30</f>
        <v>30</v>
      </c>
      <c r="W209">
        <f t="shared" ca="1" si="69"/>
        <v>224.77997340888714</v>
      </c>
      <c r="X209">
        <f t="shared" ca="1" si="58"/>
        <v>223.51732272144588</v>
      </c>
      <c r="Y209">
        <f t="shared" ca="1" si="57"/>
        <v>2.4393783389086821E-2</v>
      </c>
      <c r="Z209">
        <f t="shared" ca="1" si="59"/>
        <v>3.4936297147103788</v>
      </c>
      <c r="AA209">
        <f t="shared" ca="1" si="60"/>
        <v>-3.4692359313212919</v>
      </c>
      <c r="AB209">
        <f t="shared" ca="1" si="61"/>
        <v>198.37529999999992</v>
      </c>
    </row>
    <row r="210" spans="1:28" x14ac:dyDescent="0.25">
      <c r="A210" s="20">
        <f t="shared" ca="1" si="62"/>
        <v>45593</v>
      </c>
      <c r="B210" vm="623">
        <f ca="1"/>
        <v>45594</v>
      </c>
      <c r="C210" vm="624">
        <f ca="1"/>
        <v>210.43</v>
      </c>
      <c r="D210" vm="625">
        <f ca="1"/>
        <v>5258366</v>
      </c>
      <c r="E210">
        <f t="shared" ca="1" si="63"/>
        <v>1106517957.3800001</v>
      </c>
      <c r="F210">
        <f ca="1">SUM($E$2:E210)/SUM($D$2:D210)</f>
        <v>188.69560537282914</v>
      </c>
      <c r="G210">
        <f ca="1">_xlfn.STDEV.P($C$2:C210)</f>
        <v>18.972354311405354</v>
      </c>
      <c r="H210">
        <f t="shared" ca="1" si="64"/>
        <v>207.66795968423449</v>
      </c>
      <c r="I210">
        <f t="shared" ca="1" si="65"/>
        <v>169.72325106142378</v>
      </c>
      <c r="J210">
        <f t="shared" ca="1" si="53"/>
        <v>227.24449999999996</v>
      </c>
      <c r="K210">
        <f t="shared" ca="1" si="54"/>
        <v>7.9293807251392936</v>
      </c>
      <c r="L210">
        <f t="shared" ca="1" si="55"/>
        <v>243.10326145027855</v>
      </c>
      <c r="M210">
        <f t="shared" ca="1" si="56"/>
        <v>211.38573854972137</v>
      </c>
      <c r="N210">
        <f t="shared" ca="1" si="66"/>
        <v>-2.4799999999999898</v>
      </c>
      <c r="O210">
        <f t="shared" ca="1" si="67"/>
        <v>0</v>
      </c>
      <c r="P210">
        <f t="shared" ca="1" si="68"/>
        <v>2.4799999999999898</v>
      </c>
      <c r="Q210">
        <f t="shared" ca="1" si="72"/>
        <v>0.75547820931601595</v>
      </c>
      <c r="R210">
        <f t="shared" ca="1" si="73"/>
        <v>1.6717466303880122</v>
      </c>
      <c r="S210">
        <f t="shared" ca="1" si="70"/>
        <v>0.4519095152240083</v>
      </c>
      <c r="T210">
        <f t="shared" ca="1" si="71"/>
        <v>31.125184488806468</v>
      </c>
      <c r="U210">
        <f>70</f>
        <v>70</v>
      </c>
      <c r="V210">
        <f>30</f>
        <v>30</v>
      </c>
      <c r="W210">
        <f t="shared" ca="1" si="69"/>
        <v>222.57228519213527</v>
      </c>
      <c r="X210">
        <f t="shared" ca="1" si="58"/>
        <v>222.54789140874618</v>
      </c>
      <c r="Y210">
        <f t="shared" ca="1" si="57"/>
        <v>-1.387168107630572</v>
      </c>
      <c r="Z210">
        <f t="shared" ca="1" si="59"/>
        <v>2.5174701502421888</v>
      </c>
      <c r="AA210">
        <f t="shared" ca="1" si="60"/>
        <v>-3.9046382578727608</v>
      </c>
      <c r="AB210">
        <f t="shared" ca="1" si="61"/>
        <v>198.7975999999999</v>
      </c>
    </row>
    <row r="211" spans="1:28" x14ac:dyDescent="0.25">
      <c r="A211" s="20">
        <f t="shared" ca="1" si="62"/>
        <v>45593</v>
      </c>
      <c r="B211" vm="626">
        <f ca="1"/>
        <v>45595</v>
      </c>
      <c r="C211" vm="627">
        <f ca="1"/>
        <v>204.9</v>
      </c>
      <c r="D211" vm="628">
        <f ca="1"/>
        <v>6956624</v>
      </c>
      <c r="E211">
        <f t="shared" ca="1" si="63"/>
        <v>1425412257.6000001</v>
      </c>
      <c r="F211">
        <f ca="1">SUM($E$2:E211)/SUM($D$2:D211)</f>
        <v>188.8214002364999</v>
      </c>
      <c r="G211">
        <f ca="1">_xlfn.STDEV.P($C$2:C211)</f>
        <v>18.960940423925326</v>
      </c>
      <c r="H211">
        <f t="shared" ca="1" si="64"/>
        <v>207.78234066042523</v>
      </c>
      <c r="I211">
        <f t="shared" ca="1" si="65"/>
        <v>169.86045981257456</v>
      </c>
      <c r="J211">
        <f t="shared" ca="1" si="53"/>
        <v>226.50299999999999</v>
      </c>
      <c r="K211">
        <f t="shared" ca="1" si="54"/>
        <v>9.2521377899494421</v>
      </c>
      <c r="L211">
        <f t="shared" ca="1" si="55"/>
        <v>245.00727557989887</v>
      </c>
      <c r="M211">
        <f t="shared" ca="1" si="56"/>
        <v>207.9987244201011</v>
      </c>
      <c r="N211">
        <f t="shared" ca="1" si="66"/>
        <v>-5.5300000000000011</v>
      </c>
      <c r="O211">
        <f t="shared" ca="1" si="67"/>
        <v>0</v>
      </c>
      <c r="P211">
        <f t="shared" ca="1" si="68"/>
        <v>5.5300000000000011</v>
      </c>
      <c r="Q211">
        <f t="shared" ca="1" si="72"/>
        <v>0.70151548007915765</v>
      </c>
      <c r="R211">
        <f t="shared" ca="1" si="73"/>
        <v>1.9473361567888685</v>
      </c>
      <c r="S211">
        <f t="shared" ca="1" si="70"/>
        <v>0.36024364752511318</v>
      </c>
      <c r="T211">
        <f t="shared" ca="1" si="71"/>
        <v>26.483758860447992</v>
      </c>
      <c r="U211">
        <f>70</f>
        <v>70</v>
      </c>
      <c r="V211">
        <f>30</f>
        <v>30</v>
      </c>
      <c r="W211">
        <f t="shared" ca="1" si="69"/>
        <v>219.85347208565292</v>
      </c>
      <c r="X211">
        <f t="shared" ca="1" si="58"/>
        <v>221.2406401932835</v>
      </c>
      <c r="Y211">
        <f t="shared" ca="1" si="57"/>
        <v>-2.3320992973738157</v>
      </c>
      <c r="Z211">
        <f t="shared" ca="1" si="59"/>
        <v>1.5475562607189879</v>
      </c>
      <c r="AA211">
        <f t="shared" ca="1" si="60"/>
        <v>-3.8796555580928036</v>
      </c>
      <c r="AB211">
        <f t="shared" ca="1" si="61"/>
        <v>199.14649999999995</v>
      </c>
    </row>
    <row r="212" spans="1:28" x14ac:dyDescent="0.25">
      <c r="A212" s="20">
        <f t="shared" ca="1" si="62"/>
        <v>45593</v>
      </c>
      <c r="B212" vm="629">
        <f ca="1"/>
        <v>45596</v>
      </c>
      <c r="C212" vm="630">
        <f ca="1"/>
        <v>206.72</v>
      </c>
      <c r="D212" vm="631">
        <f ca="1"/>
        <v>5925250</v>
      </c>
      <c r="E212">
        <f t="shared" ca="1" si="63"/>
        <v>1224867680</v>
      </c>
      <c r="F212">
        <f ca="1">SUM($E$2:E212)/SUM($D$2:D212)</f>
        <v>188.93896986985925</v>
      </c>
      <c r="G212">
        <f ca="1">_xlfn.STDEV.P($C$2:C212)</f>
        <v>18.9571327106488</v>
      </c>
      <c r="H212">
        <f t="shared" ca="1" si="64"/>
        <v>207.89610258050806</v>
      </c>
      <c r="I212">
        <f t="shared" ca="1" si="65"/>
        <v>169.98183715921044</v>
      </c>
      <c r="J212">
        <f t="shared" ca="1" si="53"/>
        <v>225.70299999999997</v>
      </c>
      <c r="K212">
        <f t="shared" ca="1" si="54"/>
        <v>10.235888925992855</v>
      </c>
      <c r="L212">
        <f t="shared" ca="1" si="55"/>
        <v>246.17477785198568</v>
      </c>
      <c r="M212">
        <f t="shared" ca="1" si="56"/>
        <v>205.23122214801427</v>
      </c>
      <c r="N212">
        <f t="shared" ca="1" si="66"/>
        <v>1.8199999999999932</v>
      </c>
      <c r="O212">
        <f t="shared" ca="1" si="67"/>
        <v>1.8199999999999932</v>
      </c>
      <c r="P212">
        <f t="shared" ca="1" si="68"/>
        <v>0</v>
      </c>
      <c r="Q212">
        <f t="shared" ca="1" si="72"/>
        <v>0.78140723150207447</v>
      </c>
      <c r="R212">
        <f t="shared" ca="1" si="73"/>
        <v>1.8082407170182351</v>
      </c>
      <c r="S212">
        <f t="shared" ca="1" si="70"/>
        <v>0.432136730551342</v>
      </c>
      <c r="T212">
        <f t="shared" ca="1" si="71"/>
        <v>30.174264882165161</v>
      </c>
      <c r="U212">
        <f>70</f>
        <v>70</v>
      </c>
      <c r="V212">
        <f>30</f>
        <v>30</v>
      </c>
      <c r="W212">
        <f t="shared" ca="1" si="69"/>
        <v>217.8329379186294</v>
      </c>
      <c r="X212">
        <f t="shared" ca="1" si="58"/>
        <v>220.16503721600321</v>
      </c>
      <c r="Y212">
        <f t="shared" ca="1" si="57"/>
        <v>-2.9238020893678254</v>
      </c>
      <c r="Z212">
        <f t="shared" ca="1" si="59"/>
        <v>0.65328459070162526</v>
      </c>
      <c r="AA212">
        <f t="shared" ca="1" si="60"/>
        <v>-3.5770866800694505</v>
      </c>
      <c r="AB212">
        <f t="shared" ca="1" si="61"/>
        <v>199.50989999999993</v>
      </c>
    </row>
    <row r="213" spans="1:28" x14ac:dyDescent="0.25">
      <c r="A213" s="20">
        <f t="shared" ca="1" si="62"/>
        <v>45593</v>
      </c>
      <c r="B213" vm="632">
        <f ca="1"/>
        <v>45597</v>
      </c>
      <c r="C213" vm="633">
        <f ca="1"/>
        <v>208.25</v>
      </c>
      <c r="D213" vm="634">
        <f ca="1"/>
        <v>3334308</v>
      </c>
      <c r="E213">
        <f t="shared" ca="1" si="63"/>
        <v>694369641</v>
      </c>
      <c r="F213">
        <f ca="1">SUM($E$2:E213)/SUM($D$2:D213)</f>
        <v>189.01008765646409</v>
      </c>
      <c r="G213">
        <f ca="1">_xlfn.STDEV.P($C$2:C213)</f>
        <v>18.960120905055859</v>
      </c>
      <c r="H213">
        <f t="shared" ca="1" si="64"/>
        <v>207.97020856151994</v>
      </c>
      <c r="I213">
        <f t="shared" ca="1" si="65"/>
        <v>170.04996675140825</v>
      </c>
      <c r="J213">
        <f t="shared" ca="1" si="53"/>
        <v>224.81549999999999</v>
      </c>
      <c r="K213">
        <f t="shared" ca="1" si="54"/>
        <v>10.953155985953618</v>
      </c>
      <c r="L213">
        <f t="shared" ca="1" si="55"/>
        <v>246.72181197190721</v>
      </c>
      <c r="M213">
        <f t="shared" ca="1" si="56"/>
        <v>202.90918802809276</v>
      </c>
      <c r="N213">
        <f t="shared" ca="1" si="66"/>
        <v>1.5300000000000011</v>
      </c>
      <c r="O213">
        <f t="shared" ca="1" si="67"/>
        <v>1.5300000000000011</v>
      </c>
      <c r="P213">
        <f t="shared" ca="1" si="68"/>
        <v>0</v>
      </c>
      <c r="Q213">
        <f t="shared" ca="1" si="72"/>
        <v>0.83487814353764056</v>
      </c>
      <c r="R213">
        <f t="shared" ca="1" si="73"/>
        <v>1.6790806658026469</v>
      </c>
      <c r="S213">
        <f t="shared" ca="1" si="70"/>
        <v>0.49722336784727716</v>
      </c>
      <c r="T213">
        <f t="shared" ca="1" si="71"/>
        <v>33.209698601097173</v>
      </c>
      <c r="U213">
        <f>70</f>
        <v>70</v>
      </c>
      <c r="V213">
        <f>30</f>
        <v>30</v>
      </c>
      <c r="W213">
        <f t="shared" ca="1" si="69"/>
        <v>216.35863977730182</v>
      </c>
      <c r="X213">
        <f t="shared" ca="1" si="58"/>
        <v>219.28244186666964</v>
      </c>
      <c r="Y213">
        <f t="shared" ca="1" si="57"/>
        <v>-3.5080273299401483</v>
      </c>
      <c r="Z213">
        <f t="shared" ca="1" si="59"/>
        <v>-0.17897779342672948</v>
      </c>
      <c r="AA213">
        <f t="shared" ca="1" si="60"/>
        <v>-3.3290495365134189</v>
      </c>
      <c r="AB213">
        <f t="shared" ca="1" si="61"/>
        <v>199.89919999999992</v>
      </c>
    </row>
    <row r="214" spans="1:28" x14ac:dyDescent="0.25">
      <c r="A214" s="20">
        <f t="shared" ca="1" si="62"/>
        <v>45600</v>
      </c>
      <c r="B214" vm="635">
        <f ca="1"/>
        <v>45600</v>
      </c>
      <c r="C214" vm="636">
        <f ca="1"/>
        <v>206.32</v>
      </c>
      <c r="D214" vm="637">
        <f ca="1"/>
        <v>2594119</v>
      </c>
      <c r="E214">
        <f t="shared" ca="1" si="63"/>
        <v>535218632.07999998</v>
      </c>
      <c r="F214">
        <f ca="1">SUM($E$2:E214)/SUM($D$2:D214)</f>
        <v>189.05954255007089</v>
      </c>
      <c r="G214">
        <f ca="1">_xlfn.STDEV.P($C$2:C214)</f>
        <v>18.953801505143925</v>
      </c>
      <c r="H214">
        <f t="shared" ca="1" si="64"/>
        <v>208.01334405521482</v>
      </c>
      <c r="I214">
        <f t="shared" ca="1" si="65"/>
        <v>170.10574104492696</v>
      </c>
      <c r="J214">
        <f t="shared" ref="J214:J277" ca="1" si="74">AVERAGE(C195:C214)</f>
        <v>223.77549999999997</v>
      </c>
      <c r="K214">
        <f t="shared" ref="K214:K277" ca="1" si="75">_xlfn.STDEV.S(C195:C214)</f>
        <v>11.685802665943337</v>
      </c>
      <c r="L214">
        <f t="shared" ref="L214:L277" ca="1" si="76">J214 + 2*K214</f>
        <v>247.14710533188665</v>
      </c>
      <c r="M214">
        <f t="shared" ref="M214:M277" ca="1" si="77">J214-2*K214</f>
        <v>200.40389466811328</v>
      </c>
      <c r="N214">
        <f t="shared" ca="1" si="66"/>
        <v>-1.9300000000000068</v>
      </c>
      <c r="O214">
        <f t="shared" ca="1" si="67"/>
        <v>0</v>
      </c>
      <c r="P214">
        <f t="shared" ca="1" si="68"/>
        <v>1.9300000000000068</v>
      </c>
      <c r="Q214">
        <f t="shared" ca="1" si="72"/>
        <v>0.775243990427809</v>
      </c>
      <c r="R214">
        <f t="shared" ca="1" si="73"/>
        <v>1.6970034753881726</v>
      </c>
      <c r="S214">
        <f t="shared" ca="1" si="70"/>
        <v>0.4568311153578985</v>
      </c>
      <c r="T214">
        <f t="shared" ca="1" si="71"/>
        <v>31.357863690718133</v>
      </c>
      <c r="U214">
        <f>70</f>
        <v>70</v>
      </c>
      <c r="V214">
        <f>30</f>
        <v>30</v>
      </c>
      <c r="W214">
        <f t="shared" ca="1" si="69"/>
        <v>214.81423365771693</v>
      </c>
      <c r="X214">
        <f t="shared" ca="1" si="58"/>
        <v>218.32226098765707</v>
      </c>
      <c r="Y214">
        <f t="shared" ca="1" si="57"/>
        <v>-3.82606103887926</v>
      </c>
      <c r="Z214">
        <f t="shared" ca="1" si="59"/>
        <v>-0.90839444251723567</v>
      </c>
      <c r="AA214">
        <f t="shared" ca="1" si="60"/>
        <v>-2.9176665963620243</v>
      </c>
      <c r="AB214">
        <f t="shared" ca="1" si="61"/>
        <v>200.27239999999995</v>
      </c>
    </row>
    <row r="215" spans="1:28" x14ac:dyDescent="0.25">
      <c r="A215" s="20">
        <f t="shared" ca="1" si="62"/>
        <v>45600</v>
      </c>
      <c r="B215" vm="638">
        <f ca="1"/>
        <v>45601</v>
      </c>
      <c r="C215" vm="639">
        <f ca="1"/>
        <v>207.57</v>
      </c>
      <c r="D215" vm="640">
        <f ca="1"/>
        <v>2441535</v>
      </c>
      <c r="E215">
        <f t="shared" ca="1" si="63"/>
        <v>506789419.94999999</v>
      </c>
      <c r="F215">
        <f ca="1">SUM($E$2:E215)/SUM($D$2:D215)</f>
        <v>189.10918330448891</v>
      </c>
      <c r="G215">
        <f ca="1">_xlfn.STDEV.P($C$2:C215)</f>
        <v>18.952750947951198</v>
      </c>
      <c r="H215">
        <f t="shared" ca="1" si="64"/>
        <v>208.0619342524401</v>
      </c>
      <c r="I215">
        <f t="shared" ca="1" si="65"/>
        <v>170.15643235653772</v>
      </c>
      <c r="J215">
        <f t="shared" ca="1" si="74"/>
        <v>222.72299999999996</v>
      </c>
      <c r="K215">
        <f t="shared" ca="1" si="75"/>
        <v>12.16465029674529</v>
      </c>
      <c r="L215">
        <f t="shared" ca="1" si="76"/>
        <v>247.05230059349054</v>
      </c>
      <c r="M215">
        <f t="shared" ca="1" si="77"/>
        <v>198.39369940650937</v>
      </c>
      <c r="N215">
        <f t="shared" ca="1" si="66"/>
        <v>1.25</v>
      </c>
      <c r="O215">
        <f t="shared" ca="1" si="67"/>
        <v>1.25</v>
      </c>
      <c r="P215">
        <f t="shared" ca="1" si="68"/>
        <v>0</v>
      </c>
      <c r="Q215">
        <f t="shared" ca="1" si="72"/>
        <v>0.80915513396867988</v>
      </c>
      <c r="R215">
        <f t="shared" ca="1" si="73"/>
        <v>1.5757889414318744</v>
      </c>
      <c r="S215">
        <f t="shared" ca="1" si="70"/>
        <v>0.51349207542567454</v>
      </c>
      <c r="T215">
        <f t="shared" ca="1" si="71"/>
        <v>33.92763554980975</v>
      </c>
      <c r="U215">
        <f>70</f>
        <v>70</v>
      </c>
      <c r="V215">
        <f>30</f>
        <v>30</v>
      </c>
      <c r="W215">
        <f t="shared" ca="1" si="69"/>
        <v>213.69973617191434</v>
      </c>
      <c r="X215">
        <f t="shared" ca="1" si="58"/>
        <v>217.5257972107936</v>
      </c>
      <c r="Y215">
        <f t="shared" ca="1" si="57"/>
        <v>-3.5506052719354955</v>
      </c>
      <c r="Z215">
        <f t="shared" ca="1" si="59"/>
        <v>-1.4368366084008879</v>
      </c>
      <c r="AA215">
        <f t="shared" ca="1" si="60"/>
        <v>-2.1137686635346076</v>
      </c>
      <c r="AB215">
        <f t="shared" ca="1" si="61"/>
        <v>200.65689999999995</v>
      </c>
    </row>
    <row r="216" spans="1:28" x14ac:dyDescent="0.25">
      <c r="A216" s="20">
        <f t="shared" ca="1" si="62"/>
        <v>45600</v>
      </c>
      <c r="B216" vm="641">
        <f ca="1"/>
        <v>45602</v>
      </c>
      <c r="C216" vm="642">
        <f ca="1"/>
        <v>213.6</v>
      </c>
      <c r="D216" vm="643">
        <f ca="1"/>
        <v>3934386</v>
      </c>
      <c r="E216">
        <f t="shared" ca="1" si="63"/>
        <v>840384849.60000002</v>
      </c>
      <c r="F216">
        <f ca="1">SUM($E$2:E216)/SUM($D$2:D216)</f>
        <v>189.214565134938</v>
      </c>
      <c r="G216">
        <f ca="1">_xlfn.STDEV.P($C$2:C216)</f>
        <v>18.983246117893682</v>
      </c>
      <c r="H216">
        <f t="shared" ca="1" si="64"/>
        <v>208.19781125283168</v>
      </c>
      <c r="I216">
        <f t="shared" ca="1" si="65"/>
        <v>170.23131901704431</v>
      </c>
      <c r="J216">
        <f t="shared" ca="1" si="74"/>
        <v>221.68800000000002</v>
      </c>
      <c r="K216">
        <f t="shared" ca="1" si="75"/>
        <v>12.007395352777168</v>
      </c>
      <c r="L216">
        <f t="shared" ca="1" si="76"/>
        <v>245.70279070555435</v>
      </c>
      <c r="M216">
        <f t="shared" ca="1" si="77"/>
        <v>197.67320929444568</v>
      </c>
      <c r="N216">
        <f t="shared" ca="1" si="66"/>
        <v>6.0300000000000011</v>
      </c>
      <c r="O216">
        <f t="shared" ca="1" si="67"/>
        <v>6.0300000000000011</v>
      </c>
      <c r="P216">
        <f t="shared" ca="1" si="68"/>
        <v>0</v>
      </c>
      <c r="Q216">
        <f t="shared" ca="1" si="72"/>
        <v>1.1820726243994886</v>
      </c>
      <c r="R216">
        <f t="shared" ca="1" si="73"/>
        <v>1.4632325884724549</v>
      </c>
      <c r="S216">
        <f t="shared" ca="1" si="70"/>
        <v>0.80785012151316016</v>
      </c>
      <c r="T216">
        <f t="shared" ca="1" si="71"/>
        <v>44.685680073799162</v>
      </c>
      <c r="U216">
        <f>70</f>
        <v>70</v>
      </c>
      <c r="V216">
        <f>30</f>
        <v>30</v>
      </c>
      <c r="W216">
        <f t="shared" ca="1" si="69"/>
        <v>213.68439214546598</v>
      </c>
      <c r="X216">
        <f t="shared" ca="1" si="58"/>
        <v>217.23499741740147</v>
      </c>
      <c r="Y216">
        <f t="shared" ca="1" si="57"/>
        <v>-3.2871501237951293</v>
      </c>
      <c r="Z216">
        <f t="shared" ca="1" si="59"/>
        <v>-1.8068993114797363</v>
      </c>
      <c r="AA216">
        <f t="shared" ca="1" si="60"/>
        <v>-1.480250812315393</v>
      </c>
      <c r="AB216">
        <f t="shared" ca="1" si="61"/>
        <v>201.10079999999994</v>
      </c>
    </row>
    <row r="217" spans="1:28" x14ac:dyDescent="0.25">
      <c r="A217" s="20">
        <f t="shared" ca="1" si="62"/>
        <v>45600</v>
      </c>
      <c r="B217" vm="644">
        <f ca="1"/>
        <v>45603</v>
      </c>
      <c r="C217" vm="645">
        <f ca="1"/>
        <v>213.69</v>
      </c>
      <c r="D217" vm="646">
        <f ca="1"/>
        <v>3675812</v>
      </c>
      <c r="E217">
        <f t="shared" ca="1" si="63"/>
        <v>785484266.27999997</v>
      </c>
      <c r="F217">
        <f ca="1">SUM($E$2:E217)/SUM($D$2:D217)</f>
        <v>189.31256529772156</v>
      </c>
      <c r="G217">
        <f ca="1">_xlfn.STDEV.P($C$2:C217)</f>
        <v>19.013262934567237</v>
      </c>
      <c r="H217">
        <f t="shared" ca="1" si="64"/>
        <v>208.32582823228881</v>
      </c>
      <c r="I217">
        <f t="shared" ca="1" si="65"/>
        <v>170.29930236315431</v>
      </c>
      <c r="J217">
        <f t="shared" ca="1" si="74"/>
        <v>220.72149999999996</v>
      </c>
      <c r="K217">
        <f t="shared" ca="1" si="75"/>
        <v>11.82380439043026</v>
      </c>
      <c r="L217">
        <f t="shared" ca="1" si="76"/>
        <v>244.36910878086047</v>
      </c>
      <c r="M217">
        <f t="shared" ca="1" si="77"/>
        <v>197.07389121913945</v>
      </c>
      <c r="N217">
        <f t="shared" ca="1" si="66"/>
        <v>9.0000000000003411E-2</v>
      </c>
      <c r="O217">
        <f t="shared" ca="1" si="67"/>
        <v>9.0000000000003411E-2</v>
      </c>
      <c r="P217">
        <f t="shared" ca="1" si="68"/>
        <v>0</v>
      </c>
      <c r="Q217">
        <f t="shared" ca="1" si="72"/>
        <v>1.1040674369423826</v>
      </c>
      <c r="R217">
        <f t="shared" ca="1" si="73"/>
        <v>1.3587159750101367</v>
      </c>
      <c r="S217">
        <f t="shared" ca="1" si="70"/>
        <v>0.81258147931479618</v>
      </c>
      <c r="T217">
        <f t="shared" ca="1" si="71"/>
        <v>44.830066321872245</v>
      </c>
      <c r="U217">
        <f>70</f>
        <v>70</v>
      </c>
      <c r="V217">
        <f>30</f>
        <v>30</v>
      </c>
      <c r="W217">
        <f t="shared" ca="1" si="69"/>
        <v>213.68525489231735</v>
      </c>
      <c r="X217">
        <f t="shared" ca="1" si="58"/>
        <v>216.97240501611248</v>
      </c>
      <c r="Y217">
        <f t="shared" ca="1" si="57"/>
        <v>-3.0408858325307904</v>
      </c>
      <c r="Z217">
        <f t="shared" ca="1" si="59"/>
        <v>-2.0536966156899474</v>
      </c>
      <c r="AA217">
        <f t="shared" ca="1" si="60"/>
        <v>-0.98718921684084293</v>
      </c>
      <c r="AB217">
        <f t="shared" ca="1" si="61"/>
        <v>201.54269999999994</v>
      </c>
    </row>
    <row r="218" spans="1:28" x14ac:dyDescent="0.25">
      <c r="A218" s="20">
        <f t="shared" ca="1" si="62"/>
        <v>45600</v>
      </c>
      <c r="B218" vm="647">
        <f ca="1"/>
        <v>45604</v>
      </c>
      <c r="C218" vm="648">
        <f ca="1"/>
        <v>213.72</v>
      </c>
      <c r="D218" vm="649">
        <f ca="1"/>
        <v>3201038</v>
      </c>
      <c r="E218">
        <f t="shared" ca="1" si="63"/>
        <v>684125841.36000001</v>
      </c>
      <c r="F218">
        <f ca="1">SUM($E$2:E218)/SUM($D$2:D218)</f>
        <v>189.39737477117805</v>
      </c>
      <c r="G218">
        <f ca="1">_xlfn.STDEV.P($C$2:C218)</f>
        <v>19.042457520660953</v>
      </c>
      <c r="H218">
        <f t="shared" ca="1" si="64"/>
        <v>208.439832291839</v>
      </c>
      <c r="I218">
        <f t="shared" ca="1" si="65"/>
        <v>170.3549172505171</v>
      </c>
      <c r="J218">
        <f t="shared" ca="1" si="74"/>
        <v>219.74450000000002</v>
      </c>
      <c r="K218">
        <f t="shared" ca="1" si="75"/>
        <v>11.53703668739576</v>
      </c>
      <c r="L218">
        <f t="shared" ca="1" si="76"/>
        <v>242.81857337479153</v>
      </c>
      <c r="M218">
        <f t="shared" ca="1" si="77"/>
        <v>196.67042662520851</v>
      </c>
      <c r="N218">
        <f t="shared" ca="1" si="66"/>
        <v>3.0000000000001137E-2</v>
      </c>
      <c r="O218">
        <f t="shared" ca="1" si="67"/>
        <v>3.0000000000001137E-2</v>
      </c>
      <c r="P218">
        <f t="shared" ca="1" si="68"/>
        <v>0</v>
      </c>
      <c r="Q218">
        <f t="shared" ca="1" si="72"/>
        <v>1.0273483343036411</v>
      </c>
      <c r="R218">
        <f t="shared" ca="1" si="73"/>
        <v>1.2616648339379839</v>
      </c>
      <c r="S218">
        <f t="shared" ca="1" si="70"/>
        <v>0.81427991544871703</v>
      </c>
      <c r="T218">
        <f t="shared" ca="1" si="71"/>
        <v>44.881713594196135</v>
      </c>
      <c r="U218">
        <f>70</f>
        <v>70</v>
      </c>
      <c r="V218">
        <f>30</f>
        <v>30</v>
      </c>
      <c r="W218">
        <f t="shared" ca="1" si="69"/>
        <v>213.69060029349927</v>
      </c>
      <c r="X218">
        <f t="shared" ca="1" si="58"/>
        <v>216.73148612603006</v>
      </c>
      <c r="Y218">
        <f t="shared" ca="1" si="57"/>
        <v>-2.8252555663546559</v>
      </c>
      <c r="Z218">
        <f t="shared" ca="1" si="59"/>
        <v>-2.208008405822889</v>
      </c>
      <c r="AA218">
        <f t="shared" ca="1" si="60"/>
        <v>-0.61724716053176687</v>
      </c>
      <c r="AB218">
        <f t="shared" ca="1" si="61"/>
        <v>201.97439999999995</v>
      </c>
    </row>
    <row r="219" spans="1:28" x14ac:dyDescent="0.25">
      <c r="A219" s="20">
        <f t="shared" ca="1" si="62"/>
        <v>45607</v>
      </c>
      <c r="B219" vm="650">
        <f ca="1"/>
        <v>45607</v>
      </c>
      <c r="C219" vm="651">
        <f ca="1"/>
        <v>213.57</v>
      </c>
      <c r="D219" vm="652">
        <f ca="1"/>
        <v>3012987</v>
      </c>
      <c r="E219">
        <f t="shared" ca="1" si="63"/>
        <v>643483633.59000003</v>
      </c>
      <c r="F219">
        <f ca="1">SUM($E$2:E219)/SUM($D$2:D219)</f>
        <v>189.4761762536599</v>
      </c>
      <c r="G219">
        <f ca="1">_xlfn.STDEV.P($C$2:C219)</f>
        <v>19.069798394287226</v>
      </c>
      <c r="H219">
        <f t="shared" ca="1" si="64"/>
        <v>208.54597464794713</v>
      </c>
      <c r="I219">
        <f t="shared" ca="1" si="65"/>
        <v>170.40637785937267</v>
      </c>
      <c r="J219">
        <f t="shared" ca="1" si="74"/>
        <v>218.66</v>
      </c>
      <c r="K219">
        <f t="shared" ca="1" si="75"/>
        <v>11.009163647186208</v>
      </c>
      <c r="L219">
        <f t="shared" ca="1" si="76"/>
        <v>240.67832729437242</v>
      </c>
      <c r="M219">
        <f t="shared" ca="1" si="77"/>
        <v>196.64167270562757</v>
      </c>
      <c r="N219">
        <f t="shared" ca="1" si="66"/>
        <v>-0.15000000000000568</v>
      </c>
      <c r="O219">
        <f t="shared" ca="1" si="67"/>
        <v>0</v>
      </c>
      <c r="P219">
        <f t="shared" ca="1" si="68"/>
        <v>0.15000000000000568</v>
      </c>
      <c r="Q219">
        <f t="shared" ca="1" si="72"/>
        <v>0.95396631042480962</v>
      </c>
      <c r="R219">
        <f t="shared" ca="1" si="73"/>
        <v>1.1822602029424141</v>
      </c>
      <c r="S219">
        <f t="shared" ca="1" si="70"/>
        <v>0.80690046746949129</v>
      </c>
      <c r="T219">
        <f t="shared" ca="1" si="71"/>
        <v>44.656608484889631</v>
      </c>
      <c r="U219">
        <f>70</f>
        <v>70</v>
      </c>
      <c r="V219">
        <f>30</f>
        <v>30</v>
      </c>
      <c r="W219">
        <f t="shared" ca="1" si="69"/>
        <v>213.67204640219168</v>
      </c>
      <c r="X219">
        <f t="shared" ca="1" si="58"/>
        <v>216.49730196854634</v>
      </c>
      <c r="Y219">
        <f t="shared" ca="1" si="57"/>
        <v>-2.8403001661727103</v>
      </c>
      <c r="Z219">
        <f t="shared" ca="1" si="59"/>
        <v>-2.3344667578928533</v>
      </c>
      <c r="AA219">
        <f t="shared" ca="1" si="60"/>
        <v>-0.50583340827985701</v>
      </c>
      <c r="AB219">
        <f t="shared" ca="1" si="61"/>
        <v>202.37089999999998</v>
      </c>
    </row>
    <row r="220" spans="1:28" x14ac:dyDescent="0.25">
      <c r="A220" s="20">
        <f t="shared" ca="1" si="62"/>
        <v>45607</v>
      </c>
      <c r="B220" vm="653">
        <f ca="1"/>
        <v>45608</v>
      </c>
      <c r="C220" vm="654">
        <f ca="1"/>
        <v>210.86</v>
      </c>
      <c r="D220" vm="655">
        <f ca="1"/>
        <v>2818216</v>
      </c>
      <c r="E220">
        <f t="shared" ca="1" si="63"/>
        <v>594249025.75999999</v>
      </c>
      <c r="F220">
        <f ca="1">SUM($E$2:E220)/SUM($D$2:D220)</f>
        <v>189.54118184489474</v>
      </c>
      <c r="G220">
        <f ca="1">_xlfn.STDEV.P($C$2:C220)</f>
        <v>19.081446203915629</v>
      </c>
      <c r="H220">
        <f t="shared" ca="1" si="64"/>
        <v>208.62262804881036</v>
      </c>
      <c r="I220">
        <f t="shared" ca="1" si="65"/>
        <v>170.45973564097912</v>
      </c>
      <c r="J220">
        <f t="shared" ca="1" si="74"/>
        <v>217.55499999999998</v>
      </c>
      <c r="K220">
        <f t="shared" ca="1" si="75"/>
        <v>10.59980511240903</v>
      </c>
      <c r="L220">
        <f t="shared" ca="1" si="76"/>
        <v>238.75461022481804</v>
      </c>
      <c r="M220">
        <f t="shared" ca="1" si="77"/>
        <v>196.35538977518192</v>
      </c>
      <c r="N220">
        <f t="shared" ca="1" si="66"/>
        <v>-2.7099999999999795</v>
      </c>
      <c r="O220">
        <f t="shared" ca="1" si="67"/>
        <v>0</v>
      </c>
      <c r="P220">
        <f t="shared" ca="1" si="68"/>
        <v>2.7099999999999795</v>
      </c>
      <c r="Q220">
        <f t="shared" ca="1" si="72"/>
        <v>0.88582585968018035</v>
      </c>
      <c r="R220">
        <f t="shared" ca="1" si="73"/>
        <v>1.2913844741608114</v>
      </c>
      <c r="S220">
        <f t="shared" ca="1" si="70"/>
        <v>0.68595052627980702</v>
      </c>
      <c r="T220">
        <f t="shared" ca="1" si="71"/>
        <v>40.68627848727062</v>
      </c>
      <c r="U220">
        <f>70</f>
        <v>70</v>
      </c>
      <c r="V220">
        <f>30</f>
        <v>30</v>
      </c>
      <c r="W220">
        <f t="shared" ca="1" si="69"/>
        <v>213.23942387877759</v>
      </c>
      <c r="X220">
        <f t="shared" ca="1" si="58"/>
        <v>216.0797240449503</v>
      </c>
      <c r="Y220">
        <f t="shared" ref="Y220:Y283" ca="1" si="78">W221-X221</f>
        <v>-2.8149328279541237</v>
      </c>
      <c r="Z220">
        <f t="shared" ca="1" si="59"/>
        <v>-2.4305599719051076</v>
      </c>
      <c r="AA220">
        <f t="shared" ca="1" si="60"/>
        <v>-0.38437285604901605</v>
      </c>
      <c r="AB220">
        <f t="shared" ca="1" si="61"/>
        <v>202.75489999999999</v>
      </c>
    </row>
    <row r="221" spans="1:28" x14ac:dyDescent="0.25">
      <c r="A221" s="20">
        <f t="shared" ca="1" si="62"/>
        <v>45607</v>
      </c>
      <c r="B221" vm="656">
        <f ca="1"/>
        <v>45609</v>
      </c>
      <c r="C221" vm="657">
        <f ca="1"/>
        <v>210.92</v>
      </c>
      <c r="D221" vm="658">
        <f ca="1"/>
        <v>3247830</v>
      </c>
      <c r="E221">
        <f t="shared" ca="1" si="63"/>
        <v>685032303.5999999</v>
      </c>
      <c r="F221">
        <f ca="1">SUM($E$2:E221)/SUM($D$2:D221)</f>
        <v>189.6158179938916</v>
      </c>
      <c r="G221">
        <f ca="1">_xlfn.STDEV.P($C$2:C221)</f>
        <v>19.092787297219555</v>
      </c>
      <c r="H221">
        <f t="shared" ca="1" si="64"/>
        <v>208.70860529111116</v>
      </c>
      <c r="I221">
        <f t="shared" ca="1" si="65"/>
        <v>170.52303069667204</v>
      </c>
      <c r="J221">
        <f t="shared" ca="1" si="74"/>
        <v>216.41750000000002</v>
      </c>
      <c r="K221">
        <f t="shared" ca="1" si="75"/>
        <v>9.9821244838223837</v>
      </c>
      <c r="L221">
        <f t="shared" ca="1" si="76"/>
        <v>236.3817489676448</v>
      </c>
      <c r="M221">
        <f t="shared" ca="1" si="77"/>
        <v>196.45325103235524</v>
      </c>
      <c r="N221">
        <f t="shared" ca="1" si="66"/>
        <v>5.9999999999973852E-2</v>
      </c>
      <c r="O221">
        <f t="shared" ca="1" si="67"/>
        <v>5.9999999999973852E-2</v>
      </c>
      <c r="P221">
        <f t="shared" ca="1" si="68"/>
        <v>0</v>
      </c>
      <c r="Q221">
        <f t="shared" ca="1" si="72"/>
        <v>0.82683829827445121</v>
      </c>
      <c r="R221">
        <f t="shared" ca="1" si="73"/>
        <v>1.1991427260064678</v>
      </c>
      <c r="S221">
        <f t="shared" ca="1" si="70"/>
        <v>0.68952450808594701</v>
      </c>
      <c r="T221">
        <f t="shared" ca="1" si="71"/>
        <v>40.811749387826616</v>
      </c>
      <c r="U221">
        <f>70</f>
        <v>70</v>
      </c>
      <c r="V221">
        <f>30</f>
        <v>30</v>
      </c>
      <c r="W221">
        <f t="shared" ca="1" si="69"/>
        <v>212.88258943588875</v>
      </c>
      <c r="X221">
        <f t="shared" ref="X221:X284" ca="1" si="79">C221*(2/(26+1)) + X220*(1-(2/(26+1)))</f>
        <v>215.69752226384287</v>
      </c>
      <c r="Y221">
        <f t="shared" ca="1" si="78"/>
        <v>-2.9169392401423977</v>
      </c>
      <c r="Z221">
        <f t="shared" ca="1" si="59"/>
        <v>-2.5278358255525655</v>
      </c>
      <c r="AA221">
        <f t="shared" ca="1" si="60"/>
        <v>-0.38910341458983222</v>
      </c>
      <c r="AB221">
        <f t="shared" ca="1" si="61"/>
        <v>203.11399999999995</v>
      </c>
    </row>
    <row r="222" spans="1:28" x14ac:dyDescent="0.25">
      <c r="A222" s="20">
        <f t="shared" ca="1" si="62"/>
        <v>45607</v>
      </c>
      <c r="B222" vm="659">
        <f ca="1"/>
        <v>45610</v>
      </c>
      <c r="C222" vm="660">
        <f ca="1"/>
        <v>208.99</v>
      </c>
      <c r="D222" vm="661">
        <f ca="1"/>
        <v>6372853</v>
      </c>
      <c r="E222">
        <f t="shared" ca="1" si="63"/>
        <v>1331862548.47</v>
      </c>
      <c r="F222">
        <f ca="1">SUM($E$2:E222)/SUM($D$2:D222)</f>
        <v>189.74763293397777</v>
      </c>
      <c r="G222">
        <f ca="1">_xlfn.STDEV.P($C$2:C222)</f>
        <v>19.094232556836424</v>
      </c>
      <c r="H222">
        <f t="shared" ca="1" si="64"/>
        <v>208.8418654908142</v>
      </c>
      <c r="I222">
        <f t="shared" ca="1" si="65"/>
        <v>170.65340037714134</v>
      </c>
      <c r="J222">
        <f t="shared" ca="1" si="74"/>
        <v>215.22300000000004</v>
      </c>
      <c r="K222">
        <f t="shared" ca="1" si="75"/>
        <v>9.3156083509005665</v>
      </c>
      <c r="L222">
        <f t="shared" ca="1" si="76"/>
        <v>233.85421670180116</v>
      </c>
      <c r="M222">
        <f t="shared" ca="1" si="77"/>
        <v>196.59178329819892</v>
      </c>
      <c r="N222">
        <f t="shared" ca="1" si="66"/>
        <v>-1.9299999999999784</v>
      </c>
      <c r="O222">
        <f t="shared" ca="1" si="67"/>
        <v>0</v>
      </c>
      <c r="P222">
        <f t="shared" ca="1" si="68"/>
        <v>1.9299999999999784</v>
      </c>
      <c r="Q222">
        <f t="shared" ca="1" si="72"/>
        <v>0.76777841982627604</v>
      </c>
      <c r="R222">
        <f t="shared" ca="1" si="73"/>
        <v>1.2513468170060043</v>
      </c>
      <c r="S222">
        <f t="shared" ca="1" si="70"/>
        <v>0.61356165164768395</v>
      </c>
      <c r="T222">
        <f t="shared" ca="1" si="71"/>
        <v>38.025299561448257</v>
      </c>
      <c r="U222">
        <f>70</f>
        <v>70</v>
      </c>
      <c r="V222">
        <f>30</f>
        <v>30</v>
      </c>
      <c r="W222">
        <f t="shared" ca="1" si="69"/>
        <v>212.28372952267509</v>
      </c>
      <c r="X222">
        <f t="shared" ca="1" si="79"/>
        <v>215.20066876281749</v>
      </c>
      <c r="Y222">
        <f t="shared" ca="1" si="78"/>
        <v>-3.2827056401173422</v>
      </c>
      <c r="Z222">
        <f t="shared" ca="1" si="59"/>
        <v>-2.6788097884655211</v>
      </c>
      <c r="AA222">
        <f t="shared" ca="1" si="60"/>
        <v>-0.60389585165182114</v>
      </c>
      <c r="AB222">
        <f t="shared" ca="1" si="61"/>
        <v>203.47789999999998</v>
      </c>
    </row>
    <row r="223" spans="1:28" x14ac:dyDescent="0.25">
      <c r="A223" s="20">
        <f t="shared" ca="1" si="62"/>
        <v>45607</v>
      </c>
      <c r="B223" vm="662">
        <f ca="1"/>
        <v>45611</v>
      </c>
      <c r="C223" vm="663">
        <f ca="1"/>
        <v>204.99</v>
      </c>
      <c r="D223" vm="664">
        <f ca="1"/>
        <v>3986460</v>
      </c>
      <c r="E223">
        <f t="shared" ca="1" si="63"/>
        <v>817184435.4000001</v>
      </c>
      <c r="F223">
        <f ca="1">SUM($E$2:E223)/SUM($D$2:D223)</f>
        <v>189.81222851085576</v>
      </c>
      <c r="G223">
        <f ca="1">_xlfn.STDEV.P($C$2:C223)</f>
        <v>19.078945274302228</v>
      </c>
      <c r="H223">
        <f t="shared" ca="1" si="64"/>
        <v>208.891173785158</v>
      </c>
      <c r="I223">
        <f t="shared" ca="1" si="65"/>
        <v>170.73328323655352</v>
      </c>
      <c r="J223">
        <f t="shared" ca="1" si="74"/>
        <v>213.86250000000004</v>
      </c>
      <c r="K223">
        <f t="shared" ca="1" si="75"/>
        <v>8.6702976789788053</v>
      </c>
      <c r="L223">
        <f t="shared" ca="1" si="76"/>
        <v>231.20309535795764</v>
      </c>
      <c r="M223">
        <f t="shared" ca="1" si="77"/>
        <v>196.52190464204244</v>
      </c>
      <c r="N223">
        <f t="shared" ca="1" si="66"/>
        <v>-4</v>
      </c>
      <c r="O223">
        <f t="shared" ca="1" si="67"/>
        <v>0</v>
      </c>
      <c r="P223">
        <f t="shared" ca="1" si="68"/>
        <v>4</v>
      </c>
      <c r="Q223">
        <f t="shared" ca="1" si="72"/>
        <v>0.71293710412439915</v>
      </c>
      <c r="R223">
        <f t="shared" ca="1" si="73"/>
        <v>1.4476791872198611</v>
      </c>
      <c r="S223">
        <f t="shared" ca="1" si="70"/>
        <v>0.49246898789332694</v>
      </c>
      <c r="T223">
        <f t="shared" ca="1" si="71"/>
        <v>32.996932726117436</v>
      </c>
      <c r="U223">
        <f>70</f>
        <v>70</v>
      </c>
      <c r="V223">
        <f>30</f>
        <v>30</v>
      </c>
      <c r="W223">
        <f t="shared" ca="1" si="69"/>
        <v>211.16161728841737</v>
      </c>
      <c r="X223">
        <f t="shared" ca="1" si="79"/>
        <v>214.44432292853472</v>
      </c>
      <c r="Y223">
        <f t="shared" ca="1" si="78"/>
        <v>-3.2845715587288566</v>
      </c>
      <c r="Z223">
        <f t="shared" ca="1" si="59"/>
        <v>-2.7999621425181882</v>
      </c>
      <c r="AA223">
        <f t="shared" ca="1" si="60"/>
        <v>-0.48460941621066844</v>
      </c>
      <c r="AB223">
        <f t="shared" ca="1" si="61"/>
        <v>203.80909999999997</v>
      </c>
    </row>
    <row r="224" spans="1:28" x14ac:dyDescent="0.25">
      <c r="A224" s="20">
        <f t="shared" ca="1" si="62"/>
        <v>45614</v>
      </c>
      <c r="B224" vm="665">
        <f ca="1"/>
        <v>45614</v>
      </c>
      <c r="C224" vm="666">
        <f ca="1"/>
        <v>208.09</v>
      </c>
      <c r="D224" vm="667">
        <f ca="1"/>
        <v>3406045</v>
      </c>
      <c r="E224">
        <f t="shared" ca="1" si="63"/>
        <v>708763904.04999995</v>
      </c>
      <c r="F224">
        <f ca="1">SUM($E$2:E224)/SUM($D$2:D224)</f>
        <v>189.87817123647906</v>
      </c>
      <c r="G224">
        <f ca="1">_xlfn.STDEV.P($C$2:C224)</f>
        <v>19.075760651171382</v>
      </c>
      <c r="H224">
        <f t="shared" ca="1" si="64"/>
        <v>208.95393188765044</v>
      </c>
      <c r="I224">
        <f t="shared" ca="1" si="65"/>
        <v>170.80241058530768</v>
      </c>
      <c r="J224">
        <f t="shared" ca="1" si="74"/>
        <v>212.67950000000002</v>
      </c>
      <c r="K224">
        <f t="shared" ca="1" si="75"/>
        <v>7.6560141306309664</v>
      </c>
      <c r="L224">
        <f t="shared" ca="1" si="76"/>
        <v>227.99152826126195</v>
      </c>
      <c r="M224">
        <f t="shared" ca="1" si="77"/>
        <v>197.36747173873809</v>
      </c>
      <c r="N224">
        <f t="shared" ca="1" si="66"/>
        <v>3.0999999999999943</v>
      </c>
      <c r="O224">
        <f t="shared" ca="1" si="67"/>
        <v>3.0999999999999943</v>
      </c>
      <c r="P224">
        <f t="shared" ca="1" si="68"/>
        <v>0</v>
      </c>
      <c r="Q224">
        <f t="shared" ca="1" si="72"/>
        <v>0.88344159668694167</v>
      </c>
      <c r="R224">
        <f t="shared" ca="1" si="73"/>
        <v>1.3442735309898712</v>
      </c>
      <c r="S224">
        <f t="shared" ca="1" si="70"/>
        <v>0.65718886545092448</v>
      </c>
      <c r="T224">
        <f t="shared" ca="1" si="71"/>
        <v>39.656847758997102</v>
      </c>
      <c r="U224">
        <f>70</f>
        <v>70</v>
      </c>
      <c r="V224">
        <f>30</f>
        <v>30</v>
      </c>
      <c r="W224">
        <f t="shared" ca="1" si="69"/>
        <v>210.689060782507</v>
      </c>
      <c r="X224">
        <f t="shared" ca="1" si="79"/>
        <v>213.97363234123586</v>
      </c>
      <c r="Y224">
        <f t="shared" ca="1" si="78"/>
        <v>-3.0762947535529293</v>
      </c>
      <c r="Z224">
        <f t="shared" ca="1" si="59"/>
        <v>-2.8552286647251366</v>
      </c>
      <c r="AA224">
        <f t="shared" ca="1" si="60"/>
        <v>-0.22106608882779266</v>
      </c>
      <c r="AB224">
        <f t="shared" ca="1" si="61"/>
        <v>204.18149999999997</v>
      </c>
    </row>
    <row r="225" spans="1:28" x14ac:dyDescent="0.25">
      <c r="A225" s="20">
        <f t="shared" ca="1" si="62"/>
        <v>45614</v>
      </c>
      <c r="B225" vm="668">
        <f ca="1"/>
        <v>45615</v>
      </c>
      <c r="C225" vm="669">
        <f ca="1"/>
        <v>210.25</v>
      </c>
      <c r="D225" vm="670">
        <f ca="1"/>
        <v>2860746</v>
      </c>
      <c r="E225">
        <f t="shared" ca="1" si="63"/>
        <v>601471846.5</v>
      </c>
      <c r="F225">
        <f ca="1">SUM($E$2:E225)/SUM($D$2:D225)</f>
        <v>189.93971564076369</v>
      </c>
      <c r="G225">
        <f ca="1">_xlfn.STDEV.P($C$2:C225)</f>
        <v>19.082011092162915</v>
      </c>
      <c r="H225">
        <f t="shared" ca="1" si="64"/>
        <v>209.0217267329266</v>
      </c>
      <c r="I225">
        <f t="shared" ca="1" si="65"/>
        <v>170.85770454860079</v>
      </c>
      <c r="J225">
        <f t="shared" ca="1" si="74"/>
        <v>211.5795</v>
      </c>
      <c r="K225">
        <f t="shared" ca="1" si="75"/>
        <v>6.1231849942398595</v>
      </c>
      <c r="L225">
        <f t="shared" ca="1" si="76"/>
        <v>223.82586998847972</v>
      </c>
      <c r="M225">
        <f t="shared" ca="1" si="77"/>
        <v>199.33313001152027</v>
      </c>
      <c r="N225">
        <f t="shared" ca="1" si="66"/>
        <v>2.1599999999999966</v>
      </c>
      <c r="O225">
        <f t="shared" ca="1" si="67"/>
        <v>2.1599999999999966</v>
      </c>
      <c r="P225">
        <f t="shared" ca="1" si="68"/>
        <v>0</v>
      </c>
      <c r="Q225">
        <f t="shared" ca="1" si="72"/>
        <v>0.97462433978073126</v>
      </c>
      <c r="R225">
        <f t="shared" ca="1" si="73"/>
        <v>1.2482539930620233</v>
      </c>
      <c r="S225">
        <f t="shared" ca="1" si="70"/>
        <v>0.7807900837472459</v>
      </c>
      <c r="T225">
        <f t="shared" ca="1" si="71"/>
        <v>43.845150019268992</v>
      </c>
      <c r="U225">
        <f>70</f>
        <v>70</v>
      </c>
      <c r="V225">
        <f>30</f>
        <v>30</v>
      </c>
      <c r="W225">
        <f t="shared" ca="1" si="69"/>
        <v>210.62151296981361</v>
      </c>
      <c r="X225">
        <f t="shared" ca="1" si="79"/>
        <v>213.69780772336654</v>
      </c>
      <c r="Y225">
        <f t="shared" ca="1" si="78"/>
        <v>-2.5310488833603415</v>
      </c>
      <c r="Z225">
        <f t="shared" ca="1" si="59"/>
        <v>-2.7903927084521776</v>
      </c>
      <c r="AA225">
        <f t="shared" ca="1" si="60"/>
        <v>0.25934382509183607</v>
      </c>
      <c r="AB225">
        <f t="shared" ca="1" si="61"/>
        <v>204.55449999999996</v>
      </c>
    </row>
    <row r="226" spans="1:28" x14ac:dyDescent="0.25">
      <c r="A226" s="20">
        <f t="shared" ca="1" si="62"/>
        <v>45614</v>
      </c>
      <c r="B226" vm="671">
        <f ca="1"/>
        <v>45616</v>
      </c>
      <c r="C226" vm="672">
        <f ca="1"/>
        <v>214.6</v>
      </c>
      <c r="D226" vm="673">
        <f ca="1"/>
        <v>4562901</v>
      </c>
      <c r="E226">
        <f t="shared" ca="1" si="63"/>
        <v>979198554.60000002</v>
      </c>
      <c r="F226">
        <f ca="1">SUM($E$2:E226)/SUM($D$2:D226)</f>
        <v>190.05797369235705</v>
      </c>
      <c r="G226">
        <f ca="1">_xlfn.STDEV.P($C$2:C226)</f>
        <v>19.110504720922947</v>
      </c>
      <c r="H226">
        <f t="shared" ca="1" si="64"/>
        <v>209.16847841328001</v>
      </c>
      <c r="I226">
        <f t="shared" ca="1" si="65"/>
        <v>170.94746897143409</v>
      </c>
      <c r="J226">
        <f t="shared" ca="1" si="74"/>
        <v>210.67200000000003</v>
      </c>
      <c r="K226">
        <f t="shared" ca="1" si="75"/>
        <v>3.6766454962728088</v>
      </c>
      <c r="L226">
        <f t="shared" ca="1" si="76"/>
        <v>218.02529099254565</v>
      </c>
      <c r="M226">
        <f t="shared" ca="1" si="77"/>
        <v>203.3187090074544</v>
      </c>
      <c r="N226">
        <f t="shared" ca="1" si="66"/>
        <v>4.3499999999999943</v>
      </c>
      <c r="O226">
        <f t="shared" ca="1" si="67"/>
        <v>4.3499999999999943</v>
      </c>
      <c r="P226">
        <f t="shared" ca="1" si="68"/>
        <v>0</v>
      </c>
      <c r="Q226">
        <f t="shared" ca="1" si="72"/>
        <v>1.2157226012249644</v>
      </c>
      <c r="R226">
        <f t="shared" ca="1" si="73"/>
        <v>1.1590929935575931</v>
      </c>
      <c r="S226">
        <f t="shared" ca="1" si="70"/>
        <v>1.0488568285565756</v>
      </c>
      <c r="T226">
        <f t="shared" ca="1" si="71"/>
        <v>51.192294841582353</v>
      </c>
      <c r="U226">
        <f>70</f>
        <v>70</v>
      </c>
      <c r="V226">
        <f>30</f>
        <v>30</v>
      </c>
      <c r="W226">
        <f t="shared" ca="1" si="69"/>
        <v>211.23358789753459</v>
      </c>
      <c r="X226">
        <f t="shared" ca="1" si="79"/>
        <v>213.76463678089493</v>
      </c>
      <c r="Y226">
        <f t="shared" ca="1" si="78"/>
        <v>-1.4527958638834377</v>
      </c>
      <c r="Z226">
        <f t="shared" ca="1" si="59"/>
        <v>-2.52287333953843</v>
      </c>
      <c r="AA226">
        <f t="shared" ca="1" si="60"/>
        <v>1.0700774756549922</v>
      </c>
      <c r="AB226">
        <f t="shared" ca="1" si="61"/>
        <v>204.94949999999997</v>
      </c>
    </row>
    <row r="227" spans="1:28" x14ac:dyDescent="0.25">
      <c r="A227" s="20">
        <f t="shared" ca="1" si="62"/>
        <v>45614</v>
      </c>
      <c r="B227" vm="674">
        <f ca="1"/>
        <v>45617</v>
      </c>
      <c r="C227" vm="675">
        <f ca="1"/>
        <v>222.4</v>
      </c>
      <c r="D227" vm="676">
        <f ca="1"/>
        <v>5236434</v>
      </c>
      <c r="E227">
        <f t="shared" ca="1" si="63"/>
        <v>1164582921.6000001</v>
      </c>
      <c r="F227">
        <f ca="1">SUM($E$2:E227)/SUM($D$2:D227)</f>
        <v>190.23498904344615</v>
      </c>
      <c r="G227">
        <f ca="1">_xlfn.STDEV.P($C$2:C227)</f>
        <v>19.189222526297741</v>
      </c>
      <c r="H227">
        <f t="shared" ca="1" si="64"/>
        <v>209.42421156974387</v>
      </c>
      <c r="I227">
        <f t="shared" ca="1" si="65"/>
        <v>171.04576651714842</v>
      </c>
      <c r="J227">
        <f t="shared" ca="1" si="74"/>
        <v>210.8725</v>
      </c>
      <c r="K227">
        <f t="shared" ca="1" si="75"/>
        <v>4.1927956695164355</v>
      </c>
      <c r="L227">
        <f t="shared" ca="1" si="76"/>
        <v>219.25809133903289</v>
      </c>
      <c r="M227">
        <f t="shared" ca="1" si="77"/>
        <v>202.48690866096712</v>
      </c>
      <c r="N227">
        <f t="shared" ca="1" si="66"/>
        <v>7.8000000000000114</v>
      </c>
      <c r="O227">
        <f t="shared" ca="1" si="67"/>
        <v>7.8000000000000114</v>
      </c>
      <c r="P227">
        <f t="shared" ca="1" si="68"/>
        <v>0</v>
      </c>
      <c r="Q227">
        <f t="shared" ca="1" si="72"/>
        <v>1.6860281297088964</v>
      </c>
      <c r="R227">
        <f t="shared" ca="1" si="73"/>
        <v>1.076300636874908</v>
      </c>
      <c r="S227">
        <f t="shared" ca="1" si="70"/>
        <v>1.5665029564642481</v>
      </c>
      <c r="T227">
        <f t="shared" ca="1" si="71"/>
        <v>61.03647582087131</v>
      </c>
      <c r="U227">
        <f>70</f>
        <v>70</v>
      </c>
      <c r="V227">
        <f>30</f>
        <v>30</v>
      </c>
      <c r="W227">
        <f t="shared" ca="1" si="69"/>
        <v>212.95149745176002</v>
      </c>
      <c r="X227">
        <f t="shared" ca="1" si="79"/>
        <v>214.40429331564346</v>
      </c>
      <c r="Y227">
        <f t="shared" ca="1" si="78"/>
        <v>-0.54598457097264941</v>
      </c>
      <c r="Z227">
        <f t="shared" ca="1" si="59"/>
        <v>-2.1274955858252738</v>
      </c>
      <c r="AA227">
        <f t="shared" ca="1" si="60"/>
        <v>1.5815110148526244</v>
      </c>
      <c r="AB227">
        <f t="shared" ca="1" si="61"/>
        <v>205.40049999999999</v>
      </c>
    </row>
    <row r="228" spans="1:28" x14ac:dyDescent="0.25">
      <c r="A228" s="20">
        <f t="shared" ca="1" si="62"/>
        <v>45614</v>
      </c>
      <c r="B228" vm="677">
        <f ca="1"/>
        <v>45618</v>
      </c>
      <c r="C228" vm="678">
        <f ca="1"/>
        <v>222.97</v>
      </c>
      <c r="D228" vm="679">
        <f ca="1"/>
        <v>5320740</v>
      </c>
      <c r="E228">
        <f t="shared" ca="1" si="63"/>
        <v>1186365397.8</v>
      </c>
      <c r="F228">
        <f ca="1">SUM($E$2:E228)/SUM($D$2:D228)</f>
        <v>190.41603299788693</v>
      </c>
      <c r="G228">
        <f ca="1">_xlfn.STDEV.P($C$2:C228)</f>
        <v>19.270100301127059</v>
      </c>
      <c r="H228">
        <f t="shared" ca="1" si="64"/>
        <v>209.68613329901399</v>
      </c>
      <c r="I228">
        <f t="shared" ca="1" si="65"/>
        <v>171.14593269675987</v>
      </c>
      <c r="J228">
        <f t="shared" ca="1" si="74"/>
        <v>211.28749999999999</v>
      </c>
      <c r="K228">
        <f t="shared" ca="1" si="75"/>
        <v>4.9337461746414828</v>
      </c>
      <c r="L228">
        <f t="shared" ca="1" si="76"/>
        <v>221.15499234928296</v>
      </c>
      <c r="M228">
        <f t="shared" ca="1" si="77"/>
        <v>201.42000765071703</v>
      </c>
      <c r="N228">
        <f t="shared" ca="1" si="66"/>
        <v>0.56999999999999318</v>
      </c>
      <c r="O228">
        <f t="shared" ca="1" si="67"/>
        <v>0.56999999999999318</v>
      </c>
      <c r="P228">
        <f t="shared" ca="1" si="68"/>
        <v>0</v>
      </c>
      <c r="Q228">
        <f t="shared" ca="1" si="72"/>
        <v>1.606311834729689</v>
      </c>
      <c r="R228">
        <f t="shared" ca="1" si="73"/>
        <v>0.99942201995527158</v>
      </c>
      <c r="S228">
        <f t="shared" ca="1" si="70"/>
        <v>1.6072407878321295</v>
      </c>
      <c r="T228">
        <f t="shared" ca="1" si="71"/>
        <v>61.645276314065306</v>
      </c>
      <c r="U228">
        <f>70</f>
        <v>70</v>
      </c>
      <c r="V228">
        <f>30</f>
        <v>30</v>
      </c>
      <c r="W228">
        <f t="shared" ca="1" si="69"/>
        <v>214.49280553610464</v>
      </c>
      <c r="X228">
        <f t="shared" ca="1" si="79"/>
        <v>215.03879010707729</v>
      </c>
      <c r="Y228">
        <f t="shared" ca="1" si="78"/>
        <v>0.42278193567790368</v>
      </c>
      <c r="Z228">
        <f t="shared" ca="1" si="59"/>
        <v>-1.6174400815246384</v>
      </c>
      <c r="AA228">
        <f t="shared" ca="1" si="60"/>
        <v>2.040222017202542</v>
      </c>
      <c r="AB228">
        <f t="shared" ca="1" si="61"/>
        <v>205.87290000000002</v>
      </c>
    </row>
    <row r="229" spans="1:28" x14ac:dyDescent="0.25">
      <c r="A229" s="20">
        <f t="shared" ca="1" si="62"/>
        <v>45621</v>
      </c>
      <c r="B229" vm="680">
        <f ca="1"/>
        <v>45621</v>
      </c>
      <c r="C229" vm="681">
        <f ca="1"/>
        <v>226.13</v>
      </c>
      <c r="D229" vm="682">
        <f ca="1"/>
        <v>7189260</v>
      </c>
      <c r="E229">
        <f t="shared" ca="1" si="63"/>
        <v>1625707363.8</v>
      </c>
      <c r="F229">
        <f ca="1">SUM($E$2:E229)/SUM($D$2:D229)</f>
        <v>190.68093695754746</v>
      </c>
      <c r="G229">
        <f ca="1">_xlfn.STDEV.P($C$2:C229)</f>
        <v>19.37330183723623</v>
      </c>
      <c r="H229">
        <f t="shared" ca="1" si="64"/>
        <v>210.05423879478369</v>
      </c>
      <c r="I229">
        <f t="shared" ca="1" si="65"/>
        <v>171.30763512031123</v>
      </c>
      <c r="J229">
        <f t="shared" ca="1" si="74"/>
        <v>211.94849999999997</v>
      </c>
      <c r="K229">
        <f t="shared" ca="1" si="75"/>
        <v>5.9445864581057881</v>
      </c>
      <c r="L229">
        <f t="shared" ca="1" si="76"/>
        <v>223.83767291621155</v>
      </c>
      <c r="M229">
        <f t="shared" ca="1" si="77"/>
        <v>200.05932708378839</v>
      </c>
      <c r="N229">
        <f t="shared" ca="1" si="66"/>
        <v>3.1599999999999966</v>
      </c>
      <c r="O229">
        <f t="shared" ca="1" si="67"/>
        <v>3.1599999999999966</v>
      </c>
      <c r="P229">
        <f t="shared" ca="1" si="68"/>
        <v>0</v>
      </c>
      <c r="Q229">
        <f t="shared" ca="1" si="72"/>
        <v>1.7172895608204253</v>
      </c>
      <c r="R229">
        <f t="shared" ca="1" si="73"/>
        <v>0.92803473281560933</v>
      </c>
      <c r="S229">
        <f t="shared" ca="1" si="70"/>
        <v>1.850458285769389</v>
      </c>
      <c r="T229">
        <f t="shared" ca="1" si="71"/>
        <v>64.917921970919764</v>
      </c>
      <c r="U229">
        <f>70</f>
        <v>70</v>
      </c>
      <c r="V229">
        <f>30</f>
        <v>30</v>
      </c>
      <c r="W229">
        <f t="shared" ca="1" si="69"/>
        <v>216.28314314593467</v>
      </c>
      <c r="X229">
        <f t="shared" ca="1" si="79"/>
        <v>215.86036121025677</v>
      </c>
      <c r="Y229">
        <f t="shared" ca="1" si="78"/>
        <v>1.3923536211086969</v>
      </c>
      <c r="Z229">
        <f t="shared" ca="1" si="59"/>
        <v>-1.0154813409979713</v>
      </c>
      <c r="AA229">
        <f t="shared" ca="1" si="60"/>
        <v>2.4078349621066684</v>
      </c>
      <c r="AB229">
        <f t="shared" ca="1" si="61"/>
        <v>206.37400000000002</v>
      </c>
    </row>
    <row r="230" spans="1:28" x14ac:dyDescent="0.25">
      <c r="A230" s="20">
        <f t="shared" ca="1" si="62"/>
        <v>45621</v>
      </c>
      <c r="B230" vm="683">
        <f ca="1"/>
        <v>45622</v>
      </c>
      <c r="C230" vm="684">
        <f ca="1"/>
        <v>228.83</v>
      </c>
      <c r="D230" vm="685">
        <f ca="1"/>
        <v>4449543</v>
      </c>
      <c r="E230">
        <f t="shared" ca="1" si="63"/>
        <v>1018188924.6900001</v>
      </c>
      <c r="F230">
        <f ca="1">SUM($E$2:E230)/SUM($D$2:D230)</f>
        <v>190.85526862547769</v>
      </c>
      <c r="G230">
        <f ca="1">_xlfn.STDEV.P($C$2:C230)</f>
        <v>19.496133769049724</v>
      </c>
      <c r="H230">
        <f t="shared" ca="1" si="64"/>
        <v>210.35140239452741</v>
      </c>
      <c r="I230">
        <f t="shared" ca="1" si="65"/>
        <v>171.35913485642797</v>
      </c>
      <c r="J230">
        <f t="shared" ca="1" si="74"/>
        <v>212.86849999999998</v>
      </c>
      <c r="K230">
        <f t="shared" ca="1" si="75"/>
        <v>7.0231768752504475</v>
      </c>
      <c r="L230">
        <f t="shared" ca="1" si="76"/>
        <v>226.91485375050087</v>
      </c>
      <c r="M230">
        <f t="shared" ca="1" si="77"/>
        <v>198.8221462494991</v>
      </c>
      <c r="N230">
        <f t="shared" ca="1" si="66"/>
        <v>2.7000000000000171</v>
      </c>
      <c r="O230">
        <f t="shared" ca="1" si="67"/>
        <v>2.7000000000000171</v>
      </c>
      <c r="P230">
        <f t="shared" ca="1" si="68"/>
        <v>0</v>
      </c>
      <c r="Q230">
        <f t="shared" ca="1" si="72"/>
        <v>1.7874831636189674</v>
      </c>
      <c r="R230">
        <f t="shared" ca="1" si="73"/>
        <v>0.86174653761449438</v>
      </c>
      <c r="S230">
        <f t="shared" ca="1" si="70"/>
        <v>2.0742562755948142</v>
      </c>
      <c r="T230">
        <f t="shared" ca="1" si="71"/>
        <v>67.471807476215758</v>
      </c>
      <c r="U230">
        <f>70</f>
        <v>70</v>
      </c>
      <c r="V230">
        <f>30</f>
        <v>30</v>
      </c>
      <c r="W230">
        <f t="shared" ca="1" si="69"/>
        <v>218.21342881579088</v>
      </c>
      <c r="X230">
        <f t="shared" ca="1" si="79"/>
        <v>216.82107519468218</v>
      </c>
      <c r="Y230">
        <f t="shared" ca="1" si="78"/>
        <v>1.9837576068894123</v>
      </c>
      <c r="Z230">
        <f t="shared" ref="Z230:Z293" ca="1" si="80">Y230*(2/(9+1)) + Z229*(1-(2/(9+1)))</f>
        <v>-0.41563355142049452</v>
      </c>
      <c r="AA230">
        <f t="shared" ref="AA230:AA293" ca="1" si="81">Y230-Z230</f>
        <v>2.399391158309907</v>
      </c>
      <c r="AB230">
        <f t="shared" ref="AB230:AB293" ca="1" si="82">AVERAGE(C131:C230)</f>
        <v>206.88590000000005</v>
      </c>
    </row>
    <row r="231" spans="1:28" x14ac:dyDescent="0.25">
      <c r="A231" s="20">
        <f t="shared" ca="1" si="62"/>
        <v>45621</v>
      </c>
      <c r="B231" vm="686">
        <f ca="1"/>
        <v>45623</v>
      </c>
      <c r="C231" vm="687">
        <f ca="1"/>
        <v>226.92</v>
      </c>
      <c r="D231" vm="688">
        <f ca="1"/>
        <v>2995121</v>
      </c>
      <c r="E231">
        <f t="shared" ca="1" si="63"/>
        <v>679652857.31999993</v>
      </c>
      <c r="F231">
        <f ca="1">SUM($E$2:E231)/SUM($D$2:D231)</f>
        <v>190.96586482930732</v>
      </c>
      <c r="G231">
        <f ca="1">_xlfn.STDEV.P($C$2:C231)</f>
        <v>19.600001134264446</v>
      </c>
      <c r="H231">
        <f t="shared" ca="1" si="64"/>
        <v>210.56586596357175</v>
      </c>
      <c r="I231">
        <f t="shared" ca="1" si="65"/>
        <v>171.36586369504289</v>
      </c>
      <c r="J231">
        <f t="shared" ca="1" si="74"/>
        <v>213.96949999999998</v>
      </c>
      <c r="K231">
        <f t="shared" ca="1" si="75"/>
        <v>7.4228626021587054</v>
      </c>
      <c r="L231">
        <f t="shared" ca="1" si="76"/>
        <v>228.81522520431739</v>
      </c>
      <c r="M231">
        <f t="shared" ca="1" si="77"/>
        <v>199.12377479568258</v>
      </c>
      <c r="N231">
        <f t="shared" ca="1" si="66"/>
        <v>-1.910000000000025</v>
      </c>
      <c r="O231">
        <f t="shared" ca="1" si="67"/>
        <v>0</v>
      </c>
      <c r="P231">
        <f t="shared" ca="1" si="68"/>
        <v>1.910000000000025</v>
      </c>
      <c r="Q231">
        <f t="shared" ca="1" si="72"/>
        <v>1.659805794789041</v>
      </c>
      <c r="R231">
        <f t="shared" ca="1" si="73"/>
        <v>0.9366217849277465</v>
      </c>
      <c r="S231">
        <f t="shared" ca="1" si="70"/>
        <v>1.7721195700322974</v>
      </c>
      <c r="T231">
        <f t="shared" ca="1" si="71"/>
        <v>63.926519952083119</v>
      </c>
      <c r="U231">
        <f>70</f>
        <v>70</v>
      </c>
      <c r="V231">
        <f>30</f>
        <v>30</v>
      </c>
      <c r="W231">
        <f t="shared" ca="1" si="69"/>
        <v>219.5529013056692</v>
      </c>
      <c r="X231">
        <f t="shared" ca="1" si="79"/>
        <v>217.56914369877978</v>
      </c>
      <c r="Y231">
        <f t="shared" ca="1" si="78"/>
        <v>2.4635897027929445</v>
      </c>
      <c r="Z231">
        <f t="shared" ca="1" si="80"/>
        <v>0.1602110994221933</v>
      </c>
      <c r="AA231">
        <f t="shared" ca="1" si="81"/>
        <v>2.3033786033707511</v>
      </c>
      <c r="AB231">
        <f t="shared" ca="1" si="82"/>
        <v>207.3903</v>
      </c>
    </row>
    <row r="232" spans="1:28" x14ac:dyDescent="0.25">
      <c r="A232" s="20">
        <f t="shared" ca="1" si="62"/>
        <v>45621</v>
      </c>
      <c r="B232" vm="689">
        <f ca="1"/>
        <v>45625</v>
      </c>
      <c r="C232" vm="690">
        <f ca="1"/>
        <v>227.41</v>
      </c>
      <c r="D232" vm="691">
        <f ca="1"/>
        <v>2640253</v>
      </c>
      <c r="E232">
        <f t="shared" ca="1" si="63"/>
        <v>600419934.73000002</v>
      </c>
      <c r="F232">
        <f ca="1">SUM($E$2:E232)/SUM($D$2:D232)</f>
        <v>191.06411739739065</v>
      </c>
      <c r="G232">
        <f ca="1">_xlfn.STDEV.P($C$2:C232)</f>
        <v>19.705082362603402</v>
      </c>
      <c r="H232">
        <f t="shared" ca="1" si="64"/>
        <v>210.76919975999405</v>
      </c>
      <c r="I232">
        <f t="shared" ca="1" si="65"/>
        <v>171.35903503478724</v>
      </c>
      <c r="J232">
        <f t="shared" ca="1" si="74"/>
        <v>215.00399999999999</v>
      </c>
      <c r="K232">
        <f t="shared" ca="1" si="75"/>
        <v>7.791921862787734</v>
      </c>
      <c r="L232">
        <f t="shared" ca="1" si="76"/>
        <v>230.58784372557545</v>
      </c>
      <c r="M232">
        <f t="shared" ca="1" si="77"/>
        <v>199.42015627442453</v>
      </c>
      <c r="N232">
        <f t="shared" ca="1" si="66"/>
        <v>0.49000000000000909</v>
      </c>
      <c r="O232">
        <f t="shared" ca="1" si="67"/>
        <v>0.49000000000000909</v>
      </c>
      <c r="P232">
        <f t="shared" ca="1" si="68"/>
        <v>0</v>
      </c>
      <c r="Q232">
        <f t="shared" ca="1" si="72"/>
        <v>1.5762482380183958</v>
      </c>
      <c r="R232">
        <f t="shared" ca="1" si="73"/>
        <v>0.86972022886147893</v>
      </c>
      <c r="S232">
        <f t="shared" ca="1" si="70"/>
        <v>1.8123623962176993</v>
      </c>
      <c r="T232">
        <f t="shared" ca="1" si="71"/>
        <v>64.442704775711547</v>
      </c>
      <c r="U232">
        <f>70</f>
        <v>70</v>
      </c>
      <c r="V232">
        <f>30</f>
        <v>30</v>
      </c>
      <c r="W232">
        <f t="shared" ca="1" si="69"/>
        <v>220.76168572018165</v>
      </c>
      <c r="X232">
        <f t="shared" ca="1" si="79"/>
        <v>218.2980960173887</v>
      </c>
      <c r="Y232">
        <f t="shared" ca="1" si="78"/>
        <v>2.809855992144179</v>
      </c>
      <c r="Z232">
        <f t="shared" ca="1" si="80"/>
        <v>0.69014007796659049</v>
      </c>
      <c r="AA232">
        <f t="shared" ca="1" si="81"/>
        <v>2.1197159141775885</v>
      </c>
      <c r="AB232">
        <f t="shared" ca="1" si="82"/>
        <v>207.886</v>
      </c>
    </row>
    <row r="233" spans="1:28" x14ac:dyDescent="0.25">
      <c r="A233" s="20">
        <f t="shared" ca="1" si="62"/>
        <v>45628</v>
      </c>
      <c r="B233" vm="692">
        <f ca="1"/>
        <v>45628</v>
      </c>
      <c r="C233" vm="693">
        <f ca="1"/>
        <v>227.39</v>
      </c>
      <c r="D233" vm="694">
        <f ca="1"/>
        <v>2656181</v>
      </c>
      <c r="E233">
        <f t="shared" ca="1" si="63"/>
        <v>603988997.58999991</v>
      </c>
      <c r="F233">
        <f ca="1">SUM($E$2:E233)/SUM($D$2:D233)</f>
        <v>191.16237546998434</v>
      </c>
      <c r="G233">
        <f ca="1">_xlfn.STDEV.P($C$2:C233)</f>
        <v>19.807294127095705</v>
      </c>
      <c r="H233">
        <f t="shared" ca="1" si="64"/>
        <v>210.96966959708004</v>
      </c>
      <c r="I233">
        <f t="shared" ca="1" si="65"/>
        <v>171.35508134288864</v>
      </c>
      <c r="J233">
        <f t="shared" ca="1" si="74"/>
        <v>215.96100000000001</v>
      </c>
      <c r="K233">
        <f t="shared" ca="1" si="75"/>
        <v>8.0884790711363337</v>
      </c>
      <c r="L233">
        <f t="shared" ca="1" si="76"/>
        <v>232.13795814227268</v>
      </c>
      <c r="M233">
        <f t="shared" ca="1" si="77"/>
        <v>199.78404185772735</v>
      </c>
      <c r="N233">
        <f t="shared" ca="1" si="66"/>
        <v>-2.0000000000010232E-2</v>
      </c>
      <c r="O233">
        <f t="shared" ca="1" si="67"/>
        <v>0</v>
      </c>
      <c r="P233">
        <f t="shared" ca="1" si="68"/>
        <v>2.0000000000010232E-2</v>
      </c>
      <c r="Q233">
        <f t="shared" ca="1" si="72"/>
        <v>1.4636590781599388</v>
      </c>
      <c r="R233">
        <f t="shared" ca="1" si="73"/>
        <v>0.80902592679994545</v>
      </c>
      <c r="S233">
        <f t="shared" ca="1" si="70"/>
        <v>1.8091621413782824</v>
      </c>
      <c r="T233">
        <f t="shared" ca="1" si="71"/>
        <v>64.402197179356762</v>
      </c>
      <c r="U233">
        <f>70</f>
        <v>70</v>
      </c>
      <c r="V233">
        <f>30</f>
        <v>30</v>
      </c>
      <c r="W233">
        <f t="shared" ca="1" si="69"/>
        <v>221.78142637861521</v>
      </c>
      <c r="X233">
        <f t="shared" ca="1" si="79"/>
        <v>218.97157038647103</v>
      </c>
      <c r="Y233">
        <f t="shared" ca="1" si="78"/>
        <v>3.177559142010324</v>
      </c>
      <c r="Z233">
        <f t="shared" ca="1" si="80"/>
        <v>1.1876238907753374</v>
      </c>
      <c r="AA233">
        <f t="shared" ca="1" si="81"/>
        <v>1.9899352512349866</v>
      </c>
      <c r="AB233">
        <f t="shared" ca="1" si="82"/>
        <v>208.37679999999997</v>
      </c>
    </row>
    <row r="234" spans="1:28" x14ac:dyDescent="0.25">
      <c r="A234" s="20">
        <f t="shared" ca="1" si="62"/>
        <v>45628</v>
      </c>
      <c r="B234" vm="695">
        <f ca="1"/>
        <v>45629</v>
      </c>
      <c r="C234" vm="696">
        <f ca="1"/>
        <v>229</v>
      </c>
      <c r="D234" vm="697">
        <f ca="1"/>
        <v>3163815</v>
      </c>
      <c r="E234">
        <f t="shared" ca="1" si="63"/>
        <v>724513635</v>
      </c>
      <c r="F234">
        <f ca="1">SUM($E$2:E234)/SUM($D$2:D234)</f>
        <v>191.28389116104819</v>
      </c>
      <c r="G234">
        <f ca="1">_xlfn.STDEV.P($C$2:C234)</f>
        <v>19.919713180086305</v>
      </c>
      <c r="H234">
        <f t="shared" ca="1" si="64"/>
        <v>211.20360434113451</v>
      </c>
      <c r="I234">
        <f t="shared" ca="1" si="65"/>
        <v>171.36417798096187</v>
      </c>
      <c r="J234">
        <f t="shared" ca="1" si="74"/>
        <v>217.09499999999997</v>
      </c>
      <c r="K234">
        <f t="shared" ca="1" si="75"/>
        <v>8.253847268809988</v>
      </c>
      <c r="L234">
        <f t="shared" ca="1" si="76"/>
        <v>233.60269453761995</v>
      </c>
      <c r="M234">
        <f t="shared" ca="1" si="77"/>
        <v>200.58730546237999</v>
      </c>
      <c r="N234">
        <f t="shared" ca="1" si="66"/>
        <v>1.6100000000000136</v>
      </c>
      <c r="O234">
        <f t="shared" ca="1" si="67"/>
        <v>1.6100000000000136</v>
      </c>
      <c r="P234">
        <f t="shared" ca="1" si="68"/>
        <v>0</v>
      </c>
      <c r="Q234">
        <f t="shared" ca="1" si="72"/>
        <v>1.4741120011485156</v>
      </c>
      <c r="R234">
        <f t="shared" ca="1" si="73"/>
        <v>0.75123836059994942</v>
      </c>
      <c r="S234">
        <f t="shared" ca="1" si="70"/>
        <v>1.9622427161084655</v>
      </c>
      <c r="T234">
        <f t="shared" ca="1" si="71"/>
        <v>66.241793943417576</v>
      </c>
      <c r="U234">
        <f>70</f>
        <v>70</v>
      </c>
      <c r="V234">
        <f>30</f>
        <v>30</v>
      </c>
      <c r="W234">
        <f t="shared" ca="1" si="69"/>
        <v>222.89197616652055</v>
      </c>
      <c r="X234">
        <f t="shared" ca="1" si="79"/>
        <v>219.71441702451023</v>
      </c>
      <c r="Y234">
        <f t="shared" ca="1" si="78"/>
        <v>3.7876107934210097</v>
      </c>
      <c r="Z234">
        <f t="shared" ca="1" si="80"/>
        <v>1.7076212713044718</v>
      </c>
      <c r="AA234">
        <f t="shared" ca="1" si="81"/>
        <v>2.0799895221165379</v>
      </c>
      <c r="AB234">
        <f t="shared" ca="1" si="82"/>
        <v>208.83849999999998</v>
      </c>
    </row>
    <row r="235" spans="1:28" x14ac:dyDescent="0.25">
      <c r="A235" s="20">
        <f t="shared" ca="1" si="62"/>
        <v>45628</v>
      </c>
      <c r="B235" vm="698">
        <f ca="1"/>
        <v>45630</v>
      </c>
      <c r="C235" vm="699">
        <f ca="1"/>
        <v>233.49</v>
      </c>
      <c r="D235" vm="700">
        <f ca="1"/>
        <v>4104195</v>
      </c>
      <c r="E235">
        <f t="shared" ca="1" si="63"/>
        <v>958288490.55000007</v>
      </c>
      <c r="F235">
        <f ca="1">SUM($E$2:E235)/SUM($D$2:D235)</f>
        <v>191.45899480361018</v>
      </c>
      <c r="G235">
        <f ca="1">_xlfn.STDEV.P($C$2:C235)</f>
        <v>20.06737883302554</v>
      </c>
      <c r="H235">
        <f t="shared" ca="1" si="64"/>
        <v>211.52637363663573</v>
      </c>
      <c r="I235">
        <f t="shared" ca="1" si="65"/>
        <v>171.39161597058464</v>
      </c>
      <c r="J235">
        <f t="shared" ca="1" si="74"/>
        <v>218.39099999999999</v>
      </c>
      <c r="K235">
        <f t="shared" ca="1" si="75"/>
        <v>8.702304534462483</v>
      </c>
      <c r="L235">
        <f t="shared" ca="1" si="76"/>
        <v>235.79560906892496</v>
      </c>
      <c r="M235">
        <f t="shared" ca="1" si="77"/>
        <v>200.98639093107502</v>
      </c>
      <c r="N235">
        <f t="shared" ca="1" si="66"/>
        <v>4.4900000000000091</v>
      </c>
      <c r="O235">
        <f t="shared" ca="1" si="67"/>
        <v>4.4900000000000091</v>
      </c>
      <c r="P235">
        <f t="shared" ca="1" si="68"/>
        <v>0</v>
      </c>
      <c r="Q235">
        <f t="shared" ca="1" si="72"/>
        <v>1.6895325724950507</v>
      </c>
      <c r="R235">
        <f t="shared" ca="1" si="73"/>
        <v>0.69757847769995307</v>
      </c>
      <c r="S235">
        <f t="shared" ca="1" si="70"/>
        <v>2.4219964154653342</v>
      </c>
      <c r="T235">
        <f t="shared" ca="1" si="71"/>
        <v>70.777292592107614</v>
      </c>
      <c r="U235">
        <f>70</f>
        <v>70</v>
      </c>
      <c r="V235">
        <f>30</f>
        <v>30</v>
      </c>
      <c r="W235">
        <f t="shared" ca="1" si="69"/>
        <v>224.52244137167122</v>
      </c>
      <c r="X235">
        <f t="shared" ca="1" si="79"/>
        <v>220.73483057825021</v>
      </c>
      <c r="Y235">
        <f t="shared" ca="1" si="78"/>
        <v>4.3229206537180573</v>
      </c>
      <c r="Z235">
        <f t="shared" ca="1" si="80"/>
        <v>2.2306811477871893</v>
      </c>
      <c r="AA235">
        <f t="shared" ca="1" si="81"/>
        <v>2.092239505930868</v>
      </c>
      <c r="AB235">
        <f t="shared" ca="1" si="82"/>
        <v>209.34459999999999</v>
      </c>
    </row>
    <row r="236" spans="1:28" x14ac:dyDescent="0.25">
      <c r="A236" s="20">
        <f t="shared" ca="1" si="62"/>
        <v>45628</v>
      </c>
      <c r="B236" vm="701">
        <f ca="1"/>
        <v>45631</v>
      </c>
      <c r="C236" vm="702">
        <f ca="1"/>
        <v>234.75</v>
      </c>
      <c r="D236" vm="703">
        <f ca="1"/>
        <v>4791116</v>
      </c>
      <c r="E236">
        <f t="shared" ca="1" si="63"/>
        <v>1124714481</v>
      </c>
      <c r="F236">
        <f ca="1">SUM($E$2:E236)/SUM($D$2:D236)</f>
        <v>191.66764939974649</v>
      </c>
      <c r="G236">
        <f ca="1">_xlfn.STDEV.P($C$2:C236)</f>
        <v>20.222408874919257</v>
      </c>
      <c r="H236">
        <f t="shared" ca="1" si="64"/>
        <v>211.89005827466576</v>
      </c>
      <c r="I236">
        <f t="shared" ca="1" si="65"/>
        <v>171.44524052482723</v>
      </c>
      <c r="J236">
        <f t="shared" ca="1" si="74"/>
        <v>219.44849999999997</v>
      </c>
      <c r="K236">
        <f t="shared" ca="1" si="75"/>
        <v>9.3503984013066468</v>
      </c>
      <c r="L236">
        <f t="shared" ca="1" si="76"/>
        <v>238.14929680261326</v>
      </c>
      <c r="M236">
        <f t="shared" ca="1" si="77"/>
        <v>200.74770319738667</v>
      </c>
      <c r="N236">
        <f t="shared" ca="1" si="66"/>
        <v>1.2599999999999909</v>
      </c>
      <c r="O236">
        <f t="shared" ca="1" si="67"/>
        <v>1.2599999999999909</v>
      </c>
      <c r="P236">
        <f t="shared" ca="1" si="68"/>
        <v>0</v>
      </c>
      <c r="Q236">
        <f t="shared" ca="1" si="72"/>
        <v>1.6588516744596895</v>
      </c>
      <c r="R236">
        <f t="shared" ca="1" si="73"/>
        <v>0.64775144357852787</v>
      </c>
      <c r="S236">
        <f t="shared" ca="1" si="70"/>
        <v>2.5609385990640163</v>
      </c>
      <c r="T236">
        <f t="shared" ca="1" si="71"/>
        <v>71.917516346312524</v>
      </c>
      <c r="U236">
        <f>70</f>
        <v>70</v>
      </c>
      <c r="V236">
        <f>30</f>
        <v>30</v>
      </c>
      <c r="W236">
        <f t="shared" ca="1" si="69"/>
        <v>226.09591192987565</v>
      </c>
      <c r="X236">
        <f t="shared" ca="1" si="79"/>
        <v>221.7729912761576</v>
      </c>
      <c r="Y236">
        <f t="shared" ca="1" si="78"/>
        <v>4.9555090553328967</v>
      </c>
      <c r="Z236">
        <f t="shared" ca="1" si="80"/>
        <v>2.7756467292963309</v>
      </c>
      <c r="AA236">
        <f t="shared" ca="1" si="81"/>
        <v>2.1798623260365657</v>
      </c>
      <c r="AB236">
        <f t="shared" ca="1" si="82"/>
        <v>209.83399999999997</v>
      </c>
    </row>
    <row r="237" spans="1:28" x14ac:dyDescent="0.25">
      <c r="A237" s="20">
        <f t="shared" ca="1" si="62"/>
        <v>45628</v>
      </c>
      <c r="B237" vm="704">
        <f ca="1"/>
        <v>45632</v>
      </c>
      <c r="C237" vm="705">
        <f ca="1"/>
        <v>238.04</v>
      </c>
      <c r="D237" vm="706">
        <f ca="1"/>
        <v>4028430</v>
      </c>
      <c r="E237">
        <f t="shared" ca="1" si="63"/>
        <v>958927477.19999993</v>
      </c>
      <c r="F237">
        <f ca="1">SUM($E$2:E237)/SUM($D$2:D237)</f>
        <v>191.85481760856339</v>
      </c>
      <c r="G237">
        <f ca="1">_xlfn.STDEV.P($C$2:C237)</f>
        <v>20.403816063302497</v>
      </c>
      <c r="H237">
        <f t="shared" ca="1" si="64"/>
        <v>212.25863367186588</v>
      </c>
      <c r="I237">
        <f t="shared" ca="1" si="65"/>
        <v>171.45100154526091</v>
      </c>
      <c r="J237">
        <f t="shared" ca="1" si="74"/>
        <v>220.666</v>
      </c>
      <c r="K237">
        <f t="shared" ca="1" si="75"/>
        <v>10.115143623612852</v>
      </c>
      <c r="L237">
        <f t="shared" ca="1" si="76"/>
        <v>240.8962872472257</v>
      </c>
      <c r="M237">
        <f t="shared" ca="1" si="77"/>
        <v>200.43571275277429</v>
      </c>
      <c r="N237">
        <f t="shared" ca="1" si="66"/>
        <v>3.289999999999992</v>
      </c>
      <c r="O237">
        <f t="shared" ca="1" si="67"/>
        <v>3.289999999999992</v>
      </c>
      <c r="P237">
        <f t="shared" ca="1" si="68"/>
        <v>0</v>
      </c>
      <c r="Q237">
        <f t="shared" ca="1" si="72"/>
        <v>1.7753622691411397</v>
      </c>
      <c r="R237">
        <f t="shared" ca="1" si="73"/>
        <v>0.60148348332291868</v>
      </c>
      <c r="S237">
        <f t="shared" ca="1" si="70"/>
        <v>2.9516392691833904</v>
      </c>
      <c r="T237">
        <f t="shared" ca="1" si="71"/>
        <v>74.694046397442278</v>
      </c>
      <c r="U237">
        <f>70</f>
        <v>70</v>
      </c>
      <c r="V237">
        <f>30</f>
        <v>30</v>
      </c>
      <c r="W237">
        <f t="shared" ca="1" si="69"/>
        <v>227.93346394066401</v>
      </c>
      <c r="X237">
        <f t="shared" ca="1" si="79"/>
        <v>222.97795488533112</v>
      </c>
      <c r="Y237">
        <f t="shared" ca="1" si="78"/>
        <v>4.7532861898706642</v>
      </c>
      <c r="Z237">
        <f t="shared" ca="1" si="80"/>
        <v>3.1711746214111978</v>
      </c>
      <c r="AA237">
        <f t="shared" ca="1" si="81"/>
        <v>1.5821115684594664</v>
      </c>
      <c r="AB237">
        <f t="shared" ca="1" si="82"/>
        <v>210.33990000000003</v>
      </c>
    </row>
    <row r="238" spans="1:28" x14ac:dyDescent="0.25">
      <c r="A238" s="20">
        <f t="shared" ca="1" si="62"/>
        <v>45635</v>
      </c>
      <c r="B238" vm="707">
        <f ca="1"/>
        <v>45635</v>
      </c>
      <c r="C238" vm="708">
        <f ca="1"/>
        <v>230</v>
      </c>
      <c r="D238" vm="709">
        <f ca="1"/>
        <v>4970449</v>
      </c>
      <c r="E238">
        <f t="shared" ca="1" si="63"/>
        <v>1143203270</v>
      </c>
      <c r="F238">
        <f ca="1">SUM($E$2:E238)/SUM($D$2:D238)</f>
        <v>192.04384077491332</v>
      </c>
      <c r="G238">
        <f ca="1">_xlfn.STDEV.P($C$2:C238)</f>
        <v>20.510819678224003</v>
      </c>
      <c r="H238">
        <f t="shared" ca="1" si="64"/>
        <v>212.55466045313733</v>
      </c>
      <c r="I238">
        <f t="shared" ca="1" si="65"/>
        <v>171.53302109668931</v>
      </c>
      <c r="J238">
        <f t="shared" ca="1" si="74"/>
        <v>221.47999999999996</v>
      </c>
      <c r="K238">
        <f t="shared" ca="1" si="75"/>
        <v>10.181591231236892</v>
      </c>
      <c r="L238">
        <f t="shared" ca="1" si="76"/>
        <v>241.84318246247375</v>
      </c>
      <c r="M238">
        <f t="shared" ca="1" si="77"/>
        <v>201.11681753752617</v>
      </c>
      <c r="N238">
        <f t="shared" ca="1" si="66"/>
        <v>-8.039999999999992</v>
      </c>
      <c r="O238">
        <f t="shared" ca="1" si="67"/>
        <v>0</v>
      </c>
      <c r="P238">
        <f t="shared" ca="1" si="68"/>
        <v>8.039999999999992</v>
      </c>
      <c r="Q238">
        <f t="shared" ca="1" si="72"/>
        <v>1.6485506784882011</v>
      </c>
      <c r="R238">
        <f t="shared" ca="1" si="73"/>
        <v>1.1328060916569953</v>
      </c>
      <c r="S238">
        <f t="shared" ca="1" si="70"/>
        <v>1.4552805556304946</v>
      </c>
      <c r="T238">
        <f t="shared" ca="1" si="71"/>
        <v>59.271456872544299</v>
      </c>
      <c r="U238">
        <f>70</f>
        <v>70</v>
      </c>
      <c r="V238">
        <f>30</f>
        <v>30</v>
      </c>
      <c r="W238">
        <f t="shared" ca="1" si="69"/>
        <v>228.25139256517724</v>
      </c>
      <c r="X238">
        <f t="shared" ca="1" si="79"/>
        <v>223.49810637530658</v>
      </c>
      <c r="Y238">
        <f t="shared" ca="1" si="78"/>
        <v>4.6778889455356421</v>
      </c>
      <c r="Z238">
        <f t="shared" ca="1" si="80"/>
        <v>3.4725174862360868</v>
      </c>
      <c r="AA238">
        <f t="shared" ca="1" si="81"/>
        <v>1.2053714592995552</v>
      </c>
      <c r="AB238">
        <f t="shared" ca="1" si="82"/>
        <v>210.78770000000003</v>
      </c>
    </row>
    <row r="239" spans="1:28" x14ac:dyDescent="0.25">
      <c r="A239" s="20">
        <f t="shared" ca="1" si="62"/>
        <v>45635</v>
      </c>
      <c r="B239" vm="710">
        <f ca="1"/>
        <v>45636</v>
      </c>
      <c r="C239" vm="711">
        <f ca="1"/>
        <v>231.72</v>
      </c>
      <c r="D239" vm="712">
        <f ca="1"/>
        <v>4769531</v>
      </c>
      <c r="E239">
        <f t="shared" ca="1" si="63"/>
        <v>1105195723.3199999</v>
      </c>
      <c r="F239">
        <f ca="1">SUM($E$2:E239)/SUM($D$2:D239)</f>
        <v>192.23161017433864</v>
      </c>
      <c r="G239">
        <f ca="1">_xlfn.STDEV.P($C$2:C239)</f>
        <v>20.62870913298428</v>
      </c>
      <c r="H239">
        <f t="shared" ca="1" si="64"/>
        <v>212.86031930732292</v>
      </c>
      <c r="I239">
        <f t="shared" ca="1" si="65"/>
        <v>171.60290104135436</v>
      </c>
      <c r="J239">
        <f t="shared" ca="1" si="74"/>
        <v>222.38749999999999</v>
      </c>
      <c r="K239">
        <f t="shared" ca="1" si="75"/>
        <v>10.24810528059237</v>
      </c>
      <c r="L239">
        <f t="shared" ca="1" si="76"/>
        <v>242.88371056118473</v>
      </c>
      <c r="M239">
        <f t="shared" ca="1" si="77"/>
        <v>201.89128943881525</v>
      </c>
      <c r="N239">
        <f t="shared" ca="1" si="66"/>
        <v>1.7199999999999989</v>
      </c>
      <c r="O239">
        <f t="shared" ca="1" si="67"/>
        <v>1.7199999999999989</v>
      </c>
      <c r="P239">
        <f t="shared" ca="1" si="68"/>
        <v>0</v>
      </c>
      <c r="Q239">
        <f t="shared" ca="1" si="72"/>
        <v>1.6536542014533295</v>
      </c>
      <c r="R239">
        <f t="shared" ca="1" si="73"/>
        <v>1.0518913708243527</v>
      </c>
      <c r="S239">
        <f t="shared" ca="1" si="70"/>
        <v>1.5720769723183332</v>
      </c>
      <c r="T239">
        <f t="shared" ca="1" si="71"/>
        <v>61.120914701916824</v>
      </c>
      <c r="U239">
        <f>70</f>
        <v>70</v>
      </c>
      <c r="V239">
        <f>30</f>
        <v>30</v>
      </c>
      <c r="W239">
        <f t="shared" ca="1" si="69"/>
        <v>228.78502447822689</v>
      </c>
      <c r="X239">
        <f t="shared" ca="1" si="79"/>
        <v>224.10713553269125</v>
      </c>
      <c r="Y239">
        <f t="shared" ca="1" si="78"/>
        <v>4.4378724270903831</v>
      </c>
      <c r="Z239">
        <f t="shared" ca="1" si="80"/>
        <v>3.6655884744069462</v>
      </c>
      <c r="AA239">
        <f t="shared" ca="1" si="81"/>
        <v>0.77228395268343686</v>
      </c>
      <c r="AB239">
        <f t="shared" ca="1" si="82"/>
        <v>211.27240000000006</v>
      </c>
    </row>
    <row r="240" spans="1:28" x14ac:dyDescent="0.25">
      <c r="A240" s="20">
        <f t="shared" ca="1" si="62"/>
        <v>45635</v>
      </c>
      <c r="B240" vm="713">
        <f ca="1"/>
        <v>45637</v>
      </c>
      <c r="C240" vm="714">
        <f ca="1"/>
        <v>230.12</v>
      </c>
      <c r="D240" vm="715">
        <f ca="1"/>
        <v>3872680</v>
      </c>
      <c r="E240">
        <f t="shared" ca="1" si="63"/>
        <v>891181121.60000002</v>
      </c>
      <c r="F240">
        <f ca="1">SUM($E$2:E240)/SUM($D$2:D240)</f>
        <v>192.37664477849822</v>
      </c>
      <c r="G240">
        <f ca="1">_xlfn.STDEV.P($C$2:C240)</f>
        <v>20.731147327864139</v>
      </c>
      <c r="H240">
        <f t="shared" ca="1" si="64"/>
        <v>213.10779210636235</v>
      </c>
      <c r="I240">
        <f t="shared" ca="1" si="65"/>
        <v>171.64549745063408</v>
      </c>
      <c r="J240">
        <f t="shared" ca="1" si="74"/>
        <v>223.35050000000001</v>
      </c>
      <c r="K240">
        <f t="shared" ca="1" si="75"/>
        <v>10.010022595799725</v>
      </c>
      <c r="L240">
        <f t="shared" ca="1" si="76"/>
        <v>243.37054519159946</v>
      </c>
      <c r="M240">
        <f t="shared" ca="1" si="77"/>
        <v>203.33045480840056</v>
      </c>
      <c r="N240">
        <f t="shared" ca="1" si="66"/>
        <v>-1.5999999999999943</v>
      </c>
      <c r="O240">
        <f t="shared" ca="1" si="67"/>
        <v>0</v>
      </c>
      <c r="P240">
        <f t="shared" ca="1" si="68"/>
        <v>1.5999999999999943</v>
      </c>
      <c r="Q240">
        <f t="shared" ca="1" si="72"/>
        <v>1.5355360442066632</v>
      </c>
      <c r="R240">
        <f t="shared" ca="1" si="73"/>
        <v>1.0910419871940413</v>
      </c>
      <c r="S240">
        <f t="shared" ca="1" si="70"/>
        <v>1.4074032550807496</v>
      </c>
      <c r="T240">
        <f t="shared" ca="1" si="71"/>
        <v>58.461466815352559</v>
      </c>
      <c r="U240">
        <f>70</f>
        <v>70</v>
      </c>
      <c r="V240">
        <f>30</f>
        <v>30</v>
      </c>
      <c r="W240">
        <f t="shared" ca="1" si="69"/>
        <v>228.99040532773043</v>
      </c>
      <c r="X240">
        <f t="shared" ca="1" si="79"/>
        <v>224.55253290064005</v>
      </c>
      <c r="Y240">
        <f t="shared" ca="1" si="78"/>
        <v>4.3699635032134552</v>
      </c>
      <c r="Z240">
        <f t="shared" ca="1" si="80"/>
        <v>3.8064634801682482</v>
      </c>
      <c r="AA240">
        <f t="shared" ca="1" si="81"/>
        <v>0.56350002304520697</v>
      </c>
      <c r="AB240">
        <f t="shared" ca="1" si="82"/>
        <v>211.73210000000003</v>
      </c>
    </row>
    <row r="241" spans="1:28" x14ac:dyDescent="0.25">
      <c r="A241" s="20">
        <f t="shared" ca="1" si="62"/>
        <v>45635</v>
      </c>
      <c r="B241" vm="716">
        <f ca="1"/>
        <v>45638</v>
      </c>
      <c r="C241" vm="717">
        <f ca="1"/>
        <v>232.26</v>
      </c>
      <c r="D241" vm="718">
        <f ca="1"/>
        <v>4515741</v>
      </c>
      <c r="E241">
        <f t="shared" ca="1" si="63"/>
        <v>1048826004.66</v>
      </c>
      <c r="F241">
        <f ca="1">SUM($E$2:E241)/SUM($D$2:D241)</f>
        <v>192.55387606544153</v>
      </c>
      <c r="G241">
        <f ca="1">_xlfn.STDEV.P($C$2:C241)</f>
        <v>20.847616685951834</v>
      </c>
      <c r="H241">
        <f t="shared" ca="1" si="64"/>
        <v>213.40149275139336</v>
      </c>
      <c r="I241">
        <f t="shared" ca="1" si="65"/>
        <v>171.70625937948969</v>
      </c>
      <c r="J241">
        <f t="shared" ca="1" si="74"/>
        <v>224.41750000000002</v>
      </c>
      <c r="K241">
        <f t="shared" ca="1" si="75"/>
        <v>9.7492309413290847</v>
      </c>
      <c r="L241">
        <f t="shared" ca="1" si="76"/>
        <v>243.91596188265819</v>
      </c>
      <c r="M241">
        <f t="shared" ca="1" si="77"/>
        <v>204.91903811734184</v>
      </c>
      <c r="N241">
        <f t="shared" ca="1" si="66"/>
        <v>2.1399999999999864</v>
      </c>
      <c r="O241">
        <f t="shared" ca="1" si="67"/>
        <v>2.1399999999999864</v>
      </c>
      <c r="P241">
        <f t="shared" ca="1" si="68"/>
        <v>0</v>
      </c>
      <c r="Q241">
        <f t="shared" ca="1" si="72"/>
        <v>1.5787120410490434</v>
      </c>
      <c r="R241">
        <f t="shared" ca="1" si="73"/>
        <v>1.0131104166801812</v>
      </c>
      <c r="S241">
        <f t="shared" ca="1" si="70"/>
        <v>1.5582823106510526</v>
      </c>
      <c r="T241">
        <f t="shared" ca="1" si="71"/>
        <v>60.911272542649456</v>
      </c>
      <c r="U241">
        <f>70</f>
        <v>70</v>
      </c>
      <c r="V241">
        <f>30</f>
        <v>30</v>
      </c>
      <c r="W241">
        <f t="shared" ca="1" si="69"/>
        <v>229.49341989269499</v>
      </c>
      <c r="X241">
        <f t="shared" ca="1" si="79"/>
        <v>225.12345638948153</v>
      </c>
      <c r="Y241">
        <f t="shared" ca="1" si="78"/>
        <v>4.1520865571194179</v>
      </c>
      <c r="Z241">
        <f t="shared" ca="1" si="80"/>
        <v>3.8755880955584825</v>
      </c>
      <c r="AA241">
        <f t="shared" ca="1" si="81"/>
        <v>0.27649846156093538</v>
      </c>
      <c r="AB241">
        <f t="shared" ca="1" si="82"/>
        <v>212.21369999999999</v>
      </c>
    </row>
    <row r="242" spans="1:28" x14ac:dyDescent="0.25">
      <c r="A242" s="20">
        <f t="shared" ca="1" si="62"/>
        <v>45635</v>
      </c>
      <c r="B242" vm="719">
        <f ca="1"/>
        <v>45639</v>
      </c>
      <c r="C242" vm="720">
        <f ca="1"/>
        <v>230.82</v>
      </c>
      <c r="D242" vm="721">
        <f ca="1"/>
        <v>2757683</v>
      </c>
      <c r="E242">
        <f t="shared" ca="1" si="63"/>
        <v>636528390.05999994</v>
      </c>
      <c r="F242">
        <f ca="1">SUM($E$2:E242)/SUM($D$2:D242)</f>
        <v>192.65743833048171</v>
      </c>
      <c r="G242">
        <f ca="1">_xlfn.STDEV.P($C$2:C242)</f>
        <v>20.950071306969246</v>
      </c>
      <c r="H242">
        <f t="shared" ca="1" si="64"/>
        <v>213.60750963745096</v>
      </c>
      <c r="I242">
        <f t="shared" ca="1" si="65"/>
        <v>171.70736702351246</v>
      </c>
      <c r="J242">
        <f t="shared" ca="1" si="74"/>
        <v>225.50899999999996</v>
      </c>
      <c r="K242">
        <f t="shared" ca="1" si="75"/>
        <v>9.1336836979795191</v>
      </c>
      <c r="L242">
        <f t="shared" ca="1" si="76"/>
        <v>243.776367395959</v>
      </c>
      <c r="M242">
        <f t="shared" ca="1" si="77"/>
        <v>207.24163260404092</v>
      </c>
      <c r="N242">
        <f t="shared" ca="1" si="66"/>
        <v>-1.4399999999999977</v>
      </c>
      <c r="O242">
        <f t="shared" ca="1" si="67"/>
        <v>0</v>
      </c>
      <c r="P242">
        <f t="shared" ca="1" si="68"/>
        <v>1.4399999999999977</v>
      </c>
      <c r="Q242">
        <f t="shared" ca="1" si="72"/>
        <v>1.465946895259826</v>
      </c>
      <c r="R242">
        <f t="shared" ca="1" si="73"/>
        <v>1.0436025297744538</v>
      </c>
      <c r="S242">
        <f t="shared" ca="1" si="70"/>
        <v>1.4046984876288586</v>
      </c>
      <c r="T242">
        <f t="shared" ca="1" si="71"/>
        <v>58.414744919391325</v>
      </c>
      <c r="U242">
        <f>70</f>
        <v>70</v>
      </c>
      <c r="V242">
        <f>30</f>
        <v>30</v>
      </c>
      <c r="W242">
        <f t="shared" ca="1" si="69"/>
        <v>229.69750913997268</v>
      </c>
      <c r="X242">
        <f t="shared" ca="1" si="79"/>
        <v>225.54542258285326</v>
      </c>
      <c r="Y242">
        <f t="shared" ca="1" si="78"/>
        <v>3.8152076214945509</v>
      </c>
      <c r="Z242">
        <f t="shared" ca="1" si="80"/>
        <v>3.8635120007456965</v>
      </c>
      <c r="AA242">
        <f t="shared" ca="1" si="81"/>
        <v>-4.8304379251145502E-2</v>
      </c>
      <c r="AB242">
        <f t="shared" ca="1" si="82"/>
        <v>212.68170000000001</v>
      </c>
    </row>
    <row r="243" spans="1:28" x14ac:dyDescent="0.25">
      <c r="A243" s="20">
        <f t="shared" ca="1" si="62"/>
        <v>45642</v>
      </c>
      <c r="B243" vm="722">
        <f ca="1"/>
        <v>45642</v>
      </c>
      <c r="C243" vm="723">
        <f ca="1"/>
        <v>229.33</v>
      </c>
      <c r="D243" vm="724">
        <f ca="1"/>
        <v>3610257</v>
      </c>
      <c r="E243">
        <f t="shared" ca="1" si="63"/>
        <v>827940237.81000006</v>
      </c>
      <c r="F243">
        <f ca="1">SUM($E$2:E243)/SUM($D$2:D243)</f>
        <v>192.78691337557584</v>
      </c>
      <c r="G243">
        <f ca="1">_xlfn.STDEV.P($C$2:C243)</f>
        <v>21.039078915255661</v>
      </c>
      <c r="H243">
        <f t="shared" ca="1" si="64"/>
        <v>213.82599229083149</v>
      </c>
      <c r="I243">
        <f t="shared" ca="1" si="65"/>
        <v>171.74783446032018</v>
      </c>
      <c r="J243">
        <f t="shared" ca="1" si="74"/>
        <v>226.72599999999997</v>
      </c>
      <c r="K243">
        <f t="shared" ca="1" si="75"/>
        <v>7.7765107856930271</v>
      </c>
      <c r="L243">
        <f t="shared" ca="1" si="76"/>
        <v>242.27902157138601</v>
      </c>
      <c r="M243">
        <f t="shared" ca="1" si="77"/>
        <v>211.17297842861393</v>
      </c>
      <c r="N243">
        <f t="shared" ca="1" si="66"/>
        <v>-1.4899999999999807</v>
      </c>
      <c r="O243">
        <f t="shared" ca="1" si="67"/>
        <v>0</v>
      </c>
      <c r="P243">
        <f t="shared" ca="1" si="68"/>
        <v>1.4899999999999807</v>
      </c>
      <c r="Q243">
        <f t="shared" ca="1" si="72"/>
        <v>1.3612364027412671</v>
      </c>
      <c r="R243">
        <f t="shared" ca="1" si="73"/>
        <v>1.0754880633619914</v>
      </c>
      <c r="S243">
        <f t="shared" ca="1" si="70"/>
        <v>1.2656917813536881</v>
      </c>
      <c r="T243">
        <f t="shared" ca="1" si="71"/>
        <v>55.863369932757237</v>
      </c>
      <c r="U243">
        <f>70</f>
        <v>70</v>
      </c>
      <c r="V243">
        <f>30</f>
        <v>30</v>
      </c>
      <c r="W243">
        <f t="shared" ca="1" si="69"/>
        <v>229.64096927228459</v>
      </c>
      <c r="X243">
        <f t="shared" ca="1" si="79"/>
        <v>225.82576165079004</v>
      </c>
      <c r="Y243">
        <f t="shared" ca="1" si="78"/>
        <v>3.479075035218699</v>
      </c>
      <c r="Z243">
        <f t="shared" ca="1" si="80"/>
        <v>3.7866246076402974</v>
      </c>
      <c r="AA243">
        <f t="shared" ca="1" si="81"/>
        <v>-0.30754957242159842</v>
      </c>
      <c r="AB243">
        <f t="shared" ca="1" si="82"/>
        <v>213.05520000000004</v>
      </c>
    </row>
    <row r="244" spans="1:28" x14ac:dyDescent="0.25">
      <c r="A244" s="20">
        <f t="shared" ca="1" si="62"/>
        <v>45642</v>
      </c>
      <c r="B244" vm="725">
        <f ca="1"/>
        <v>45643</v>
      </c>
      <c r="C244" vm="726">
        <f ca="1"/>
        <v>228.97</v>
      </c>
      <c r="D244" vm="727">
        <f ca="1"/>
        <v>3651346</v>
      </c>
      <c r="E244">
        <f t="shared" ca="1" si="63"/>
        <v>836048693.62</v>
      </c>
      <c r="F244">
        <f ca="1">SUM($E$2:E244)/SUM($D$2:D244)</f>
        <v>192.91565450334897</v>
      </c>
      <c r="G244">
        <f ca="1">_xlfn.STDEV.P($C$2:C244)</f>
        <v>21.123364792687561</v>
      </c>
      <c r="H244">
        <f t="shared" ca="1" si="64"/>
        <v>214.03901929603654</v>
      </c>
      <c r="I244">
        <f t="shared" ca="1" si="65"/>
        <v>171.79228971066141</v>
      </c>
      <c r="J244">
        <f t="shared" ca="1" si="74"/>
        <v>227.76999999999998</v>
      </c>
      <c r="K244">
        <f t="shared" ca="1" si="75"/>
        <v>6.4275091352879876</v>
      </c>
      <c r="L244">
        <f t="shared" ca="1" si="76"/>
        <v>240.62501827057596</v>
      </c>
      <c r="M244">
        <f t="shared" ca="1" si="77"/>
        <v>214.914981729424</v>
      </c>
      <c r="N244">
        <f t="shared" ca="1" si="66"/>
        <v>-0.36000000000001364</v>
      </c>
      <c r="O244">
        <f t="shared" ca="1" si="67"/>
        <v>0</v>
      </c>
      <c r="P244">
        <f t="shared" ca="1" si="68"/>
        <v>0.36000000000001364</v>
      </c>
      <c r="Q244">
        <f t="shared" ca="1" si="72"/>
        <v>1.2640052311168908</v>
      </c>
      <c r="R244">
        <f t="shared" ca="1" si="73"/>
        <v>1.0243817731218503</v>
      </c>
      <c r="S244">
        <f t="shared" ca="1" si="70"/>
        <v>1.2339200718739627</v>
      </c>
      <c r="T244">
        <f t="shared" ca="1" si="71"/>
        <v>55.235641033426383</v>
      </c>
      <c r="U244">
        <f>70</f>
        <v>70</v>
      </c>
      <c r="V244">
        <f>30</f>
        <v>30</v>
      </c>
      <c r="W244">
        <f t="shared" ca="1" si="69"/>
        <v>229.53774323039465</v>
      </c>
      <c r="X244">
        <f t="shared" ca="1" si="79"/>
        <v>226.05866819517595</v>
      </c>
      <c r="Y244">
        <f t="shared" ca="1" si="78"/>
        <v>2.4740814130912554</v>
      </c>
      <c r="Z244">
        <f t="shared" ca="1" si="80"/>
        <v>3.5241159687304893</v>
      </c>
      <c r="AA244">
        <f t="shared" ca="1" si="81"/>
        <v>-1.0500345556392339</v>
      </c>
      <c r="AB244">
        <f t="shared" ca="1" si="82"/>
        <v>213.42740000000001</v>
      </c>
    </row>
    <row r="245" spans="1:28" x14ac:dyDescent="0.25">
      <c r="A245" s="20">
        <f t="shared" ca="1" si="62"/>
        <v>45642</v>
      </c>
      <c r="B245" vm="728">
        <f ca="1"/>
        <v>45644</v>
      </c>
      <c r="C245" vm="729">
        <f ca="1"/>
        <v>220.17</v>
      </c>
      <c r="D245" vm="730">
        <f ca="1"/>
        <v>4152517</v>
      </c>
      <c r="E245">
        <f t="shared" ca="1" si="63"/>
        <v>914259667.88999999</v>
      </c>
      <c r="F245">
        <f ca="1">SUM($E$2:E245)/SUM($D$2:D245)</f>
        <v>193.02549237183285</v>
      </c>
      <c r="G245">
        <f ca="1">_xlfn.STDEV.P($C$2:C245)</f>
        <v>21.151889453481672</v>
      </c>
      <c r="H245">
        <f t="shared" ca="1" si="64"/>
        <v>214.17738182531451</v>
      </c>
      <c r="I245">
        <f t="shared" ca="1" si="65"/>
        <v>171.8736029183512</v>
      </c>
      <c r="J245">
        <f t="shared" ca="1" si="74"/>
        <v>228.26600000000002</v>
      </c>
      <c r="K245">
        <f t="shared" ca="1" si="75"/>
        <v>5.2857000731367565</v>
      </c>
      <c r="L245">
        <f t="shared" ca="1" si="76"/>
        <v>238.83740014627352</v>
      </c>
      <c r="M245">
        <f t="shared" ca="1" si="77"/>
        <v>217.69459985372652</v>
      </c>
      <c r="N245">
        <f t="shared" ca="1" si="66"/>
        <v>-8.8000000000000114</v>
      </c>
      <c r="O245">
        <f t="shared" ca="1" si="67"/>
        <v>0</v>
      </c>
      <c r="P245">
        <f t="shared" ca="1" si="68"/>
        <v>8.8000000000000114</v>
      </c>
      <c r="Q245">
        <f t="shared" ca="1" si="72"/>
        <v>1.1737191431799698</v>
      </c>
      <c r="R245">
        <f t="shared" ca="1" si="73"/>
        <v>1.579783075041719</v>
      </c>
      <c r="S245">
        <f t="shared" ca="1" si="70"/>
        <v>0.74296222166386627</v>
      </c>
      <c r="T245">
        <f t="shared" ca="1" si="71"/>
        <v>42.626409937595767</v>
      </c>
      <c r="U245">
        <f>70</f>
        <v>70</v>
      </c>
      <c r="V245">
        <f>30</f>
        <v>30</v>
      </c>
      <c r="W245">
        <f t="shared" ca="1" si="69"/>
        <v>228.09655196418009</v>
      </c>
      <c r="X245">
        <f t="shared" ca="1" si="79"/>
        <v>225.62247055108884</v>
      </c>
      <c r="Y245">
        <f t="shared" ca="1" si="78"/>
        <v>1.9576438867738091</v>
      </c>
      <c r="Z245">
        <f t="shared" ca="1" si="80"/>
        <v>3.2108215523391537</v>
      </c>
      <c r="AA245">
        <f t="shared" ca="1" si="81"/>
        <v>-1.2531776655653446</v>
      </c>
      <c r="AB245">
        <f t="shared" ca="1" si="82"/>
        <v>213.71410000000003</v>
      </c>
    </row>
    <row r="246" spans="1:28" x14ac:dyDescent="0.25">
      <c r="A246" s="20">
        <f t="shared" ca="1" si="62"/>
        <v>45642</v>
      </c>
      <c r="B246" vm="731">
        <f ca="1"/>
        <v>45645</v>
      </c>
      <c r="C246" vm="732">
        <f ca="1"/>
        <v>223.92</v>
      </c>
      <c r="D246" vm="733">
        <f ca="1"/>
        <v>4430120</v>
      </c>
      <c r="E246">
        <f t="shared" ca="1" si="63"/>
        <v>991992470.39999998</v>
      </c>
      <c r="F246">
        <f ca="1">SUM($E$2:E246)/SUM($D$2:D246)</f>
        <v>193.15775539085922</v>
      </c>
      <c r="G246">
        <f ca="1">_xlfn.STDEV.P($C$2:C246)</f>
        <v>21.200444539436774</v>
      </c>
      <c r="H246">
        <f t="shared" ca="1" si="64"/>
        <v>214.358199930296</v>
      </c>
      <c r="I246">
        <f t="shared" ca="1" si="65"/>
        <v>171.95731085142245</v>
      </c>
      <c r="J246">
        <f t="shared" ca="1" si="74"/>
        <v>228.73199999999997</v>
      </c>
      <c r="K246">
        <f t="shared" ca="1" si="75"/>
        <v>4.3444999712279913</v>
      </c>
      <c r="L246">
        <f t="shared" ca="1" si="76"/>
        <v>237.42099994245595</v>
      </c>
      <c r="M246">
        <f t="shared" ca="1" si="77"/>
        <v>220.04300005754399</v>
      </c>
      <c r="N246">
        <f t="shared" ca="1" si="66"/>
        <v>3.75</v>
      </c>
      <c r="O246">
        <f t="shared" ca="1" si="67"/>
        <v>3.75</v>
      </c>
      <c r="P246">
        <f t="shared" ca="1" si="68"/>
        <v>0</v>
      </c>
      <c r="Q246">
        <f t="shared" ca="1" si="72"/>
        <v>1.3577392043814005</v>
      </c>
      <c r="R246">
        <f t="shared" ca="1" si="73"/>
        <v>1.4669414268244534</v>
      </c>
      <c r="S246">
        <f t="shared" ca="1" si="70"/>
        <v>0.92555788496651348</v>
      </c>
      <c r="T246">
        <f t="shared" ca="1" si="71"/>
        <v>48.066998774363483</v>
      </c>
      <c r="U246">
        <f>70</f>
        <v>70</v>
      </c>
      <c r="V246">
        <f>30</f>
        <v>30</v>
      </c>
      <c r="W246">
        <f t="shared" ca="1" si="69"/>
        <v>227.45400550815236</v>
      </c>
      <c r="X246">
        <f t="shared" ca="1" si="79"/>
        <v>225.49636162137855</v>
      </c>
      <c r="Y246">
        <f t="shared" ca="1" si="78"/>
        <v>1.4860458945106245</v>
      </c>
      <c r="Z246">
        <f t="shared" ca="1" si="80"/>
        <v>2.8658664207734477</v>
      </c>
      <c r="AA246">
        <f t="shared" ca="1" si="81"/>
        <v>-1.3798205262628231</v>
      </c>
      <c r="AB246">
        <f t="shared" ca="1" si="82"/>
        <v>214.04289999999997</v>
      </c>
    </row>
    <row r="247" spans="1:28" x14ac:dyDescent="0.25">
      <c r="A247" s="20">
        <f t="shared" ca="1" si="62"/>
        <v>45642</v>
      </c>
      <c r="B247" vm="734">
        <f ca="1"/>
        <v>45646</v>
      </c>
      <c r="C247" vm="735">
        <f ca="1"/>
        <v>223.36</v>
      </c>
      <c r="D247" vm="736">
        <f ca="1"/>
        <v>12423200</v>
      </c>
      <c r="E247">
        <f t="shared" ca="1" si="63"/>
        <v>2774845952</v>
      </c>
      <c r="F247">
        <f ca="1">SUM($E$2:E247)/SUM($D$2:D247)</f>
        <v>193.51604280172796</v>
      </c>
      <c r="G247">
        <f ca="1">_xlfn.STDEV.P($C$2:C247)</f>
        <v>21.244500967458592</v>
      </c>
      <c r="H247">
        <f t="shared" ca="1" si="64"/>
        <v>214.76054376918654</v>
      </c>
      <c r="I247">
        <f t="shared" ca="1" si="65"/>
        <v>172.27154183426939</v>
      </c>
      <c r="J247">
        <f t="shared" ca="1" si="74"/>
        <v>228.77999999999997</v>
      </c>
      <c r="K247">
        <f t="shared" ca="1" si="75"/>
        <v>4.2756162990663835</v>
      </c>
      <c r="L247">
        <f t="shared" ca="1" si="76"/>
        <v>237.33123259813274</v>
      </c>
      <c r="M247">
        <f t="shared" ca="1" si="77"/>
        <v>220.2287674018672</v>
      </c>
      <c r="N247">
        <f t="shared" ca="1" si="66"/>
        <v>-0.55999999999997385</v>
      </c>
      <c r="O247">
        <f t="shared" ca="1" si="67"/>
        <v>0</v>
      </c>
      <c r="P247">
        <f t="shared" ca="1" si="68"/>
        <v>0.55999999999997385</v>
      </c>
      <c r="Q247">
        <f t="shared" ca="1" si="72"/>
        <v>1.2607578326398718</v>
      </c>
      <c r="R247">
        <f t="shared" ca="1" si="73"/>
        <v>1.4021598963369908</v>
      </c>
      <c r="S247">
        <f t="shared" ca="1" si="70"/>
        <v>0.89915410926634087</v>
      </c>
      <c r="T247">
        <f t="shared" ca="1" si="71"/>
        <v>47.344978739702782</v>
      </c>
      <c r="U247">
        <f>70</f>
        <v>70</v>
      </c>
      <c r="V247">
        <f>30</f>
        <v>30</v>
      </c>
      <c r="W247">
        <f t="shared" ca="1" si="69"/>
        <v>226.82415850689816</v>
      </c>
      <c r="X247">
        <f t="shared" ca="1" si="79"/>
        <v>225.33811261238753</v>
      </c>
      <c r="Y247">
        <f t="shared" ca="1" si="78"/>
        <v>0.98555121801368273</v>
      </c>
      <c r="Z247">
        <f t="shared" ca="1" si="80"/>
        <v>2.4898033802214949</v>
      </c>
      <c r="AA247">
        <f t="shared" ca="1" si="81"/>
        <v>-1.5042521622078122</v>
      </c>
      <c r="AB247">
        <f t="shared" ca="1" si="82"/>
        <v>214.35509999999999</v>
      </c>
    </row>
    <row r="248" spans="1:28" x14ac:dyDescent="0.25">
      <c r="A248" s="20">
        <f t="shared" ca="1" si="62"/>
        <v>45649</v>
      </c>
      <c r="B248" vm="737">
        <f ca="1"/>
        <v>45649</v>
      </c>
      <c r="C248" vm="738">
        <f ca="1"/>
        <v>221.93</v>
      </c>
      <c r="D248" vm="739">
        <f ca="1"/>
        <v>2988137</v>
      </c>
      <c r="E248">
        <f t="shared" ca="1" si="63"/>
        <v>663157244.40999997</v>
      </c>
      <c r="F248">
        <f ca="1">SUM($E$2:E248)/SUM($D$2:D248)</f>
        <v>193.59688788938774</v>
      </c>
      <c r="G248">
        <f ca="1">_xlfn.STDEV.P($C$2:C248)</f>
        <v>21.279450494754371</v>
      </c>
      <c r="H248">
        <f t="shared" ca="1" si="64"/>
        <v>214.87633838414212</v>
      </c>
      <c r="I248">
        <f t="shared" ca="1" si="65"/>
        <v>172.31743739463337</v>
      </c>
      <c r="J248">
        <f t="shared" ca="1" si="74"/>
        <v>228.72799999999998</v>
      </c>
      <c r="K248">
        <f t="shared" ca="1" si="75"/>
        <v>4.3555730784944098</v>
      </c>
      <c r="L248">
        <f t="shared" ca="1" si="76"/>
        <v>237.43914615698881</v>
      </c>
      <c r="M248">
        <f t="shared" ca="1" si="77"/>
        <v>220.01685384301115</v>
      </c>
      <c r="N248">
        <f t="shared" ca="1" si="66"/>
        <v>-1.4300000000000068</v>
      </c>
      <c r="O248">
        <f t="shared" ca="1" si="67"/>
        <v>0</v>
      </c>
      <c r="P248">
        <f t="shared" ca="1" si="68"/>
        <v>1.4300000000000068</v>
      </c>
      <c r="Q248">
        <f t="shared" ca="1" si="72"/>
        <v>1.1707037017370239</v>
      </c>
      <c r="R248">
        <f t="shared" ca="1" si="73"/>
        <v>1.4041484751700632</v>
      </c>
      <c r="S248">
        <f t="shared" ca="1" si="70"/>
        <v>0.83374637542887642</v>
      </c>
      <c r="T248">
        <f t="shared" ca="1" si="71"/>
        <v>45.46683154227803</v>
      </c>
      <c r="U248">
        <f>70</f>
        <v>70</v>
      </c>
      <c r="V248">
        <f>30</f>
        <v>30</v>
      </c>
      <c r="W248">
        <f t="shared" ca="1" si="69"/>
        <v>226.07121104429845</v>
      </c>
      <c r="X248">
        <f t="shared" ca="1" si="79"/>
        <v>225.08565982628477</v>
      </c>
      <c r="Y248">
        <f t="shared" ca="1" si="78"/>
        <v>0.78002916414271795</v>
      </c>
      <c r="Z248">
        <f t="shared" ca="1" si="80"/>
        <v>2.1478485370057396</v>
      </c>
      <c r="AA248">
        <f t="shared" ca="1" si="81"/>
        <v>-1.3678193728630217</v>
      </c>
      <c r="AB248">
        <f t="shared" ca="1" si="82"/>
        <v>214.67780000000002</v>
      </c>
    </row>
    <row r="249" spans="1:28" x14ac:dyDescent="0.25">
      <c r="A249" s="20">
        <f t="shared" ca="1" si="62"/>
        <v>45649</v>
      </c>
      <c r="B249" vm="740">
        <f ca="1"/>
        <v>45650</v>
      </c>
      <c r="C249" vm="741">
        <f ca="1"/>
        <v>224.41</v>
      </c>
      <c r="D249" vm="742">
        <f ca="1"/>
        <v>1186216</v>
      </c>
      <c r="E249">
        <f t="shared" ca="1" si="63"/>
        <v>266198732.56</v>
      </c>
      <c r="F249">
        <f ca="1">SUM($E$2:E249)/SUM($D$2:D249)</f>
        <v>193.63165194958898</v>
      </c>
      <c r="G249">
        <f ca="1">_xlfn.STDEV.P($C$2:C249)</f>
        <v>21.327353441817706</v>
      </c>
      <c r="H249">
        <f t="shared" ca="1" si="64"/>
        <v>214.95900539140669</v>
      </c>
      <c r="I249">
        <f t="shared" ca="1" si="65"/>
        <v>172.30429850777128</v>
      </c>
      <c r="J249">
        <f t="shared" ca="1" si="74"/>
        <v>228.64199999999997</v>
      </c>
      <c r="K249">
        <f t="shared" ca="1" si="75"/>
        <v>4.4259814255086267</v>
      </c>
      <c r="L249">
        <f t="shared" ca="1" si="76"/>
        <v>237.49396285101722</v>
      </c>
      <c r="M249">
        <f t="shared" ca="1" si="77"/>
        <v>219.79003714898272</v>
      </c>
      <c r="N249">
        <f t="shared" ca="1" si="66"/>
        <v>2.4799999999999898</v>
      </c>
      <c r="O249">
        <f t="shared" ca="1" si="67"/>
        <v>2.4799999999999898</v>
      </c>
      <c r="P249">
        <f t="shared" ca="1" si="68"/>
        <v>0</v>
      </c>
      <c r="Q249">
        <f t="shared" ca="1" si="72"/>
        <v>1.2642248658986641</v>
      </c>
      <c r="R249">
        <f t="shared" ca="1" si="73"/>
        <v>1.3038521555150588</v>
      </c>
      <c r="S249">
        <f t="shared" ca="1" si="70"/>
        <v>0.96960752839286379</v>
      </c>
      <c r="T249">
        <f t="shared" ca="1" si="71"/>
        <v>49.228463763236746</v>
      </c>
      <c r="U249">
        <f>70</f>
        <v>70</v>
      </c>
      <c r="V249">
        <f>30</f>
        <v>30</v>
      </c>
      <c r="W249">
        <f t="shared" ca="1" si="69"/>
        <v>225.81564011440639</v>
      </c>
      <c r="X249">
        <f t="shared" ca="1" si="79"/>
        <v>225.03561095026367</v>
      </c>
      <c r="Y249">
        <f t="shared" ca="1" si="78"/>
        <v>0.64840898901141486</v>
      </c>
      <c r="Z249">
        <f t="shared" ca="1" si="80"/>
        <v>1.8479606274068749</v>
      </c>
      <c r="AA249">
        <f t="shared" ca="1" si="81"/>
        <v>-1.1995516383954601</v>
      </c>
      <c r="AB249">
        <f t="shared" ca="1" si="82"/>
        <v>215.0307</v>
      </c>
    </row>
    <row r="250" spans="1:28" x14ac:dyDescent="0.25">
      <c r="A250" s="20">
        <f t="shared" ca="1" si="62"/>
        <v>45649</v>
      </c>
      <c r="B250" vm="743">
        <f ca="1"/>
        <v>45652</v>
      </c>
      <c r="C250" vm="744">
        <f ca="1"/>
        <v>224.89</v>
      </c>
      <c r="D250" vm="745">
        <f ca="1"/>
        <v>3287238</v>
      </c>
      <c r="E250">
        <f t="shared" ca="1" si="63"/>
        <v>739266953.81999993</v>
      </c>
      <c r="F250">
        <f ca="1">SUM($E$2:E250)/SUM($D$2:D250)</f>
        <v>193.72907744151146</v>
      </c>
      <c r="G250">
        <f ca="1">_xlfn.STDEV.P($C$2:C250)</f>
        <v>21.376839406061528</v>
      </c>
      <c r="H250">
        <f t="shared" ca="1" si="64"/>
        <v>215.10591684757298</v>
      </c>
      <c r="I250">
        <f t="shared" ca="1" si="65"/>
        <v>172.35223803544994</v>
      </c>
      <c r="J250">
        <f t="shared" ca="1" si="74"/>
        <v>228.44499999999999</v>
      </c>
      <c r="K250">
        <f t="shared" ca="1" si="75"/>
        <v>4.504167076456155</v>
      </c>
      <c r="L250">
        <f t="shared" ca="1" si="76"/>
        <v>237.4533341529123</v>
      </c>
      <c r="M250">
        <f t="shared" ca="1" si="77"/>
        <v>219.43666584708768</v>
      </c>
      <c r="N250">
        <f t="shared" ca="1" si="66"/>
        <v>0.47999999999998977</v>
      </c>
      <c r="O250">
        <f t="shared" ca="1" si="67"/>
        <v>0.47999999999998977</v>
      </c>
      <c r="P250">
        <f t="shared" ca="1" si="68"/>
        <v>0</v>
      </c>
      <c r="Q250">
        <f t="shared" ca="1" si="72"/>
        <v>1.2082088040487589</v>
      </c>
      <c r="R250">
        <f t="shared" ca="1" si="73"/>
        <v>1.2107198586925547</v>
      </c>
      <c r="S250">
        <f t="shared" ca="1" si="70"/>
        <v>0.99792598211240413</v>
      </c>
      <c r="T250">
        <f t="shared" ca="1" si="71"/>
        <v>49.948095727615424</v>
      </c>
      <c r="U250">
        <f>70</f>
        <v>70</v>
      </c>
      <c r="V250">
        <f>30</f>
        <v>30</v>
      </c>
      <c r="W250">
        <f t="shared" ca="1" si="69"/>
        <v>225.67323394295926</v>
      </c>
      <c r="X250">
        <f t="shared" ca="1" si="79"/>
        <v>225.02482495394784</v>
      </c>
      <c r="Y250">
        <f t="shared" ca="1" si="78"/>
        <v>0.36957940463207706</v>
      </c>
      <c r="Z250">
        <f t="shared" ca="1" si="80"/>
        <v>1.5522843828519153</v>
      </c>
      <c r="AA250">
        <f t="shared" ca="1" si="81"/>
        <v>-1.1827049782198382</v>
      </c>
      <c r="AB250">
        <f t="shared" ca="1" si="82"/>
        <v>215.44649999999999</v>
      </c>
    </row>
    <row r="251" spans="1:28" x14ac:dyDescent="0.25">
      <c r="A251" s="20">
        <f t="shared" ca="1" si="62"/>
        <v>45649</v>
      </c>
      <c r="B251" vm="746">
        <f ca="1"/>
        <v>45653</v>
      </c>
      <c r="C251" vm="747">
        <f ca="1"/>
        <v>222.78</v>
      </c>
      <c r="D251" vm="748">
        <f ca="1"/>
        <v>1810760</v>
      </c>
      <c r="E251">
        <f t="shared" ca="1" si="63"/>
        <v>403401112.80000001</v>
      </c>
      <c r="F251">
        <f ca="1">SUM($E$2:E251)/SUM($D$2:D251)</f>
        <v>193.77886848993234</v>
      </c>
      <c r="G251">
        <f ca="1">_xlfn.STDEV.P($C$2:C251)</f>
        <v>21.413230003939489</v>
      </c>
      <c r="H251">
        <f t="shared" ca="1" si="64"/>
        <v>215.19209849387181</v>
      </c>
      <c r="I251">
        <f t="shared" ca="1" si="65"/>
        <v>172.36563848599286</v>
      </c>
      <c r="J251">
        <f t="shared" ca="1" si="74"/>
        <v>228.238</v>
      </c>
      <c r="K251">
        <f t="shared" ca="1" si="75"/>
        <v>4.6700192719088438</v>
      </c>
      <c r="L251">
        <f t="shared" ca="1" si="76"/>
        <v>237.57803854381768</v>
      </c>
      <c r="M251">
        <f t="shared" ca="1" si="77"/>
        <v>218.89796145618232</v>
      </c>
      <c r="N251">
        <f t="shared" ca="1" si="66"/>
        <v>-2.1099999999999852</v>
      </c>
      <c r="O251">
        <f t="shared" ca="1" si="67"/>
        <v>0</v>
      </c>
      <c r="P251">
        <f t="shared" ca="1" si="68"/>
        <v>2.1099999999999852</v>
      </c>
      <c r="Q251">
        <f t="shared" ca="1" si="72"/>
        <v>1.1219081751881332</v>
      </c>
      <c r="R251">
        <f t="shared" ca="1" si="73"/>
        <v>1.2749541545002283</v>
      </c>
      <c r="S251">
        <f t="shared" ca="1" si="70"/>
        <v>0.87995962147196749</v>
      </c>
      <c r="T251">
        <f t="shared" ca="1" si="71"/>
        <v>46.807368170119439</v>
      </c>
      <c r="U251">
        <f>70</f>
        <v>70</v>
      </c>
      <c r="V251">
        <f>30</f>
        <v>30</v>
      </c>
      <c r="W251">
        <f t="shared" ca="1" si="69"/>
        <v>225.22812102865785</v>
      </c>
      <c r="X251">
        <f t="shared" ca="1" si="79"/>
        <v>224.85854162402578</v>
      </c>
      <c r="Y251">
        <f t="shared" ca="1" si="78"/>
        <v>-5.4911915376038678E-2</v>
      </c>
      <c r="Z251">
        <f t="shared" ca="1" si="80"/>
        <v>1.2308451232063244</v>
      </c>
      <c r="AA251">
        <f t="shared" ca="1" si="81"/>
        <v>-1.2857570385823631</v>
      </c>
      <c r="AB251">
        <f t="shared" ca="1" si="82"/>
        <v>215.80629999999996</v>
      </c>
    </row>
    <row r="252" spans="1:28" x14ac:dyDescent="0.25">
      <c r="A252" s="20">
        <f t="shared" ca="1" si="62"/>
        <v>45656</v>
      </c>
      <c r="B252" vm="749">
        <f ca="1"/>
        <v>45656</v>
      </c>
      <c r="C252" vm="750">
        <f ca="1"/>
        <v>220.25</v>
      </c>
      <c r="D252" vm="751">
        <f ca="1"/>
        <v>2095565</v>
      </c>
      <c r="E252">
        <f t="shared" ca="1" si="63"/>
        <v>461548191.25</v>
      </c>
      <c r="F252">
        <f ca="1">SUM($E$2:E252)/SUM($D$2:D252)</f>
        <v>193.83126996633519</v>
      </c>
      <c r="G252">
        <f ca="1">_xlfn.STDEV.P($C$2:C252)</f>
        <v>21.435642336352835</v>
      </c>
      <c r="H252">
        <f t="shared" ca="1" si="64"/>
        <v>215.26691230268801</v>
      </c>
      <c r="I252">
        <f t="shared" ca="1" si="65"/>
        <v>172.39562762998236</v>
      </c>
      <c r="J252">
        <f t="shared" ca="1" si="74"/>
        <v>227.88000000000002</v>
      </c>
      <c r="K252">
        <f t="shared" ca="1" si="75"/>
        <v>4.9996410397463329</v>
      </c>
      <c r="L252">
        <f t="shared" ca="1" si="76"/>
        <v>237.8792820794927</v>
      </c>
      <c r="M252">
        <f t="shared" ca="1" si="77"/>
        <v>217.88071792050735</v>
      </c>
      <c r="N252">
        <f t="shared" ca="1" si="66"/>
        <v>-2.5300000000000011</v>
      </c>
      <c r="O252">
        <f t="shared" ca="1" si="67"/>
        <v>0</v>
      </c>
      <c r="P252">
        <f t="shared" ca="1" si="68"/>
        <v>2.5300000000000011</v>
      </c>
      <c r="Q252">
        <f t="shared" ca="1" si="72"/>
        <v>1.0417718769604094</v>
      </c>
      <c r="R252">
        <f t="shared" ca="1" si="73"/>
        <v>1.3646002863216407</v>
      </c>
      <c r="S252">
        <f t="shared" ca="1" si="70"/>
        <v>0.76342639482259378</v>
      </c>
      <c r="T252">
        <f t="shared" ca="1" si="71"/>
        <v>43.292217756522625</v>
      </c>
      <c r="U252">
        <f>70</f>
        <v>70</v>
      </c>
      <c r="V252">
        <f>30</f>
        <v>30</v>
      </c>
      <c r="W252">
        <f t="shared" ca="1" si="69"/>
        <v>224.46225625501819</v>
      </c>
      <c r="X252">
        <f t="shared" ca="1" si="79"/>
        <v>224.51716817039423</v>
      </c>
      <c r="Y252">
        <f t="shared" ca="1" si="78"/>
        <v>-0.4203690815889729</v>
      </c>
      <c r="Z252">
        <f t="shared" ca="1" si="80"/>
        <v>0.90060228224726502</v>
      </c>
      <c r="AA252">
        <f t="shared" ca="1" si="81"/>
        <v>-1.3209713638362379</v>
      </c>
      <c r="AB252">
        <f t="shared" ca="1" si="82"/>
        <v>216.14079999999996</v>
      </c>
    </row>
    <row r="253" spans="1:28" x14ac:dyDescent="0.25">
      <c r="A253" s="20">
        <f t="shared" ca="1" si="62"/>
        <v>45656</v>
      </c>
      <c r="B253" vm="752">
        <f ca="1"/>
        <v>45657</v>
      </c>
      <c r="C253" vm="753">
        <f ca="1"/>
        <v>219.83</v>
      </c>
      <c r="D253" vm="754">
        <f ca="1"/>
        <v>2270512</v>
      </c>
      <c r="E253">
        <f t="shared" ca="1" si="63"/>
        <v>499126652.96000004</v>
      </c>
      <c r="F253">
        <f ca="1">SUM($E$2:E253)/SUM($D$2:D253)</f>
        <v>193.8869135798318</v>
      </c>
      <c r="G253">
        <f ca="1">_xlfn.STDEV.P($C$2:C253)</f>
        <v>21.455314231800021</v>
      </c>
      <c r="H253">
        <f t="shared" ca="1" si="64"/>
        <v>215.34222781163183</v>
      </c>
      <c r="I253">
        <f t="shared" ca="1" si="65"/>
        <v>172.43159934803177</v>
      </c>
      <c r="J253">
        <f t="shared" ca="1" si="74"/>
        <v>227.50199999999995</v>
      </c>
      <c r="K253">
        <f t="shared" ca="1" si="75"/>
        <v>5.3145110187505527</v>
      </c>
      <c r="L253">
        <f t="shared" ca="1" si="76"/>
        <v>238.13102203750105</v>
      </c>
      <c r="M253">
        <f t="shared" ca="1" si="77"/>
        <v>216.87297796249885</v>
      </c>
      <c r="N253">
        <f t="shared" ca="1" si="66"/>
        <v>-0.41999999999998749</v>
      </c>
      <c r="O253">
        <f t="shared" ca="1" si="67"/>
        <v>0</v>
      </c>
      <c r="P253">
        <f t="shared" ca="1" si="68"/>
        <v>0.41999999999998749</v>
      </c>
      <c r="Q253">
        <f t="shared" ca="1" si="72"/>
        <v>0.96735960003466581</v>
      </c>
      <c r="R253">
        <f t="shared" ca="1" si="73"/>
        <v>1.2971288372986653</v>
      </c>
      <c r="S253">
        <f t="shared" ca="1" si="70"/>
        <v>0.74576986666123302</v>
      </c>
      <c r="T253">
        <f t="shared" ca="1" si="71"/>
        <v>42.718681362481661</v>
      </c>
      <c r="U253">
        <f>70</f>
        <v>70</v>
      </c>
      <c r="V253">
        <f>30</f>
        <v>30</v>
      </c>
      <c r="W253">
        <f t="shared" ca="1" si="69"/>
        <v>223.74960144655384</v>
      </c>
      <c r="X253">
        <f t="shared" ca="1" si="79"/>
        <v>224.16997052814281</v>
      </c>
      <c r="Y253">
        <f t="shared" ca="1" si="78"/>
        <v>-0.69313046159521718</v>
      </c>
      <c r="Z253">
        <f t="shared" ca="1" si="80"/>
        <v>0.58185573347876862</v>
      </c>
      <c r="AA253">
        <f t="shared" ca="1" si="81"/>
        <v>-1.2749861950739858</v>
      </c>
      <c r="AB253">
        <f t="shared" ca="1" si="82"/>
        <v>216.41299999999995</v>
      </c>
    </row>
    <row r="254" spans="1:28" x14ac:dyDescent="0.25">
      <c r="A254" s="20">
        <f t="shared" ca="1" si="62"/>
        <v>45656</v>
      </c>
      <c r="B254" vm="755">
        <f ca="1"/>
        <v>45659</v>
      </c>
      <c r="C254" vm="756">
        <f ca="1"/>
        <v>219.94</v>
      </c>
      <c r="D254" vm="757">
        <f ca="1"/>
        <v>2579498</v>
      </c>
      <c r="E254">
        <f t="shared" ca="1" si="63"/>
        <v>567334790.12</v>
      </c>
      <c r="F254">
        <f ca="1">SUM($E$2:E254)/SUM($D$2:D254)</f>
        <v>193.95010804736032</v>
      </c>
      <c r="G254">
        <f ca="1">_xlfn.STDEV.P($C$2:C254)</f>
        <v>21.474846734180858</v>
      </c>
      <c r="H254">
        <f t="shared" ca="1" si="64"/>
        <v>215.42495478154117</v>
      </c>
      <c r="I254">
        <f t="shared" ca="1" si="65"/>
        <v>172.47526131317946</v>
      </c>
      <c r="J254">
        <f t="shared" ca="1" si="74"/>
        <v>227.04899999999992</v>
      </c>
      <c r="K254">
        <f t="shared" ca="1" si="75"/>
        <v>5.5605385009954418</v>
      </c>
      <c r="L254">
        <f t="shared" ca="1" si="76"/>
        <v>238.17007700199082</v>
      </c>
      <c r="M254">
        <f t="shared" ca="1" si="77"/>
        <v>215.92792299800902</v>
      </c>
      <c r="N254">
        <f t="shared" ca="1" si="66"/>
        <v>0.10999999999998522</v>
      </c>
      <c r="O254">
        <f t="shared" ca="1" si="67"/>
        <v>0.10999999999998522</v>
      </c>
      <c r="P254">
        <f t="shared" ca="1" si="68"/>
        <v>0</v>
      </c>
      <c r="Q254">
        <f t="shared" ca="1" si="72"/>
        <v>0.90611962860361728</v>
      </c>
      <c r="R254">
        <f t="shared" ca="1" si="73"/>
        <v>1.2044767774916179</v>
      </c>
      <c r="S254">
        <f t="shared" ca="1" si="70"/>
        <v>0.7522931496368539</v>
      </c>
      <c r="T254">
        <f t="shared" ca="1" si="71"/>
        <v>42.931923222593177</v>
      </c>
      <c r="U254">
        <f>70</f>
        <v>70</v>
      </c>
      <c r="V254">
        <f>30</f>
        <v>30</v>
      </c>
      <c r="W254">
        <f t="shared" ca="1" si="69"/>
        <v>223.16350891631478</v>
      </c>
      <c r="X254">
        <f t="shared" ca="1" si="79"/>
        <v>223.85663937791</v>
      </c>
      <c r="Y254">
        <f t="shared" ca="1" si="78"/>
        <v>-0.68275113867593973</v>
      </c>
      <c r="Z254">
        <f t="shared" ca="1" si="80"/>
        <v>0.32893435904782697</v>
      </c>
      <c r="AA254">
        <f t="shared" ca="1" si="81"/>
        <v>-1.0116854977237666</v>
      </c>
      <c r="AB254">
        <f t="shared" ca="1" si="82"/>
        <v>216.69789999999998</v>
      </c>
    </row>
    <row r="255" spans="1:28" x14ac:dyDescent="0.25">
      <c r="A255" s="20">
        <f t="shared" ca="1" si="62"/>
        <v>45656</v>
      </c>
      <c r="B255" vm="758">
        <f ca="1"/>
        <v>45660</v>
      </c>
      <c r="C255" vm="759">
        <f ca="1"/>
        <v>222.65</v>
      </c>
      <c r="D255" vm="760">
        <f ca="1"/>
        <v>3873578</v>
      </c>
      <c r="E255">
        <f t="shared" ca="1" si="63"/>
        <v>862452141.70000005</v>
      </c>
      <c r="F255">
        <f ca="1">SUM($E$2:E255)/SUM($D$2:D255)</f>
        <v>194.05426738664215</v>
      </c>
      <c r="G255">
        <f ca="1">_xlfn.STDEV.P($C$2:C255)</f>
        <v>21.50718516685134</v>
      </c>
      <c r="H255">
        <f t="shared" ca="1" si="64"/>
        <v>215.5614525534935</v>
      </c>
      <c r="I255">
        <f t="shared" ca="1" si="65"/>
        <v>172.54708221979081</v>
      </c>
      <c r="J255">
        <f t="shared" ca="1" si="74"/>
        <v>226.50699999999998</v>
      </c>
      <c r="K255">
        <f t="shared" ca="1" si="75"/>
        <v>5.4263568276563436</v>
      </c>
      <c r="L255">
        <f t="shared" ca="1" si="76"/>
        <v>237.35971365531267</v>
      </c>
      <c r="M255">
        <f t="shared" ca="1" si="77"/>
        <v>215.65428634468728</v>
      </c>
      <c r="N255">
        <f t="shared" ca="1" si="66"/>
        <v>2.710000000000008</v>
      </c>
      <c r="O255">
        <f t="shared" ca="1" si="67"/>
        <v>2.710000000000008</v>
      </c>
      <c r="P255">
        <f t="shared" ca="1" si="68"/>
        <v>0</v>
      </c>
      <c r="Q255">
        <f t="shared" ca="1" si="72"/>
        <v>1.0349682265605022</v>
      </c>
      <c r="R255">
        <f t="shared" ca="1" si="73"/>
        <v>1.1184427219565023</v>
      </c>
      <c r="S255">
        <f t="shared" ca="1" si="70"/>
        <v>0.92536542662642807</v>
      </c>
      <c r="T255">
        <f t="shared" ca="1" si="71"/>
        <v>48.061807583603894</v>
      </c>
      <c r="U255">
        <f>70</f>
        <v>70</v>
      </c>
      <c r="V255">
        <f>30</f>
        <v>30</v>
      </c>
      <c r="W255">
        <f t="shared" ca="1" si="69"/>
        <v>223.08450754457405</v>
      </c>
      <c r="X255">
        <f t="shared" ca="1" si="79"/>
        <v>223.76725868324999</v>
      </c>
      <c r="Y255">
        <f t="shared" ca="1" si="78"/>
        <v>-0.66524310916739182</v>
      </c>
      <c r="Z255">
        <f t="shared" ca="1" si="80"/>
        <v>0.13009886540478321</v>
      </c>
      <c r="AA255">
        <f t="shared" ca="1" si="81"/>
        <v>-0.79534197457217504</v>
      </c>
      <c r="AB255">
        <f t="shared" ca="1" si="82"/>
        <v>217.02959999999999</v>
      </c>
    </row>
    <row r="256" spans="1:28" x14ac:dyDescent="0.25">
      <c r="A256" s="20">
        <f t="shared" ca="1" si="62"/>
        <v>45663</v>
      </c>
      <c r="B256" vm="761">
        <f ca="1"/>
        <v>45663</v>
      </c>
      <c r="C256" vm="762">
        <f ca="1"/>
        <v>222.67</v>
      </c>
      <c r="D256" vm="763">
        <f ca="1"/>
        <v>2847128</v>
      </c>
      <c r="E256">
        <f t="shared" ca="1" si="63"/>
        <v>633969991.75999999</v>
      </c>
      <c r="F256">
        <f ca="1">SUM($E$2:E256)/SUM($D$2:D256)</f>
        <v>194.13039821418462</v>
      </c>
      <c r="G256">
        <f ca="1">_xlfn.STDEV.P($C$2:C256)</f>
        <v>21.53874396284812</v>
      </c>
      <c r="H256">
        <f t="shared" ca="1" si="64"/>
        <v>215.66914217703274</v>
      </c>
      <c r="I256">
        <f t="shared" ca="1" si="65"/>
        <v>172.59165425133651</v>
      </c>
      <c r="J256">
        <f t="shared" ca="1" si="74"/>
        <v>225.90299999999996</v>
      </c>
      <c r="K256">
        <f t="shared" ca="1" si="75"/>
        <v>5.1244554011030994</v>
      </c>
      <c r="L256">
        <f t="shared" ca="1" si="76"/>
        <v>236.15191080220617</v>
      </c>
      <c r="M256">
        <f t="shared" ca="1" si="77"/>
        <v>215.65408919779375</v>
      </c>
      <c r="N256">
        <f t="shared" ca="1" si="66"/>
        <v>1.999999999998181E-2</v>
      </c>
      <c r="O256">
        <f t="shared" ca="1" si="67"/>
        <v>1.999999999998181E-2</v>
      </c>
      <c r="P256">
        <f t="shared" ca="1" si="68"/>
        <v>0</v>
      </c>
      <c r="Q256">
        <f t="shared" ca="1" si="72"/>
        <v>0.96247049609189361</v>
      </c>
      <c r="R256">
        <f t="shared" ca="1" si="73"/>
        <v>1.0385539561024664</v>
      </c>
      <c r="S256">
        <f t="shared" ca="1" si="70"/>
        <v>0.92674096558632124</v>
      </c>
      <c r="T256">
        <f t="shared" ca="1" si="71"/>
        <v>48.098887299274672</v>
      </c>
      <c r="U256">
        <f>70</f>
        <v>70</v>
      </c>
      <c r="V256">
        <f>30</f>
        <v>30</v>
      </c>
      <c r="W256">
        <f t="shared" ca="1" si="69"/>
        <v>223.02073715310112</v>
      </c>
      <c r="X256">
        <f t="shared" ca="1" si="79"/>
        <v>223.68598026226852</v>
      </c>
      <c r="Y256">
        <f t="shared" ca="1" si="78"/>
        <v>-0.54103889107187797</v>
      </c>
      <c r="Z256">
        <f t="shared" ca="1" si="80"/>
        <v>-4.1286858905490303E-3</v>
      </c>
      <c r="AA256">
        <f t="shared" ca="1" si="81"/>
        <v>-0.53691020518132893</v>
      </c>
      <c r="AB256">
        <f t="shared" ca="1" si="82"/>
        <v>217.34639999999996</v>
      </c>
    </row>
    <row r="257" spans="1:28" x14ac:dyDescent="0.25">
      <c r="A257" s="20">
        <f t="shared" ca="1" si="62"/>
        <v>45663</v>
      </c>
      <c r="B257" vm="764">
        <f ca="1"/>
        <v>45664</v>
      </c>
      <c r="C257" vm="765">
        <f ca="1"/>
        <v>223.96</v>
      </c>
      <c r="D257" vm="766">
        <f ca="1"/>
        <v>3299701</v>
      </c>
      <c r="E257">
        <f t="shared" ca="1" si="63"/>
        <v>739001035.96000004</v>
      </c>
      <c r="F257">
        <f ca="1">SUM($E$2:E257)/SUM($D$2:D257)</f>
        <v>194.22209069226312</v>
      </c>
      <c r="G257">
        <f ca="1">_xlfn.STDEV.P($C$2:C257)</f>
        <v>21.576193114742299</v>
      </c>
      <c r="H257">
        <f t="shared" ca="1" si="64"/>
        <v>215.79828380700542</v>
      </c>
      <c r="I257">
        <f t="shared" ca="1" si="65"/>
        <v>172.64589757752083</v>
      </c>
      <c r="J257">
        <f t="shared" ca="1" si="74"/>
        <v>225.19899999999998</v>
      </c>
      <c r="K257">
        <f t="shared" ca="1" si="75"/>
        <v>4.2642762080976135</v>
      </c>
      <c r="L257">
        <f t="shared" ca="1" si="76"/>
        <v>233.72755241619521</v>
      </c>
      <c r="M257">
        <f t="shared" ca="1" si="77"/>
        <v>216.67044758380476</v>
      </c>
      <c r="N257">
        <f t="shared" ca="1" si="66"/>
        <v>1.2900000000000205</v>
      </c>
      <c r="O257">
        <f t="shared" ca="1" si="67"/>
        <v>1.2900000000000205</v>
      </c>
      <c r="P257">
        <f t="shared" ca="1" si="68"/>
        <v>0</v>
      </c>
      <c r="Q257">
        <f t="shared" ca="1" si="72"/>
        <v>0.98586546065675973</v>
      </c>
      <c r="R257">
        <f t="shared" ca="1" si="73"/>
        <v>0.96437153066657599</v>
      </c>
      <c r="S257">
        <f t="shared" ca="1" si="70"/>
        <v>1.0222880179543739</v>
      </c>
      <c r="T257">
        <f t="shared" ca="1" si="71"/>
        <v>50.551059437540424</v>
      </c>
      <c r="U257">
        <f>70</f>
        <v>70</v>
      </c>
      <c r="V257">
        <f>30</f>
        <v>30</v>
      </c>
      <c r="W257">
        <f t="shared" ca="1" si="69"/>
        <v>223.1652391295471</v>
      </c>
      <c r="X257">
        <f t="shared" ca="1" si="79"/>
        <v>223.70627802061898</v>
      </c>
      <c r="Y257">
        <f t="shared" ca="1" si="78"/>
        <v>-0.49978443084242485</v>
      </c>
      <c r="Z257">
        <f t="shared" ca="1" si="80"/>
        <v>-0.10325983488092419</v>
      </c>
      <c r="AA257">
        <f t="shared" ca="1" si="81"/>
        <v>-0.39652459596150069</v>
      </c>
      <c r="AB257">
        <f t="shared" ca="1" si="82"/>
        <v>217.66279999999995</v>
      </c>
    </row>
    <row r="258" spans="1:28" x14ac:dyDescent="0.25">
      <c r="A258" s="20">
        <f t="shared" ca="1" si="62"/>
        <v>45663</v>
      </c>
      <c r="B258" vm="767">
        <f ca="1"/>
        <v>45665</v>
      </c>
      <c r="C258" vm="768">
        <f ca="1"/>
        <v>223.18</v>
      </c>
      <c r="D258" vm="769">
        <f ca="1"/>
        <v>2619768</v>
      </c>
      <c r="E258">
        <f t="shared" ca="1" si="63"/>
        <v>584679822.24000001</v>
      </c>
      <c r="F258">
        <f ca="1">SUM($E$2:E258)/SUM($D$2:D258)</f>
        <v>194.29258971692951</v>
      </c>
      <c r="G258">
        <f ca="1">_xlfn.STDEV.P($C$2:C258)</f>
        <v>21.608591347880015</v>
      </c>
      <c r="H258">
        <f t="shared" ca="1" si="64"/>
        <v>215.90118106480952</v>
      </c>
      <c r="I258">
        <f t="shared" ca="1" si="65"/>
        <v>172.6839983690495</v>
      </c>
      <c r="J258">
        <f t="shared" ca="1" si="74"/>
        <v>224.858</v>
      </c>
      <c r="K258">
        <f t="shared" ca="1" si="75"/>
        <v>4.1307455679778213</v>
      </c>
      <c r="L258">
        <f t="shared" ca="1" si="76"/>
        <v>233.11949113595566</v>
      </c>
      <c r="M258">
        <f t="shared" ca="1" si="77"/>
        <v>216.59650886404435</v>
      </c>
      <c r="N258">
        <f t="shared" ca="1" si="66"/>
        <v>-0.78000000000000114</v>
      </c>
      <c r="O258">
        <f t="shared" ca="1" si="67"/>
        <v>0</v>
      </c>
      <c r="P258">
        <f t="shared" ca="1" si="68"/>
        <v>0.78000000000000114</v>
      </c>
      <c r="Q258">
        <f t="shared" ca="1" si="72"/>
        <v>0.91544649918127685</v>
      </c>
      <c r="R258">
        <f t="shared" ca="1" si="73"/>
        <v>0.9512021356189635</v>
      </c>
      <c r="S258">
        <f t="shared" ca="1" si="70"/>
        <v>0.96241005449969907</v>
      </c>
      <c r="T258">
        <f t="shared" ca="1" si="71"/>
        <v>49.042250486484484</v>
      </c>
      <c r="U258">
        <f>70</f>
        <v>70</v>
      </c>
      <c r="V258">
        <f>30</f>
        <v>30</v>
      </c>
      <c r="W258">
        <f t="shared" ca="1" si="69"/>
        <v>223.16751003269368</v>
      </c>
      <c r="X258">
        <f t="shared" ca="1" si="79"/>
        <v>223.66729446353611</v>
      </c>
      <c r="Y258">
        <f t="shared" ca="1" si="78"/>
        <v>-0.73538524484104073</v>
      </c>
      <c r="Z258">
        <f t="shared" ca="1" si="80"/>
        <v>-0.22968491687294751</v>
      </c>
      <c r="AA258">
        <f t="shared" ca="1" si="81"/>
        <v>-0.50570032796809317</v>
      </c>
      <c r="AB258">
        <f t="shared" ca="1" si="82"/>
        <v>217.95509999999996</v>
      </c>
    </row>
    <row r="259" spans="1:28" x14ac:dyDescent="0.25">
      <c r="A259" s="20">
        <f t="shared" ref="A259:A322" ca="1" si="83">B259 - WEEKDAY(B259, 2) + 1</f>
        <v>45663</v>
      </c>
      <c r="B259" vm="770">
        <f ca="1"/>
        <v>45667</v>
      </c>
      <c r="C259" vm="771">
        <f ca="1"/>
        <v>219.75</v>
      </c>
      <c r="D259" vm="772">
        <f ca="1"/>
        <v>3570497</v>
      </c>
      <c r="E259">
        <f t="shared" ref="E259:E322" ca="1" si="84">C259*D259</f>
        <v>784616715.75</v>
      </c>
      <c r="F259">
        <f ca="1">SUM($E$2:E259)/SUM($D$2:D259)</f>
        <v>194.37677910346963</v>
      </c>
      <c r="G259">
        <f ca="1">_xlfn.STDEV.P($C$2:C259)</f>
        <v>21.623616630251949</v>
      </c>
      <c r="H259">
        <f t="shared" ref="H259:H322" ca="1" si="85">F259 + G259</f>
        <v>216.00039573372158</v>
      </c>
      <c r="I259">
        <f t="shared" ref="I259:I322" ca="1" si="86">F259 - G259</f>
        <v>172.75316247321769</v>
      </c>
      <c r="J259">
        <f t="shared" ca="1" si="74"/>
        <v>224.25950000000003</v>
      </c>
      <c r="K259">
        <f t="shared" ca="1" si="75"/>
        <v>3.9472755094328558</v>
      </c>
      <c r="L259">
        <f t="shared" ca="1" si="76"/>
        <v>232.15405101886574</v>
      </c>
      <c r="M259">
        <f t="shared" ca="1" si="77"/>
        <v>216.36494898113432</v>
      </c>
      <c r="N259">
        <f t="shared" ca="1" si="66"/>
        <v>-3.4300000000000068</v>
      </c>
      <c r="O259">
        <f t="shared" ca="1" si="67"/>
        <v>0</v>
      </c>
      <c r="P259">
        <f t="shared" ca="1" si="68"/>
        <v>3.4300000000000068</v>
      </c>
      <c r="Q259">
        <f t="shared" ca="1" si="72"/>
        <v>0.85005746352547129</v>
      </c>
      <c r="R259">
        <f t="shared" ca="1" si="73"/>
        <v>1.1282591259318953</v>
      </c>
      <c r="S259">
        <f t="shared" ca="1" si="70"/>
        <v>0.75342396439590864</v>
      </c>
      <c r="T259">
        <f t="shared" ca="1" si="71"/>
        <v>42.968727455226663</v>
      </c>
      <c r="U259">
        <f>70</f>
        <v>70</v>
      </c>
      <c r="V259">
        <f>30</f>
        <v>30</v>
      </c>
      <c r="W259">
        <f t="shared" ca="1" si="69"/>
        <v>222.64173925843312</v>
      </c>
      <c r="X259">
        <f t="shared" ca="1" si="79"/>
        <v>223.37712450327416</v>
      </c>
      <c r="Y259">
        <f t="shared" ca="1" si="78"/>
        <v>-1.0990567060098613</v>
      </c>
      <c r="Z259">
        <f t="shared" ca="1" si="80"/>
        <v>-0.40355927470033026</v>
      </c>
      <c r="AA259">
        <f t="shared" ca="1" si="81"/>
        <v>-0.69549743130953101</v>
      </c>
      <c r="AB259">
        <f t="shared" ca="1" si="82"/>
        <v>218.21479999999997</v>
      </c>
    </row>
    <row r="260" spans="1:28" x14ac:dyDescent="0.25">
      <c r="A260" s="20">
        <f t="shared" ca="1" si="83"/>
        <v>45670</v>
      </c>
      <c r="B260" vm="773">
        <f ca="1"/>
        <v>45670</v>
      </c>
      <c r="C260" vm="774">
        <f ca="1"/>
        <v>217.4</v>
      </c>
      <c r="D260" vm="775">
        <f ca="1"/>
        <v>3716816</v>
      </c>
      <c r="E260">
        <f t="shared" ca="1" si="84"/>
        <v>808035798.39999998</v>
      </c>
      <c r="F260">
        <f ca="1">SUM($E$2:E260)/SUM($D$2:D260)</f>
        <v>194.45576672961778</v>
      </c>
      <c r="G260">
        <f ca="1">_xlfn.STDEV.P($C$2:C260)</f>
        <v>21.628065465384509</v>
      </c>
      <c r="H260">
        <f t="shared" ca="1" si="85"/>
        <v>216.08383219500229</v>
      </c>
      <c r="I260">
        <f t="shared" ca="1" si="86"/>
        <v>172.82770126423327</v>
      </c>
      <c r="J260">
        <f t="shared" ca="1" si="74"/>
        <v>223.62349999999998</v>
      </c>
      <c r="K260">
        <f t="shared" ca="1" si="75"/>
        <v>3.9779395287933714</v>
      </c>
      <c r="L260">
        <f t="shared" ca="1" si="76"/>
        <v>231.57937905758672</v>
      </c>
      <c r="M260">
        <f t="shared" ca="1" si="77"/>
        <v>215.66762094241324</v>
      </c>
      <c r="N260">
        <f t="shared" ref="N260:N323" ca="1" si="87">C260-C259</f>
        <v>-2.3499999999999943</v>
      </c>
      <c r="O260">
        <f t="shared" ref="O260:O323" ca="1" si="88">MAX(N260,0)</f>
        <v>0</v>
      </c>
      <c r="P260">
        <f t="shared" ref="P260:P323" ca="1" si="89">MAX(-N260,0)</f>
        <v>2.3499999999999943</v>
      </c>
      <c r="Q260">
        <f t="shared" ca="1" si="72"/>
        <v>0.78933907327365194</v>
      </c>
      <c r="R260">
        <f t="shared" ca="1" si="73"/>
        <v>1.2155263312224738</v>
      </c>
      <c r="S260">
        <f t="shared" ca="1" si="70"/>
        <v>0.64938048070073584</v>
      </c>
      <c r="T260">
        <f t="shared" ca="1" si="71"/>
        <v>39.371175316980107</v>
      </c>
      <c r="U260">
        <f>70</f>
        <v>70</v>
      </c>
      <c r="V260">
        <f>30</f>
        <v>30</v>
      </c>
      <c r="W260">
        <f t="shared" ca="1" si="69"/>
        <v>221.8353178340588</v>
      </c>
      <c r="X260">
        <f t="shared" ca="1" si="79"/>
        <v>222.93437454006866</v>
      </c>
      <c r="Y260">
        <f t="shared" ca="1" si="78"/>
        <v>-1.3435393983100994</v>
      </c>
      <c r="Z260">
        <f t="shared" ca="1" si="80"/>
        <v>-0.59155529942228413</v>
      </c>
      <c r="AA260">
        <f t="shared" ca="1" si="81"/>
        <v>-0.75198409888781526</v>
      </c>
      <c r="AB260">
        <f t="shared" ca="1" si="82"/>
        <v>218.44149999999993</v>
      </c>
    </row>
    <row r="261" spans="1:28" x14ac:dyDescent="0.25">
      <c r="A261" s="20">
        <f t="shared" ca="1" si="83"/>
        <v>45670</v>
      </c>
      <c r="B261" vm="776">
        <f ca="1"/>
        <v>45671</v>
      </c>
      <c r="C261" vm="777">
        <f ca="1"/>
        <v>217.75</v>
      </c>
      <c r="D261" vm="778">
        <f ca="1"/>
        <v>3485829</v>
      </c>
      <c r="E261">
        <f t="shared" ca="1" si="84"/>
        <v>759039264.75</v>
      </c>
      <c r="F261">
        <f ca="1">SUM($E$2:E261)/SUM($D$2:D261)</f>
        <v>194.53047716870836</v>
      </c>
      <c r="G261">
        <f ca="1">_xlfn.STDEV.P($C$2:C261)</f>
        <v>21.633543499566596</v>
      </c>
      <c r="H261">
        <f t="shared" ca="1" si="85"/>
        <v>216.16402066827496</v>
      </c>
      <c r="I261">
        <f t="shared" ca="1" si="86"/>
        <v>172.89693366914176</v>
      </c>
      <c r="J261">
        <f t="shared" ca="1" si="74"/>
        <v>222.898</v>
      </c>
      <c r="K261">
        <f t="shared" ca="1" si="75"/>
        <v>3.6276563407130764</v>
      </c>
      <c r="L261">
        <f t="shared" ca="1" si="76"/>
        <v>230.15331268142614</v>
      </c>
      <c r="M261">
        <f t="shared" ca="1" si="77"/>
        <v>215.64268731857385</v>
      </c>
      <c r="N261">
        <f t="shared" ca="1" si="87"/>
        <v>0.34999999999999432</v>
      </c>
      <c r="O261">
        <f t="shared" ca="1" si="88"/>
        <v>0.34999999999999432</v>
      </c>
      <c r="P261">
        <f t="shared" ca="1" si="89"/>
        <v>0</v>
      </c>
      <c r="Q261">
        <f t="shared" ca="1" si="72"/>
        <v>0.75795771089696207</v>
      </c>
      <c r="R261">
        <f t="shared" ca="1" si="73"/>
        <v>1.1287030218494398</v>
      </c>
      <c r="S261">
        <f t="shared" ca="1" si="70"/>
        <v>0.67152979678835989</v>
      </c>
      <c r="T261">
        <f t="shared" ca="1" si="71"/>
        <v>40.174563329868377</v>
      </c>
      <c r="U261">
        <f>70</f>
        <v>70</v>
      </c>
      <c r="V261">
        <f>30</f>
        <v>30</v>
      </c>
      <c r="W261">
        <f t="shared" ca="1" si="69"/>
        <v>221.20680739804976</v>
      </c>
      <c r="X261">
        <f t="shared" ca="1" si="79"/>
        <v>222.55034679635986</v>
      </c>
      <c r="Y261">
        <f t="shared" ca="1" si="78"/>
        <v>-1.337894335031848</v>
      </c>
      <c r="Z261">
        <f t="shared" ca="1" si="80"/>
        <v>-0.74082310654419703</v>
      </c>
      <c r="AA261">
        <f t="shared" ca="1" si="81"/>
        <v>-0.59707122848765093</v>
      </c>
      <c r="AB261">
        <f t="shared" ca="1" si="82"/>
        <v>218.65869999999995</v>
      </c>
    </row>
    <row r="262" spans="1:28" x14ac:dyDescent="0.25">
      <c r="A262" s="20">
        <f t="shared" ca="1" si="83"/>
        <v>45670</v>
      </c>
      <c r="B262" vm="779">
        <f ca="1"/>
        <v>45672</v>
      </c>
      <c r="C262" vm="780">
        <f ca="1"/>
        <v>220.03</v>
      </c>
      <c r="D262" vm="781">
        <f ca="1"/>
        <v>2951825</v>
      </c>
      <c r="E262">
        <f t="shared" ca="1" si="84"/>
        <v>649490054.75</v>
      </c>
      <c r="F262">
        <f ca="1">SUM($E$2:E262)/SUM($D$2:D262)</f>
        <v>194.59954431923038</v>
      </c>
      <c r="G262">
        <f ca="1">_xlfn.STDEV.P($C$2:C262)</f>
        <v>21.648310591358118</v>
      </c>
      <c r="H262">
        <f t="shared" ca="1" si="85"/>
        <v>216.2478549105885</v>
      </c>
      <c r="I262">
        <f t="shared" ca="1" si="86"/>
        <v>172.95123372787225</v>
      </c>
      <c r="J262">
        <f t="shared" ca="1" si="74"/>
        <v>222.35849999999999</v>
      </c>
      <c r="K262">
        <f t="shared" ca="1" si="75"/>
        <v>3.1596473404146663</v>
      </c>
      <c r="L262">
        <f t="shared" ca="1" si="76"/>
        <v>228.67779468082932</v>
      </c>
      <c r="M262">
        <f t="shared" ca="1" si="77"/>
        <v>216.03920531917066</v>
      </c>
      <c r="N262">
        <f t="shared" ca="1" si="87"/>
        <v>2.2800000000000011</v>
      </c>
      <c r="O262">
        <f t="shared" ca="1" si="88"/>
        <v>2.2800000000000011</v>
      </c>
      <c r="P262">
        <f t="shared" ca="1" si="89"/>
        <v>0</v>
      </c>
      <c r="Q262">
        <f t="shared" ca="1" si="72"/>
        <v>0.8666750172614649</v>
      </c>
      <c r="R262">
        <f t="shared" ca="1" si="73"/>
        <v>1.0480813774316227</v>
      </c>
      <c r="S262">
        <f t="shared" ca="1" si="70"/>
        <v>0.82691576811077072</v>
      </c>
      <c r="T262">
        <f t="shared" ca="1" si="71"/>
        <v>45.262938912935837</v>
      </c>
      <c r="U262">
        <f>70</f>
        <v>70</v>
      </c>
      <c r="V262">
        <f>30</f>
        <v>30</v>
      </c>
      <c r="W262">
        <f t="shared" ca="1" si="69"/>
        <v>221.0257601060421</v>
      </c>
      <c r="X262">
        <f t="shared" ca="1" si="79"/>
        <v>222.36365444107395</v>
      </c>
      <c r="Y262">
        <f t="shared" ca="1" si="78"/>
        <v>-1.1084243357679213</v>
      </c>
      <c r="Z262">
        <f t="shared" ca="1" si="80"/>
        <v>-0.81434335238894195</v>
      </c>
      <c r="AA262">
        <f t="shared" ca="1" si="81"/>
        <v>-0.29408098337897937</v>
      </c>
      <c r="AB262">
        <f t="shared" ca="1" si="82"/>
        <v>218.88689999999994</v>
      </c>
    </row>
    <row r="263" spans="1:28" x14ac:dyDescent="0.25">
      <c r="A263" s="20">
        <f t="shared" ca="1" si="83"/>
        <v>45670</v>
      </c>
      <c r="B263" vm="782">
        <f ca="1"/>
        <v>45673</v>
      </c>
      <c r="C263" vm="783">
        <f ca="1"/>
        <v>222.66</v>
      </c>
      <c r="D263" vm="784">
        <f ca="1"/>
        <v>3329060</v>
      </c>
      <c r="E263">
        <f t="shared" ca="1" si="84"/>
        <v>741248499.60000002</v>
      </c>
      <c r="F263">
        <f ca="1">SUM($E$2:E263)/SUM($D$2:D263)</f>
        <v>194.6849999329317</v>
      </c>
      <c r="G263">
        <f ca="1">_xlfn.STDEV.P($C$2:C263)</f>
        <v>21.674740253852274</v>
      </c>
      <c r="H263">
        <f t="shared" ca="1" si="85"/>
        <v>216.35974018678397</v>
      </c>
      <c r="I263">
        <f t="shared" ca="1" si="86"/>
        <v>173.01025967907944</v>
      </c>
      <c r="J263">
        <f t="shared" ca="1" si="74"/>
        <v>222.02500000000001</v>
      </c>
      <c r="K263">
        <f t="shared" ca="1" si="75"/>
        <v>2.7042724481243012</v>
      </c>
      <c r="L263">
        <f t="shared" ca="1" si="76"/>
        <v>227.43354489624861</v>
      </c>
      <c r="M263">
        <f t="shared" ca="1" si="77"/>
        <v>216.61645510375141</v>
      </c>
      <c r="N263">
        <f t="shared" ca="1" si="87"/>
        <v>2.6299999999999955</v>
      </c>
      <c r="O263">
        <f t="shared" ca="1" si="88"/>
        <v>2.6299999999999955</v>
      </c>
      <c r="P263">
        <f t="shared" ca="1" si="89"/>
        <v>0</v>
      </c>
      <c r="Q263">
        <f t="shared" ca="1" si="72"/>
        <v>0.9926268017427885</v>
      </c>
      <c r="R263">
        <f t="shared" ca="1" si="73"/>
        <v>0.97321842190079244</v>
      </c>
      <c r="S263">
        <f t="shared" ca="1" si="70"/>
        <v>1.0199424706779487</v>
      </c>
      <c r="T263">
        <f t="shared" ca="1" si="71"/>
        <v>50.493639570617454</v>
      </c>
      <c r="U263">
        <f>70</f>
        <v>70</v>
      </c>
      <c r="V263">
        <f>30</f>
        <v>30</v>
      </c>
      <c r="W263">
        <f t="shared" ca="1" si="69"/>
        <v>221.27718162818945</v>
      </c>
      <c r="X263">
        <f t="shared" ca="1" si="79"/>
        <v>222.38560596395737</v>
      </c>
      <c r="Y263">
        <f t="shared" ca="1" si="78"/>
        <v>-0.74609400203382847</v>
      </c>
      <c r="Z263">
        <f t="shared" ca="1" si="80"/>
        <v>-0.80069348231791937</v>
      </c>
      <c r="AA263">
        <f t="shared" ca="1" si="81"/>
        <v>5.4599480284090895E-2</v>
      </c>
      <c r="AB263">
        <f t="shared" ca="1" si="82"/>
        <v>219.15389999999991</v>
      </c>
    </row>
    <row r="264" spans="1:28" x14ac:dyDescent="0.25">
      <c r="A264" s="20">
        <f t="shared" ca="1" si="83"/>
        <v>45670</v>
      </c>
      <c r="B264" vm="785">
        <f ca="1"/>
        <v>45674</v>
      </c>
      <c r="C264" vm="786">
        <f ca="1"/>
        <v>224.79</v>
      </c>
      <c r="D264" vm="787">
        <f ca="1"/>
        <v>5506837</v>
      </c>
      <c r="E264">
        <f t="shared" ca="1" si="84"/>
        <v>1237881889.23</v>
      </c>
      <c r="F264">
        <f ca="1">SUM($E$2:E264)/SUM($D$2:D264)</f>
        <v>194.83589769053259</v>
      </c>
      <c r="G264">
        <f ca="1">_xlfn.STDEV.P($C$2:C264)</f>
        <v>21.711106406530863</v>
      </c>
      <c r="H264">
        <f t="shared" ca="1" si="85"/>
        <v>216.54700409706345</v>
      </c>
      <c r="I264">
        <f t="shared" ca="1" si="86"/>
        <v>173.12479128400173</v>
      </c>
      <c r="J264">
        <f t="shared" ca="1" si="74"/>
        <v>221.81600000000003</v>
      </c>
      <c r="K264">
        <f t="shared" ca="1" si="75"/>
        <v>2.2651510929040031</v>
      </c>
      <c r="L264">
        <f t="shared" ca="1" si="76"/>
        <v>226.34630218580804</v>
      </c>
      <c r="M264">
        <f t="shared" ca="1" si="77"/>
        <v>217.28569781419202</v>
      </c>
      <c r="N264">
        <f t="shared" ca="1" si="87"/>
        <v>2.1299999999999955</v>
      </c>
      <c r="O264">
        <f t="shared" ca="1" si="88"/>
        <v>2.1299999999999955</v>
      </c>
      <c r="P264">
        <f t="shared" ca="1" si="89"/>
        <v>0</v>
      </c>
      <c r="Q264">
        <f t="shared" ca="1" si="72"/>
        <v>1.0738677444754461</v>
      </c>
      <c r="R264">
        <f t="shared" ca="1" si="73"/>
        <v>0.90370282033645011</v>
      </c>
      <c r="S264">
        <f t="shared" ca="1" si="70"/>
        <v>1.1882974361811145</v>
      </c>
      <c r="T264">
        <f t="shared" ca="1" si="71"/>
        <v>54.30237300167294</v>
      </c>
      <c r="U264">
        <f>70</f>
        <v>70</v>
      </c>
      <c r="V264">
        <f>30</f>
        <v>30</v>
      </c>
      <c r="W264">
        <f t="shared" ca="1" si="69"/>
        <v>221.81761522385261</v>
      </c>
      <c r="X264">
        <f t="shared" ca="1" si="79"/>
        <v>222.56370922588644</v>
      </c>
      <c r="Y264">
        <f t="shared" ca="1" si="78"/>
        <v>-0.49599366646398835</v>
      </c>
      <c r="Z264">
        <f t="shared" ca="1" si="80"/>
        <v>-0.73975351914713328</v>
      </c>
      <c r="AA264">
        <f t="shared" ca="1" si="81"/>
        <v>0.24375985268314493</v>
      </c>
      <c r="AB264">
        <f t="shared" ca="1" si="82"/>
        <v>219.44079999999994</v>
      </c>
    </row>
    <row r="265" spans="1:28" x14ac:dyDescent="0.25">
      <c r="A265" s="20">
        <f t="shared" ca="1" si="83"/>
        <v>45677</v>
      </c>
      <c r="B265" vm="788">
        <f ca="1"/>
        <v>45678</v>
      </c>
      <c r="C265" vm="789">
        <f ca="1"/>
        <v>224.26</v>
      </c>
      <c r="D265" vm="790">
        <f ca="1"/>
        <v>3982203</v>
      </c>
      <c r="E265">
        <f t="shared" ca="1" si="84"/>
        <v>893048844.77999997</v>
      </c>
      <c r="F265">
        <f ca="1">SUM($E$2:E265)/SUM($D$2:D265)</f>
        <v>194.94216439982139</v>
      </c>
      <c r="G265">
        <f ca="1">_xlfn.STDEV.P($C$2:C265)</f>
        <v>21.743847065121493</v>
      </c>
      <c r="H265">
        <f t="shared" ca="1" si="85"/>
        <v>216.68601146494288</v>
      </c>
      <c r="I265">
        <f t="shared" ca="1" si="86"/>
        <v>173.19831733469991</v>
      </c>
      <c r="J265">
        <f t="shared" ca="1" si="74"/>
        <v>222.02050000000003</v>
      </c>
      <c r="K265">
        <f t="shared" ca="1" si="75"/>
        <v>2.2931786144770152</v>
      </c>
      <c r="L265">
        <f t="shared" ca="1" si="76"/>
        <v>226.60685722895406</v>
      </c>
      <c r="M265">
        <f t="shared" ca="1" si="77"/>
        <v>217.434142771046</v>
      </c>
      <c r="N265">
        <f t="shared" ca="1" si="87"/>
        <v>-0.53000000000000114</v>
      </c>
      <c r="O265">
        <f t="shared" ca="1" si="88"/>
        <v>0</v>
      </c>
      <c r="P265">
        <f t="shared" ca="1" si="89"/>
        <v>0.53000000000000114</v>
      </c>
      <c r="Q265">
        <f t="shared" ca="1" si="72"/>
        <v>0.99716290558434284</v>
      </c>
      <c r="R265">
        <f t="shared" ca="1" si="73"/>
        <v>0.87700976174098944</v>
      </c>
      <c r="S265">
        <f t="shared" ca="1" si="70"/>
        <v>1.137003200061117</v>
      </c>
      <c r="T265">
        <f t="shared" ca="1" si="71"/>
        <v>53.205498242988099</v>
      </c>
      <c r="U265">
        <f>70</f>
        <v>70</v>
      </c>
      <c r="V265">
        <f>30</f>
        <v>30</v>
      </c>
      <c r="W265">
        <f t="shared" ca="1" si="69"/>
        <v>222.19336672787529</v>
      </c>
      <c r="X265">
        <f t="shared" ca="1" si="79"/>
        <v>222.68936039433927</v>
      </c>
      <c r="Y265">
        <f t="shared" ca="1" si="78"/>
        <v>-0.37416584040255429</v>
      </c>
      <c r="Z265">
        <f t="shared" ca="1" si="80"/>
        <v>-0.6666359833982175</v>
      </c>
      <c r="AA265">
        <f t="shared" ca="1" si="81"/>
        <v>0.29247014299566321</v>
      </c>
      <c r="AB265">
        <f t="shared" ca="1" si="82"/>
        <v>219.70359999999994</v>
      </c>
    </row>
    <row r="266" spans="1:28" x14ac:dyDescent="0.25">
      <c r="A266" s="20">
        <f t="shared" ca="1" si="83"/>
        <v>45677</v>
      </c>
      <c r="B266" vm="791">
        <f ca="1"/>
        <v>45679</v>
      </c>
      <c r="C266" vm="792">
        <f ca="1"/>
        <v>223.26</v>
      </c>
      <c r="D266" vm="793">
        <f ca="1"/>
        <v>4759490</v>
      </c>
      <c r="E266">
        <f t="shared" ca="1" si="84"/>
        <v>1062603737.4</v>
      </c>
      <c r="F266">
        <f ca="1">SUM($E$2:E266)/SUM($D$2:D266)</f>
        <v>195.06387278354475</v>
      </c>
      <c r="G266">
        <f ca="1">_xlfn.STDEV.P($C$2:C266)</f>
        <v>21.770809086459895</v>
      </c>
      <c r="H266">
        <f t="shared" ca="1" si="85"/>
        <v>216.83468187000466</v>
      </c>
      <c r="I266">
        <f t="shared" ca="1" si="86"/>
        <v>173.29306369708485</v>
      </c>
      <c r="J266">
        <f t="shared" ca="1" si="74"/>
        <v>221.98750000000001</v>
      </c>
      <c r="K266">
        <f t="shared" ca="1" si="75"/>
        <v>2.2690268607349782</v>
      </c>
      <c r="L266">
        <f t="shared" ca="1" si="76"/>
        <v>226.52555372146998</v>
      </c>
      <c r="M266">
        <f t="shared" ca="1" si="77"/>
        <v>217.44944627853005</v>
      </c>
      <c r="N266">
        <f t="shared" ca="1" si="87"/>
        <v>-1</v>
      </c>
      <c r="O266">
        <f t="shared" ca="1" si="88"/>
        <v>0</v>
      </c>
      <c r="P266">
        <f t="shared" ca="1" si="89"/>
        <v>1</v>
      </c>
      <c r="Q266">
        <f t="shared" ca="1" si="72"/>
        <v>0.92593698375688971</v>
      </c>
      <c r="R266">
        <f t="shared" ca="1" si="73"/>
        <v>0.8857947787594902</v>
      </c>
      <c r="S266">
        <f t="shared" ca="1" si="70"/>
        <v>1.0453177259112054</v>
      </c>
      <c r="T266">
        <f t="shared" ca="1" si="71"/>
        <v>51.107840736358362</v>
      </c>
      <c r="U266">
        <f>70</f>
        <v>70</v>
      </c>
      <c r="V266">
        <f>30</f>
        <v>30</v>
      </c>
      <c r="W266">
        <f t="shared" ca="1" si="69"/>
        <v>222.35746415435602</v>
      </c>
      <c r="X266">
        <f t="shared" ca="1" si="79"/>
        <v>222.73162999475858</v>
      </c>
      <c r="Y266">
        <f t="shared" ca="1" si="78"/>
        <v>-5.2686308982316632E-2</v>
      </c>
      <c r="Z266">
        <f t="shared" ca="1" si="80"/>
        <v>-0.54384604851503737</v>
      </c>
      <c r="AA266">
        <f t="shared" ca="1" si="81"/>
        <v>0.49115973953272074</v>
      </c>
      <c r="AB266">
        <f t="shared" ca="1" si="82"/>
        <v>219.94889999999992</v>
      </c>
    </row>
    <row r="267" spans="1:28" x14ac:dyDescent="0.25">
      <c r="A267" s="20">
        <f t="shared" ca="1" si="83"/>
        <v>45677</v>
      </c>
      <c r="B267" vm="794">
        <f ca="1"/>
        <v>45680</v>
      </c>
      <c r="C267" vm="795">
        <f ca="1"/>
        <v>226.04</v>
      </c>
      <c r="D267" vm="796">
        <f ca="1"/>
        <v>3619651</v>
      </c>
      <c r="E267">
        <f t="shared" ca="1" si="84"/>
        <v>818185912.03999996</v>
      </c>
      <c r="F267">
        <f ca="1">SUM($E$2:E267)/SUM($D$2:D267)</f>
        <v>195.16479263487369</v>
      </c>
      <c r="G267">
        <f ca="1">_xlfn.STDEV.P($C$2:C267)</f>
        <v>21.811033781022537</v>
      </c>
      <c r="H267">
        <f t="shared" ca="1" si="85"/>
        <v>216.97582641589622</v>
      </c>
      <c r="I267">
        <f t="shared" ca="1" si="86"/>
        <v>173.35375885385116</v>
      </c>
      <c r="J267">
        <f t="shared" ca="1" si="74"/>
        <v>222.12150000000003</v>
      </c>
      <c r="K267">
        <f t="shared" ca="1" si="75"/>
        <v>2.4279193496533269</v>
      </c>
      <c r="L267">
        <f t="shared" ca="1" si="76"/>
        <v>226.97733869930667</v>
      </c>
      <c r="M267">
        <f t="shared" ca="1" si="77"/>
        <v>217.26566130069338</v>
      </c>
      <c r="N267">
        <f t="shared" ca="1" si="87"/>
        <v>2.7800000000000011</v>
      </c>
      <c r="O267">
        <f t="shared" ca="1" si="88"/>
        <v>2.7800000000000011</v>
      </c>
      <c r="P267">
        <f t="shared" ca="1" si="89"/>
        <v>0</v>
      </c>
      <c r="Q267">
        <f t="shared" ca="1" si="72"/>
        <v>1.0583700563456833</v>
      </c>
      <c r="R267">
        <f t="shared" ca="1" si="73"/>
        <v>0.82252372313381239</v>
      </c>
      <c r="S267">
        <f t="shared" ca="1" si="70"/>
        <v>1.286734992047764</v>
      </c>
      <c r="T267">
        <f t="shared" ca="1" si="71"/>
        <v>56.26952823665399</v>
      </c>
      <c r="U267">
        <f>70</f>
        <v>70</v>
      </c>
      <c r="V267">
        <f>30</f>
        <v>30</v>
      </c>
      <c r="W267">
        <f t="shared" ca="1" si="69"/>
        <v>222.92400813060894</v>
      </c>
      <c r="X267">
        <f t="shared" ca="1" si="79"/>
        <v>222.97669443959126</v>
      </c>
      <c r="Y267">
        <f t="shared" ca="1" si="78"/>
        <v>0.10086815362876678</v>
      </c>
      <c r="Z267">
        <f t="shared" ca="1" si="80"/>
        <v>-0.41490320808627656</v>
      </c>
      <c r="AA267">
        <f t="shared" ca="1" si="81"/>
        <v>0.51577136171504334</v>
      </c>
      <c r="AB267">
        <f t="shared" ca="1" si="82"/>
        <v>220.22469999999993</v>
      </c>
    </row>
    <row r="268" spans="1:28" x14ac:dyDescent="0.25">
      <c r="A268" s="20">
        <f t="shared" ca="1" si="83"/>
        <v>45677</v>
      </c>
      <c r="B268" vm="797">
        <f ca="1"/>
        <v>45681</v>
      </c>
      <c r="C268" vm="798">
        <f ca="1"/>
        <v>224.8</v>
      </c>
      <c r="D268" vm="799">
        <f ca="1"/>
        <v>3233293</v>
      </c>
      <c r="E268">
        <f t="shared" ca="1" si="84"/>
        <v>726844266.4000001</v>
      </c>
      <c r="F268">
        <f ca="1">SUM($E$2:E268)/SUM($D$2:D268)</f>
        <v>195.25078774436528</v>
      </c>
      <c r="G268">
        <f ca="1">_xlfn.STDEV.P($C$2:C268)</f>
        <v>21.84392977637016</v>
      </c>
      <c r="H268">
        <f t="shared" ca="1" si="85"/>
        <v>217.09471752073546</v>
      </c>
      <c r="I268">
        <f t="shared" ca="1" si="86"/>
        <v>173.40685796799511</v>
      </c>
      <c r="J268">
        <f t="shared" ca="1" si="74"/>
        <v>222.26500000000001</v>
      </c>
      <c r="K268">
        <f t="shared" ca="1" si="75"/>
        <v>2.4997568302789577</v>
      </c>
      <c r="L268">
        <f t="shared" ca="1" si="76"/>
        <v>227.26451366055792</v>
      </c>
      <c r="M268">
        <f t="shared" ca="1" si="77"/>
        <v>217.26548633944211</v>
      </c>
      <c r="N268">
        <f t="shared" ca="1" si="87"/>
        <v>-1.2399999999999807</v>
      </c>
      <c r="O268">
        <f t="shared" ca="1" si="88"/>
        <v>0</v>
      </c>
      <c r="P268">
        <f t="shared" ca="1" si="89"/>
        <v>1.2399999999999807</v>
      </c>
      <c r="Q268">
        <f t="shared" ca="1" si="72"/>
        <v>0.98277219517813452</v>
      </c>
      <c r="R268">
        <f t="shared" ca="1" si="73"/>
        <v>0.85234345719568161</v>
      </c>
      <c r="S268">
        <f t="shared" ca="1" si="70"/>
        <v>1.1530236864979055</v>
      </c>
      <c r="T268">
        <f t="shared" ca="1" si="71"/>
        <v>53.55369259190114</v>
      </c>
      <c r="U268">
        <f>70</f>
        <v>70</v>
      </c>
      <c r="V268">
        <f>30</f>
        <v>30</v>
      </c>
      <c r="W268">
        <f t="shared" ca="1" si="69"/>
        <v>223.21262226436141</v>
      </c>
      <c r="X268">
        <f t="shared" ca="1" si="79"/>
        <v>223.11175411073265</v>
      </c>
      <c r="Y268">
        <f t="shared" ca="1" si="78"/>
        <v>0.16657756845364702</v>
      </c>
      <c r="Z268">
        <f t="shared" ca="1" si="80"/>
        <v>-0.29860705277829191</v>
      </c>
      <c r="AA268">
        <f t="shared" ca="1" si="81"/>
        <v>0.46518462123193893</v>
      </c>
      <c r="AB268">
        <f t="shared" ca="1" si="82"/>
        <v>220.48369999999991</v>
      </c>
    </row>
    <row r="269" spans="1:28" x14ac:dyDescent="0.25">
      <c r="A269" s="20">
        <f t="shared" ca="1" si="83"/>
        <v>45684</v>
      </c>
      <c r="B269" vm="800">
        <f ca="1"/>
        <v>45684</v>
      </c>
      <c r="C269" vm="801">
        <f ca="1"/>
        <v>224.13</v>
      </c>
      <c r="D269" vm="802">
        <f ca="1"/>
        <v>4898355</v>
      </c>
      <c r="E269">
        <f t="shared" ca="1" si="84"/>
        <v>1097868306.1500001</v>
      </c>
      <c r="F269">
        <f ca="1">SUM($E$2:E269)/SUM($D$2:D269)</f>
        <v>195.37718897087419</v>
      </c>
      <c r="G269">
        <f ca="1">_xlfn.STDEV.P($C$2:C269)</f>
        <v>21.872691500886635</v>
      </c>
      <c r="H269">
        <f t="shared" ca="1" si="85"/>
        <v>217.24988047176083</v>
      </c>
      <c r="I269">
        <f t="shared" ca="1" si="86"/>
        <v>173.50449746998754</v>
      </c>
      <c r="J269">
        <f t="shared" ca="1" si="74"/>
        <v>222.25100000000006</v>
      </c>
      <c r="K269">
        <f t="shared" ca="1" si="75"/>
        <v>2.4878671905659919</v>
      </c>
      <c r="L269">
        <f t="shared" ca="1" si="76"/>
        <v>227.22673438113205</v>
      </c>
      <c r="M269">
        <f t="shared" ca="1" si="77"/>
        <v>217.27526561886808</v>
      </c>
      <c r="N269">
        <f t="shared" ca="1" si="87"/>
        <v>-0.67000000000001592</v>
      </c>
      <c r="O269">
        <f t="shared" ca="1" si="88"/>
        <v>0</v>
      </c>
      <c r="P269">
        <f t="shared" ca="1" si="89"/>
        <v>0.67000000000001592</v>
      </c>
      <c r="Q269">
        <f t="shared" ca="1" si="72"/>
        <v>0.9125741812368392</v>
      </c>
      <c r="R269">
        <f t="shared" ca="1" si="73"/>
        <v>0.83931892453884838</v>
      </c>
      <c r="S269">
        <f t="shared" ca="1" si="70"/>
        <v>1.0872794054277279</v>
      </c>
      <c r="T269">
        <f t="shared" ca="1" si="71"/>
        <v>52.090745618453568</v>
      </c>
      <c r="U269">
        <f>70</f>
        <v>70</v>
      </c>
      <c r="V269">
        <f>30</f>
        <v>30</v>
      </c>
      <c r="W269">
        <f t="shared" ca="1" si="69"/>
        <v>223.35375730061349</v>
      </c>
      <c r="X269">
        <f t="shared" ca="1" si="79"/>
        <v>223.18717973215985</v>
      </c>
      <c r="Y269">
        <f t="shared" ca="1" si="78"/>
        <v>0.33821226589819275</v>
      </c>
      <c r="Z269">
        <f t="shared" ca="1" si="80"/>
        <v>-0.17124318904299496</v>
      </c>
      <c r="AA269">
        <f t="shared" ca="1" si="81"/>
        <v>0.50945545494118771</v>
      </c>
      <c r="AB269">
        <f t="shared" ca="1" si="82"/>
        <v>220.70369999999991</v>
      </c>
    </row>
    <row r="270" spans="1:28" x14ac:dyDescent="0.25">
      <c r="A270" s="20">
        <f t="shared" ca="1" si="83"/>
        <v>45684</v>
      </c>
      <c r="B270" vm="803">
        <f ca="1"/>
        <v>45685</v>
      </c>
      <c r="C270" vm="804">
        <f ca="1"/>
        <v>225.66</v>
      </c>
      <c r="D270" vm="805">
        <f ca="1"/>
        <v>4485429</v>
      </c>
      <c r="E270">
        <f t="shared" ca="1" si="84"/>
        <v>1012181908.14</v>
      </c>
      <c r="F270">
        <f ca="1">SUM($E$2:E270)/SUM($D$2:D270)</f>
        <v>195.49807572606022</v>
      </c>
      <c r="G270">
        <f ca="1">_xlfn.STDEV.P($C$2:C270)</f>
        <v>21.908253784947547</v>
      </c>
      <c r="H270">
        <f t="shared" ca="1" si="85"/>
        <v>217.40632951100775</v>
      </c>
      <c r="I270">
        <f t="shared" ca="1" si="86"/>
        <v>173.58982194111269</v>
      </c>
      <c r="J270">
        <f t="shared" ca="1" si="74"/>
        <v>222.28950000000003</v>
      </c>
      <c r="K270">
        <f t="shared" ca="1" si="75"/>
        <v>2.5363410757687084</v>
      </c>
      <c r="L270">
        <f t="shared" ca="1" si="76"/>
        <v>227.36218215153744</v>
      </c>
      <c r="M270">
        <f t="shared" ca="1" si="77"/>
        <v>217.21681784846263</v>
      </c>
      <c r="N270">
        <f t="shared" ca="1" si="87"/>
        <v>1.5300000000000011</v>
      </c>
      <c r="O270">
        <f t="shared" ca="1" si="88"/>
        <v>1.5300000000000011</v>
      </c>
      <c r="P270">
        <f t="shared" ca="1" si="89"/>
        <v>0</v>
      </c>
      <c r="Q270">
        <f t="shared" ca="1" si="72"/>
        <v>0.95667602543420782</v>
      </c>
      <c r="R270">
        <f t="shared" ca="1" si="73"/>
        <v>0.77936757278607349</v>
      </c>
      <c r="S270">
        <f t="shared" ca="1" si="70"/>
        <v>1.2275029893972804</v>
      </c>
      <c r="T270">
        <f t="shared" ca="1" si="71"/>
        <v>55.106682021981001</v>
      </c>
      <c r="U270">
        <f>70</f>
        <v>70</v>
      </c>
      <c r="V270">
        <f>30</f>
        <v>30</v>
      </c>
      <c r="W270">
        <f t="shared" ca="1" si="69"/>
        <v>223.7085638697499</v>
      </c>
      <c r="X270">
        <f t="shared" ca="1" si="79"/>
        <v>223.3703516038517</v>
      </c>
      <c r="Y270">
        <f t="shared" ca="1" si="78"/>
        <v>0.70575270103677212</v>
      </c>
      <c r="Z270">
        <f t="shared" ca="1" si="80"/>
        <v>4.1559889729584631E-3</v>
      </c>
      <c r="AA270">
        <f t="shared" ca="1" si="81"/>
        <v>0.70159671206381369</v>
      </c>
      <c r="AB270">
        <f t="shared" ca="1" si="82"/>
        <v>220.94749999999993</v>
      </c>
    </row>
    <row r="271" spans="1:28" x14ac:dyDescent="0.25">
      <c r="A271" s="20">
        <f t="shared" ca="1" si="83"/>
        <v>45684</v>
      </c>
      <c r="B271" vm="806">
        <f ca="1"/>
        <v>45686</v>
      </c>
      <c r="C271" vm="807">
        <f ca="1"/>
        <v>228.63</v>
      </c>
      <c r="D271" vm="808">
        <f ca="1"/>
        <v>7079804</v>
      </c>
      <c r="E271">
        <f t="shared" ca="1" si="84"/>
        <v>1618655588.52</v>
      </c>
      <c r="F271">
        <f ca="1">SUM($E$2:E271)/SUM($D$2:D271)</f>
        <v>195.7055281906047</v>
      </c>
      <c r="G271">
        <f ca="1">_xlfn.STDEV.P($C$2:C271)</f>
        <v>21.958603276028018</v>
      </c>
      <c r="H271">
        <f t="shared" ca="1" si="85"/>
        <v>217.66413146663271</v>
      </c>
      <c r="I271">
        <f t="shared" ca="1" si="86"/>
        <v>173.74692491457668</v>
      </c>
      <c r="J271">
        <f t="shared" ca="1" si="74"/>
        <v>222.58200000000002</v>
      </c>
      <c r="K271">
        <f t="shared" ca="1" si="75"/>
        <v>2.9062339529834262</v>
      </c>
      <c r="L271">
        <f t="shared" ca="1" si="76"/>
        <v>228.39446790596688</v>
      </c>
      <c r="M271">
        <f t="shared" ca="1" si="77"/>
        <v>216.76953209403317</v>
      </c>
      <c r="N271">
        <f t="shared" ca="1" si="87"/>
        <v>2.9699999999999989</v>
      </c>
      <c r="O271">
        <f t="shared" ca="1" si="88"/>
        <v>2.9699999999999989</v>
      </c>
      <c r="P271">
        <f t="shared" ca="1" si="89"/>
        <v>0</v>
      </c>
      <c r="Q271">
        <f t="shared" ca="1" si="72"/>
        <v>1.1004848807603358</v>
      </c>
      <c r="R271">
        <f t="shared" ca="1" si="73"/>
        <v>0.72369846044421116</v>
      </c>
      <c r="S271">
        <f t="shared" ca="1" si="70"/>
        <v>1.5206400744377022</v>
      </c>
      <c r="T271">
        <f t="shared" ca="1" si="71"/>
        <v>60.327537035485825</v>
      </c>
      <c r="U271">
        <f>70</f>
        <v>70</v>
      </c>
      <c r="V271">
        <f>30</f>
        <v>30</v>
      </c>
      <c r="W271">
        <f t="shared" ref="W271:W334" ca="1" si="90">C271*(2/(12+1)) + W270*(1-(2/(12+1)))</f>
        <v>224.46570788978835</v>
      </c>
      <c r="X271">
        <f t="shared" ca="1" si="79"/>
        <v>223.75995518875158</v>
      </c>
      <c r="Y271">
        <f t="shared" ca="1" si="78"/>
        <v>3.3501134100366983</v>
      </c>
      <c r="Z271">
        <f t="shared" ca="1" si="80"/>
        <v>0.67334747318570654</v>
      </c>
      <c r="AA271">
        <f t="shared" ca="1" si="81"/>
        <v>2.676765936850992</v>
      </c>
      <c r="AB271">
        <f t="shared" ca="1" si="82"/>
        <v>221.19269999999995</v>
      </c>
    </row>
    <row r="272" spans="1:28" x14ac:dyDescent="0.25">
      <c r="A272" s="20">
        <f t="shared" ca="1" si="83"/>
        <v>45684</v>
      </c>
      <c r="B272" vm="809">
        <f ca="1"/>
        <v>45687</v>
      </c>
      <c r="C272" vm="810">
        <f ca="1"/>
        <v>258.27</v>
      </c>
      <c r="D272" vm="811">
        <f ca="1"/>
        <v>15381890</v>
      </c>
      <c r="E272">
        <f t="shared" ca="1" si="84"/>
        <v>3972680730.2999997</v>
      </c>
      <c r="F272">
        <f ca="1">SUM($E$2:E272)/SUM($D$2:D272)</f>
        <v>196.54522007416421</v>
      </c>
      <c r="G272">
        <f ca="1">_xlfn.STDEV.P($C$2:C272)</f>
        <v>22.242074054550038</v>
      </c>
      <c r="H272">
        <f t="shared" ca="1" si="85"/>
        <v>218.78729412871425</v>
      </c>
      <c r="I272">
        <f t="shared" ca="1" si="86"/>
        <v>174.30314601961416</v>
      </c>
      <c r="J272">
        <f t="shared" ca="1" si="74"/>
        <v>224.483</v>
      </c>
      <c r="K272">
        <f t="shared" ca="1" si="75"/>
        <v>8.4492192725594126</v>
      </c>
      <c r="L272">
        <f t="shared" ca="1" si="76"/>
        <v>241.38143854511884</v>
      </c>
      <c r="M272">
        <f t="shared" ca="1" si="77"/>
        <v>207.58456145488117</v>
      </c>
      <c r="N272">
        <f t="shared" ca="1" si="87"/>
        <v>29.639999999999986</v>
      </c>
      <c r="O272">
        <f t="shared" ca="1" si="88"/>
        <v>29.639999999999986</v>
      </c>
      <c r="P272">
        <f t="shared" ca="1" si="89"/>
        <v>0</v>
      </c>
      <c r="Q272">
        <f t="shared" ca="1" si="72"/>
        <v>3.1390216749917395</v>
      </c>
      <c r="R272">
        <f t="shared" ca="1" si="73"/>
        <v>0.67200571326962455</v>
      </c>
      <c r="S272">
        <f t="shared" ref="S272:S335" ca="1" si="91">IF(R272=0,NA(),Q272/R272)</f>
        <v>4.6711234934579933</v>
      </c>
      <c r="T272">
        <f t="shared" ref="T272:T335" ca="1" si="92">100-(100/(1+S272))</f>
        <v>82.366809660315738</v>
      </c>
      <c r="U272">
        <f>70</f>
        <v>70</v>
      </c>
      <c r="V272">
        <f>30</f>
        <v>30</v>
      </c>
      <c r="W272">
        <f t="shared" ca="1" si="90"/>
        <v>229.66636821443629</v>
      </c>
      <c r="X272">
        <f t="shared" ca="1" si="79"/>
        <v>226.31625480439959</v>
      </c>
      <c r="Y272">
        <f t="shared" ca="1" si="78"/>
        <v>5.1787138127000105</v>
      </c>
      <c r="Z272">
        <f t="shared" ca="1" si="80"/>
        <v>1.5744207410885673</v>
      </c>
      <c r="AA272">
        <f t="shared" ca="1" si="81"/>
        <v>3.6042930716114432</v>
      </c>
      <c r="AB272">
        <f t="shared" ca="1" si="82"/>
        <v>221.74949999999998</v>
      </c>
    </row>
    <row r="273" spans="1:28" x14ac:dyDescent="0.25">
      <c r="A273" s="20">
        <f t="shared" ca="1" si="83"/>
        <v>45684</v>
      </c>
      <c r="B273" vm="812">
        <f ca="1"/>
        <v>45688</v>
      </c>
      <c r="C273" vm="813">
        <f ca="1"/>
        <v>255.7</v>
      </c>
      <c r="D273" vm="814">
        <f ca="1"/>
        <v>7203519</v>
      </c>
      <c r="E273">
        <f t="shared" ca="1" si="84"/>
        <v>1841939808.3</v>
      </c>
      <c r="F273">
        <f ca="1">SUM($E$2:E273)/SUM($D$2:D273)</f>
        <v>196.91470428533864</v>
      </c>
      <c r="G273">
        <f ca="1">_xlfn.STDEV.P($C$2:C273)</f>
        <v>22.492141876405292</v>
      </c>
      <c r="H273">
        <f t="shared" ca="1" si="85"/>
        <v>219.40684616174394</v>
      </c>
      <c r="I273">
        <f t="shared" ca="1" si="86"/>
        <v>174.42256240893335</v>
      </c>
      <c r="J273">
        <f t="shared" ca="1" si="74"/>
        <v>226.2765</v>
      </c>
      <c r="K273">
        <f t="shared" ca="1" si="75"/>
        <v>10.869839138402037</v>
      </c>
      <c r="L273">
        <f t="shared" ca="1" si="76"/>
        <v>248.01617827680408</v>
      </c>
      <c r="M273">
        <f t="shared" ca="1" si="77"/>
        <v>204.53682172319591</v>
      </c>
      <c r="N273">
        <f t="shared" ca="1" si="87"/>
        <v>-2.5699999999999932</v>
      </c>
      <c r="O273">
        <f t="shared" ca="1" si="88"/>
        <v>0</v>
      </c>
      <c r="P273">
        <f t="shared" ca="1" si="89"/>
        <v>2.5699999999999932</v>
      </c>
      <c r="Q273">
        <f t="shared" ref="Q273:Q336" ca="1" si="93">(Q272*13+O273)/14</f>
        <v>2.9148058410637581</v>
      </c>
      <c r="R273">
        <f t="shared" ref="R273:R336" ca="1" si="94">(R272*13+P273)/14</f>
        <v>0.80757673375036521</v>
      </c>
      <c r="S273">
        <f t="shared" ca="1" si="91"/>
        <v>3.6093236955050401</v>
      </c>
      <c r="T273">
        <f t="shared" ca="1" si="92"/>
        <v>78.304843268543095</v>
      </c>
      <c r="U273">
        <f>70</f>
        <v>70</v>
      </c>
      <c r="V273">
        <f>30</f>
        <v>30</v>
      </c>
      <c r="W273">
        <f t="shared" ca="1" si="90"/>
        <v>233.67154233529223</v>
      </c>
      <c r="X273">
        <f t="shared" ca="1" si="79"/>
        <v>228.49282852259222</v>
      </c>
      <c r="Y273">
        <f t="shared" ca="1" si="78"/>
        <v>6.9536148254681507</v>
      </c>
      <c r="Z273">
        <f t="shared" ca="1" si="80"/>
        <v>2.6502595579644841</v>
      </c>
      <c r="AA273">
        <f t="shared" ca="1" si="81"/>
        <v>4.303355267503667</v>
      </c>
      <c r="AB273">
        <f t="shared" ca="1" si="82"/>
        <v>222.29909999999995</v>
      </c>
    </row>
    <row r="274" spans="1:28" x14ac:dyDescent="0.25">
      <c r="A274" s="20">
        <f t="shared" ca="1" si="83"/>
        <v>45691</v>
      </c>
      <c r="B274" vm="815">
        <f ca="1"/>
        <v>45691</v>
      </c>
      <c r="C274" vm="816">
        <f ca="1"/>
        <v>260.73</v>
      </c>
      <c r="D274" vm="817">
        <f ca="1"/>
        <v>8408523</v>
      </c>
      <c r="E274">
        <f t="shared" ca="1" si="84"/>
        <v>2192354201.79</v>
      </c>
      <c r="F274">
        <f ca="1">SUM($E$2:E274)/SUM($D$2:D274)</f>
        <v>197.37660744014877</v>
      </c>
      <c r="G274">
        <f ca="1">_xlfn.STDEV.P($C$2:C274)</f>
        <v>22.785481012457229</v>
      </c>
      <c r="H274">
        <f t="shared" ca="1" si="85"/>
        <v>220.16208845260601</v>
      </c>
      <c r="I274">
        <f t="shared" ca="1" si="86"/>
        <v>174.59112642769153</v>
      </c>
      <c r="J274">
        <f t="shared" ca="1" si="74"/>
        <v>228.31600000000009</v>
      </c>
      <c r="K274">
        <f t="shared" ca="1" si="75"/>
        <v>13.19612359349278</v>
      </c>
      <c r="L274">
        <f t="shared" ca="1" si="76"/>
        <v>254.70824718698566</v>
      </c>
      <c r="M274">
        <f t="shared" ca="1" si="77"/>
        <v>201.92375281301452</v>
      </c>
      <c r="N274">
        <f t="shared" ca="1" si="87"/>
        <v>5.0300000000000296</v>
      </c>
      <c r="O274">
        <f t="shared" ca="1" si="88"/>
        <v>5.0300000000000296</v>
      </c>
      <c r="P274">
        <f t="shared" ca="1" si="89"/>
        <v>0</v>
      </c>
      <c r="Q274">
        <f t="shared" ca="1" si="93"/>
        <v>3.0658911381306346</v>
      </c>
      <c r="R274">
        <f t="shared" ca="1" si="94"/>
        <v>0.74989268133962483</v>
      </c>
      <c r="S274">
        <f t="shared" ca="1" si="91"/>
        <v>4.0884398720276334</v>
      </c>
      <c r="T274">
        <f t="shared" ca="1" si="92"/>
        <v>80.34761095444523</v>
      </c>
      <c r="U274">
        <f>70</f>
        <v>70</v>
      </c>
      <c r="V274">
        <f>30</f>
        <v>30</v>
      </c>
      <c r="W274">
        <f t="shared" ca="1" si="90"/>
        <v>237.83438197601652</v>
      </c>
      <c r="X274">
        <f t="shared" ca="1" si="79"/>
        <v>230.88076715054837</v>
      </c>
      <c r="Y274">
        <f t="shared" ca="1" si="78"/>
        <v>8.5625131707939772</v>
      </c>
      <c r="Z274">
        <f t="shared" ca="1" si="80"/>
        <v>3.832710280530383</v>
      </c>
      <c r="AA274">
        <f t="shared" ca="1" si="81"/>
        <v>4.7298028902635938</v>
      </c>
      <c r="AB274">
        <f t="shared" ca="1" si="82"/>
        <v>222.87109999999996</v>
      </c>
    </row>
    <row r="275" spans="1:28" x14ac:dyDescent="0.25">
      <c r="A275" s="20">
        <f t="shared" ca="1" si="83"/>
        <v>45691</v>
      </c>
      <c r="B275" vm="818">
        <f ca="1"/>
        <v>45692</v>
      </c>
      <c r="C275" vm="819">
        <f ca="1"/>
        <v>264.45999999999998</v>
      </c>
      <c r="D275" vm="820">
        <f ca="1"/>
        <v>6077652</v>
      </c>
      <c r="E275">
        <f t="shared" ca="1" si="84"/>
        <v>1607295847.9199998</v>
      </c>
      <c r="F275">
        <f ca="1">SUM($E$2:E275)/SUM($D$2:D275)</f>
        <v>197.7257406010265</v>
      </c>
      <c r="G275">
        <f ca="1">_xlfn.STDEV.P($C$2:C275)</f>
        <v>23.109390198598661</v>
      </c>
      <c r="H275">
        <f t="shared" ca="1" si="85"/>
        <v>220.83513079962518</v>
      </c>
      <c r="I275">
        <f t="shared" ca="1" si="86"/>
        <v>174.61635040242783</v>
      </c>
      <c r="J275">
        <f t="shared" ca="1" si="74"/>
        <v>230.40649999999999</v>
      </c>
      <c r="K275">
        <f t="shared" ca="1" si="75"/>
        <v>15.381973822764438</v>
      </c>
      <c r="L275">
        <f t="shared" ca="1" si="76"/>
        <v>261.1704476455289</v>
      </c>
      <c r="M275">
        <f t="shared" ca="1" si="77"/>
        <v>199.64255235447112</v>
      </c>
      <c r="N275">
        <f t="shared" ca="1" si="87"/>
        <v>3.7299999999999613</v>
      </c>
      <c r="O275">
        <f t="shared" ca="1" si="88"/>
        <v>3.7299999999999613</v>
      </c>
      <c r="P275">
        <f t="shared" ca="1" si="89"/>
        <v>0</v>
      </c>
      <c r="Q275">
        <f t="shared" ca="1" si="93"/>
        <v>3.1133274854070154</v>
      </c>
      <c r="R275">
        <f t="shared" ca="1" si="94"/>
        <v>0.69632891838679445</v>
      </c>
      <c r="S275">
        <f t="shared" ca="1" si="91"/>
        <v>4.4710587241152533</v>
      </c>
      <c r="T275">
        <f t="shared" ca="1" si="92"/>
        <v>81.722002076266989</v>
      </c>
      <c r="U275">
        <f>70</f>
        <v>70</v>
      </c>
      <c r="V275">
        <f>30</f>
        <v>30</v>
      </c>
      <c r="W275">
        <f t="shared" ca="1" si="90"/>
        <v>241.93063090278321</v>
      </c>
      <c r="X275">
        <f t="shared" ca="1" si="79"/>
        <v>233.36811773198923</v>
      </c>
      <c r="Y275">
        <f t="shared" ca="1" si="78"/>
        <v>9.6329319522225489</v>
      </c>
      <c r="Z275">
        <f t="shared" ca="1" si="80"/>
        <v>4.9927546148688169</v>
      </c>
      <c r="AA275">
        <f t="shared" ca="1" si="81"/>
        <v>4.6401773373537321</v>
      </c>
      <c r="AB275">
        <f t="shared" ca="1" si="82"/>
        <v>223.46249999999998</v>
      </c>
    </row>
    <row r="276" spans="1:28" x14ac:dyDescent="0.25">
      <c r="A276" s="20">
        <f t="shared" ca="1" si="83"/>
        <v>45691</v>
      </c>
      <c r="B276" vm="821">
        <f ca="1"/>
        <v>45693</v>
      </c>
      <c r="C276" vm="822">
        <f ca="1"/>
        <v>263.3</v>
      </c>
      <c r="D276" vm="823">
        <f ca="1"/>
        <v>6165096</v>
      </c>
      <c r="E276">
        <f t="shared" ca="1" si="84"/>
        <v>1623269776.8</v>
      </c>
      <c r="F276">
        <f ca="1">SUM($E$2:E276)/SUM($D$2:D276)</f>
        <v>198.07011172782006</v>
      </c>
      <c r="G276">
        <f ca="1">_xlfn.STDEV.P($C$2:C276)</f>
        <v>23.411885970919649</v>
      </c>
      <c r="H276">
        <f t="shared" ca="1" si="85"/>
        <v>221.48199769873972</v>
      </c>
      <c r="I276">
        <f t="shared" ca="1" si="86"/>
        <v>174.65822575690041</v>
      </c>
      <c r="J276">
        <f t="shared" ca="1" si="74"/>
        <v>232.43800000000002</v>
      </c>
      <c r="K276">
        <f t="shared" ca="1" si="75"/>
        <v>16.913224847344814</v>
      </c>
      <c r="L276">
        <f t="shared" ca="1" si="76"/>
        <v>266.26444969468963</v>
      </c>
      <c r="M276">
        <f t="shared" ca="1" si="77"/>
        <v>198.6115503053104</v>
      </c>
      <c r="N276">
        <f t="shared" ca="1" si="87"/>
        <v>-1.1599999999999682</v>
      </c>
      <c r="O276">
        <f t="shared" ca="1" si="88"/>
        <v>0</v>
      </c>
      <c r="P276">
        <f t="shared" ca="1" si="89"/>
        <v>1.1599999999999682</v>
      </c>
      <c r="Q276">
        <f t="shared" ca="1" si="93"/>
        <v>2.8909469507350858</v>
      </c>
      <c r="R276">
        <f t="shared" ca="1" si="94"/>
        <v>0.72944828135916395</v>
      </c>
      <c r="S276">
        <f t="shared" ca="1" si="91"/>
        <v>3.9631966029839041</v>
      </c>
      <c r="T276">
        <f t="shared" ca="1" si="92"/>
        <v>79.851694784792656</v>
      </c>
      <c r="U276">
        <f>70</f>
        <v>70</v>
      </c>
      <c r="V276">
        <f>30</f>
        <v>30</v>
      </c>
      <c r="W276">
        <f t="shared" ca="1" si="90"/>
        <v>245.21822614850888</v>
      </c>
      <c r="X276">
        <f t="shared" ca="1" si="79"/>
        <v>235.58529419628633</v>
      </c>
      <c r="Y276">
        <f t="shared" ca="1" si="78"/>
        <v>9.5752494367922338</v>
      </c>
      <c r="Z276">
        <f t="shared" ca="1" si="80"/>
        <v>5.9092535792535008</v>
      </c>
      <c r="AA276">
        <f t="shared" ca="1" si="81"/>
        <v>3.665995857538733</v>
      </c>
      <c r="AB276">
        <f t="shared" ca="1" si="82"/>
        <v>223.99659999999997</v>
      </c>
    </row>
    <row r="277" spans="1:28" x14ac:dyDescent="0.25">
      <c r="A277" s="20">
        <f t="shared" ca="1" si="83"/>
        <v>45691</v>
      </c>
      <c r="B277" vm="824">
        <f ca="1"/>
        <v>45694</v>
      </c>
      <c r="C277" vm="825">
        <f ca="1"/>
        <v>253.44</v>
      </c>
      <c r="D277" vm="826">
        <f ca="1"/>
        <v>6128293</v>
      </c>
      <c r="E277">
        <f t="shared" ca="1" si="84"/>
        <v>1553154577.9200001</v>
      </c>
      <c r="F277">
        <f ca="1">SUM($E$2:E277)/SUM($D$2:D277)</f>
        <v>198.35765646570621</v>
      </c>
      <c r="G277">
        <f ca="1">_xlfn.STDEV.P($C$2:C277)</f>
        <v>23.613692806243105</v>
      </c>
      <c r="H277">
        <f t="shared" ca="1" si="85"/>
        <v>221.97134927194932</v>
      </c>
      <c r="I277">
        <f t="shared" ca="1" si="86"/>
        <v>174.74396365946311</v>
      </c>
      <c r="J277">
        <f t="shared" ca="1" si="74"/>
        <v>233.91199999999998</v>
      </c>
      <c r="K277">
        <f t="shared" ca="1" si="75"/>
        <v>17.412700023410014</v>
      </c>
      <c r="L277">
        <f t="shared" ca="1" si="76"/>
        <v>268.73740004682003</v>
      </c>
      <c r="M277">
        <f t="shared" ca="1" si="77"/>
        <v>199.08659995317996</v>
      </c>
      <c r="N277">
        <f t="shared" ca="1" si="87"/>
        <v>-9.8600000000000136</v>
      </c>
      <c r="O277">
        <f t="shared" ca="1" si="88"/>
        <v>0</v>
      </c>
      <c r="P277">
        <f t="shared" ca="1" si="89"/>
        <v>9.8600000000000136</v>
      </c>
      <c r="Q277">
        <f t="shared" ca="1" si="93"/>
        <v>2.6844507399682942</v>
      </c>
      <c r="R277">
        <f t="shared" ca="1" si="94"/>
        <v>1.3816305469763677</v>
      </c>
      <c r="S277">
        <f t="shared" ca="1" si="91"/>
        <v>1.9429584456156432</v>
      </c>
      <c r="T277">
        <f t="shared" ca="1" si="92"/>
        <v>66.020587158144252</v>
      </c>
      <c r="U277">
        <f>70</f>
        <v>70</v>
      </c>
      <c r="V277">
        <f>30</f>
        <v>30</v>
      </c>
      <c r="W277">
        <f t="shared" ca="1" si="90"/>
        <v>246.48311443335365</v>
      </c>
      <c r="X277">
        <f t="shared" ca="1" si="79"/>
        <v>236.90786499656141</v>
      </c>
      <c r="Y277">
        <f t="shared" ca="1" si="78"/>
        <v>9.333187643372014</v>
      </c>
      <c r="Z277">
        <f t="shared" ca="1" si="80"/>
        <v>6.5940403920772033</v>
      </c>
      <c r="AA277">
        <f t="shared" ca="1" si="81"/>
        <v>2.7391472512948107</v>
      </c>
      <c r="AB277">
        <f t="shared" ca="1" si="82"/>
        <v>224.41489999999993</v>
      </c>
    </row>
    <row r="278" spans="1:28" x14ac:dyDescent="0.25">
      <c r="A278" s="20">
        <f t="shared" ca="1" si="83"/>
        <v>45691</v>
      </c>
      <c r="B278" vm="827">
        <f ca="1"/>
        <v>45695</v>
      </c>
      <c r="C278" vm="828">
        <f ca="1"/>
        <v>252.34</v>
      </c>
      <c r="D278" vm="829">
        <f ca="1"/>
        <v>3370284</v>
      </c>
      <c r="E278">
        <f t="shared" ca="1" si="84"/>
        <v>850457464.56000006</v>
      </c>
      <c r="F278">
        <f ca="1">SUM($E$2:E278)/SUM($D$2:D278)</f>
        <v>198.51139116775863</v>
      </c>
      <c r="G278">
        <f ca="1">_xlfn.STDEV.P($C$2:C278)</f>
        <v>23.80137137320262</v>
      </c>
      <c r="H278">
        <f t="shared" ca="1" si="85"/>
        <v>222.31276254096124</v>
      </c>
      <c r="I278">
        <f t="shared" ca="1" si="86"/>
        <v>174.71001979455602</v>
      </c>
      <c r="J278">
        <f t="shared" ref="J278:J341" ca="1" si="95">AVERAGE(C259:C278)</f>
        <v>235.36999999999998</v>
      </c>
      <c r="K278">
        <f t="shared" ref="K278:K341" ca="1" si="96">_xlfn.STDEV.S(C259:C278)</f>
        <v>17.685468908861754</v>
      </c>
      <c r="L278">
        <f t="shared" ref="L278:L341" ca="1" si="97">J278 + 2*K278</f>
        <v>270.74093781772348</v>
      </c>
      <c r="M278">
        <f t="shared" ref="M278:M341" ca="1" si="98">J278-2*K278</f>
        <v>199.99906218227648</v>
      </c>
      <c r="N278">
        <f t="shared" ca="1" si="87"/>
        <v>-1.0999999999999943</v>
      </c>
      <c r="O278">
        <f t="shared" ca="1" si="88"/>
        <v>0</v>
      </c>
      <c r="P278">
        <f t="shared" ca="1" si="89"/>
        <v>1.0999999999999943</v>
      </c>
      <c r="Q278">
        <f t="shared" ca="1" si="93"/>
        <v>2.4927042585419876</v>
      </c>
      <c r="R278">
        <f t="shared" ca="1" si="94"/>
        <v>1.3615140793351981</v>
      </c>
      <c r="S278">
        <f t="shared" ca="1" si="91"/>
        <v>1.8308325241551147</v>
      </c>
      <c r="T278">
        <f t="shared" ca="1" si="92"/>
        <v>64.674702884500093</v>
      </c>
      <c r="U278">
        <f>70</f>
        <v>70</v>
      </c>
      <c r="V278">
        <f>30</f>
        <v>30</v>
      </c>
      <c r="W278">
        <f t="shared" ca="1" si="90"/>
        <v>247.38417375129924</v>
      </c>
      <c r="X278">
        <f t="shared" ca="1" si="79"/>
        <v>238.05098610792723</v>
      </c>
      <c r="Y278">
        <f t="shared" ca="1" si="78"/>
        <v>8.7922766924772873</v>
      </c>
      <c r="Z278">
        <f t="shared" ca="1" si="80"/>
        <v>7.0336876521572211</v>
      </c>
      <c r="AA278">
        <f t="shared" ca="1" si="81"/>
        <v>1.7585890403200661</v>
      </c>
      <c r="AB278">
        <f t="shared" ca="1" si="82"/>
        <v>224.79039999999998</v>
      </c>
    </row>
    <row r="279" spans="1:28" x14ac:dyDescent="0.25">
      <c r="A279" s="20">
        <f t="shared" ca="1" si="83"/>
        <v>45698</v>
      </c>
      <c r="B279" vm="830">
        <f ca="1"/>
        <v>45698</v>
      </c>
      <c r="C279" vm="831">
        <f ca="1"/>
        <v>249.27</v>
      </c>
      <c r="D279" vm="832">
        <f ca="1"/>
        <v>3564400</v>
      </c>
      <c r="E279">
        <f t="shared" ca="1" si="84"/>
        <v>888497988</v>
      </c>
      <c r="F279">
        <f ca="1">SUM($E$2:E279)/SUM($D$2:D279)</f>
        <v>198.66381179290849</v>
      </c>
      <c r="G279">
        <f ca="1">_xlfn.STDEV.P($C$2:C279)</f>
        <v>23.960131560127831</v>
      </c>
      <c r="H279">
        <f t="shared" ca="1" si="85"/>
        <v>222.62394335303631</v>
      </c>
      <c r="I279">
        <f t="shared" ca="1" si="86"/>
        <v>174.70368023278067</v>
      </c>
      <c r="J279">
        <f t="shared" ca="1" si="95"/>
        <v>236.846</v>
      </c>
      <c r="K279">
        <f t="shared" ca="1" si="96"/>
        <v>17.544521532075866</v>
      </c>
      <c r="L279">
        <f t="shared" ca="1" si="97"/>
        <v>271.93504306415173</v>
      </c>
      <c r="M279">
        <f t="shared" ca="1" si="98"/>
        <v>201.75695693584828</v>
      </c>
      <c r="N279">
        <f t="shared" ca="1" si="87"/>
        <v>-3.0699999999999932</v>
      </c>
      <c r="O279">
        <f t="shared" ca="1" si="88"/>
        <v>0</v>
      </c>
      <c r="P279">
        <f t="shared" ca="1" si="89"/>
        <v>3.0699999999999932</v>
      </c>
      <c r="Q279">
        <f t="shared" ca="1" si="93"/>
        <v>2.3146539543604172</v>
      </c>
      <c r="R279">
        <f t="shared" ca="1" si="94"/>
        <v>1.483548787954112</v>
      </c>
      <c r="S279">
        <f t="shared" ca="1" si="91"/>
        <v>1.5602142465111921</v>
      </c>
      <c r="T279">
        <f t="shared" ca="1" si="92"/>
        <v>60.940768868749892</v>
      </c>
      <c r="U279">
        <f>70</f>
        <v>70</v>
      </c>
      <c r="V279">
        <f>30</f>
        <v>30</v>
      </c>
      <c r="W279">
        <f t="shared" ca="1" si="90"/>
        <v>247.67430086648397</v>
      </c>
      <c r="X279">
        <f t="shared" ca="1" si="79"/>
        <v>238.88202417400669</v>
      </c>
      <c r="Y279">
        <f t="shared" ca="1" si="78"/>
        <v>8.7014515692124519</v>
      </c>
      <c r="Z279">
        <f t="shared" ca="1" si="80"/>
        <v>7.3672404355682675</v>
      </c>
      <c r="AA279">
        <f t="shared" ca="1" si="81"/>
        <v>1.3342111336441844</v>
      </c>
      <c r="AB279">
        <f t="shared" ca="1" si="82"/>
        <v>225.11149999999995</v>
      </c>
    </row>
    <row r="280" spans="1:28" x14ac:dyDescent="0.25">
      <c r="A280" s="20">
        <f t="shared" ca="1" si="83"/>
        <v>45698</v>
      </c>
      <c r="B280" vm="833">
        <f ca="1"/>
        <v>45699</v>
      </c>
      <c r="C280" vm="834">
        <f ca="1"/>
        <v>254.7</v>
      </c>
      <c r="D280" vm="835">
        <f ca="1"/>
        <v>4801550</v>
      </c>
      <c r="E280">
        <f t="shared" ca="1" si="84"/>
        <v>1222954785</v>
      </c>
      <c r="F280">
        <f ca="1">SUM($E$2:E280)/SUM($D$2:D280)</f>
        <v>198.88957045032532</v>
      </c>
      <c r="G280">
        <f ca="1">_xlfn.STDEV.P($C$2:C280)</f>
        <v>24.158951521718162</v>
      </c>
      <c r="H280">
        <f t="shared" ca="1" si="85"/>
        <v>223.04852197204349</v>
      </c>
      <c r="I280">
        <f t="shared" ca="1" si="86"/>
        <v>174.73061892860716</v>
      </c>
      <c r="J280">
        <f t="shared" ca="1" si="95"/>
        <v>238.71100000000001</v>
      </c>
      <c r="K280">
        <f t="shared" ca="1" si="96"/>
        <v>17.350031669924075</v>
      </c>
      <c r="L280">
        <f t="shared" ca="1" si="97"/>
        <v>273.41106333984817</v>
      </c>
      <c r="M280">
        <f t="shared" ca="1" si="98"/>
        <v>204.01093666015186</v>
      </c>
      <c r="N280">
        <f t="shared" ca="1" si="87"/>
        <v>5.4299999999999784</v>
      </c>
      <c r="O280">
        <f t="shared" ca="1" si="88"/>
        <v>5.4299999999999784</v>
      </c>
      <c r="P280">
        <f t="shared" ca="1" si="89"/>
        <v>0</v>
      </c>
      <c r="Q280">
        <f t="shared" ca="1" si="93"/>
        <v>2.5371786719061</v>
      </c>
      <c r="R280">
        <f t="shared" ca="1" si="94"/>
        <v>1.3775810173859611</v>
      </c>
      <c r="S280">
        <f t="shared" ca="1" si="91"/>
        <v>1.8417636711636329</v>
      </c>
      <c r="T280">
        <f t="shared" ca="1" si="92"/>
        <v>64.810585406965799</v>
      </c>
      <c r="U280">
        <f>70</f>
        <v>70</v>
      </c>
      <c r="V280">
        <f>30</f>
        <v>30</v>
      </c>
      <c r="W280">
        <f t="shared" ca="1" si="90"/>
        <v>248.75517765625568</v>
      </c>
      <c r="X280">
        <f t="shared" ca="1" si="79"/>
        <v>240.05372608704323</v>
      </c>
      <c r="Y280">
        <f t="shared" ca="1" si="78"/>
        <v>8.6196774519056589</v>
      </c>
      <c r="Z280">
        <f t="shared" ca="1" si="80"/>
        <v>7.6177278388357461</v>
      </c>
      <c r="AA280">
        <f t="shared" ca="1" si="81"/>
        <v>1.0019496130699128</v>
      </c>
      <c r="AB280">
        <f t="shared" ca="1" si="82"/>
        <v>225.51719999999997</v>
      </c>
    </row>
    <row r="281" spans="1:28" x14ac:dyDescent="0.25">
      <c r="A281" s="20">
        <f t="shared" ca="1" si="83"/>
        <v>45698</v>
      </c>
      <c r="B281" vm="836">
        <f ca="1"/>
        <v>45700</v>
      </c>
      <c r="C281" vm="837">
        <f ca="1"/>
        <v>255.81</v>
      </c>
      <c r="D281" vm="838">
        <f ca="1"/>
        <v>3075308</v>
      </c>
      <c r="E281">
        <f t="shared" ca="1" si="84"/>
        <v>786694539.48000002</v>
      </c>
      <c r="F281">
        <f ca="1">SUM($E$2:E281)/SUM($D$2:D281)</f>
        <v>199.03606853943251</v>
      </c>
      <c r="G281">
        <f ca="1">_xlfn.STDEV.P($C$2:C281)</f>
        <v>24.362356130374724</v>
      </c>
      <c r="H281">
        <f t="shared" ca="1" si="85"/>
        <v>223.39842466980724</v>
      </c>
      <c r="I281">
        <f t="shared" ca="1" si="86"/>
        <v>174.67371240905777</v>
      </c>
      <c r="J281">
        <f t="shared" ca="1" si="95"/>
        <v>240.61400000000003</v>
      </c>
      <c r="K281">
        <f t="shared" ca="1" si="96"/>
        <v>17.013976421877707</v>
      </c>
      <c r="L281">
        <f t="shared" ca="1" si="97"/>
        <v>274.64195284375546</v>
      </c>
      <c r="M281">
        <f t="shared" ca="1" si="98"/>
        <v>206.5860471562446</v>
      </c>
      <c r="N281">
        <f t="shared" ca="1" si="87"/>
        <v>1.1100000000000136</v>
      </c>
      <c r="O281">
        <f t="shared" ca="1" si="88"/>
        <v>1.1100000000000136</v>
      </c>
      <c r="P281">
        <f t="shared" ca="1" si="89"/>
        <v>0</v>
      </c>
      <c r="Q281">
        <f t="shared" ca="1" si="93"/>
        <v>2.4352373381985224</v>
      </c>
      <c r="R281">
        <f t="shared" ca="1" si="94"/>
        <v>1.2791823732869638</v>
      </c>
      <c r="S281">
        <f t="shared" ca="1" si="91"/>
        <v>1.9037452274619613</v>
      </c>
      <c r="T281">
        <f t="shared" ca="1" si="92"/>
        <v>65.56171696667559</v>
      </c>
      <c r="U281">
        <f>70</f>
        <v>70</v>
      </c>
      <c r="V281">
        <f>30</f>
        <v>30</v>
      </c>
      <c r="W281">
        <f t="shared" ca="1" si="90"/>
        <v>249.84053493990865</v>
      </c>
      <c r="X281">
        <f t="shared" ca="1" si="79"/>
        <v>241.22085748800299</v>
      </c>
      <c r="Y281">
        <f t="shared" ca="1" si="78"/>
        <v>8.7270090984384581</v>
      </c>
      <c r="Z281">
        <f t="shared" ca="1" si="80"/>
        <v>7.8395840907562881</v>
      </c>
      <c r="AA281">
        <f t="shared" ca="1" si="81"/>
        <v>0.88742500768216992</v>
      </c>
      <c r="AB281">
        <f t="shared" ca="1" si="82"/>
        <v>225.92589999999996</v>
      </c>
    </row>
    <row r="282" spans="1:28" x14ac:dyDescent="0.25">
      <c r="A282" s="20">
        <f t="shared" ca="1" si="83"/>
        <v>45698</v>
      </c>
      <c r="B282" vm="839">
        <f ca="1"/>
        <v>45701</v>
      </c>
      <c r="C282" vm="840">
        <f ca="1"/>
        <v>259.19</v>
      </c>
      <c r="D282" vm="841">
        <f ca="1"/>
        <v>4531538</v>
      </c>
      <c r="E282">
        <f t="shared" ca="1" si="84"/>
        <v>1174529334.22</v>
      </c>
      <c r="F282">
        <f ca="1">SUM($E$2:E282)/SUM($D$2:D282)</f>
        <v>199.26333789868596</v>
      </c>
      <c r="G282">
        <f ca="1">_xlfn.STDEV.P($C$2:C282)</f>
        <v>24.589910606197083</v>
      </c>
      <c r="H282">
        <f t="shared" ca="1" si="85"/>
        <v>223.85324850488306</v>
      </c>
      <c r="I282">
        <f t="shared" ca="1" si="86"/>
        <v>174.67342729248887</v>
      </c>
      <c r="J282">
        <f t="shared" ca="1" si="95"/>
        <v>242.57200000000003</v>
      </c>
      <c r="K282">
        <f t="shared" ca="1" si="96"/>
        <v>16.772038008166103</v>
      </c>
      <c r="L282">
        <f t="shared" ca="1" si="97"/>
        <v>276.11607601633222</v>
      </c>
      <c r="M282">
        <f t="shared" ca="1" si="98"/>
        <v>209.02792398366782</v>
      </c>
      <c r="N282">
        <f t="shared" ca="1" si="87"/>
        <v>3.3799999999999955</v>
      </c>
      <c r="O282">
        <f t="shared" ca="1" si="88"/>
        <v>3.3799999999999955</v>
      </c>
      <c r="P282">
        <f t="shared" ca="1" si="89"/>
        <v>0</v>
      </c>
      <c r="Q282">
        <f t="shared" ca="1" si="93"/>
        <v>2.5027203854700559</v>
      </c>
      <c r="R282">
        <f t="shared" ca="1" si="94"/>
        <v>1.1878122037664665</v>
      </c>
      <c r="S282">
        <f t="shared" ca="1" si="91"/>
        <v>2.1070000607285486</v>
      </c>
      <c r="T282">
        <f t="shared" ca="1" si="92"/>
        <v>67.814612795163129</v>
      </c>
      <c r="U282">
        <f>70</f>
        <v>70</v>
      </c>
      <c r="V282">
        <f>30</f>
        <v>30</v>
      </c>
      <c r="W282">
        <f t="shared" ca="1" si="90"/>
        <v>251.27891417992271</v>
      </c>
      <c r="X282">
        <f t="shared" ca="1" si="79"/>
        <v>242.55190508148425</v>
      </c>
      <c r="Y282">
        <f t="shared" ca="1" si="78"/>
        <v>8.8783713958821977</v>
      </c>
      <c r="Z282">
        <f t="shared" ca="1" si="80"/>
        <v>8.0473415517814715</v>
      </c>
      <c r="AA282">
        <f t="shared" ca="1" si="81"/>
        <v>0.83102984410072622</v>
      </c>
      <c r="AB282">
        <f t="shared" ca="1" si="82"/>
        <v>226.37889999999996</v>
      </c>
    </row>
    <row r="283" spans="1:28" x14ac:dyDescent="0.25">
      <c r="A283" s="20">
        <f t="shared" ca="1" si="83"/>
        <v>45698</v>
      </c>
      <c r="B283" vm="842">
        <f ca="1"/>
        <v>45702</v>
      </c>
      <c r="C283" vm="843">
        <f ca="1"/>
        <v>261.27999999999997</v>
      </c>
      <c r="D283" vm="844">
        <f ca="1"/>
        <v>3925277</v>
      </c>
      <c r="E283">
        <f t="shared" ca="1" si="84"/>
        <v>1025596374.5599999</v>
      </c>
      <c r="F283">
        <f ca="1">SUM($E$2:E283)/SUM($D$2:D283)</f>
        <v>199.46563560664799</v>
      </c>
      <c r="G283">
        <f ca="1">_xlfn.STDEV.P($C$2:C283)</f>
        <v>24.830334084237734</v>
      </c>
      <c r="H283">
        <f t="shared" ca="1" si="85"/>
        <v>224.29596969088573</v>
      </c>
      <c r="I283">
        <f t="shared" ca="1" si="86"/>
        <v>174.63530152241026</v>
      </c>
      <c r="J283">
        <f t="shared" ca="1" si="95"/>
        <v>244.50299999999999</v>
      </c>
      <c r="K283">
        <f t="shared" ca="1" si="96"/>
        <v>16.580981845094954</v>
      </c>
      <c r="L283">
        <f t="shared" ca="1" si="97"/>
        <v>277.66496369018989</v>
      </c>
      <c r="M283">
        <f t="shared" ca="1" si="98"/>
        <v>211.34103630981008</v>
      </c>
      <c r="N283">
        <f t="shared" ca="1" si="87"/>
        <v>2.089999999999975</v>
      </c>
      <c r="O283">
        <f t="shared" ca="1" si="88"/>
        <v>2.089999999999975</v>
      </c>
      <c r="P283">
        <f t="shared" ca="1" si="89"/>
        <v>0</v>
      </c>
      <c r="Q283">
        <f t="shared" ca="1" si="93"/>
        <v>2.4732403579364788</v>
      </c>
      <c r="R283">
        <f t="shared" ca="1" si="94"/>
        <v>1.1029684749260045</v>
      </c>
      <c r="S283">
        <f t="shared" ca="1" si="91"/>
        <v>2.242349091711259</v>
      </c>
      <c r="T283">
        <f t="shared" ca="1" si="92"/>
        <v>69.158163673479834</v>
      </c>
      <c r="U283">
        <f>70</f>
        <v>70</v>
      </c>
      <c r="V283">
        <f>30</f>
        <v>30</v>
      </c>
      <c r="W283">
        <f t="shared" ca="1" si="90"/>
        <v>252.81754276762689</v>
      </c>
      <c r="X283">
        <f t="shared" ca="1" si="79"/>
        <v>243.93917137174469</v>
      </c>
      <c r="Y283">
        <f t="shared" ca="1" si="78"/>
        <v>9.0385740916472059</v>
      </c>
      <c r="Z283">
        <f t="shared" ca="1" si="80"/>
        <v>8.2455880597546187</v>
      </c>
      <c r="AA283">
        <f t="shared" ca="1" si="81"/>
        <v>0.79298603189258721</v>
      </c>
      <c r="AB283">
        <f t="shared" ca="1" si="82"/>
        <v>226.81469999999999</v>
      </c>
    </row>
    <row r="284" spans="1:28" x14ac:dyDescent="0.25">
      <c r="A284" s="20">
        <f t="shared" ca="1" si="83"/>
        <v>45705</v>
      </c>
      <c r="B284" vm="845">
        <f ca="1"/>
        <v>45706</v>
      </c>
      <c r="C284" vm="846">
        <f ca="1"/>
        <v>263.07</v>
      </c>
      <c r="D284" vm="847">
        <f ca="1"/>
        <v>4262812</v>
      </c>
      <c r="E284">
        <f t="shared" ca="1" si="84"/>
        <v>1121417952.8399999</v>
      </c>
      <c r="F284">
        <f ca="1">SUM($E$2:E284)/SUM($D$2:D284)</f>
        <v>199.69015796590458</v>
      </c>
      <c r="G284">
        <f ca="1">_xlfn.STDEV.P($C$2:C284)</f>
        <v>25.080813091759854</v>
      </c>
      <c r="H284">
        <f t="shared" ca="1" si="85"/>
        <v>224.77097105766444</v>
      </c>
      <c r="I284">
        <f t="shared" ca="1" si="86"/>
        <v>174.60934487414471</v>
      </c>
      <c r="J284">
        <f t="shared" ca="1" si="95"/>
        <v>246.41699999999997</v>
      </c>
      <c r="K284">
        <f t="shared" ca="1" si="96"/>
        <v>16.394019159758418</v>
      </c>
      <c r="L284">
        <f t="shared" ca="1" si="97"/>
        <v>279.2050383195168</v>
      </c>
      <c r="M284">
        <f t="shared" ca="1" si="98"/>
        <v>213.62896168048314</v>
      </c>
      <c r="N284">
        <f t="shared" ca="1" si="87"/>
        <v>1.7900000000000205</v>
      </c>
      <c r="O284">
        <f t="shared" ca="1" si="88"/>
        <v>1.7900000000000205</v>
      </c>
      <c r="P284">
        <f t="shared" ca="1" si="89"/>
        <v>0</v>
      </c>
      <c r="Q284">
        <f t="shared" ca="1" si="93"/>
        <v>2.4244374752267319</v>
      </c>
      <c r="R284">
        <f t="shared" ca="1" si="94"/>
        <v>1.0241850124312899</v>
      </c>
      <c r="S284">
        <f t="shared" ca="1" si="91"/>
        <v>2.3671870275385247</v>
      </c>
      <c r="T284">
        <f t="shared" ca="1" si="92"/>
        <v>70.301619962850168</v>
      </c>
      <c r="U284">
        <f>70</f>
        <v>70</v>
      </c>
      <c r="V284">
        <f>30</f>
        <v>30</v>
      </c>
      <c r="W284">
        <f t="shared" ca="1" si="90"/>
        <v>254.39484388029967</v>
      </c>
      <c r="X284">
        <f t="shared" ca="1" si="79"/>
        <v>245.35626978865247</v>
      </c>
      <c r="Y284">
        <f t="shared" ref="Y284:Y347" ca="1" si="99">W285-X285</f>
        <v>9.1608004305896031</v>
      </c>
      <c r="Z284">
        <f t="shared" ca="1" si="80"/>
        <v>8.4286305339216163</v>
      </c>
      <c r="AA284">
        <f t="shared" ca="1" si="81"/>
        <v>0.73216989666798682</v>
      </c>
      <c r="AB284">
        <f t="shared" ca="1" si="82"/>
        <v>227.24039999999994</v>
      </c>
    </row>
    <row r="285" spans="1:28" x14ac:dyDescent="0.25">
      <c r="A285" s="20">
        <f t="shared" ca="1" si="83"/>
        <v>45705</v>
      </c>
      <c r="B285" vm="848">
        <f ca="1"/>
        <v>45707</v>
      </c>
      <c r="C285" vm="849">
        <f ca="1"/>
        <v>264.32</v>
      </c>
      <c r="D285" vm="850">
        <f ca="1"/>
        <v>3718678</v>
      </c>
      <c r="E285">
        <f t="shared" ca="1" si="84"/>
        <v>982920968.95999992</v>
      </c>
      <c r="F285">
        <f ca="1">SUM($E$2:E285)/SUM($D$2:D285)</f>
        <v>199.88856764787221</v>
      </c>
      <c r="G285">
        <f ca="1">_xlfn.STDEV.P($C$2:C285)</f>
        <v>25.33629209429861</v>
      </c>
      <c r="H285">
        <f t="shared" ca="1" si="85"/>
        <v>225.22485974217082</v>
      </c>
      <c r="I285">
        <f t="shared" ca="1" si="86"/>
        <v>174.55227555357359</v>
      </c>
      <c r="J285">
        <f t="shared" ca="1" si="95"/>
        <v>248.42</v>
      </c>
      <c r="K285">
        <f t="shared" ca="1" si="96"/>
        <v>15.986602943846778</v>
      </c>
      <c r="L285">
        <f t="shared" ca="1" si="97"/>
        <v>280.39320588769357</v>
      </c>
      <c r="M285">
        <f t="shared" ca="1" si="98"/>
        <v>216.44679411230643</v>
      </c>
      <c r="N285">
        <f t="shared" ca="1" si="87"/>
        <v>1.25</v>
      </c>
      <c r="O285">
        <f t="shared" ca="1" si="88"/>
        <v>1.25</v>
      </c>
      <c r="P285">
        <f t="shared" ca="1" si="89"/>
        <v>0</v>
      </c>
      <c r="Q285">
        <f t="shared" ca="1" si="93"/>
        <v>2.3405490841391083</v>
      </c>
      <c r="R285">
        <f t="shared" ca="1" si="94"/>
        <v>0.95102894011476913</v>
      </c>
      <c r="S285">
        <f t="shared" ca="1" si="91"/>
        <v>2.4610703054490157</v>
      </c>
      <c r="T285">
        <f t="shared" ca="1" si="92"/>
        <v>71.107203502175992</v>
      </c>
      <c r="U285">
        <f>70</f>
        <v>70</v>
      </c>
      <c r="V285">
        <f>30</f>
        <v>30</v>
      </c>
      <c r="W285">
        <f t="shared" ca="1" si="90"/>
        <v>255.92179097563817</v>
      </c>
      <c r="X285">
        <f t="shared" ref="X285:X348" ca="1" si="100">C285*(2/(26+1)) + X284*(1-(2/(26+1)))</f>
        <v>246.76099054504857</v>
      </c>
      <c r="Y285">
        <f t="shared" ca="1" si="99"/>
        <v>9.1856694946545758</v>
      </c>
      <c r="Z285">
        <f t="shared" ca="1" si="80"/>
        <v>8.5800383260682089</v>
      </c>
      <c r="AA285">
        <f t="shared" ca="1" si="81"/>
        <v>0.6056311685863669</v>
      </c>
      <c r="AB285">
        <f t="shared" ca="1" si="82"/>
        <v>227.67389999999995</v>
      </c>
    </row>
    <row r="286" spans="1:28" x14ac:dyDescent="0.25">
      <c r="A286" s="20">
        <f t="shared" ca="1" si="83"/>
        <v>45705</v>
      </c>
      <c r="B286" vm="851">
        <f ca="1"/>
        <v>45708</v>
      </c>
      <c r="C286" vm="852">
        <f ca="1"/>
        <v>264.74</v>
      </c>
      <c r="D286" vm="853">
        <f ca="1"/>
        <v>4884805</v>
      </c>
      <c r="E286">
        <f t="shared" ca="1" si="84"/>
        <v>1293203275.7</v>
      </c>
      <c r="F286">
        <f ca="1">SUM($E$2:E286)/SUM($D$2:D286)</f>
        <v>200.14903912257253</v>
      </c>
      <c r="G286">
        <f ca="1">_xlfn.STDEV.P($C$2:C286)</f>
        <v>25.589154747315337</v>
      </c>
      <c r="H286">
        <f t="shared" ca="1" si="85"/>
        <v>225.73819386988788</v>
      </c>
      <c r="I286">
        <f t="shared" ca="1" si="86"/>
        <v>174.55988437525718</v>
      </c>
      <c r="J286">
        <f t="shared" ca="1" si="95"/>
        <v>250.49399999999997</v>
      </c>
      <c r="K286">
        <f t="shared" ca="1" si="96"/>
        <v>15.223156322558495</v>
      </c>
      <c r="L286">
        <f t="shared" ca="1" si="97"/>
        <v>280.94031264511693</v>
      </c>
      <c r="M286">
        <f t="shared" ca="1" si="98"/>
        <v>220.04768735488298</v>
      </c>
      <c r="N286">
        <f t="shared" ca="1" si="87"/>
        <v>0.42000000000001592</v>
      </c>
      <c r="O286">
        <f t="shared" ca="1" si="88"/>
        <v>0.42000000000001592</v>
      </c>
      <c r="P286">
        <f t="shared" ca="1" si="89"/>
        <v>0</v>
      </c>
      <c r="Q286">
        <f t="shared" ca="1" si="93"/>
        <v>2.2033670067006019</v>
      </c>
      <c r="R286">
        <f t="shared" ca="1" si="94"/>
        <v>0.88309830153514279</v>
      </c>
      <c r="S286">
        <f t="shared" ca="1" si="91"/>
        <v>2.4950416084713978</v>
      </c>
      <c r="T286">
        <f t="shared" ca="1" si="92"/>
        <v>71.388037339064383</v>
      </c>
      <c r="U286">
        <f>70</f>
        <v>70</v>
      </c>
      <c r="V286">
        <f>30</f>
        <v>30</v>
      </c>
      <c r="W286">
        <f t="shared" ca="1" si="90"/>
        <v>257.27843851784769</v>
      </c>
      <c r="X286">
        <f t="shared" ca="1" si="100"/>
        <v>248.09276902319311</v>
      </c>
      <c r="Y286">
        <f t="shared" ca="1" si="99"/>
        <v>8.8404168298091577</v>
      </c>
      <c r="Z286">
        <f t="shared" ca="1" si="80"/>
        <v>8.6321140268163994</v>
      </c>
      <c r="AA286">
        <f t="shared" ca="1" si="81"/>
        <v>0.20830280299275827</v>
      </c>
      <c r="AB286">
        <f t="shared" ca="1" si="82"/>
        <v>228.10899999999995</v>
      </c>
    </row>
    <row r="287" spans="1:28" x14ac:dyDescent="0.25">
      <c r="A287" s="20">
        <f t="shared" ca="1" si="83"/>
        <v>45705</v>
      </c>
      <c r="B287" vm="854">
        <f ca="1"/>
        <v>45709</v>
      </c>
      <c r="C287" vm="855">
        <f ca="1"/>
        <v>261.48</v>
      </c>
      <c r="D287" vm="856">
        <f ca="1"/>
        <v>5667874</v>
      </c>
      <c r="E287">
        <f t="shared" ca="1" si="84"/>
        <v>1482035693.5200002</v>
      </c>
      <c r="F287">
        <f ca="1">SUM($E$2:E287)/SUM($D$2:D287)</f>
        <v>200.43353375770832</v>
      </c>
      <c r="G287">
        <f ca="1">_xlfn.STDEV.P($C$2:C287)</f>
        <v>25.807642365887148</v>
      </c>
      <c r="H287">
        <f t="shared" ca="1" si="85"/>
        <v>226.24117612359547</v>
      </c>
      <c r="I287">
        <f t="shared" ca="1" si="86"/>
        <v>174.62589139182117</v>
      </c>
      <c r="J287">
        <f t="shared" ca="1" si="95"/>
        <v>252.26599999999999</v>
      </c>
      <c r="K287">
        <f t="shared" ca="1" si="96"/>
        <v>14.258957812362613</v>
      </c>
      <c r="L287">
        <f t="shared" ca="1" si="97"/>
        <v>280.78391562472524</v>
      </c>
      <c r="M287">
        <f t="shared" ca="1" si="98"/>
        <v>223.74808437527477</v>
      </c>
      <c r="N287">
        <f t="shared" ca="1" si="87"/>
        <v>-3.2599999999999909</v>
      </c>
      <c r="O287">
        <f t="shared" ca="1" si="88"/>
        <v>0</v>
      </c>
      <c r="P287">
        <f t="shared" ca="1" si="89"/>
        <v>3.2599999999999909</v>
      </c>
      <c r="Q287">
        <f t="shared" ca="1" si="93"/>
        <v>2.0459836490791306</v>
      </c>
      <c r="R287">
        <f t="shared" ca="1" si="94"/>
        <v>1.0528769942826319</v>
      </c>
      <c r="S287">
        <f t="shared" ca="1" si="91"/>
        <v>1.943231412775946</v>
      </c>
      <c r="T287">
        <f t="shared" ca="1" si="92"/>
        <v>66.023738546034423</v>
      </c>
      <c r="U287">
        <f>70</f>
        <v>70</v>
      </c>
      <c r="V287">
        <f>30</f>
        <v>30</v>
      </c>
      <c r="W287">
        <f t="shared" ca="1" si="90"/>
        <v>257.92483259202498</v>
      </c>
      <c r="X287">
        <f t="shared" ca="1" si="100"/>
        <v>249.08441576221583</v>
      </c>
      <c r="Y287">
        <f t="shared" ca="1" si="99"/>
        <v>8.5002853478953568</v>
      </c>
      <c r="Z287">
        <f t="shared" ca="1" si="80"/>
        <v>8.6057482910321923</v>
      </c>
      <c r="AA287">
        <f t="shared" ca="1" si="81"/>
        <v>-0.10546294313683546</v>
      </c>
      <c r="AB287">
        <f t="shared" ca="1" si="82"/>
        <v>228.48949999999994</v>
      </c>
    </row>
    <row r="288" spans="1:28" x14ac:dyDescent="0.25">
      <c r="A288" s="20">
        <f t="shared" ca="1" si="83"/>
        <v>45712</v>
      </c>
      <c r="B288" vm="857">
        <f ca="1"/>
        <v>45712</v>
      </c>
      <c r="C288" vm="858">
        <f ca="1"/>
        <v>261.87</v>
      </c>
      <c r="D288" vm="859">
        <f ca="1"/>
        <v>4398107</v>
      </c>
      <c r="E288">
        <f t="shared" ca="1" si="84"/>
        <v>1151732280.0899999</v>
      </c>
      <c r="F288">
        <f ca="1">SUM($E$2:E288)/SUM($D$2:D288)</f>
        <v>200.65388003396114</v>
      </c>
      <c r="G288">
        <f ca="1">_xlfn.STDEV.P($C$2:C288)</f>
        <v>26.02422851816419</v>
      </c>
      <c r="H288">
        <f t="shared" ca="1" si="85"/>
        <v>226.67810855212534</v>
      </c>
      <c r="I288">
        <f t="shared" ca="1" si="86"/>
        <v>174.62965151579695</v>
      </c>
      <c r="J288">
        <f t="shared" ca="1" si="95"/>
        <v>254.11950000000002</v>
      </c>
      <c r="K288">
        <f t="shared" ca="1" si="96"/>
        <v>12.839466489571992</v>
      </c>
      <c r="L288">
        <f t="shared" ca="1" si="97"/>
        <v>279.79843297914402</v>
      </c>
      <c r="M288">
        <f t="shared" ca="1" si="98"/>
        <v>228.44056702085604</v>
      </c>
      <c r="N288">
        <f t="shared" ca="1" si="87"/>
        <v>0.38999999999998636</v>
      </c>
      <c r="O288">
        <f t="shared" ca="1" si="88"/>
        <v>0.38999999999998636</v>
      </c>
      <c r="P288">
        <f t="shared" ca="1" si="89"/>
        <v>0</v>
      </c>
      <c r="Q288">
        <f t="shared" ca="1" si="93"/>
        <v>1.9276991027163344</v>
      </c>
      <c r="R288">
        <f t="shared" ca="1" si="94"/>
        <v>0.97767149469101533</v>
      </c>
      <c r="S288">
        <f t="shared" ca="1" si="91"/>
        <v>1.9717247697045388</v>
      </c>
      <c r="T288">
        <f t="shared" ca="1" si="92"/>
        <v>66.349508198249993</v>
      </c>
      <c r="U288">
        <f>70</f>
        <v>70</v>
      </c>
      <c r="V288">
        <f>30</f>
        <v>30</v>
      </c>
      <c r="W288">
        <f t="shared" ca="1" si="90"/>
        <v>258.53178142402112</v>
      </c>
      <c r="X288">
        <f t="shared" ca="1" si="100"/>
        <v>250.03149607612576</v>
      </c>
      <c r="Y288">
        <f t="shared" ca="1" si="99"/>
        <v>7.8082702512632522</v>
      </c>
      <c r="Z288">
        <f t="shared" ca="1" si="80"/>
        <v>8.4462526830784039</v>
      </c>
      <c r="AA288">
        <f t="shared" ca="1" si="81"/>
        <v>-0.63798243181515168</v>
      </c>
      <c r="AB288">
        <f t="shared" ca="1" si="82"/>
        <v>228.89979999999991</v>
      </c>
    </row>
    <row r="289" spans="1:28" x14ac:dyDescent="0.25">
      <c r="A289" s="20">
        <f t="shared" ca="1" si="83"/>
        <v>45712</v>
      </c>
      <c r="B289" vm="860">
        <f ca="1"/>
        <v>45713</v>
      </c>
      <c r="C289" vm="861">
        <f ca="1"/>
        <v>257.75</v>
      </c>
      <c r="D289" vm="862">
        <f ca="1"/>
        <v>6292487</v>
      </c>
      <c r="E289">
        <f t="shared" ca="1" si="84"/>
        <v>1621888524.25</v>
      </c>
      <c r="F289">
        <f ca="1">SUM($E$2:E289)/SUM($D$2:D289)</f>
        <v>200.94536742897654</v>
      </c>
      <c r="G289">
        <f ca="1">_xlfn.STDEV.P($C$2:C289)</f>
        <v>26.203031587945137</v>
      </c>
      <c r="H289">
        <f t="shared" ca="1" si="85"/>
        <v>227.14839901692167</v>
      </c>
      <c r="I289">
        <f t="shared" ca="1" si="86"/>
        <v>174.74233584103141</v>
      </c>
      <c r="J289">
        <f t="shared" ca="1" si="95"/>
        <v>255.80049999999997</v>
      </c>
      <c r="K289">
        <f t="shared" ca="1" si="96"/>
        <v>10.734796580819729</v>
      </c>
      <c r="L289">
        <f t="shared" ca="1" si="97"/>
        <v>277.27009316163941</v>
      </c>
      <c r="M289">
        <f t="shared" ca="1" si="98"/>
        <v>234.33090683836051</v>
      </c>
      <c r="N289">
        <f t="shared" ca="1" si="87"/>
        <v>-4.1200000000000045</v>
      </c>
      <c r="O289">
        <f t="shared" ca="1" si="88"/>
        <v>0</v>
      </c>
      <c r="P289">
        <f t="shared" ca="1" si="89"/>
        <v>4.1200000000000045</v>
      </c>
      <c r="Q289">
        <f t="shared" ca="1" si="93"/>
        <v>1.7900063096651677</v>
      </c>
      <c r="R289">
        <f t="shared" ca="1" si="94"/>
        <v>1.2021235307845146</v>
      </c>
      <c r="S289">
        <f t="shared" ca="1" si="91"/>
        <v>1.4890369116200532</v>
      </c>
      <c r="T289">
        <f t="shared" ca="1" si="92"/>
        <v>59.823817986326105</v>
      </c>
      <c r="U289">
        <f>70</f>
        <v>70</v>
      </c>
      <c r="V289">
        <f>30</f>
        <v>30</v>
      </c>
      <c r="W289">
        <f t="shared" ca="1" si="90"/>
        <v>258.41150735878711</v>
      </c>
      <c r="X289">
        <f t="shared" ca="1" si="100"/>
        <v>250.60323710752385</v>
      </c>
      <c r="Y289">
        <f t="shared" ca="1" si="99"/>
        <v>7.0247453721211173</v>
      </c>
      <c r="Z289">
        <f t="shared" ca="1" si="80"/>
        <v>8.161951220886948</v>
      </c>
      <c r="AA289">
        <f t="shared" ca="1" si="81"/>
        <v>-1.1372058487658308</v>
      </c>
      <c r="AB289">
        <f t="shared" ca="1" si="82"/>
        <v>229.26649999999998</v>
      </c>
    </row>
    <row r="290" spans="1:28" x14ac:dyDescent="0.25">
      <c r="A290" s="20">
        <f t="shared" ca="1" si="83"/>
        <v>45712</v>
      </c>
      <c r="B290" vm="863">
        <f ca="1"/>
        <v>45714</v>
      </c>
      <c r="C290" vm="864">
        <f ca="1"/>
        <v>255.84</v>
      </c>
      <c r="D290" vm="865">
        <f ca="1"/>
        <v>3460124</v>
      </c>
      <c r="E290">
        <f t="shared" ca="1" si="84"/>
        <v>885238124.15999997</v>
      </c>
      <c r="F290">
        <f ca="1">SUM($E$2:E290)/SUM($D$2:D290)</f>
        <v>201.09903949567047</v>
      </c>
      <c r="G290">
        <f ca="1">_xlfn.STDEV.P($C$2:C290)</f>
        <v>26.363642041961498</v>
      </c>
      <c r="H290">
        <f t="shared" ca="1" si="85"/>
        <v>227.46268153763197</v>
      </c>
      <c r="I290">
        <f t="shared" ca="1" si="86"/>
        <v>174.73539745370897</v>
      </c>
      <c r="J290">
        <f t="shared" ca="1" si="95"/>
        <v>257.30949999999996</v>
      </c>
      <c r="K290">
        <f t="shared" ca="1" si="96"/>
        <v>8.0638618637656929</v>
      </c>
      <c r="L290">
        <f t="shared" ca="1" si="97"/>
        <v>273.43722372753132</v>
      </c>
      <c r="M290">
        <f t="shared" ca="1" si="98"/>
        <v>241.18177627246857</v>
      </c>
      <c r="N290">
        <f t="shared" ca="1" si="87"/>
        <v>-1.9099999999999966</v>
      </c>
      <c r="O290">
        <f t="shared" ca="1" si="88"/>
        <v>0</v>
      </c>
      <c r="P290">
        <f t="shared" ca="1" si="89"/>
        <v>1.9099999999999966</v>
      </c>
      <c r="Q290">
        <f t="shared" ca="1" si="93"/>
        <v>1.6621487161176558</v>
      </c>
      <c r="R290">
        <f t="shared" ca="1" si="94"/>
        <v>1.2526861357284775</v>
      </c>
      <c r="S290">
        <f t="shared" ca="1" si="91"/>
        <v>1.3268676556007883</v>
      </c>
      <c r="T290">
        <f t="shared" ca="1" si="92"/>
        <v>57.023769805171675</v>
      </c>
      <c r="U290">
        <f>70</f>
        <v>70</v>
      </c>
      <c r="V290">
        <f>30</f>
        <v>30</v>
      </c>
      <c r="W290">
        <f t="shared" ca="1" si="90"/>
        <v>258.01589084205062</v>
      </c>
      <c r="X290">
        <f t="shared" ca="1" si="100"/>
        <v>250.99114546992951</v>
      </c>
      <c r="Y290">
        <f t="shared" ca="1" si="99"/>
        <v>6.1226133970426417</v>
      </c>
      <c r="Z290">
        <f t="shared" ca="1" si="80"/>
        <v>7.7540836561180875</v>
      </c>
      <c r="AA290">
        <f t="shared" ca="1" si="81"/>
        <v>-1.6314702590754457</v>
      </c>
      <c r="AB290">
        <f t="shared" ca="1" si="82"/>
        <v>229.63139999999993</v>
      </c>
    </row>
    <row r="291" spans="1:28" x14ac:dyDescent="0.25">
      <c r="A291" s="20">
        <f t="shared" ca="1" si="83"/>
        <v>45712</v>
      </c>
      <c r="B291" vm="866">
        <f ca="1"/>
        <v>45715</v>
      </c>
      <c r="C291" vm="867">
        <f ca="1"/>
        <v>253.23</v>
      </c>
      <c r="D291" vm="868">
        <f ca="1"/>
        <v>3402234</v>
      </c>
      <c r="E291">
        <f t="shared" ca="1" si="84"/>
        <v>861547715.81999993</v>
      </c>
      <c r="F291">
        <f ca="1">SUM($E$2:E291)/SUM($D$2:D291)</f>
        <v>201.24213945564847</v>
      </c>
      <c r="G291">
        <f ca="1">_xlfn.STDEV.P($C$2:C291)</f>
        <v>26.502338297752097</v>
      </c>
      <c r="H291">
        <f t="shared" ca="1" si="85"/>
        <v>227.74447775340056</v>
      </c>
      <c r="I291">
        <f t="shared" ca="1" si="86"/>
        <v>174.73980115789638</v>
      </c>
      <c r="J291">
        <f t="shared" ca="1" si="95"/>
        <v>258.53949999999998</v>
      </c>
      <c r="K291">
        <f t="shared" ca="1" si="96"/>
        <v>4.5846545814901845</v>
      </c>
      <c r="L291">
        <f t="shared" ca="1" si="97"/>
        <v>267.70880916298034</v>
      </c>
      <c r="M291">
        <f t="shared" ca="1" si="98"/>
        <v>249.37019083701961</v>
      </c>
      <c r="N291">
        <f t="shared" ca="1" si="87"/>
        <v>-2.6100000000000136</v>
      </c>
      <c r="O291">
        <f t="shared" ca="1" si="88"/>
        <v>0</v>
      </c>
      <c r="P291">
        <f t="shared" ca="1" si="89"/>
        <v>2.6100000000000136</v>
      </c>
      <c r="Q291">
        <f t="shared" ca="1" si="93"/>
        <v>1.5434238078235374</v>
      </c>
      <c r="R291">
        <f t="shared" ca="1" si="94"/>
        <v>1.3496371260335871</v>
      </c>
      <c r="S291">
        <f t="shared" ca="1" si="91"/>
        <v>1.1435842850288691</v>
      </c>
      <c r="T291">
        <f t="shared" ca="1" si="92"/>
        <v>53.34916350226311</v>
      </c>
      <c r="U291">
        <f>70</f>
        <v>70</v>
      </c>
      <c r="V291">
        <f>30</f>
        <v>30</v>
      </c>
      <c r="W291">
        <f t="shared" ca="1" si="90"/>
        <v>257.27959994327364</v>
      </c>
      <c r="X291">
        <f t="shared" ca="1" si="100"/>
        <v>251.156986546231</v>
      </c>
      <c r="Y291">
        <f t="shared" ca="1" si="99"/>
        <v>5.283021526003381</v>
      </c>
      <c r="Z291">
        <f t="shared" ca="1" si="80"/>
        <v>7.2598712300951469</v>
      </c>
      <c r="AA291">
        <f t="shared" ca="1" si="81"/>
        <v>-1.9768497040917659</v>
      </c>
      <c r="AB291">
        <f t="shared" ca="1" si="82"/>
        <v>229.96639999999996</v>
      </c>
    </row>
    <row r="292" spans="1:28" x14ac:dyDescent="0.25">
      <c r="A292" s="20">
        <f t="shared" ca="1" si="83"/>
        <v>45712</v>
      </c>
      <c r="B292" vm="869">
        <f ca="1"/>
        <v>45716</v>
      </c>
      <c r="C292" vm="870">
        <f ca="1"/>
        <v>252.44</v>
      </c>
      <c r="D292" vm="871">
        <f ca="1"/>
        <v>7988809</v>
      </c>
      <c r="E292">
        <f t="shared" ca="1" si="84"/>
        <v>2016694943.96</v>
      </c>
      <c r="F292">
        <f ca="1">SUM($E$2:E292)/SUM($D$2:D292)</f>
        <v>201.57002567301186</v>
      </c>
      <c r="G292">
        <f ca="1">_xlfn.STDEV.P($C$2:C292)</f>
        <v>26.63277006865713</v>
      </c>
      <c r="H292">
        <f t="shared" ca="1" si="85"/>
        <v>228.20279574166898</v>
      </c>
      <c r="I292">
        <f t="shared" ca="1" si="86"/>
        <v>174.93725560435473</v>
      </c>
      <c r="J292">
        <f t="shared" ca="1" si="95"/>
        <v>258.24799999999999</v>
      </c>
      <c r="K292">
        <f t="shared" ca="1" si="96"/>
        <v>4.783710957647398</v>
      </c>
      <c r="L292">
        <f t="shared" ca="1" si="97"/>
        <v>267.81542191529479</v>
      </c>
      <c r="M292">
        <f t="shared" ca="1" si="98"/>
        <v>248.68057808470519</v>
      </c>
      <c r="N292">
        <f t="shared" ca="1" si="87"/>
        <v>-0.78999999999999204</v>
      </c>
      <c r="O292">
        <f t="shared" ca="1" si="88"/>
        <v>0</v>
      </c>
      <c r="P292">
        <f t="shared" ca="1" si="89"/>
        <v>0.78999999999999204</v>
      </c>
      <c r="Q292">
        <f t="shared" ca="1" si="93"/>
        <v>1.4331792501218561</v>
      </c>
      <c r="R292">
        <f t="shared" ca="1" si="94"/>
        <v>1.3096630456026159</v>
      </c>
      <c r="S292">
        <f t="shared" ca="1" si="91"/>
        <v>1.0943114375365204</v>
      </c>
      <c r="T292">
        <f t="shared" ca="1" si="92"/>
        <v>52.251609666216979</v>
      </c>
      <c r="U292">
        <f>70</f>
        <v>70</v>
      </c>
      <c r="V292">
        <f>30</f>
        <v>30</v>
      </c>
      <c r="W292">
        <f t="shared" ca="1" si="90"/>
        <v>256.5350461058469</v>
      </c>
      <c r="X292">
        <f t="shared" ca="1" si="100"/>
        <v>251.25202457984352</v>
      </c>
      <c r="Y292">
        <f t="shared" ca="1" si="99"/>
        <v>4.3855290740381179</v>
      </c>
      <c r="Z292">
        <f t="shared" ca="1" si="80"/>
        <v>6.6850027988837413</v>
      </c>
      <c r="AA292">
        <f t="shared" ca="1" si="81"/>
        <v>-2.2994737248456234</v>
      </c>
      <c r="AB292">
        <f t="shared" ca="1" si="82"/>
        <v>230.26359999999997</v>
      </c>
    </row>
    <row r="293" spans="1:28" x14ac:dyDescent="0.25">
      <c r="A293" s="20">
        <f t="shared" ca="1" si="83"/>
        <v>45719</v>
      </c>
      <c r="B293" vm="872">
        <f ca="1"/>
        <v>45719</v>
      </c>
      <c r="C293" vm="873">
        <f ca="1"/>
        <v>250.19</v>
      </c>
      <c r="D293" vm="874">
        <f ca="1"/>
        <v>2977699</v>
      </c>
      <c r="E293">
        <f t="shared" ca="1" si="84"/>
        <v>744990512.80999994</v>
      </c>
      <c r="F293">
        <f ca="1">SUM($E$2:E293)/SUM($D$2:D293)</f>
        <v>201.6858098900089</v>
      </c>
      <c r="G293">
        <f ca="1">_xlfn.STDEV.P($C$2:C293)</f>
        <v>26.745868691552992</v>
      </c>
      <c r="H293">
        <f t="shared" ca="1" si="85"/>
        <v>228.4316785815619</v>
      </c>
      <c r="I293">
        <f t="shared" ca="1" si="86"/>
        <v>174.9399411984559</v>
      </c>
      <c r="J293">
        <f t="shared" ca="1" si="95"/>
        <v>257.97249999999997</v>
      </c>
      <c r="K293">
        <f t="shared" ca="1" si="96"/>
        <v>5.0872129428908108</v>
      </c>
      <c r="L293">
        <f t="shared" ca="1" si="97"/>
        <v>268.14692588578157</v>
      </c>
      <c r="M293">
        <f t="shared" ca="1" si="98"/>
        <v>247.79807411421834</v>
      </c>
      <c r="N293">
        <f t="shared" ca="1" si="87"/>
        <v>-2.25</v>
      </c>
      <c r="O293">
        <f t="shared" ca="1" si="88"/>
        <v>0</v>
      </c>
      <c r="P293">
        <f t="shared" ca="1" si="89"/>
        <v>2.25</v>
      </c>
      <c r="Q293">
        <f t="shared" ca="1" si="93"/>
        <v>1.3308093036845805</v>
      </c>
      <c r="R293">
        <f t="shared" ca="1" si="94"/>
        <v>1.3768299709167149</v>
      </c>
      <c r="S293">
        <f t="shared" ca="1" si="91"/>
        <v>0.96657490888181852</v>
      </c>
      <c r="T293">
        <f t="shared" ca="1" si="92"/>
        <v>49.150169897744021</v>
      </c>
      <c r="U293">
        <f>70</f>
        <v>70</v>
      </c>
      <c r="V293">
        <f>30</f>
        <v>30</v>
      </c>
      <c r="W293">
        <f t="shared" ca="1" si="90"/>
        <v>255.55888516648582</v>
      </c>
      <c r="X293">
        <f t="shared" ca="1" si="100"/>
        <v>251.1733560924477</v>
      </c>
      <c r="Y293">
        <f t="shared" ca="1" si="99"/>
        <v>3.8732996136774602</v>
      </c>
      <c r="Z293">
        <f t="shared" ca="1" si="80"/>
        <v>6.1226621618424852</v>
      </c>
      <c r="AA293">
        <f t="shared" ca="1" si="81"/>
        <v>-2.249362548165025</v>
      </c>
      <c r="AB293">
        <f t="shared" ca="1" si="82"/>
        <v>230.50549999999996</v>
      </c>
    </row>
    <row r="294" spans="1:28" x14ac:dyDescent="0.25">
      <c r="A294" s="20">
        <f t="shared" ca="1" si="83"/>
        <v>45719</v>
      </c>
      <c r="B294" vm="875">
        <f ca="1"/>
        <v>45720</v>
      </c>
      <c r="C294" vm="876">
        <f ca="1"/>
        <v>253.21</v>
      </c>
      <c r="D294" vm="877">
        <f ca="1"/>
        <v>5342106</v>
      </c>
      <c r="E294">
        <f t="shared" ca="1" si="84"/>
        <v>1352674660.26</v>
      </c>
      <c r="F294">
        <f ca="1">SUM($E$2:E294)/SUM($D$2:D294)</f>
        <v>201.90500255366976</v>
      </c>
      <c r="G294">
        <f ca="1">_xlfn.STDEV.P($C$2:C294)</f>
        <v>26.876206361875845</v>
      </c>
      <c r="H294">
        <f t="shared" ca="1" si="85"/>
        <v>228.78120891554562</v>
      </c>
      <c r="I294">
        <f t="shared" ca="1" si="86"/>
        <v>175.0287961917939</v>
      </c>
      <c r="J294">
        <f t="shared" ca="1" si="95"/>
        <v>257.59649999999993</v>
      </c>
      <c r="K294">
        <f t="shared" ca="1" si="96"/>
        <v>5.1501918972934746</v>
      </c>
      <c r="L294">
        <f t="shared" ca="1" si="97"/>
        <v>267.89688379458687</v>
      </c>
      <c r="M294">
        <f t="shared" ca="1" si="98"/>
        <v>247.296116205413</v>
      </c>
      <c r="N294">
        <f t="shared" ca="1" si="87"/>
        <v>3.0200000000000102</v>
      </c>
      <c r="O294">
        <f t="shared" ca="1" si="88"/>
        <v>3.0200000000000102</v>
      </c>
      <c r="P294">
        <f t="shared" ca="1" si="89"/>
        <v>0</v>
      </c>
      <c r="Q294">
        <f t="shared" ca="1" si="93"/>
        <v>1.4514657819928254</v>
      </c>
      <c r="R294">
        <f t="shared" ca="1" si="94"/>
        <v>1.2784849729940926</v>
      </c>
      <c r="S294">
        <f t="shared" ca="1" si="91"/>
        <v>1.1353014017784095</v>
      </c>
      <c r="T294">
        <f t="shared" ca="1" si="92"/>
        <v>53.16820383449668</v>
      </c>
      <c r="U294">
        <f>70</f>
        <v>70</v>
      </c>
      <c r="V294">
        <f>30</f>
        <v>30</v>
      </c>
      <c r="W294">
        <f t="shared" ca="1" si="90"/>
        <v>255.1975182177957</v>
      </c>
      <c r="X294">
        <f t="shared" ca="1" si="100"/>
        <v>251.32421860411824</v>
      </c>
      <c r="Y294">
        <f t="shared" ca="1" si="99"/>
        <v>3.2794640009882983</v>
      </c>
      <c r="Z294">
        <f t="shared" ref="Z294:Z357" ca="1" si="101">Y294*(2/(9+1)) + Z293*(1-(2/(9+1)))</f>
        <v>5.5540225296716486</v>
      </c>
      <c r="AA294">
        <f t="shared" ref="AA294:AA357" ca="1" si="102">Y294-Z294</f>
        <v>-2.2745585286833503</v>
      </c>
      <c r="AB294">
        <f t="shared" ref="AB294:AB357" ca="1" si="103">AVERAGE(C195:C294)</f>
        <v>230.76639999999995</v>
      </c>
    </row>
    <row r="295" spans="1:28" x14ac:dyDescent="0.25">
      <c r="A295" s="20">
        <f t="shared" ca="1" si="83"/>
        <v>45719</v>
      </c>
      <c r="B295" vm="878">
        <f ca="1"/>
        <v>45721</v>
      </c>
      <c r="C295" vm="879">
        <f ca="1"/>
        <v>251.35</v>
      </c>
      <c r="D295" vm="880">
        <f ca="1"/>
        <v>4009813</v>
      </c>
      <c r="E295">
        <f t="shared" ca="1" si="84"/>
        <v>1007866497.55</v>
      </c>
      <c r="F295">
        <f ca="1">SUM($E$2:E295)/SUM($D$2:D295)</f>
        <v>202.06238787919131</v>
      </c>
      <c r="G295">
        <f ca="1">_xlfn.STDEV.P($C$2:C295)</f>
        <v>26.991813130575782</v>
      </c>
      <c r="H295">
        <f t="shared" ca="1" si="85"/>
        <v>229.0542010097671</v>
      </c>
      <c r="I295">
        <f t="shared" ca="1" si="86"/>
        <v>175.07057474861551</v>
      </c>
      <c r="J295">
        <f t="shared" ca="1" si="95"/>
        <v>256.94099999999997</v>
      </c>
      <c r="K295">
        <f t="shared" ca="1" si="96"/>
        <v>5.0642325755189574</v>
      </c>
      <c r="L295">
        <f t="shared" ca="1" si="97"/>
        <v>267.06946515103789</v>
      </c>
      <c r="M295">
        <f t="shared" ca="1" si="98"/>
        <v>246.81253484896206</v>
      </c>
      <c r="N295">
        <f t="shared" ca="1" si="87"/>
        <v>-1.8600000000000136</v>
      </c>
      <c r="O295">
        <f t="shared" ca="1" si="88"/>
        <v>0</v>
      </c>
      <c r="P295">
        <f t="shared" ca="1" si="89"/>
        <v>1.8600000000000136</v>
      </c>
      <c r="Q295">
        <f t="shared" ca="1" si="93"/>
        <v>1.3477896547076236</v>
      </c>
      <c r="R295">
        <f t="shared" ca="1" si="94"/>
        <v>1.3200217606373725</v>
      </c>
      <c r="S295">
        <f t="shared" ca="1" si="91"/>
        <v>1.0210359366021688</v>
      </c>
      <c r="T295">
        <f t="shared" ca="1" si="92"/>
        <v>50.520424605549934</v>
      </c>
      <c r="U295">
        <f>70</f>
        <v>70</v>
      </c>
      <c r="V295">
        <f>30</f>
        <v>30</v>
      </c>
      <c r="W295">
        <f t="shared" ca="1" si="90"/>
        <v>254.60559233813484</v>
      </c>
      <c r="X295">
        <f t="shared" ca="1" si="100"/>
        <v>251.32612833714654</v>
      </c>
      <c r="Y295">
        <f t="shared" ca="1" si="99"/>
        <v>2.5646416377590526</v>
      </c>
      <c r="Z295">
        <f t="shared" ca="1" si="101"/>
        <v>4.9561463512891288</v>
      </c>
      <c r="AA295">
        <f t="shared" ca="1" si="102"/>
        <v>-2.3915047135300762</v>
      </c>
      <c r="AB295">
        <f t="shared" ca="1" si="103"/>
        <v>230.99369999999996</v>
      </c>
    </row>
    <row r="296" spans="1:28" x14ac:dyDescent="0.25">
      <c r="A296" s="20">
        <f t="shared" ca="1" si="83"/>
        <v>45719</v>
      </c>
      <c r="B296" vm="881">
        <f ca="1"/>
        <v>45722</v>
      </c>
      <c r="C296" vm="882">
        <f ca="1"/>
        <v>248.69</v>
      </c>
      <c r="D296" vm="883">
        <f ca="1"/>
        <v>3254358</v>
      </c>
      <c r="E296">
        <f t="shared" ca="1" si="84"/>
        <v>809326291.01999998</v>
      </c>
      <c r="F296">
        <f ca="1">SUM($E$2:E296)/SUM($D$2:D296)</f>
        <v>202.18253289869114</v>
      </c>
      <c r="G296">
        <f ca="1">_xlfn.STDEV.P($C$2:C296)</f>
        <v>27.088777795890394</v>
      </c>
      <c r="H296">
        <f t="shared" ca="1" si="85"/>
        <v>229.27131069458153</v>
      </c>
      <c r="I296">
        <f t="shared" ca="1" si="86"/>
        <v>175.09375510280074</v>
      </c>
      <c r="J296">
        <f t="shared" ca="1" si="95"/>
        <v>256.21049999999997</v>
      </c>
      <c r="K296">
        <f t="shared" ca="1" si="96"/>
        <v>5.1516583686584276</v>
      </c>
      <c r="L296">
        <f t="shared" ca="1" si="97"/>
        <v>266.5138167373168</v>
      </c>
      <c r="M296">
        <f t="shared" ca="1" si="98"/>
        <v>245.90718326268311</v>
      </c>
      <c r="N296">
        <f t="shared" ca="1" si="87"/>
        <v>-2.6599999999999966</v>
      </c>
      <c r="O296">
        <f t="shared" ca="1" si="88"/>
        <v>0</v>
      </c>
      <c r="P296">
        <f t="shared" ca="1" si="89"/>
        <v>2.6599999999999966</v>
      </c>
      <c r="Q296">
        <f t="shared" ca="1" si="93"/>
        <v>1.2515189650856506</v>
      </c>
      <c r="R296">
        <f t="shared" ca="1" si="94"/>
        <v>1.4157344920204171</v>
      </c>
      <c r="S296">
        <f t="shared" ca="1" si="91"/>
        <v>0.88400683330077523</v>
      </c>
      <c r="T296">
        <f t="shared" ca="1" si="92"/>
        <v>46.921636252879061</v>
      </c>
      <c r="U296">
        <f>70</f>
        <v>70</v>
      </c>
      <c r="V296">
        <f>30</f>
        <v>30</v>
      </c>
      <c r="W296">
        <f t="shared" ca="1" si="90"/>
        <v>253.69550120919104</v>
      </c>
      <c r="X296">
        <f t="shared" ca="1" si="100"/>
        <v>251.13085957143198</v>
      </c>
      <c r="Y296">
        <f t="shared" ca="1" si="99"/>
        <v>3.000440166422635</v>
      </c>
      <c r="Z296">
        <f t="shared" ca="1" si="101"/>
        <v>4.5650051143158308</v>
      </c>
      <c r="AA296">
        <f t="shared" ca="1" si="102"/>
        <v>-1.5645649478931958</v>
      </c>
      <c r="AB296">
        <f t="shared" ca="1" si="103"/>
        <v>231.13759999999994</v>
      </c>
    </row>
    <row r="297" spans="1:28" x14ac:dyDescent="0.25">
      <c r="A297" s="20">
        <f t="shared" ca="1" si="83"/>
        <v>45719</v>
      </c>
      <c r="B297" vm="884">
        <f ca="1"/>
        <v>45723</v>
      </c>
      <c r="C297" vm="885">
        <f ca="1"/>
        <v>261.54000000000002</v>
      </c>
      <c r="D297" vm="886">
        <f ca="1"/>
        <v>6700184</v>
      </c>
      <c r="E297">
        <f t="shared" ca="1" si="84"/>
        <v>1752366123.3600001</v>
      </c>
      <c r="F297">
        <f ca="1">SUM($E$2:E297)/SUM($D$2:D297)</f>
        <v>202.49576158241396</v>
      </c>
      <c r="G297">
        <f ca="1">_xlfn.STDEV.P($C$2:C297)</f>
        <v>27.269673675521098</v>
      </c>
      <c r="H297">
        <f t="shared" ca="1" si="85"/>
        <v>229.76543525793505</v>
      </c>
      <c r="I297">
        <f t="shared" ca="1" si="86"/>
        <v>175.22608790689287</v>
      </c>
      <c r="J297">
        <f t="shared" ca="1" si="95"/>
        <v>256.6155</v>
      </c>
      <c r="K297">
        <f t="shared" ca="1" si="96"/>
        <v>5.2400255875229025</v>
      </c>
      <c r="L297">
        <f t="shared" ca="1" si="97"/>
        <v>267.09555117504578</v>
      </c>
      <c r="M297">
        <f t="shared" ca="1" si="98"/>
        <v>246.13544882495418</v>
      </c>
      <c r="N297">
        <f t="shared" ca="1" si="87"/>
        <v>12.850000000000023</v>
      </c>
      <c r="O297">
        <f t="shared" ca="1" si="88"/>
        <v>12.850000000000023</v>
      </c>
      <c r="P297">
        <f t="shared" ca="1" si="89"/>
        <v>0</v>
      </c>
      <c r="Q297">
        <f t="shared" ca="1" si="93"/>
        <v>2.0799818961509629</v>
      </c>
      <c r="R297">
        <f t="shared" ca="1" si="94"/>
        <v>1.3146105997332445</v>
      </c>
      <c r="S297">
        <f t="shared" ca="1" si="91"/>
        <v>1.582203807403519</v>
      </c>
      <c r="T297">
        <f t="shared" ca="1" si="92"/>
        <v>61.273389918608743</v>
      </c>
      <c r="U297">
        <f>70</f>
        <v>70</v>
      </c>
      <c r="V297">
        <f>30</f>
        <v>30</v>
      </c>
      <c r="W297">
        <f t="shared" ca="1" si="90"/>
        <v>254.90234717700781</v>
      </c>
      <c r="X297">
        <f t="shared" ca="1" si="100"/>
        <v>251.90190701058518</v>
      </c>
      <c r="Y297">
        <f t="shared" ca="1" si="99"/>
        <v>2.9375422596328917</v>
      </c>
      <c r="Z297">
        <f t="shared" ca="1" si="101"/>
        <v>4.2395125433792433</v>
      </c>
      <c r="AA297">
        <f t="shared" ca="1" si="102"/>
        <v>-1.3019702837463516</v>
      </c>
      <c r="AB297">
        <f t="shared" ca="1" si="103"/>
        <v>231.42279999999991</v>
      </c>
    </row>
    <row r="298" spans="1:28" x14ac:dyDescent="0.25">
      <c r="A298" s="20">
        <f t="shared" ca="1" si="83"/>
        <v>45726</v>
      </c>
      <c r="B298" vm="887">
        <f ca="1"/>
        <v>45726</v>
      </c>
      <c r="C298" vm="888">
        <f ca="1"/>
        <v>256.89999999999998</v>
      </c>
      <c r="D298" vm="889">
        <f ca="1"/>
        <v>8165503</v>
      </c>
      <c r="E298">
        <f t="shared" ca="1" si="84"/>
        <v>2097717720.6999998</v>
      </c>
      <c r="F298">
        <f ca="1">SUM($E$2:E298)/SUM($D$2:D298)</f>
        <v>202.843402656682</v>
      </c>
      <c r="G298">
        <f ca="1">_xlfn.STDEV.P($C$2:C298)</f>
        <v>27.413773307637292</v>
      </c>
      <c r="H298">
        <f t="shared" ca="1" si="85"/>
        <v>230.25717596431929</v>
      </c>
      <c r="I298">
        <f t="shared" ca="1" si="86"/>
        <v>175.42962934904472</v>
      </c>
      <c r="J298">
        <f t="shared" ca="1" si="95"/>
        <v>256.84350000000001</v>
      </c>
      <c r="K298">
        <f t="shared" ca="1" si="96"/>
        <v>5.1425001855026453</v>
      </c>
      <c r="L298">
        <f t="shared" ca="1" si="97"/>
        <v>267.12850037100532</v>
      </c>
      <c r="M298">
        <f t="shared" ca="1" si="98"/>
        <v>246.55849962899472</v>
      </c>
      <c r="N298">
        <f t="shared" ca="1" si="87"/>
        <v>-4.6400000000000432</v>
      </c>
      <c r="O298">
        <f t="shared" ca="1" si="88"/>
        <v>0</v>
      </c>
      <c r="P298">
        <f t="shared" ca="1" si="89"/>
        <v>4.6400000000000432</v>
      </c>
      <c r="Q298">
        <f t="shared" ca="1" si="93"/>
        <v>1.9314117607116084</v>
      </c>
      <c r="R298">
        <f t="shared" ca="1" si="94"/>
        <v>1.5521384140380157</v>
      </c>
      <c r="S298">
        <f t="shared" ca="1" si="91"/>
        <v>1.2443553636990929</v>
      </c>
      <c r="T298">
        <f t="shared" ca="1" si="92"/>
        <v>55.443776142837557</v>
      </c>
      <c r="U298">
        <f>70</f>
        <v>70</v>
      </c>
      <c r="V298">
        <f>30</f>
        <v>30</v>
      </c>
      <c r="W298">
        <f t="shared" ca="1" si="90"/>
        <v>255.20967838054509</v>
      </c>
      <c r="X298">
        <f t="shared" ca="1" si="100"/>
        <v>252.27213612091219</v>
      </c>
      <c r="Y298">
        <f t="shared" ca="1" si="99"/>
        <v>2.2205989735766991</v>
      </c>
      <c r="Z298">
        <f t="shared" ca="1" si="101"/>
        <v>3.8357298294187347</v>
      </c>
      <c r="AA298">
        <f t="shared" ca="1" si="102"/>
        <v>-1.6151308558420356</v>
      </c>
      <c r="AB298">
        <f t="shared" ca="1" si="103"/>
        <v>231.65919999999994</v>
      </c>
    </row>
    <row r="299" spans="1:28" x14ac:dyDescent="0.25">
      <c r="A299" s="20">
        <f t="shared" ca="1" si="83"/>
        <v>45726</v>
      </c>
      <c r="B299" vm="890">
        <f ca="1"/>
        <v>45727</v>
      </c>
      <c r="C299" vm="891">
        <f ca="1"/>
        <v>248.95</v>
      </c>
      <c r="D299" vm="892">
        <f ca="1"/>
        <v>5630570</v>
      </c>
      <c r="E299">
        <f t="shared" ca="1" si="84"/>
        <v>1401730401.5</v>
      </c>
      <c r="F299">
        <f ca="1">SUM($E$2:E299)/SUM($D$2:D299)</f>
        <v>203.04566798303642</v>
      </c>
      <c r="G299">
        <f ca="1">_xlfn.STDEV.P($C$2:C299)</f>
        <v>27.505195241006984</v>
      </c>
      <c r="H299">
        <f t="shared" ca="1" si="85"/>
        <v>230.55086322404341</v>
      </c>
      <c r="I299">
        <f t="shared" ca="1" si="86"/>
        <v>175.54047274202944</v>
      </c>
      <c r="J299">
        <f t="shared" ca="1" si="95"/>
        <v>256.82749999999999</v>
      </c>
      <c r="K299">
        <f t="shared" ca="1" si="96"/>
        <v>5.1677398857059176</v>
      </c>
      <c r="L299">
        <f t="shared" ca="1" si="97"/>
        <v>267.16297977141181</v>
      </c>
      <c r="M299">
        <f t="shared" ca="1" si="98"/>
        <v>246.49202022858816</v>
      </c>
      <c r="N299">
        <f t="shared" ca="1" si="87"/>
        <v>-7.9499999999999886</v>
      </c>
      <c r="O299">
        <f t="shared" ca="1" si="88"/>
        <v>0</v>
      </c>
      <c r="P299">
        <f t="shared" ca="1" si="89"/>
        <v>7.9499999999999886</v>
      </c>
      <c r="Q299">
        <f t="shared" ca="1" si="93"/>
        <v>1.7934537778036364</v>
      </c>
      <c r="R299">
        <f t="shared" ca="1" si="94"/>
        <v>2.0091285273210135</v>
      </c>
      <c r="S299">
        <f t="shared" ca="1" si="91"/>
        <v>0.89265258713689188</v>
      </c>
      <c r="T299">
        <f t="shared" ca="1" si="92"/>
        <v>47.164101494572293</v>
      </c>
      <c r="U299">
        <f>70</f>
        <v>70</v>
      </c>
      <c r="V299">
        <f>30</f>
        <v>30</v>
      </c>
      <c r="W299">
        <f t="shared" ca="1" si="90"/>
        <v>254.24665093738429</v>
      </c>
      <c r="X299">
        <f t="shared" ca="1" si="100"/>
        <v>252.02605196380759</v>
      </c>
      <c r="Y299">
        <f t="shared" ca="1" si="99"/>
        <v>1.6878303138622925</v>
      </c>
      <c r="Z299">
        <f t="shared" ca="1" si="101"/>
        <v>3.4061499263074464</v>
      </c>
      <c r="AA299">
        <f t="shared" ca="1" si="102"/>
        <v>-1.7183196124451539</v>
      </c>
      <c r="AB299">
        <f t="shared" ca="1" si="103"/>
        <v>231.79609999999994</v>
      </c>
    </row>
    <row r="300" spans="1:28" x14ac:dyDescent="0.25">
      <c r="A300" s="20">
        <f t="shared" ca="1" si="83"/>
        <v>45726</v>
      </c>
      <c r="B300" vm="893">
        <f ca="1"/>
        <v>45728</v>
      </c>
      <c r="C300" vm="894">
        <f ca="1"/>
        <v>249.63</v>
      </c>
      <c r="D300" vm="895">
        <f ca="1"/>
        <v>3849206</v>
      </c>
      <c r="E300">
        <f t="shared" ca="1" si="84"/>
        <v>960877293.77999997</v>
      </c>
      <c r="F300">
        <f ca="1">SUM($E$2:E300)/SUM($D$2:D300)</f>
        <v>203.18495688966985</v>
      </c>
      <c r="G300">
        <f ca="1">_xlfn.STDEV.P($C$2:C300)</f>
        <v>27.598710102343325</v>
      </c>
      <c r="H300">
        <f t="shared" ca="1" si="85"/>
        <v>230.78366699201317</v>
      </c>
      <c r="I300">
        <f t="shared" ca="1" si="86"/>
        <v>175.58624678732653</v>
      </c>
      <c r="J300">
        <f t="shared" ca="1" si="95"/>
        <v>256.57399999999996</v>
      </c>
      <c r="K300">
        <f t="shared" ca="1" si="96"/>
        <v>5.3968688778041063</v>
      </c>
      <c r="L300">
        <f t="shared" ca="1" si="97"/>
        <v>267.36773775560818</v>
      </c>
      <c r="M300">
        <f t="shared" ca="1" si="98"/>
        <v>245.78026224439174</v>
      </c>
      <c r="N300">
        <f t="shared" ca="1" si="87"/>
        <v>0.68000000000000682</v>
      </c>
      <c r="O300">
        <f t="shared" ca="1" si="88"/>
        <v>0.68000000000000682</v>
      </c>
      <c r="P300">
        <f t="shared" ca="1" si="89"/>
        <v>0</v>
      </c>
      <c r="Q300">
        <f t="shared" ca="1" si="93"/>
        <v>1.7139213651033771</v>
      </c>
      <c r="R300">
        <f t="shared" ca="1" si="94"/>
        <v>1.8656193467980839</v>
      </c>
      <c r="S300">
        <f t="shared" ca="1" si="91"/>
        <v>0.91868760261568772</v>
      </c>
      <c r="T300">
        <f t="shared" ca="1" si="92"/>
        <v>47.881041257746659</v>
      </c>
      <c r="U300">
        <f>70</f>
        <v>70</v>
      </c>
      <c r="V300">
        <f>30</f>
        <v>30</v>
      </c>
      <c r="W300">
        <f t="shared" ca="1" si="90"/>
        <v>253.53639694701747</v>
      </c>
      <c r="X300">
        <f t="shared" ca="1" si="100"/>
        <v>251.84856663315517</v>
      </c>
      <c r="Y300">
        <f t="shared" ca="1" si="99"/>
        <v>0.94565737176282028</v>
      </c>
      <c r="Z300">
        <f t="shared" ca="1" si="101"/>
        <v>2.9140514153985215</v>
      </c>
      <c r="AA300">
        <f t="shared" ca="1" si="102"/>
        <v>-1.9683940436357013</v>
      </c>
      <c r="AB300">
        <f t="shared" ca="1" si="103"/>
        <v>231.96279999999996</v>
      </c>
    </row>
    <row r="301" spans="1:28" x14ac:dyDescent="0.25">
      <c r="A301" s="20">
        <f t="shared" ca="1" si="83"/>
        <v>45726</v>
      </c>
      <c r="B301" vm="896">
        <f ca="1"/>
        <v>45729</v>
      </c>
      <c r="C301" vm="897">
        <f ca="1"/>
        <v>245.8</v>
      </c>
      <c r="D301" vm="898">
        <f ca="1"/>
        <v>3862416</v>
      </c>
      <c r="E301">
        <f t="shared" ca="1" si="84"/>
        <v>949381852.80000007</v>
      </c>
      <c r="F301">
        <f ca="1">SUM($E$2:E301)/SUM($D$2:D301)</f>
        <v>203.31243230038802</v>
      </c>
      <c r="G301">
        <f ca="1">_xlfn.STDEV.P($C$2:C301)</f>
        <v>27.66925131228162</v>
      </c>
      <c r="H301">
        <f t="shared" ca="1" si="85"/>
        <v>230.98168361266966</v>
      </c>
      <c r="I301">
        <f t="shared" ca="1" si="86"/>
        <v>175.64318098810639</v>
      </c>
      <c r="J301">
        <f t="shared" ca="1" si="95"/>
        <v>256.07350000000002</v>
      </c>
      <c r="K301">
        <f t="shared" ca="1" si="96"/>
        <v>5.9111093223736475</v>
      </c>
      <c r="L301">
        <f t="shared" ca="1" si="97"/>
        <v>267.89571864474732</v>
      </c>
      <c r="M301">
        <f t="shared" ca="1" si="98"/>
        <v>244.25128135525273</v>
      </c>
      <c r="N301">
        <f t="shared" ca="1" si="87"/>
        <v>-3.8299999999999841</v>
      </c>
      <c r="O301">
        <f t="shared" ca="1" si="88"/>
        <v>0</v>
      </c>
      <c r="P301">
        <f t="shared" ca="1" si="89"/>
        <v>3.8299999999999841</v>
      </c>
      <c r="Q301">
        <f t="shared" ca="1" si="93"/>
        <v>1.591498410453136</v>
      </c>
      <c r="R301">
        <f t="shared" ca="1" si="94"/>
        <v>2.0059322505982196</v>
      </c>
      <c r="S301">
        <f t="shared" ca="1" si="91"/>
        <v>0.79339589359436791</v>
      </c>
      <c r="T301">
        <f t="shared" ca="1" si="92"/>
        <v>44.239863402621296</v>
      </c>
      <c r="U301">
        <f>70</f>
        <v>70</v>
      </c>
      <c r="V301">
        <f>30</f>
        <v>30</v>
      </c>
      <c r="W301">
        <f t="shared" ca="1" si="90"/>
        <v>252.34618203209169</v>
      </c>
      <c r="X301">
        <f t="shared" ca="1" si="100"/>
        <v>251.40052466032887</v>
      </c>
      <c r="Y301">
        <f t="shared" ca="1" si="99"/>
        <v>0.55682492571040143</v>
      </c>
      <c r="Z301">
        <f t="shared" ca="1" si="101"/>
        <v>2.4426061174608975</v>
      </c>
      <c r="AA301">
        <f t="shared" ca="1" si="102"/>
        <v>-1.8857811917504961</v>
      </c>
      <c r="AB301">
        <f t="shared" ca="1" si="103"/>
        <v>232.08409999999995</v>
      </c>
    </row>
    <row r="302" spans="1:28" x14ac:dyDescent="0.25">
      <c r="A302" s="20">
        <f t="shared" ca="1" si="83"/>
        <v>45726</v>
      </c>
      <c r="B302" vm="899">
        <f ca="1"/>
        <v>45730</v>
      </c>
      <c r="C302" vm="900">
        <f ca="1"/>
        <v>248.35</v>
      </c>
      <c r="D302" vm="901">
        <f ca="1"/>
        <v>4045284</v>
      </c>
      <c r="E302">
        <f t="shared" ca="1" si="84"/>
        <v>1004646281.4</v>
      </c>
      <c r="F302">
        <f ca="1">SUM($E$2:E302)/SUM($D$2:D302)</f>
        <v>203.45309206590011</v>
      </c>
      <c r="G302">
        <f ca="1">_xlfn.STDEV.P($C$2:C302)</f>
        <v>27.752117511511702</v>
      </c>
      <c r="H302">
        <f t="shared" ca="1" si="85"/>
        <v>231.20520957741181</v>
      </c>
      <c r="I302">
        <f t="shared" ca="1" si="86"/>
        <v>175.70097455438841</v>
      </c>
      <c r="J302">
        <f t="shared" ca="1" si="95"/>
        <v>255.53149999999999</v>
      </c>
      <c r="K302">
        <f t="shared" ca="1" si="96"/>
        <v>6.1041299867169325</v>
      </c>
      <c r="L302">
        <f t="shared" ca="1" si="97"/>
        <v>267.73975997343388</v>
      </c>
      <c r="M302">
        <f t="shared" ca="1" si="98"/>
        <v>243.32324002656614</v>
      </c>
      <c r="N302">
        <f t="shared" ca="1" si="87"/>
        <v>2.5499999999999829</v>
      </c>
      <c r="O302">
        <f t="shared" ca="1" si="88"/>
        <v>2.5499999999999829</v>
      </c>
      <c r="P302">
        <f t="shared" ca="1" si="89"/>
        <v>0</v>
      </c>
      <c r="Q302">
        <f t="shared" ca="1" si="93"/>
        <v>1.659962809706482</v>
      </c>
      <c r="R302">
        <f t="shared" ca="1" si="94"/>
        <v>1.8626513755554897</v>
      </c>
      <c r="S302">
        <f t="shared" ca="1" si="91"/>
        <v>0.89118276854757061</v>
      </c>
      <c r="T302">
        <f t="shared" ca="1" si="92"/>
        <v>47.123037676152236</v>
      </c>
      <c r="U302">
        <f>70</f>
        <v>70</v>
      </c>
      <c r="V302">
        <f>30</f>
        <v>30</v>
      </c>
      <c r="W302">
        <f t="shared" ca="1" si="90"/>
        <v>251.73138479638527</v>
      </c>
      <c r="X302">
        <f t="shared" ca="1" si="100"/>
        <v>251.17455987067487</v>
      </c>
      <c r="Y302">
        <f t="shared" ca="1" si="99"/>
        <v>0.61438554574669979</v>
      </c>
      <c r="Z302">
        <f t="shared" ca="1" si="101"/>
        <v>2.0769620031180582</v>
      </c>
      <c r="AA302">
        <f t="shared" ca="1" si="102"/>
        <v>-1.4625764573713584</v>
      </c>
      <c r="AB302">
        <f t="shared" ca="1" si="103"/>
        <v>232.23879999999994</v>
      </c>
    </row>
    <row r="303" spans="1:28" x14ac:dyDescent="0.25">
      <c r="A303" s="20">
        <f t="shared" ca="1" si="83"/>
        <v>45733</v>
      </c>
      <c r="B303" vm="902">
        <f ca="1"/>
        <v>45733</v>
      </c>
      <c r="C303" vm="903">
        <f ca="1"/>
        <v>252.97</v>
      </c>
      <c r="D303" vm="904">
        <f ca="1"/>
        <v>3234149</v>
      </c>
      <c r="E303">
        <f t="shared" ca="1" si="84"/>
        <v>818142672.52999997</v>
      </c>
      <c r="F303">
        <f ca="1">SUM($E$2:E303)/SUM($D$2:D303)</f>
        <v>203.57642425379245</v>
      </c>
      <c r="G303">
        <f ca="1">_xlfn.STDEV.P($C$2:C303)</f>
        <v>27.85994379129313</v>
      </c>
      <c r="H303">
        <f t="shared" ca="1" si="85"/>
        <v>231.43636804508557</v>
      </c>
      <c r="I303">
        <f t="shared" ca="1" si="86"/>
        <v>175.71648046249933</v>
      </c>
      <c r="J303">
        <f t="shared" ca="1" si="95"/>
        <v>255.11600000000004</v>
      </c>
      <c r="K303">
        <f t="shared" ca="1" si="96"/>
        <v>5.9736741757393128</v>
      </c>
      <c r="L303">
        <f t="shared" ca="1" si="97"/>
        <v>267.06334835147868</v>
      </c>
      <c r="M303">
        <f t="shared" ca="1" si="98"/>
        <v>243.1686516485214</v>
      </c>
      <c r="N303">
        <f t="shared" ca="1" si="87"/>
        <v>4.6200000000000045</v>
      </c>
      <c r="O303">
        <f t="shared" ca="1" si="88"/>
        <v>4.6200000000000045</v>
      </c>
      <c r="P303">
        <f t="shared" ca="1" si="89"/>
        <v>0</v>
      </c>
      <c r="Q303">
        <f t="shared" ca="1" si="93"/>
        <v>1.8713940375845908</v>
      </c>
      <c r="R303">
        <f t="shared" ca="1" si="94"/>
        <v>1.7296048487300977</v>
      </c>
      <c r="S303">
        <f t="shared" ca="1" si="91"/>
        <v>1.0819777933431425</v>
      </c>
      <c r="T303">
        <f t="shared" ca="1" si="92"/>
        <v>51.968748024240604</v>
      </c>
      <c r="U303">
        <f>70</f>
        <v>70</v>
      </c>
      <c r="V303">
        <f>30</f>
        <v>30</v>
      </c>
      <c r="W303">
        <f t="shared" ca="1" si="90"/>
        <v>251.92194098155676</v>
      </c>
      <c r="X303">
        <f t="shared" ca="1" si="100"/>
        <v>251.30755543581006</v>
      </c>
      <c r="Y303">
        <f t="shared" ca="1" si="99"/>
        <v>0.17225343271817906</v>
      </c>
      <c r="Z303">
        <f t="shared" ca="1" si="101"/>
        <v>1.6960202890380824</v>
      </c>
      <c r="AA303">
        <f t="shared" ca="1" si="102"/>
        <v>-1.5237668563199034</v>
      </c>
      <c r="AB303">
        <f t="shared" ca="1" si="103"/>
        <v>232.44649999999993</v>
      </c>
    </row>
    <row r="304" spans="1:28" x14ac:dyDescent="0.25">
      <c r="A304" s="20">
        <f t="shared" ca="1" si="83"/>
        <v>45733</v>
      </c>
      <c r="B304" vm="905">
        <f ca="1"/>
        <v>45734</v>
      </c>
      <c r="C304" vm="906">
        <f ca="1"/>
        <v>246.95</v>
      </c>
      <c r="D304" vm="907">
        <f ca="1"/>
        <v>4172239</v>
      </c>
      <c r="E304">
        <f t="shared" ca="1" si="84"/>
        <v>1030334421.05</v>
      </c>
      <c r="F304">
        <f ca="1">SUM($E$2:E304)/SUM($D$2:D304)</f>
        <v>203.71534403155547</v>
      </c>
      <c r="G304">
        <f ca="1">_xlfn.STDEV.P($C$2:C304)</f>
        <v>27.931837377452378</v>
      </c>
      <c r="H304">
        <f t="shared" ca="1" si="85"/>
        <v>231.64718140900786</v>
      </c>
      <c r="I304">
        <f t="shared" ca="1" si="86"/>
        <v>175.78350665410309</v>
      </c>
      <c r="J304">
        <f t="shared" ca="1" si="95"/>
        <v>254.31</v>
      </c>
      <c r="K304">
        <f t="shared" ca="1" si="96"/>
        <v>5.9313422639931694</v>
      </c>
      <c r="L304">
        <f t="shared" ca="1" si="97"/>
        <v>266.17268452798635</v>
      </c>
      <c r="M304">
        <f t="shared" ca="1" si="98"/>
        <v>242.44731547201366</v>
      </c>
      <c r="N304">
        <f t="shared" ca="1" si="87"/>
        <v>-6.0200000000000102</v>
      </c>
      <c r="O304">
        <f t="shared" ca="1" si="88"/>
        <v>0</v>
      </c>
      <c r="P304">
        <f t="shared" ca="1" si="89"/>
        <v>6.0200000000000102</v>
      </c>
      <c r="Q304">
        <f t="shared" ca="1" si="93"/>
        <v>1.737723034899977</v>
      </c>
      <c r="R304">
        <f t="shared" ca="1" si="94"/>
        <v>2.0360616452493772</v>
      </c>
      <c r="S304">
        <f t="shared" ca="1" si="91"/>
        <v>0.85347270253555629</v>
      </c>
      <c r="T304">
        <f t="shared" ca="1" si="92"/>
        <v>46.047222673849099</v>
      </c>
      <c r="U304">
        <f>70</f>
        <v>70</v>
      </c>
      <c r="V304">
        <f>30</f>
        <v>30</v>
      </c>
      <c r="W304">
        <f t="shared" ca="1" si="90"/>
        <v>251.15702698439418</v>
      </c>
      <c r="X304">
        <f t="shared" ca="1" si="100"/>
        <v>250.984773551676</v>
      </c>
      <c r="Y304">
        <f t="shared" ca="1" si="99"/>
        <v>0.24987353296401693</v>
      </c>
      <c r="Z304">
        <f t="shared" ca="1" si="101"/>
        <v>1.4067909378232695</v>
      </c>
      <c r="AA304">
        <f t="shared" ca="1" si="102"/>
        <v>-1.1569174048592525</v>
      </c>
      <c r="AB304">
        <f t="shared" ca="1" si="103"/>
        <v>232.59849999999994</v>
      </c>
    </row>
    <row r="305" spans="1:28" x14ac:dyDescent="0.25">
      <c r="A305" s="20">
        <f t="shared" ca="1" si="83"/>
        <v>45733</v>
      </c>
      <c r="B305" vm="908">
        <f ca="1"/>
        <v>45735</v>
      </c>
      <c r="C305" vm="909">
        <f ca="1"/>
        <v>252.29</v>
      </c>
      <c r="D305" vm="910">
        <f ca="1"/>
        <v>3853598</v>
      </c>
      <c r="E305">
        <f t="shared" ca="1" si="84"/>
        <v>972224239.41999996</v>
      </c>
      <c r="F305">
        <f ca="1">SUM($E$2:E305)/SUM($D$2:D305)</f>
        <v>203.85861657047133</v>
      </c>
      <c r="G305">
        <f ca="1">_xlfn.STDEV.P($C$2:C305)</f>
        <v>28.031815484526479</v>
      </c>
      <c r="H305">
        <f t="shared" ca="1" si="85"/>
        <v>231.8904320549978</v>
      </c>
      <c r="I305">
        <f t="shared" ca="1" si="86"/>
        <v>175.82680108594485</v>
      </c>
      <c r="J305">
        <f t="shared" ca="1" si="95"/>
        <v>253.70850000000002</v>
      </c>
      <c r="K305">
        <f t="shared" ca="1" si="96"/>
        <v>5.4535350920297603</v>
      </c>
      <c r="L305">
        <f t="shared" ca="1" si="97"/>
        <v>264.61557018405955</v>
      </c>
      <c r="M305">
        <f t="shared" ca="1" si="98"/>
        <v>242.80142981594048</v>
      </c>
      <c r="N305">
        <f t="shared" ca="1" si="87"/>
        <v>5.3400000000000034</v>
      </c>
      <c r="O305">
        <f t="shared" ca="1" si="88"/>
        <v>5.3400000000000034</v>
      </c>
      <c r="P305">
        <f t="shared" ca="1" si="89"/>
        <v>0</v>
      </c>
      <c r="Q305">
        <f t="shared" ca="1" si="93"/>
        <v>1.995028532407122</v>
      </c>
      <c r="R305">
        <f t="shared" ca="1" si="94"/>
        <v>1.8906286705887074</v>
      </c>
      <c r="S305">
        <f t="shared" ca="1" si="91"/>
        <v>1.0552196544157486</v>
      </c>
      <c r="T305">
        <f t="shared" ca="1" si="92"/>
        <v>51.343400309964586</v>
      </c>
      <c r="U305">
        <f>70</f>
        <v>70</v>
      </c>
      <c r="V305">
        <f>30</f>
        <v>30</v>
      </c>
      <c r="W305">
        <f t="shared" ca="1" si="90"/>
        <v>251.33133052525662</v>
      </c>
      <c r="X305">
        <f t="shared" ca="1" si="100"/>
        <v>251.0814569922926</v>
      </c>
      <c r="Y305">
        <f t="shared" ca="1" si="99"/>
        <v>-0.40771611536717955</v>
      </c>
      <c r="Z305">
        <f t="shared" ca="1" si="101"/>
        <v>1.0438895271851798</v>
      </c>
      <c r="AA305">
        <f t="shared" ca="1" si="102"/>
        <v>-1.4516056425523594</v>
      </c>
      <c r="AB305">
        <f t="shared" ca="1" si="103"/>
        <v>232.79889999999995</v>
      </c>
    </row>
    <row r="306" spans="1:28" x14ac:dyDescent="0.25">
      <c r="A306" s="20">
        <f t="shared" ca="1" si="83"/>
        <v>45733</v>
      </c>
      <c r="B306" vm="911">
        <f ca="1"/>
        <v>45736</v>
      </c>
      <c r="C306" vm="912">
        <f ca="1"/>
        <v>243.32</v>
      </c>
      <c r="D306" vm="913">
        <f ca="1"/>
        <v>7026796</v>
      </c>
      <c r="E306">
        <f t="shared" ca="1" si="84"/>
        <v>1709760002.72</v>
      </c>
      <c r="F306">
        <f ca="1">SUM($E$2:E306)/SUM($D$2:D306)</f>
        <v>204.06971595404863</v>
      </c>
      <c r="G306">
        <f ca="1">_xlfn.STDEV.P($C$2:C306)</f>
        <v>28.082651048376007</v>
      </c>
      <c r="H306">
        <f t="shared" ca="1" si="85"/>
        <v>232.15236700242463</v>
      </c>
      <c r="I306">
        <f t="shared" ca="1" si="86"/>
        <v>175.98706490567264</v>
      </c>
      <c r="J306">
        <f t="shared" ca="1" si="95"/>
        <v>252.63749999999999</v>
      </c>
      <c r="K306">
        <f t="shared" ca="1" si="96"/>
        <v>5.2733988590202268</v>
      </c>
      <c r="L306">
        <f t="shared" ca="1" si="97"/>
        <v>263.18429771804045</v>
      </c>
      <c r="M306">
        <f t="shared" ca="1" si="98"/>
        <v>242.09070228195952</v>
      </c>
      <c r="N306">
        <f t="shared" ca="1" si="87"/>
        <v>-8.9699999999999989</v>
      </c>
      <c r="O306">
        <f t="shared" ca="1" si="88"/>
        <v>0</v>
      </c>
      <c r="P306">
        <f t="shared" ca="1" si="89"/>
        <v>8.9699999999999989</v>
      </c>
      <c r="Q306">
        <f t="shared" ca="1" si="93"/>
        <v>1.8525264943780417</v>
      </c>
      <c r="R306">
        <f t="shared" ca="1" si="94"/>
        <v>2.3962980512609424</v>
      </c>
      <c r="S306">
        <f t="shared" ca="1" si="91"/>
        <v>0.77307849639289827</v>
      </c>
      <c r="T306">
        <f t="shared" ca="1" si="92"/>
        <v>43.600917723926365</v>
      </c>
      <c r="U306">
        <f>70</f>
        <v>70</v>
      </c>
      <c r="V306">
        <f>30</f>
        <v>30</v>
      </c>
      <c r="W306">
        <f t="shared" ca="1" si="90"/>
        <v>250.0988181367556</v>
      </c>
      <c r="X306">
        <f t="shared" ca="1" si="100"/>
        <v>250.50653425212278</v>
      </c>
      <c r="Y306">
        <f t="shared" ca="1" si="99"/>
        <v>-0.87440069892733163</v>
      </c>
      <c r="Z306">
        <f t="shared" ca="1" si="101"/>
        <v>0.66023148196267756</v>
      </c>
      <c r="AA306">
        <f t="shared" ca="1" si="102"/>
        <v>-1.5346321808900092</v>
      </c>
      <c r="AB306">
        <f t="shared" ca="1" si="103"/>
        <v>232.90459999999996</v>
      </c>
    </row>
    <row r="307" spans="1:28" x14ac:dyDescent="0.25">
      <c r="A307" s="20">
        <f t="shared" ca="1" si="83"/>
        <v>45733</v>
      </c>
      <c r="B307" vm="914">
        <f ca="1"/>
        <v>45737</v>
      </c>
      <c r="C307" vm="915">
        <f ca="1"/>
        <v>243.87</v>
      </c>
      <c r="D307" vm="916">
        <f ca="1"/>
        <v>9580084</v>
      </c>
      <c r="E307">
        <f t="shared" ca="1" si="84"/>
        <v>2336295085.0799999</v>
      </c>
      <c r="F307">
        <f ca="1">SUM($E$2:E307)/SUM($D$2:D307)</f>
        <v>204.35789130984392</v>
      </c>
      <c r="G307">
        <f ca="1">_xlfn.STDEV.P($C$2:C307)</f>
        <v>28.135039268831012</v>
      </c>
      <c r="H307">
        <f t="shared" ca="1" si="85"/>
        <v>232.49293057867493</v>
      </c>
      <c r="I307">
        <f t="shared" ca="1" si="86"/>
        <v>176.22285204101291</v>
      </c>
      <c r="J307">
        <f t="shared" ca="1" si="95"/>
        <v>251.75699999999998</v>
      </c>
      <c r="K307">
        <f t="shared" ca="1" si="96"/>
        <v>5.1887510920005466</v>
      </c>
      <c r="L307">
        <f t="shared" ca="1" si="97"/>
        <v>262.13450218400106</v>
      </c>
      <c r="M307">
        <f t="shared" ca="1" si="98"/>
        <v>241.37949781599889</v>
      </c>
      <c r="N307">
        <f t="shared" ca="1" si="87"/>
        <v>0.55000000000001137</v>
      </c>
      <c r="O307">
        <f t="shared" ca="1" si="88"/>
        <v>0.55000000000001137</v>
      </c>
      <c r="P307">
        <f t="shared" ca="1" si="89"/>
        <v>0</v>
      </c>
      <c r="Q307">
        <f t="shared" ca="1" si="93"/>
        <v>1.7594888876367538</v>
      </c>
      <c r="R307">
        <f t="shared" ca="1" si="94"/>
        <v>2.2251339047423038</v>
      </c>
      <c r="S307">
        <f t="shared" ca="1" si="91"/>
        <v>0.79073393465752928</v>
      </c>
      <c r="T307">
        <f t="shared" ca="1" si="92"/>
        <v>44.156974933786238</v>
      </c>
      <c r="U307">
        <f>70</f>
        <v>70</v>
      </c>
      <c r="V307">
        <f>30</f>
        <v>30</v>
      </c>
      <c r="W307">
        <f t="shared" ca="1" si="90"/>
        <v>249.14053842340857</v>
      </c>
      <c r="X307">
        <f t="shared" ca="1" si="100"/>
        <v>250.0149391223359</v>
      </c>
      <c r="Y307">
        <f t="shared" ca="1" si="99"/>
        <v>-0.86471596298241593</v>
      </c>
      <c r="Z307">
        <f t="shared" ca="1" si="101"/>
        <v>0.35524199297365888</v>
      </c>
      <c r="AA307">
        <f t="shared" ca="1" si="102"/>
        <v>-1.2199579559560747</v>
      </c>
      <c r="AB307">
        <f t="shared" ca="1" si="103"/>
        <v>233.15939999999995</v>
      </c>
    </row>
    <row r="308" spans="1:28" x14ac:dyDescent="0.25">
      <c r="A308" s="20">
        <f t="shared" ca="1" si="83"/>
        <v>45740</v>
      </c>
      <c r="B308" vm="917">
        <f ca="1"/>
        <v>45740</v>
      </c>
      <c r="C308" vm="918">
        <f ca="1"/>
        <v>248.45</v>
      </c>
      <c r="D308" vm="919">
        <f ca="1"/>
        <v>4753331</v>
      </c>
      <c r="E308">
        <f t="shared" ca="1" si="84"/>
        <v>1180965086.95</v>
      </c>
      <c r="F308">
        <f ca="1">SUM($E$2:E308)/SUM($D$2:D308)</f>
        <v>204.51572614456026</v>
      </c>
      <c r="G308">
        <f ca="1">_xlfn.STDEV.P($C$2:C308)</f>
        <v>28.209203849950626</v>
      </c>
      <c r="H308">
        <f t="shared" ca="1" si="85"/>
        <v>232.72492999451089</v>
      </c>
      <c r="I308">
        <f t="shared" ca="1" si="86"/>
        <v>176.30652229460964</v>
      </c>
      <c r="J308">
        <f t="shared" ca="1" si="95"/>
        <v>251.08599999999996</v>
      </c>
      <c r="K308">
        <f t="shared" ca="1" si="96"/>
        <v>4.6520978855611066</v>
      </c>
      <c r="L308">
        <f t="shared" ca="1" si="97"/>
        <v>260.39019577112219</v>
      </c>
      <c r="M308">
        <f t="shared" ca="1" si="98"/>
        <v>241.78180422887775</v>
      </c>
      <c r="N308">
        <f t="shared" ca="1" si="87"/>
        <v>4.5799999999999841</v>
      </c>
      <c r="O308">
        <f t="shared" ca="1" si="88"/>
        <v>4.5799999999999841</v>
      </c>
      <c r="P308">
        <f t="shared" ca="1" si="89"/>
        <v>0</v>
      </c>
      <c r="Q308">
        <f t="shared" ca="1" si="93"/>
        <v>1.9609539670912703</v>
      </c>
      <c r="R308">
        <f t="shared" ca="1" si="94"/>
        <v>2.066195768689282</v>
      </c>
      <c r="S308">
        <f t="shared" ca="1" si="91"/>
        <v>0.94906494186425849</v>
      </c>
      <c r="T308">
        <f t="shared" ca="1" si="92"/>
        <v>48.693346305664328</v>
      </c>
      <c r="U308">
        <f>70</f>
        <v>70</v>
      </c>
      <c r="V308">
        <f>30</f>
        <v>30</v>
      </c>
      <c r="W308">
        <f t="shared" ca="1" si="90"/>
        <v>249.03430174288417</v>
      </c>
      <c r="X308">
        <f t="shared" ca="1" si="100"/>
        <v>249.89901770586658</v>
      </c>
      <c r="Y308">
        <f t="shared" ca="1" si="99"/>
        <v>-0.73160437826226143</v>
      </c>
      <c r="Z308">
        <f t="shared" ca="1" si="101"/>
        <v>0.1378727187264748</v>
      </c>
      <c r="AA308">
        <f t="shared" ca="1" si="102"/>
        <v>-0.86947709698873621</v>
      </c>
      <c r="AB308">
        <f t="shared" ca="1" si="103"/>
        <v>233.49719999999996</v>
      </c>
    </row>
    <row r="309" spans="1:28" x14ac:dyDescent="0.25">
      <c r="A309" s="20">
        <f t="shared" ca="1" si="83"/>
        <v>45740</v>
      </c>
      <c r="B309" vm="920">
        <f ca="1"/>
        <v>45741</v>
      </c>
      <c r="C309" vm="921">
        <f ca="1"/>
        <v>249.9</v>
      </c>
      <c r="D309" vm="922">
        <f ca="1"/>
        <v>3133809</v>
      </c>
      <c r="E309">
        <f t="shared" ca="1" si="84"/>
        <v>783138869.10000002</v>
      </c>
      <c r="F309">
        <f ca="1">SUM($E$2:E309)/SUM($D$2:D309)</f>
        <v>204.62258194689372</v>
      </c>
      <c r="G309">
        <f ca="1">_xlfn.STDEV.P($C$2:C309)</f>
        <v>28.289584974509772</v>
      </c>
      <c r="H309">
        <f t="shared" ca="1" si="85"/>
        <v>232.9121669214035</v>
      </c>
      <c r="I309">
        <f t="shared" ca="1" si="86"/>
        <v>176.33299697238394</v>
      </c>
      <c r="J309">
        <f t="shared" ca="1" si="95"/>
        <v>250.69349999999994</v>
      </c>
      <c r="K309">
        <f t="shared" ca="1" si="96"/>
        <v>4.3836709862613414</v>
      </c>
      <c r="L309">
        <f t="shared" ca="1" si="97"/>
        <v>259.46084197252264</v>
      </c>
      <c r="M309">
        <f t="shared" ca="1" si="98"/>
        <v>241.92615802747727</v>
      </c>
      <c r="N309">
        <f t="shared" ca="1" si="87"/>
        <v>1.4500000000000171</v>
      </c>
      <c r="O309">
        <f t="shared" ca="1" si="88"/>
        <v>1.4500000000000171</v>
      </c>
      <c r="P309">
        <f t="shared" ca="1" si="89"/>
        <v>0</v>
      </c>
      <c r="Q309">
        <f t="shared" ca="1" si="93"/>
        <v>1.9244572551561809</v>
      </c>
      <c r="R309">
        <f t="shared" ca="1" si="94"/>
        <v>1.9186103566400476</v>
      </c>
      <c r="S309">
        <f t="shared" ca="1" si="91"/>
        <v>1.0030474653156636</v>
      </c>
      <c r="T309">
        <f t="shared" ca="1" si="92"/>
        <v>50.076070721449021</v>
      </c>
      <c r="U309">
        <f>70</f>
        <v>70</v>
      </c>
      <c r="V309">
        <f>30</f>
        <v>30</v>
      </c>
      <c r="W309">
        <f t="shared" ca="1" si="90"/>
        <v>249.16748609013274</v>
      </c>
      <c r="X309">
        <f t="shared" ca="1" si="100"/>
        <v>249.899090468395</v>
      </c>
      <c r="Y309">
        <f t="shared" ca="1" si="99"/>
        <v>-0.58387758820211388</v>
      </c>
      <c r="Z309">
        <f t="shared" ca="1" si="101"/>
        <v>-6.4773426592429351E-3</v>
      </c>
      <c r="AA309">
        <f t="shared" ca="1" si="102"/>
        <v>-0.57740024554287095</v>
      </c>
      <c r="AB309">
        <f t="shared" ca="1" si="103"/>
        <v>233.86709999999997</v>
      </c>
    </row>
    <row r="310" spans="1:28" x14ac:dyDescent="0.25">
      <c r="A310" s="20">
        <f t="shared" ca="1" si="83"/>
        <v>45740</v>
      </c>
      <c r="B310" vm="923">
        <f ca="1"/>
        <v>45742</v>
      </c>
      <c r="C310" vm="924">
        <f ca="1"/>
        <v>250.34</v>
      </c>
      <c r="D310" vm="925">
        <f ca="1"/>
        <v>4452220</v>
      </c>
      <c r="E310">
        <f t="shared" ca="1" si="84"/>
        <v>1114568754.8</v>
      </c>
      <c r="F310">
        <f ca="1">SUM($E$2:E310)/SUM($D$2:D310)</f>
        <v>204.77499712334549</v>
      </c>
      <c r="G310">
        <f ca="1">_xlfn.STDEV.P($C$2:C310)</f>
        <v>28.370761014754795</v>
      </c>
      <c r="H310">
        <f t="shared" ca="1" si="85"/>
        <v>233.14575813810029</v>
      </c>
      <c r="I310">
        <f t="shared" ca="1" si="86"/>
        <v>176.40423610859068</v>
      </c>
      <c r="J310">
        <f t="shared" ca="1" si="95"/>
        <v>250.41849999999994</v>
      </c>
      <c r="K310">
        <f t="shared" ca="1" si="96"/>
        <v>4.2130177645258673</v>
      </c>
      <c r="L310">
        <f t="shared" ca="1" si="97"/>
        <v>258.84453552905165</v>
      </c>
      <c r="M310">
        <f t="shared" ca="1" si="98"/>
        <v>241.99246447094819</v>
      </c>
      <c r="N310">
        <f t="shared" ca="1" si="87"/>
        <v>0.43999999999999773</v>
      </c>
      <c r="O310">
        <f t="shared" ca="1" si="88"/>
        <v>0.43999999999999773</v>
      </c>
      <c r="P310">
        <f t="shared" ca="1" si="89"/>
        <v>0</v>
      </c>
      <c r="Q310">
        <f t="shared" ca="1" si="93"/>
        <v>1.8184245940735964</v>
      </c>
      <c r="R310">
        <f t="shared" ca="1" si="94"/>
        <v>1.7815667597371871</v>
      </c>
      <c r="S310">
        <f t="shared" ca="1" si="91"/>
        <v>1.0206884384965997</v>
      </c>
      <c r="T310">
        <f t="shared" ca="1" si="92"/>
        <v>50.511915595260987</v>
      </c>
      <c r="U310">
        <f>70</f>
        <v>70</v>
      </c>
      <c r="V310">
        <f>30</f>
        <v>30</v>
      </c>
      <c r="W310">
        <f t="shared" ca="1" si="90"/>
        <v>249.34787284549697</v>
      </c>
      <c r="X310">
        <f t="shared" ca="1" si="100"/>
        <v>249.93175043369908</v>
      </c>
      <c r="Y310">
        <f t="shared" ca="1" si="99"/>
        <v>-0.79094203942906915</v>
      </c>
      <c r="Z310">
        <f t="shared" ca="1" si="101"/>
        <v>-0.16337028201320819</v>
      </c>
      <c r="AA310">
        <f t="shared" ca="1" si="102"/>
        <v>-0.62757175741586102</v>
      </c>
      <c r="AB310">
        <f t="shared" ca="1" si="103"/>
        <v>234.2662</v>
      </c>
    </row>
    <row r="311" spans="1:28" x14ac:dyDescent="0.25">
      <c r="A311" s="20">
        <f t="shared" ca="1" si="83"/>
        <v>45740</v>
      </c>
      <c r="B311" vm="926">
        <f ca="1"/>
        <v>45743</v>
      </c>
      <c r="C311" vm="927">
        <f ca="1"/>
        <v>246.21</v>
      </c>
      <c r="D311" vm="928">
        <f ca="1"/>
        <v>2889328</v>
      </c>
      <c r="E311">
        <f t="shared" ca="1" si="84"/>
        <v>711381446.88</v>
      </c>
      <c r="F311">
        <f ca="1">SUM($E$2:E311)/SUM($D$2:D311)</f>
        <v>204.86445024876244</v>
      </c>
      <c r="G311">
        <f ca="1">_xlfn.STDEV.P($C$2:C311)</f>
        <v>28.42936312931749</v>
      </c>
      <c r="H311">
        <f t="shared" ca="1" si="85"/>
        <v>233.29381337807993</v>
      </c>
      <c r="I311">
        <f t="shared" ca="1" si="86"/>
        <v>176.43508711944494</v>
      </c>
      <c r="J311">
        <f t="shared" ca="1" si="95"/>
        <v>250.06749999999997</v>
      </c>
      <c r="K311">
        <f t="shared" ca="1" si="96"/>
        <v>4.2586368896508127</v>
      </c>
      <c r="L311">
        <f t="shared" ca="1" si="97"/>
        <v>258.5847737793016</v>
      </c>
      <c r="M311">
        <f t="shared" ca="1" si="98"/>
        <v>241.55022622069833</v>
      </c>
      <c r="N311">
        <f t="shared" ca="1" si="87"/>
        <v>-4.1299999999999955</v>
      </c>
      <c r="O311">
        <f t="shared" ca="1" si="88"/>
        <v>0</v>
      </c>
      <c r="P311">
        <f t="shared" ca="1" si="89"/>
        <v>4.1299999999999955</v>
      </c>
      <c r="Q311">
        <f t="shared" ca="1" si="93"/>
        <v>1.6885371230683395</v>
      </c>
      <c r="R311">
        <f t="shared" ca="1" si="94"/>
        <v>1.9493119911845305</v>
      </c>
      <c r="S311">
        <f t="shared" ca="1" si="91"/>
        <v>0.86622209820926255</v>
      </c>
      <c r="T311">
        <f t="shared" ca="1" si="92"/>
        <v>46.415809728137283</v>
      </c>
      <c r="U311">
        <f>70</f>
        <v>70</v>
      </c>
      <c r="V311">
        <f>30</f>
        <v>30</v>
      </c>
      <c r="W311">
        <f t="shared" ca="1" si="90"/>
        <v>248.86512317695897</v>
      </c>
      <c r="X311">
        <f t="shared" ca="1" si="100"/>
        <v>249.65606521638804</v>
      </c>
      <c r="Y311">
        <f t="shared" ca="1" si="99"/>
        <v>-1.1204547343854472</v>
      </c>
      <c r="Z311">
        <f t="shared" ca="1" si="101"/>
        <v>-0.35478717248765601</v>
      </c>
      <c r="AA311">
        <f t="shared" ca="1" si="102"/>
        <v>-0.76566756189779117</v>
      </c>
      <c r="AB311">
        <f t="shared" ca="1" si="103"/>
        <v>234.67929999999996</v>
      </c>
    </row>
    <row r="312" spans="1:28" x14ac:dyDescent="0.25">
      <c r="A312" s="20">
        <f t="shared" ca="1" si="83"/>
        <v>45740</v>
      </c>
      <c r="B312" vm="929">
        <f ca="1"/>
        <v>45744</v>
      </c>
      <c r="C312" vm="930">
        <f ca="1"/>
        <v>244</v>
      </c>
      <c r="D312" vm="931">
        <f ca="1"/>
        <v>3125594</v>
      </c>
      <c r="E312">
        <f t="shared" ca="1" si="84"/>
        <v>762644936</v>
      </c>
      <c r="F312">
        <f ca="1">SUM($E$2:E312)/SUM($D$2:D312)</f>
        <v>204.95563500217662</v>
      </c>
      <c r="G312">
        <f ca="1">_xlfn.STDEV.P($C$2:C312)</f>
        <v>28.476435883744479</v>
      </c>
      <c r="H312">
        <f t="shared" ca="1" si="85"/>
        <v>233.43207088592109</v>
      </c>
      <c r="I312">
        <f t="shared" ca="1" si="86"/>
        <v>176.47919911843215</v>
      </c>
      <c r="J312">
        <f t="shared" ca="1" si="95"/>
        <v>249.6455</v>
      </c>
      <c r="K312">
        <f t="shared" ca="1" si="96"/>
        <v>4.4260466796596623</v>
      </c>
      <c r="L312">
        <f t="shared" ca="1" si="97"/>
        <v>258.4975933593193</v>
      </c>
      <c r="M312">
        <f t="shared" ca="1" si="98"/>
        <v>240.79340664068067</v>
      </c>
      <c r="N312">
        <f t="shared" ca="1" si="87"/>
        <v>-2.210000000000008</v>
      </c>
      <c r="O312">
        <f t="shared" ca="1" si="88"/>
        <v>0</v>
      </c>
      <c r="P312">
        <f t="shared" ca="1" si="89"/>
        <v>2.210000000000008</v>
      </c>
      <c r="Q312">
        <f t="shared" ca="1" si="93"/>
        <v>1.5679273285634581</v>
      </c>
      <c r="R312">
        <f t="shared" ca="1" si="94"/>
        <v>1.9679325632427787</v>
      </c>
      <c r="S312">
        <f t="shared" ca="1" si="91"/>
        <v>0.79673834248660025</v>
      </c>
      <c r="T312">
        <f t="shared" ca="1" si="92"/>
        <v>44.343593257098995</v>
      </c>
      <c r="U312">
        <f>70</f>
        <v>70</v>
      </c>
      <c r="V312">
        <f>30</f>
        <v>30</v>
      </c>
      <c r="W312">
        <f t="shared" ca="1" si="90"/>
        <v>248.11664268819607</v>
      </c>
      <c r="X312">
        <f t="shared" ca="1" si="100"/>
        <v>249.23709742258151</v>
      </c>
      <c r="Y312">
        <f t="shared" ca="1" si="99"/>
        <v>-0.99411334457201406</v>
      </c>
      <c r="Z312">
        <f t="shared" ca="1" si="101"/>
        <v>-0.48265240690452765</v>
      </c>
      <c r="AA312">
        <f t="shared" ca="1" si="102"/>
        <v>-0.51146093766748635</v>
      </c>
      <c r="AB312">
        <f t="shared" ca="1" si="103"/>
        <v>235.0521</v>
      </c>
    </row>
    <row r="313" spans="1:28" x14ac:dyDescent="0.25">
      <c r="A313" s="20">
        <f t="shared" ca="1" si="83"/>
        <v>45747</v>
      </c>
      <c r="B313" vm="932">
        <f ca="1"/>
        <v>45747</v>
      </c>
      <c r="C313" vm="933">
        <f ca="1"/>
        <v>248.66</v>
      </c>
      <c r="D313" vm="934">
        <f ca="1"/>
        <v>6794972</v>
      </c>
      <c r="E313">
        <f t="shared" ca="1" si="84"/>
        <v>1689637737.52</v>
      </c>
      <c r="F313">
        <f ca="1">SUM($E$2:E313)/SUM($D$2:D313)</f>
        <v>205.17589540430325</v>
      </c>
      <c r="G313">
        <f ca="1">_xlfn.STDEV.P($C$2:C313)</f>
        <v>28.544859022274444</v>
      </c>
      <c r="H313">
        <f t="shared" ca="1" si="85"/>
        <v>233.72075442657768</v>
      </c>
      <c r="I313">
        <f t="shared" ca="1" si="86"/>
        <v>176.63103638202881</v>
      </c>
      <c r="J313">
        <f t="shared" ca="1" si="95"/>
        <v>249.56899999999996</v>
      </c>
      <c r="K313">
        <f t="shared" ca="1" si="96"/>
        <v>4.4293612465717436</v>
      </c>
      <c r="L313">
        <f t="shared" ca="1" si="97"/>
        <v>258.42772249314345</v>
      </c>
      <c r="M313">
        <f t="shared" ca="1" si="98"/>
        <v>240.71027750685647</v>
      </c>
      <c r="N313">
        <f t="shared" ca="1" si="87"/>
        <v>4.6599999999999966</v>
      </c>
      <c r="O313">
        <f t="shared" ca="1" si="88"/>
        <v>4.6599999999999966</v>
      </c>
      <c r="P313">
        <f t="shared" ca="1" si="89"/>
        <v>0</v>
      </c>
      <c r="Q313">
        <f t="shared" ca="1" si="93"/>
        <v>1.7887896622374966</v>
      </c>
      <c r="R313">
        <f t="shared" ca="1" si="94"/>
        <v>1.8273659515825802</v>
      </c>
      <c r="S313">
        <f t="shared" ca="1" si="91"/>
        <v>0.9788896748833068</v>
      </c>
      <c r="T313">
        <f t="shared" ca="1" si="92"/>
        <v>49.466611873702909</v>
      </c>
      <c r="U313">
        <f>70</f>
        <v>70</v>
      </c>
      <c r="V313">
        <f>30</f>
        <v>30</v>
      </c>
      <c r="W313">
        <f t="shared" ca="1" si="90"/>
        <v>248.20023612078126</v>
      </c>
      <c r="X313">
        <f t="shared" ca="1" si="100"/>
        <v>249.19434946535327</v>
      </c>
      <c r="Y313">
        <f t="shared" ca="1" si="99"/>
        <v>-0.74978190418167401</v>
      </c>
      <c r="Z313">
        <f t="shared" ca="1" si="101"/>
        <v>-0.5360783063599569</v>
      </c>
      <c r="AA313">
        <f t="shared" ca="1" si="102"/>
        <v>-0.21370359782171711</v>
      </c>
      <c r="AB313">
        <f t="shared" ca="1" si="103"/>
        <v>235.4562</v>
      </c>
    </row>
    <row r="314" spans="1:28" x14ac:dyDescent="0.25">
      <c r="A314" s="20">
        <f t="shared" ca="1" si="83"/>
        <v>45747</v>
      </c>
      <c r="B314" vm="935">
        <f ca="1"/>
        <v>45748</v>
      </c>
      <c r="C314" vm="924">
        <f ca="1"/>
        <v>250.34</v>
      </c>
      <c r="D314" vm="936">
        <f ca="1"/>
        <v>4413139</v>
      </c>
      <c r="E314">
        <f t="shared" ca="1" si="84"/>
        <v>1104785217.26</v>
      </c>
      <c r="F314">
        <f ca="1">SUM($E$2:E314)/SUM($D$2:D314)</f>
        <v>205.32324391302078</v>
      </c>
      <c r="G314">
        <f ca="1">_xlfn.STDEV.P($C$2:C314)</f>
        <v>28.620523002616562</v>
      </c>
      <c r="H314">
        <f t="shared" ca="1" si="85"/>
        <v>233.94376691563733</v>
      </c>
      <c r="I314">
        <f t="shared" ca="1" si="86"/>
        <v>176.70272091040422</v>
      </c>
      <c r="J314">
        <f t="shared" ca="1" si="95"/>
        <v>249.42549999999997</v>
      </c>
      <c r="K314">
        <f t="shared" ca="1" si="96"/>
        <v>4.3509907825084726</v>
      </c>
      <c r="L314">
        <f t="shared" ca="1" si="97"/>
        <v>258.12748156501692</v>
      </c>
      <c r="M314">
        <f t="shared" ca="1" si="98"/>
        <v>240.72351843498302</v>
      </c>
      <c r="N314">
        <f t="shared" ca="1" si="87"/>
        <v>1.6800000000000068</v>
      </c>
      <c r="O314">
        <f t="shared" ca="1" si="88"/>
        <v>1.6800000000000068</v>
      </c>
      <c r="P314">
        <f t="shared" ca="1" si="89"/>
        <v>0</v>
      </c>
      <c r="Q314">
        <f t="shared" ca="1" si="93"/>
        <v>1.7810189720776759</v>
      </c>
      <c r="R314">
        <f t="shared" ca="1" si="94"/>
        <v>1.6968398121838244</v>
      </c>
      <c r="S314">
        <f t="shared" ca="1" si="91"/>
        <v>1.0496093734301963</v>
      </c>
      <c r="T314">
        <f t="shared" ca="1" si="92"/>
        <v>51.210215323790472</v>
      </c>
      <c r="U314">
        <f>70</f>
        <v>70</v>
      </c>
      <c r="V314">
        <f>30</f>
        <v>30</v>
      </c>
      <c r="W314">
        <f t="shared" ca="1" si="90"/>
        <v>248.529430563738</v>
      </c>
      <c r="X314">
        <f t="shared" ca="1" si="100"/>
        <v>249.27921246791968</v>
      </c>
      <c r="Y314">
        <f t="shared" ca="1" si="99"/>
        <v>-0.57852756308750486</v>
      </c>
      <c r="Z314">
        <f t="shared" ca="1" si="101"/>
        <v>-0.54456815770546652</v>
      </c>
      <c r="AA314">
        <f t="shared" ca="1" si="102"/>
        <v>-3.3959405382038343E-2</v>
      </c>
      <c r="AB314">
        <f t="shared" ca="1" si="103"/>
        <v>235.8964</v>
      </c>
    </row>
    <row r="315" spans="1:28" x14ac:dyDescent="0.25">
      <c r="A315" s="20">
        <f t="shared" ca="1" si="83"/>
        <v>45747</v>
      </c>
      <c r="B315" vm="937">
        <f ca="1"/>
        <v>45749</v>
      </c>
      <c r="C315" vm="938">
        <f ca="1"/>
        <v>249.98</v>
      </c>
      <c r="D315" vm="939">
        <f ca="1"/>
        <v>4080832</v>
      </c>
      <c r="E315">
        <f t="shared" ca="1" si="84"/>
        <v>1020126383.36</v>
      </c>
      <c r="F315">
        <f ca="1">SUM($E$2:E315)/SUM($D$2:D315)</f>
        <v>205.45756134933862</v>
      </c>
      <c r="G315">
        <f ca="1">_xlfn.STDEV.P($C$2:C315)</f>
        <v>28.692896272702541</v>
      </c>
      <c r="H315">
        <f t="shared" ca="1" si="85"/>
        <v>234.15045762204116</v>
      </c>
      <c r="I315">
        <f t="shared" ca="1" si="86"/>
        <v>176.76466507663608</v>
      </c>
      <c r="J315">
        <f t="shared" ca="1" si="95"/>
        <v>249.35699999999997</v>
      </c>
      <c r="K315">
        <f t="shared" ca="1" si="96"/>
        <v>4.3298305546036042</v>
      </c>
      <c r="L315">
        <f t="shared" ca="1" si="97"/>
        <v>258.01666110920718</v>
      </c>
      <c r="M315">
        <f t="shared" ca="1" si="98"/>
        <v>240.69733889079276</v>
      </c>
      <c r="N315">
        <f t="shared" ca="1" si="87"/>
        <v>-0.36000000000001364</v>
      </c>
      <c r="O315">
        <f t="shared" ca="1" si="88"/>
        <v>0</v>
      </c>
      <c r="P315">
        <f t="shared" ca="1" si="89"/>
        <v>0.36000000000001364</v>
      </c>
      <c r="Q315">
        <f t="shared" ca="1" si="93"/>
        <v>1.6538033312149847</v>
      </c>
      <c r="R315">
        <f t="shared" ca="1" si="94"/>
        <v>1.6013512541706949</v>
      </c>
      <c r="S315">
        <f t="shared" ca="1" si="91"/>
        <v>1.0327548855428683</v>
      </c>
      <c r="T315">
        <f t="shared" ca="1" si="92"/>
        <v>50.80567720623435</v>
      </c>
      <c r="U315">
        <f>70</f>
        <v>70</v>
      </c>
      <c r="V315">
        <f>30</f>
        <v>30</v>
      </c>
      <c r="W315">
        <f t="shared" ca="1" si="90"/>
        <v>248.75259509239368</v>
      </c>
      <c r="X315">
        <f t="shared" ca="1" si="100"/>
        <v>249.33112265548118</v>
      </c>
      <c r="Y315">
        <f t="shared" ca="1" si="99"/>
        <v>-0.95548182504404622</v>
      </c>
      <c r="Z315">
        <f t="shared" ca="1" si="101"/>
        <v>-0.6267508911731825</v>
      </c>
      <c r="AA315">
        <f t="shared" ca="1" si="102"/>
        <v>-0.32873093387086372</v>
      </c>
      <c r="AB315">
        <f t="shared" ca="1" si="103"/>
        <v>236.32049999999998</v>
      </c>
    </row>
    <row r="316" spans="1:28" x14ac:dyDescent="0.25">
      <c r="A316" s="20">
        <f t="shared" ca="1" si="83"/>
        <v>45747</v>
      </c>
      <c r="B316" vm="940">
        <f ca="1"/>
        <v>45750</v>
      </c>
      <c r="C316" vm="941">
        <f ca="1"/>
        <v>243.49</v>
      </c>
      <c r="D316" vm="942">
        <f ca="1"/>
        <v>5309626</v>
      </c>
      <c r="E316">
        <f t="shared" ca="1" si="84"/>
        <v>1292840834.74</v>
      </c>
      <c r="F316">
        <f ca="1">SUM($E$2:E316)/SUM($D$2:D316)</f>
        <v>205.60581941685498</v>
      </c>
      <c r="G316">
        <f ca="1">_xlfn.STDEV.P($C$2:C316)</f>
        <v>28.733351551186242</v>
      </c>
      <c r="H316">
        <f t="shared" ca="1" si="85"/>
        <v>234.33917096804123</v>
      </c>
      <c r="I316">
        <f t="shared" ca="1" si="86"/>
        <v>176.87246786566874</v>
      </c>
      <c r="J316">
        <f t="shared" ca="1" si="95"/>
        <v>249.09699999999998</v>
      </c>
      <c r="K316">
        <f t="shared" ca="1" si="96"/>
        <v>4.5237735761663682</v>
      </c>
      <c r="L316">
        <f t="shared" ca="1" si="97"/>
        <v>258.14454715233273</v>
      </c>
      <c r="M316">
        <f t="shared" ca="1" si="98"/>
        <v>240.04945284766725</v>
      </c>
      <c r="N316">
        <f t="shared" ca="1" si="87"/>
        <v>-6.4899999999999807</v>
      </c>
      <c r="O316">
        <f t="shared" ca="1" si="88"/>
        <v>0</v>
      </c>
      <c r="P316">
        <f t="shared" ca="1" si="89"/>
        <v>6.4899999999999807</v>
      </c>
      <c r="Q316">
        <f t="shared" ca="1" si="93"/>
        <v>1.5356745218424859</v>
      </c>
      <c r="R316">
        <f t="shared" ca="1" si="94"/>
        <v>1.9505404503013584</v>
      </c>
      <c r="S316">
        <f t="shared" ca="1" si="91"/>
        <v>0.78730719047904096</v>
      </c>
      <c r="T316">
        <f t="shared" ca="1" si="92"/>
        <v>44.049908973287565</v>
      </c>
      <c r="U316">
        <f>70</f>
        <v>70</v>
      </c>
      <c r="V316">
        <f>30</f>
        <v>30</v>
      </c>
      <c r="W316">
        <f t="shared" ca="1" si="90"/>
        <v>247.94296507817927</v>
      </c>
      <c r="X316">
        <f t="shared" ca="1" si="100"/>
        <v>248.89844690322332</v>
      </c>
      <c r="Y316">
        <f t="shared" ca="1" si="99"/>
        <v>-2.5170786761491115</v>
      </c>
      <c r="Z316">
        <f t="shared" ca="1" si="101"/>
        <v>-1.0048164481683683</v>
      </c>
      <c r="AA316">
        <f t="shared" ca="1" si="102"/>
        <v>-1.5122622279807432</v>
      </c>
      <c r="AB316">
        <f t="shared" ca="1" si="103"/>
        <v>236.61939999999998</v>
      </c>
    </row>
    <row r="317" spans="1:28" x14ac:dyDescent="0.25">
      <c r="A317" s="20">
        <f t="shared" ca="1" si="83"/>
        <v>45747</v>
      </c>
      <c r="B317" vm="943">
        <f ca="1"/>
        <v>45751</v>
      </c>
      <c r="C317" vm="944">
        <f ca="1"/>
        <v>227.48</v>
      </c>
      <c r="D317" vm="945">
        <f ca="1"/>
        <v>7407096</v>
      </c>
      <c r="E317">
        <f t="shared" ca="1" si="84"/>
        <v>1684966198.0799999</v>
      </c>
      <c r="F317">
        <f ca="1">SUM($E$2:E317)/SUM($D$2:D317)</f>
        <v>205.724130288228</v>
      </c>
      <c r="G317">
        <f ca="1">_xlfn.STDEV.P($C$2:C317)</f>
        <v>28.717843005872354</v>
      </c>
      <c r="H317">
        <f t="shared" ca="1" si="85"/>
        <v>234.44197329410036</v>
      </c>
      <c r="I317">
        <f t="shared" ca="1" si="86"/>
        <v>177.00628728235563</v>
      </c>
      <c r="J317">
        <f t="shared" ca="1" si="95"/>
        <v>247.39399999999992</v>
      </c>
      <c r="K317">
        <f t="shared" ca="1" si="96"/>
        <v>5.8187007050317368</v>
      </c>
      <c r="L317">
        <f t="shared" ca="1" si="97"/>
        <v>259.03140141006338</v>
      </c>
      <c r="M317">
        <f t="shared" ca="1" si="98"/>
        <v>235.75659858993646</v>
      </c>
      <c r="N317">
        <f t="shared" ca="1" si="87"/>
        <v>-16.010000000000019</v>
      </c>
      <c r="O317">
        <f t="shared" ca="1" si="88"/>
        <v>0</v>
      </c>
      <c r="P317">
        <f t="shared" ca="1" si="89"/>
        <v>16.010000000000019</v>
      </c>
      <c r="Q317">
        <f t="shared" ca="1" si="93"/>
        <v>1.4259834845680228</v>
      </c>
      <c r="R317">
        <f t="shared" ca="1" si="94"/>
        <v>2.9547875609941201</v>
      </c>
      <c r="S317">
        <f t="shared" ca="1" si="91"/>
        <v>0.48260101788443277</v>
      </c>
      <c r="T317">
        <f t="shared" ca="1" si="92"/>
        <v>32.550970359717581</v>
      </c>
      <c r="U317">
        <f>70</f>
        <v>70</v>
      </c>
      <c r="V317">
        <f>30</f>
        <v>30</v>
      </c>
      <c r="W317">
        <f t="shared" ca="1" si="90"/>
        <v>244.79481660461323</v>
      </c>
      <c r="X317">
        <f t="shared" ca="1" si="100"/>
        <v>247.31189528076234</v>
      </c>
      <c r="Y317">
        <f t="shared" ca="1" si="99"/>
        <v>-3.8474798708764126</v>
      </c>
      <c r="Z317">
        <f t="shared" ca="1" si="101"/>
        <v>-1.5733491327099773</v>
      </c>
      <c r="AA317">
        <f t="shared" ca="1" si="102"/>
        <v>-2.2741307381664351</v>
      </c>
      <c r="AB317">
        <f t="shared" ca="1" si="103"/>
        <v>236.75729999999999</v>
      </c>
    </row>
    <row r="318" spans="1:28" x14ac:dyDescent="0.25">
      <c r="A318" s="20">
        <f t="shared" ca="1" si="83"/>
        <v>45754</v>
      </c>
      <c r="B318" vm="946">
        <f ca="1"/>
        <v>45754</v>
      </c>
      <c r="C318" vm="947">
        <f ca="1"/>
        <v>225.78</v>
      </c>
      <c r="D318" vm="948">
        <f ca="1"/>
        <v>7797889</v>
      </c>
      <c r="E318">
        <f t="shared" ca="1" si="84"/>
        <v>1760607378.4200001</v>
      </c>
      <c r="F318">
        <f ca="1">SUM($E$2:E318)/SUM($D$2:D318)</f>
        <v>205.83768301057617</v>
      </c>
      <c r="G318">
        <f ca="1">_xlfn.STDEV.P($C$2:C318)</f>
        <v>28.698055936022001</v>
      </c>
      <c r="H318">
        <f t="shared" ca="1" si="85"/>
        <v>234.53573894659817</v>
      </c>
      <c r="I318">
        <f t="shared" ca="1" si="86"/>
        <v>177.13962707455417</v>
      </c>
      <c r="J318">
        <f t="shared" ca="1" si="95"/>
        <v>245.83799999999997</v>
      </c>
      <c r="K318">
        <f t="shared" ca="1" si="96"/>
        <v>7.1512476644215539</v>
      </c>
      <c r="L318">
        <f t="shared" ca="1" si="97"/>
        <v>260.14049532884309</v>
      </c>
      <c r="M318">
        <f t="shared" ca="1" si="98"/>
        <v>231.53550467115684</v>
      </c>
      <c r="N318">
        <f t="shared" ca="1" si="87"/>
        <v>-1.6999999999999886</v>
      </c>
      <c r="O318">
        <f t="shared" ca="1" si="88"/>
        <v>0</v>
      </c>
      <c r="P318">
        <f t="shared" ca="1" si="89"/>
        <v>1.6999999999999886</v>
      </c>
      <c r="Q318">
        <f t="shared" ca="1" si="93"/>
        <v>1.3241275213845927</v>
      </c>
      <c r="R318">
        <f t="shared" ca="1" si="94"/>
        <v>2.8651598780659677</v>
      </c>
      <c r="S318">
        <f t="shared" ca="1" si="91"/>
        <v>0.46214786529762575</v>
      </c>
      <c r="T318">
        <f t="shared" ca="1" si="92"/>
        <v>31.60746435201024</v>
      </c>
      <c r="U318">
        <f>70</f>
        <v>70</v>
      </c>
      <c r="V318">
        <f>30</f>
        <v>30</v>
      </c>
      <c r="W318">
        <f t="shared" ca="1" si="90"/>
        <v>241.86946020390351</v>
      </c>
      <c r="X318">
        <f t="shared" ca="1" si="100"/>
        <v>245.71694007477993</v>
      </c>
      <c r="Y318">
        <f t="shared" ca="1" si="99"/>
        <v>-5.2248884437154572</v>
      </c>
      <c r="Z318">
        <f t="shared" ca="1" si="101"/>
        <v>-2.3036569949110737</v>
      </c>
      <c r="AA318">
        <f t="shared" ca="1" si="102"/>
        <v>-2.9212314488043836</v>
      </c>
      <c r="AB318">
        <f t="shared" ca="1" si="103"/>
        <v>236.87789999999998</v>
      </c>
    </row>
    <row r="319" spans="1:28" x14ac:dyDescent="0.25">
      <c r="A319" s="20">
        <f t="shared" ca="1" si="83"/>
        <v>45754</v>
      </c>
      <c r="B319" vm="949">
        <f ca="1"/>
        <v>45755</v>
      </c>
      <c r="C319" vm="950">
        <f ca="1"/>
        <v>221.03</v>
      </c>
      <c r="D319" vm="951">
        <f ca="1"/>
        <v>6849996</v>
      </c>
      <c r="E319">
        <f t="shared" ca="1" si="84"/>
        <v>1514054615.8800001</v>
      </c>
      <c r="F319">
        <f ca="1">SUM($E$2:E319)/SUM($D$2:D319)</f>
        <v>205.91286930615058</v>
      </c>
      <c r="G319">
        <f ca="1">_xlfn.STDEV.P($C$2:C319)</f>
        <v>28.668277551407069</v>
      </c>
      <c r="H319">
        <f t="shared" ca="1" si="85"/>
        <v>234.58114685755766</v>
      </c>
      <c r="I319">
        <f t="shared" ca="1" si="86"/>
        <v>177.24459175474351</v>
      </c>
      <c r="J319">
        <f t="shared" ca="1" si="95"/>
        <v>244.44199999999995</v>
      </c>
      <c r="K319">
        <f t="shared" ca="1" si="96"/>
        <v>8.9983697938775791</v>
      </c>
      <c r="L319">
        <f t="shared" ca="1" si="97"/>
        <v>262.43873958775509</v>
      </c>
      <c r="M319">
        <f t="shared" ca="1" si="98"/>
        <v>226.44526041224481</v>
      </c>
      <c r="N319">
        <f t="shared" ca="1" si="87"/>
        <v>-4.75</v>
      </c>
      <c r="O319">
        <f t="shared" ca="1" si="88"/>
        <v>0</v>
      </c>
      <c r="P319">
        <f t="shared" ca="1" si="89"/>
        <v>4.75</v>
      </c>
      <c r="Q319">
        <f t="shared" ca="1" si="93"/>
        <v>1.2295469841428359</v>
      </c>
      <c r="R319">
        <f t="shared" ca="1" si="94"/>
        <v>2.9997913153469704</v>
      </c>
      <c r="S319">
        <f t="shared" ca="1" si="91"/>
        <v>0.40987750642934995</v>
      </c>
      <c r="T319">
        <f t="shared" ca="1" si="92"/>
        <v>29.071852310588596</v>
      </c>
      <c r="U319">
        <f>70</f>
        <v>70</v>
      </c>
      <c r="V319">
        <f>30</f>
        <v>30</v>
      </c>
      <c r="W319">
        <f t="shared" ca="1" si="90"/>
        <v>238.66338940330297</v>
      </c>
      <c r="X319">
        <f t="shared" ca="1" si="100"/>
        <v>243.88827784701843</v>
      </c>
      <c r="Y319">
        <f t="shared" ca="1" si="99"/>
        <v>-5.1053665170940121</v>
      </c>
      <c r="Z319">
        <f t="shared" ca="1" si="101"/>
        <v>-2.8639988993476617</v>
      </c>
      <c r="AA319">
        <f t="shared" ca="1" si="102"/>
        <v>-2.2413676177463504</v>
      </c>
      <c r="AB319">
        <f t="shared" ca="1" si="103"/>
        <v>236.95249999999996</v>
      </c>
    </row>
    <row r="320" spans="1:28" x14ac:dyDescent="0.25">
      <c r="A320" s="20">
        <f t="shared" ca="1" si="83"/>
        <v>45754</v>
      </c>
      <c r="B320" vm="952">
        <f ca="1"/>
        <v>45756</v>
      </c>
      <c r="C320" vm="953">
        <f ca="1"/>
        <v>235.31</v>
      </c>
      <c r="D320" vm="954">
        <f ca="1"/>
        <v>7302808</v>
      </c>
      <c r="E320">
        <f t="shared" ca="1" si="84"/>
        <v>1718423750.48</v>
      </c>
      <c r="F320">
        <f ca="1">SUM($E$2:E320)/SUM($D$2:D320)</f>
        <v>206.06715789902876</v>
      </c>
      <c r="G320">
        <f ca="1">_xlfn.STDEV.P($C$2:C320)</f>
        <v>28.675709156188113</v>
      </c>
      <c r="H320">
        <f t="shared" ca="1" si="85"/>
        <v>234.74286705521686</v>
      </c>
      <c r="I320">
        <f t="shared" ca="1" si="86"/>
        <v>177.39144874284065</v>
      </c>
      <c r="J320">
        <f t="shared" ca="1" si="95"/>
        <v>243.72599999999997</v>
      </c>
      <c r="K320">
        <f t="shared" ca="1" si="96"/>
        <v>9.1325544936204661</v>
      </c>
      <c r="L320">
        <f t="shared" ca="1" si="97"/>
        <v>261.99110898724092</v>
      </c>
      <c r="M320">
        <f t="shared" ca="1" si="98"/>
        <v>225.46089101275905</v>
      </c>
      <c r="N320">
        <f t="shared" ca="1" si="87"/>
        <v>14.280000000000001</v>
      </c>
      <c r="O320">
        <f t="shared" ca="1" si="88"/>
        <v>14.280000000000001</v>
      </c>
      <c r="P320">
        <f t="shared" ca="1" si="89"/>
        <v>0</v>
      </c>
      <c r="Q320">
        <f t="shared" ca="1" si="93"/>
        <v>2.161722199561205</v>
      </c>
      <c r="R320">
        <f t="shared" ca="1" si="94"/>
        <v>2.785520507107901</v>
      </c>
      <c r="S320">
        <f t="shared" ca="1" si="91"/>
        <v>0.77605682458451475</v>
      </c>
      <c r="T320">
        <f t="shared" ca="1" si="92"/>
        <v>43.695495202754174</v>
      </c>
      <c r="U320">
        <f>70</f>
        <v>70</v>
      </c>
      <c r="V320">
        <f>30</f>
        <v>30</v>
      </c>
      <c r="W320">
        <f t="shared" ca="1" si="90"/>
        <v>238.14748334125636</v>
      </c>
      <c r="X320">
        <f t="shared" ca="1" si="100"/>
        <v>243.25284985835037</v>
      </c>
      <c r="Y320">
        <f t="shared" ca="1" si="99"/>
        <v>-5.4130303464692986</v>
      </c>
      <c r="Z320">
        <f t="shared" ca="1" si="101"/>
        <v>-3.3738051887719891</v>
      </c>
      <c r="AA320">
        <f t="shared" ca="1" si="102"/>
        <v>-2.0392251576973095</v>
      </c>
      <c r="AB320">
        <f t="shared" ca="1" si="103"/>
        <v>237.197</v>
      </c>
    </row>
    <row r="321" spans="1:28" x14ac:dyDescent="0.25">
      <c r="A321" s="20">
        <f t="shared" ca="1" si="83"/>
        <v>45754</v>
      </c>
      <c r="B321" vm="955">
        <f ca="1"/>
        <v>45757</v>
      </c>
      <c r="C321" vm="956">
        <f ca="1"/>
        <v>229.55</v>
      </c>
      <c r="D321" vm="957">
        <f ca="1"/>
        <v>5656108</v>
      </c>
      <c r="E321">
        <f t="shared" ca="1" si="84"/>
        <v>1298359591.4000001</v>
      </c>
      <c r="F321">
        <f ca="1">SUM($E$2:E321)/SUM($D$2:D321)</f>
        <v>206.16222834493732</v>
      </c>
      <c r="G321">
        <f ca="1">_xlfn.STDEV.P($C$2:C321)</f>
        <v>28.665231793590241</v>
      </c>
      <c r="H321">
        <f t="shared" ca="1" si="85"/>
        <v>234.82746013852756</v>
      </c>
      <c r="I321">
        <f t="shared" ca="1" si="86"/>
        <v>177.49699655134708</v>
      </c>
      <c r="J321">
        <f t="shared" ca="1" si="95"/>
        <v>242.91350000000003</v>
      </c>
      <c r="K321">
        <f t="shared" ca="1" si="96"/>
        <v>9.646711615882376</v>
      </c>
      <c r="L321">
        <f t="shared" ca="1" si="97"/>
        <v>262.20692323176479</v>
      </c>
      <c r="M321">
        <f t="shared" ca="1" si="98"/>
        <v>223.62007676823526</v>
      </c>
      <c r="N321">
        <f t="shared" ca="1" si="87"/>
        <v>-5.7599999999999909</v>
      </c>
      <c r="O321">
        <f t="shared" ca="1" si="88"/>
        <v>0</v>
      </c>
      <c r="P321">
        <f t="shared" ca="1" si="89"/>
        <v>5.7599999999999909</v>
      </c>
      <c r="Q321">
        <f t="shared" ca="1" si="93"/>
        <v>2.0073134710211189</v>
      </c>
      <c r="R321">
        <f t="shared" ca="1" si="94"/>
        <v>2.9979833280287642</v>
      </c>
      <c r="S321">
        <f t="shared" ca="1" si="91"/>
        <v>0.66955458099260645</v>
      </c>
      <c r="T321">
        <f t="shared" ca="1" si="92"/>
        <v>40.103785082278272</v>
      </c>
      <c r="U321">
        <f>70</f>
        <v>70</v>
      </c>
      <c r="V321">
        <f>30</f>
        <v>30</v>
      </c>
      <c r="W321">
        <f t="shared" ca="1" si="90"/>
        <v>236.82479359644771</v>
      </c>
      <c r="X321">
        <f t="shared" ca="1" si="100"/>
        <v>242.237823942917</v>
      </c>
      <c r="Y321">
        <f t="shared" ca="1" si="99"/>
        <v>-5.1193421176725167</v>
      </c>
      <c r="Z321">
        <f t="shared" ca="1" si="101"/>
        <v>-3.7229125745520948</v>
      </c>
      <c r="AA321">
        <f t="shared" ca="1" si="102"/>
        <v>-1.3964295431204219</v>
      </c>
      <c r="AB321">
        <f t="shared" ca="1" si="103"/>
        <v>237.38329999999999</v>
      </c>
    </row>
    <row r="322" spans="1:28" x14ac:dyDescent="0.25">
      <c r="A322" s="20">
        <f t="shared" ca="1" si="83"/>
        <v>45754</v>
      </c>
      <c r="B322" vm="958">
        <f ca="1"/>
        <v>45758</v>
      </c>
      <c r="C322" vm="959">
        <f ca="1"/>
        <v>235.48</v>
      </c>
      <c r="D322" vm="960">
        <f ca="1"/>
        <v>4325895</v>
      </c>
      <c r="E322">
        <f t="shared" ca="1" si="84"/>
        <v>1018661754.5999999</v>
      </c>
      <c r="F322">
        <f ca="1">SUM($E$2:E322)/SUM($D$2:D322)</f>
        <v>206.25272685967073</v>
      </c>
      <c r="G322">
        <f ca="1">_xlfn.STDEV.P($C$2:C322)</f>
        <v>28.672609147697091</v>
      </c>
      <c r="H322">
        <f t="shared" ca="1" si="85"/>
        <v>234.92533600736783</v>
      </c>
      <c r="I322">
        <f t="shared" ca="1" si="86"/>
        <v>177.58011771197363</v>
      </c>
      <c r="J322">
        <f t="shared" ca="1" si="95"/>
        <v>242.27000000000004</v>
      </c>
      <c r="K322">
        <f t="shared" ca="1" si="96"/>
        <v>9.6941148723281962</v>
      </c>
      <c r="L322">
        <f t="shared" ca="1" si="97"/>
        <v>261.65822974465641</v>
      </c>
      <c r="M322">
        <f t="shared" ca="1" si="98"/>
        <v>222.88177025534364</v>
      </c>
      <c r="N322">
        <f t="shared" ca="1" si="87"/>
        <v>5.9299999999999784</v>
      </c>
      <c r="O322">
        <f t="shared" ca="1" si="88"/>
        <v>5.9299999999999784</v>
      </c>
      <c r="P322">
        <f t="shared" ca="1" si="89"/>
        <v>0</v>
      </c>
      <c r="Q322">
        <f t="shared" ca="1" si="93"/>
        <v>2.2875053659481805</v>
      </c>
      <c r="R322">
        <f t="shared" ca="1" si="94"/>
        <v>2.7838416617409956</v>
      </c>
      <c r="S322">
        <f t="shared" ca="1" si="91"/>
        <v>0.82170814431938288</v>
      </c>
      <c r="T322">
        <f t="shared" ca="1" si="92"/>
        <v>45.106464879223843</v>
      </c>
      <c r="U322">
        <f>70</f>
        <v>70</v>
      </c>
      <c r="V322">
        <f>30</f>
        <v>30</v>
      </c>
      <c r="W322">
        <f t="shared" ca="1" si="90"/>
        <v>236.61790227391728</v>
      </c>
      <c r="X322">
        <f t="shared" ca="1" si="100"/>
        <v>241.7372443915898</v>
      </c>
      <c r="Y322">
        <f t="shared" ca="1" si="99"/>
        <v>-4.5453203758212339</v>
      </c>
      <c r="Z322">
        <f t="shared" ca="1" si="101"/>
        <v>-3.8873941348059229</v>
      </c>
      <c r="AA322">
        <f t="shared" ca="1" si="102"/>
        <v>-0.65792624101531105</v>
      </c>
      <c r="AB322">
        <f t="shared" ca="1" si="103"/>
        <v>237.64819999999997</v>
      </c>
    </row>
    <row r="323" spans="1:28" x14ac:dyDescent="0.25">
      <c r="A323" s="20">
        <f t="shared" ref="A323:A386" ca="1" si="104">B323 - WEEKDAY(B323, 2) + 1</f>
        <v>45761</v>
      </c>
      <c r="B323" vm="961">
        <f ca="1"/>
        <v>45761</v>
      </c>
      <c r="C323" vm="962">
        <f ca="1"/>
        <v>239.06</v>
      </c>
      <c r="D323" vm="963">
        <f ca="1"/>
        <v>3321717</v>
      </c>
      <c r="E323">
        <f t="shared" ref="E323:E386" ca="1" si="105">C323*D323</f>
        <v>794089666.01999998</v>
      </c>
      <c r="F323">
        <f ca="1">SUM($E$2:E323)/SUM($D$2:D323)</f>
        <v>206.33030495411398</v>
      </c>
      <c r="G323">
        <f ca="1">_xlfn.STDEV.P($C$2:C323)</f>
        <v>28.692245398875205</v>
      </c>
      <c r="H323">
        <f t="shared" ref="H323:H386" ca="1" si="106">F323 + G323</f>
        <v>235.02255035298919</v>
      </c>
      <c r="I323">
        <f t="shared" ref="I323:I386" ca="1" si="107">F323 - G323</f>
        <v>177.63805955523878</v>
      </c>
      <c r="J323">
        <f t="shared" ca="1" si="95"/>
        <v>241.57450000000003</v>
      </c>
      <c r="K323">
        <f t="shared" ca="1" si="96"/>
        <v>9.3799368615314123</v>
      </c>
      <c r="L323">
        <f t="shared" ca="1" si="97"/>
        <v>260.33437372306287</v>
      </c>
      <c r="M323">
        <f t="shared" ca="1" si="98"/>
        <v>222.81462627693719</v>
      </c>
      <c r="N323">
        <f t="shared" ca="1" si="87"/>
        <v>3.5800000000000125</v>
      </c>
      <c r="O323">
        <f t="shared" ca="1" si="88"/>
        <v>3.5800000000000125</v>
      </c>
      <c r="P323">
        <f t="shared" ca="1" si="89"/>
        <v>0</v>
      </c>
      <c r="Q323">
        <f t="shared" ca="1" si="93"/>
        <v>2.3798264112375973</v>
      </c>
      <c r="R323">
        <f t="shared" ca="1" si="94"/>
        <v>2.5849958287594959</v>
      </c>
      <c r="S323">
        <f t="shared" ca="1" si="91"/>
        <v>0.92063065818548862</v>
      </c>
      <c r="T323">
        <f t="shared" ca="1" si="92"/>
        <v>47.933768747357824</v>
      </c>
      <c r="U323">
        <f>70</f>
        <v>70</v>
      </c>
      <c r="V323">
        <f>30</f>
        <v>30</v>
      </c>
      <c r="W323">
        <f t="shared" ca="1" si="90"/>
        <v>236.99360961639155</v>
      </c>
      <c r="X323">
        <f t="shared" ca="1" si="100"/>
        <v>241.53892999221279</v>
      </c>
      <c r="Y323">
        <f t="shared" ca="1" si="99"/>
        <v>-3.9129635082645677</v>
      </c>
      <c r="Z323">
        <f t="shared" ca="1" si="101"/>
        <v>-3.8925080094976523</v>
      </c>
      <c r="AA323">
        <f t="shared" ca="1" si="102"/>
        <v>-2.0455498766915436E-2</v>
      </c>
      <c r="AB323">
        <f t="shared" ca="1" si="103"/>
        <v>237.98890000000003</v>
      </c>
    </row>
    <row r="324" spans="1:28" x14ac:dyDescent="0.25">
      <c r="A324" s="20">
        <f t="shared" ca="1" si="104"/>
        <v>45761</v>
      </c>
      <c r="B324" vm="964">
        <f ca="1"/>
        <v>45762</v>
      </c>
      <c r="C324" vm="965">
        <f ca="1"/>
        <v>240.7</v>
      </c>
      <c r="D324" vm="966">
        <f ca="1"/>
        <v>3363708</v>
      </c>
      <c r="E324">
        <f t="shared" ca="1" si="105"/>
        <v>809644515.5999999</v>
      </c>
      <c r="F324">
        <f ca="1">SUM($E$2:E324)/SUM($D$2:D324)</f>
        <v>206.41240844306174</v>
      </c>
      <c r="G324">
        <f ca="1">_xlfn.STDEV.P($C$2:C324)</f>
        <v>28.717554003285713</v>
      </c>
      <c r="H324">
        <f t="shared" ca="1" si="106"/>
        <v>235.12996244634746</v>
      </c>
      <c r="I324">
        <f t="shared" ca="1" si="107"/>
        <v>177.69485443977601</v>
      </c>
      <c r="J324">
        <f t="shared" ca="1" si="95"/>
        <v>241.26200000000003</v>
      </c>
      <c r="K324">
        <f t="shared" ca="1" si="96"/>
        <v>9.2951507447927408</v>
      </c>
      <c r="L324">
        <f t="shared" ca="1" si="97"/>
        <v>259.8523014895855</v>
      </c>
      <c r="M324">
        <f t="shared" ca="1" si="98"/>
        <v>222.67169851041456</v>
      </c>
      <c r="N324">
        <f t="shared" ref="N324:N387" ca="1" si="108">C324-C323</f>
        <v>1.6399999999999864</v>
      </c>
      <c r="O324">
        <f t="shared" ref="O324:O387" ca="1" si="109">MAX(N324,0)</f>
        <v>1.6399999999999864</v>
      </c>
      <c r="P324">
        <f t="shared" ref="P324:P387" ca="1" si="110">MAX(-N324,0)</f>
        <v>0</v>
      </c>
      <c r="Q324">
        <f t="shared" ca="1" si="93"/>
        <v>2.3269816675777681</v>
      </c>
      <c r="R324">
        <f t="shared" ca="1" si="94"/>
        <v>2.4003532695623888</v>
      </c>
      <c r="S324">
        <f t="shared" ca="1" si="91"/>
        <v>0.9694329985027591</v>
      </c>
      <c r="T324">
        <f t="shared" ca="1" si="92"/>
        <v>49.223964422235248</v>
      </c>
      <c r="U324">
        <f>70</f>
        <v>70</v>
      </c>
      <c r="V324">
        <f>30</f>
        <v>30</v>
      </c>
      <c r="W324">
        <f t="shared" ca="1" si="90"/>
        <v>237.56382352156209</v>
      </c>
      <c r="X324">
        <f t="shared" ca="1" si="100"/>
        <v>241.47678702982665</v>
      </c>
      <c r="Y324">
        <f t="shared" ca="1" si="99"/>
        <v>-3.5428495692015076</v>
      </c>
      <c r="Z324">
        <f t="shared" ca="1" si="101"/>
        <v>-3.8225763214384236</v>
      </c>
      <c r="AA324">
        <f t="shared" ca="1" si="102"/>
        <v>0.27972675223691601</v>
      </c>
      <c r="AB324">
        <f t="shared" ca="1" si="103"/>
        <v>238.31500000000003</v>
      </c>
    </row>
    <row r="325" spans="1:28" x14ac:dyDescent="0.25">
      <c r="A325" s="20">
        <f t="shared" ca="1" si="104"/>
        <v>45761</v>
      </c>
      <c r="B325" vm="967">
        <f ca="1"/>
        <v>45763</v>
      </c>
      <c r="C325" vm="968">
        <f ca="1"/>
        <v>238.57</v>
      </c>
      <c r="D325" vm="969">
        <f ca="1"/>
        <v>4870299</v>
      </c>
      <c r="E325">
        <f t="shared" ca="1" si="105"/>
        <v>1161907232.4300001</v>
      </c>
      <c r="F325">
        <f ca="1">SUM($E$2:E325)/SUM($D$2:D325)</f>
        <v>206.52325118146859</v>
      </c>
      <c r="G325">
        <f ca="1">_xlfn.STDEV.P($C$2:C325)</f>
        <v>28.73431260080697</v>
      </c>
      <c r="H325">
        <f t="shared" ca="1" si="106"/>
        <v>235.25756378227555</v>
      </c>
      <c r="I325">
        <f t="shared" ca="1" si="107"/>
        <v>177.78893858066164</v>
      </c>
      <c r="J325">
        <f t="shared" ca="1" si="95"/>
        <v>240.57600000000002</v>
      </c>
      <c r="K325">
        <f t="shared" ca="1" si="96"/>
        <v>8.9378405492719839</v>
      </c>
      <c r="L325">
        <f t="shared" ca="1" si="97"/>
        <v>258.45168109854399</v>
      </c>
      <c r="M325">
        <f t="shared" ca="1" si="98"/>
        <v>222.70031890145606</v>
      </c>
      <c r="N325">
        <f t="shared" ca="1" si="108"/>
        <v>-2.1299999999999955</v>
      </c>
      <c r="O325">
        <f t="shared" ca="1" si="109"/>
        <v>0</v>
      </c>
      <c r="P325">
        <f t="shared" ca="1" si="110"/>
        <v>2.1299999999999955</v>
      </c>
      <c r="Q325">
        <f t="shared" ca="1" si="93"/>
        <v>2.1607686913222133</v>
      </c>
      <c r="R325">
        <f t="shared" ca="1" si="94"/>
        <v>2.3810423217365035</v>
      </c>
      <c r="S325">
        <f t="shared" ca="1" si="91"/>
        <v>0.90748856985723636</v>
      </c>
      <c r="T325">
        <f t="shared" ca="1" si="92"/>
        <v>47.575046278005026</v>
      </c>
      <c r="U325">
        <f>70</f>
        <v>70</v>
      </c>
      <c r="V325">
        <f>30</f>
        <v>30</v>
      </c>
      <c r="W325">
        <f t="shared" ca="1" si="90"/>
        <v>237.71861990286021</v>
      </c>
      <c r="X325">
        <f t="shared" ca="1" si="100"/>
        <v>241.26146947206172</v>
      </c>
      <c r="Y325">
        <f t="shared" ca="1" si="99"/>
        <v>-3.1933546076084554</v>
      </c>
      <c r="Z325">
        <f t="shared" ca="1" si="101"/>
        <v>-3.6967319786724304</v>
      </c>
      <c r="AA325">
        <f t="shared" ca="1" si="102"/>
        <v>0.50337737106397507</v>
      </c>
      <c r="AB325">
        <f t="shared" ca="1" si="103"/>
        <v>238.59820000000002</v>
      </c>
    </row>
    <row r="326" spans="1:28" x14ac:dyDescent="0.25">
      <c r="A326" s="20">
        <f t="shared" ca="1" si="104"/>
        <v>45761</v>
      </c>
      <c r="B326" vm="970">
        <f ca="1"/>
        <v>45764</v>
      </c>
      <c r="C326" vm="971">
        <f ca="1"/>
        <v>238.81</v>
      </c>
      <c r="D326" vm="972">
        <f ca="1"/>
        <v>4635204</v>
      </c>
      <c r="E326">
        <f t="shared" ca="1" si="105"/>
        <v>1106933067.24</v>
      </c>
      <c r="F326">
        <f ca="1">SUM($E$2:E326)/SUM($D$2:D326)</f>
        <v>206.62882079065616</v>
      </c>
      <c r="G326">
        <f ca="1">_xlfn.STDEV.P($C$2:C326)</f>
        <v>28.751449113569244</v>
      </c>
      <c r="H326">
        <f t="shared" ca="1" si="106"/>
        <v>235.3802699042254</v>
      </c>
      <c r="I326">
        <f t="shared" ca="1" si="107"/>
        <v>177.87737167708693</v>
      </c>
      <c r="J326">
        <f t="shared" ca="1" si="95"/>
        <v>240.35050000000001</v>
      </c>
      <c r="K326">
        <f t="shared" ca="1" si="96"/>
        <v>8.9218451448942826</v>
      </c>
      <c r="L326">
        <f t="shared" ca="1" si="97"/>
        <v>258.19419028978859</v>
      </c>
      <c r="M326">
        <f t="shared" ca="1" si="98"/>
        <v>222.50680971021146</v>
      </c>
      <c r="N326">
        <f t="shared" ca="1" si="108"/>
        <v>0.24000000000000909</v>
      </c>
      <c r="O326">
        <f t="shared" ca="1" si="109"/>
        <v>0.24000000000000909</v>
      </c>
      <c r="P326">
        <f t="shared" ca="1" si="110"/>
        <v>0</v>
      </c>
      <c r="Q326">
        <f t="shared" ca="1" si="93"/>
        <v>2.0235709276563414</v>
      </c>
      <c r="R326">
        <f t="shared" ca="1" si="94"/>
        <v>2.2109678701838962</v>
      </c>
      <c r="S326">
        <f t="shared" ca="1" si="91"/>
        <v>0.91524212311960551</v>
      </c>
      <c r="T326">
        <f t="shared" ca="1" si="92"/>
        <v>47.787280368960914</v>
      </c>
      <c r="U326">
        <f>70</f>
        <v>70</v>
      </c>
      <c r="V326">
        <f>30</f>
        <v>30</v>
      </c>
      <c r="W326">
        <f t="shared" ca="1" si="90"/>
        <v>237.88652453318943</v>
      </c>
      <c r="X326">
        <f t="shared" ca="1" si="100"/>
        <v>241.07987914079789</v>
      </c>
      <c r="Y326">
        <f t="shared" ca="1" si="99"/>
        <v>-3.0897519498634267</v>
      </c>
      <c r="Z326">
        <f t="shared" ca="1" si="101"/>
        <v>-3.5753359729106298</v>
      </c>
      <c r="AA326">
        <f t="shared" ca="1" si="102"/>
        <v>0.48558402304720305</v>
      </c>
      <c r="AB326">
        <f t="shared" ca="1" si="103"/>
        <v>238.84030000000007</v>
      </c>
    </row>
    <row r="327" spans="1:28" x14ac:dyDescent="0.25">
      <c r="A327" s="20">
        <f t="shared" ca="1" si="104"/>
        <v>45768</v>
      </c>
      <c r="B327" vm="973">
        <f ca="1"/>
        <v>45768</v>
      </c>
      <c r="C327" vm="974">
        <f ca="1"/>
        <v>236.22</v>
      </c>
      <c r="D327" vm="975">
        <f ca="1"/>
        <v>4908923</v>
      </c>
      <c r="E327">
        <f t="shared" ca="1" si="105"/>
        <v>1159585791.0599999</v>
      </c>
      <c r="F327">
        <f ca="1">SUM($E$2:E327)/SUM($D$2:D327)</f>
        <v>206.73093659096898</v>
      </c>
      <c r="G327">
        <f ca="1">_xlfn.STDEV.P($C$2:C327)</f>
        <v>28.759145552017166</v>
      </c>
      <c r="H327">
        <f t="shared" ca="1" si="106"/>
        <v>235.49008214298615</v>
      </c>
      <c r="I327">
        <f t="shared" ca="1" si="107"/>
        <v>177.97179103895181</v>
      </c>
      <c r="J327">
        <f t="shared" ca="1" si="95"/>
        <v>239.96800000000002</v>
      </c>
      <c r="K327">
        <f t="shared" ca="1" si="96"/>
        <v>8.9269996138267622</v>
      </c>
      <c r="L327">
        <f t="shared" ca="1" si="97"/>
        <v>257.82199922765352</v>
      </c>
      <c r="M327">
        <f t="shared" ca="1" si="98"/>
        <v>222.11400077234649</v>
      </c>
      <c r="N327">
        <f t="shared" ca="1" si="108"/>
        <v>-2.5900000000000034</v>
      </c>
      <c r="O327">
        <f t="shared" ca="1" si="109"/>
        <v>0</v>
      </c>
      <c r="P327">
        <f t="shared" ca="1" si="110"/>
        <v>2.5900000000000034</v>
      </c>
      <c r="Q327">
        <f t="shared" ca="1" si="93"/>
        <v>1.8790301471094597</v>
      </c>
      <c r="R327">
        <f t="shared" ca="1" si="94"/>
        <v>2.2380415937421896</v>
      </c>
      <c r="S327">
        <f t="shared" ca="1" si="91"/>
        <v>0.83958678532313014</v>
      </c>
      <c r="T327">
        <f t="shared" ca="1" si="92"/>
        <v>45.63996610660876</v>
      </c>
      <c r="U327">
        <f>70</f>
        <v>70</v>
      </c>
      <c r="V327">
        <f>30</f>
        <v>30</v>
      </c>
      <c r="W327">
        <f t="shared" ca="1" si="90"/>
        <v>237.63013614346795</v>
      </c>
      <c r="X327">
        <f t="shared" ca="1" si="100"/>
        <v>240.71988809333138</v>
      </c>
      <c r="Y327">
        <f t="shared" ca="1" si="99"/>
        <v>-2.6000375946516101</v>
      </c>
      <c r="Z327">
        <f t="shared" ca="1" si="101"/>
        <v>-3.3802762972588258</v>
      </c>
      <c r="AA327">
        <f t="shared" ca="1" si="102"/>
        <v>0.78023870260721573</v>
      </c>
      <c r="AB327">
        <f t="shared" ca="1" si="103"/>
        <v>238.97850000000005</v>
      </c>
    </row>
    <row r="328" spans="1:28" x14ac:dyDescent="0.25">
      <c r="A328" s="20">
        <f t="shared" ca="1" si="104"/>
        <v>45768</v>
      </c>
      <c r="B328" vm="976">
        <f ca="1"/>
        <v>45769</v>
      </c>
      <c r="C328" vm="977">
        <f ca="1"/>
        <v>240.9</v>
      </c>
      <c r="D328" vm="978">
        <f ca="1"/>
        <v>4232658</v>
      </c>
      <c r="E328">
        <f t="shared" ca="1" si="105"/>
        <v>1019647312.2</v>
      </c>
      <c r="F328">
        <f ca="1">SUM($E$2:E328)/SUM($D$2:D328)</f>
        <v>206.83230447690158</v>
      </c>
      <c r="G328">
        <f ca="1">_xlfn.STDEV.P($C$2:C328)</f>
        <v>28.783064676776821</v>
      </c>
      <c r="H328">
        <f t="shared" ca="1" si="106"/>
        <v>235.61536915367842</v>
      </c>
      <c r="I328">
        <f t="shared" ca="1" si="107"/>
        <v>178.04923980012475</v>
      </c>
      <c r="J328">
        <f t="shared" ca="1" si="95"/>
        <v>239.59050000000002</v>
      </c>
      <c r="K328">
        <f t="shared" ca="1" si="96"/>
        <v>8.7063476389658554</v>
      </c>
      <c r="L328">
        <f t="shared" ca="1" si="97"/>
        <v>257.00319527793175</v>
      </c>
      <c r="M328">
        <f t="shared" ca="1" si="98"/>
        <v>222.17780472206832</v>
      </c>
      <c r="N328">
        <f t="shared" ca="1" si="108"/>
        <v>4.6800000000000068</v>
      </c>
      <c r="O328">
        <f t="shared" ca="1" si="109"/>
        <v>4.6800000000000068</v>
      </c>
      <c r="P328">
        <f t="shared" ca="1" si="110"/>
        <v>0</v>
      </c>
      <c r="Q328">
        <f t="shared" ca="1" si="93"/>
        <v>2.0790994223159274</v>
      </c>
      <c r="R328">
        <f t="shared" ca="1" si="94"/>
        <v>2.0781814799034617</v>
      </c>
      <c r="S328">
        <f t="shared" ca="1" si="91"/>
        <v>1.0004417046448264</v>
      </c>
      <c r="T328">
        <f t="shared" ca="1" si="92"/>
        <v>50.011040177871735</v>
      </c>
      <c r="U328">
        <f>70</f>
        <v>70</v>
      </c>
      <c r="V328">
        <f>30</f>
        <v>30</v>
      </c>
      <c r="W328">
        <f t="shared" ca="1" si="90"/>
        <v>238.13319212139595</v>
      </c>
      <c r="X328">
        <f t="shared" ca="1" si="100"/>
        <v>240.73322971604756</v>
      </c>
      <c r="Y328">
        <f t="shared" ca="1" si="99"/>
        <v>-1.8213720731078524</v>
      </c>
      <c r="Z328">
        <f t="shared" ca="1" si="101"/>
        <v>-3.0684954524286314</v>
      </c>
      <c r="AA328">
        <f t="shared" ca="1" si="102"/>
        <v>1.247123379320779</v>
      </c>
      <c r="AB328">
        <f t="shared" ca="1" si="103"/>
        <v>239.15780000000007</v>
      </c>
    </row>
    <row r="329" spans="1:28" x14ac:dyDescent="0.25">
      <c r="A329" s="20">
        <f t="shared" ca="1" si="104"/>
        <v>45768</v>
      </c>
      <c r="B329" vm="979">
        <f ca="1"/>
        <v>45770</v>
      </c>
      <c r="C329" vm="980">
        <f ca="1"/>
        <v>245.48</v>
      </c>
      <c r="D329" vm="981">
        <f ca="1"/>
        <v>7948259</v>
      </c>
      <c r="E329">
        <f t="shared" ca="1" si="105"/>
        <v>1951138619.3199999</v>
      </c>
      <c r="F329">
        <f ca="1">SUM($E$2:E329)/SUM($D$2:D329)</f>
        <v>207.04641452445821</v>
      </c>
      <c r="G329">
        <f ca="1">_xlfn.STDEV.P($C$2:C329)</f>
        <v>28.824750813196182</v>
      </c>
      <c r="H329">
        <f t="shared" ca="1" si="106"/>
        <v>235.87116533765439</v>
      </c>
      <c r="I329">
        <f t="shared" ca="1" si="107"/>
        <v>178.22166371126204</v>
      </c>
      <c r="J329">
        <f t="shared" ca="1" si="95"/>
        <v>239.36949999999996</v>
      </c>
      <c r="K329">
        <f t="shared" ca="1" si="96"/>
        <v>8.484142778396091</v>
      </c>
      <c r="L329">
        <f t="shared" ca="1" si="97"/>
        <v>256.33778555679214</v>
      </c>
      <c r="M329">
        <f t="shared" ca="1" si="98"/>
        <v>222.40121444320778</v>
      </c>
      <c r="N329">
        <f t="shared" ca="1" si="108"/>
        <v>4.5799999999999841</v>
      </c>
      <c r="O329">
        <f t="shared" ca="1" si="109"/>
        <v>4.5799999999999841</v>
      </c>
      <c r="P329">
        <f t="shared" ca="1" si="110"/>
        <v>0</v>
      </c>
      <c r="Q329">
        <f t="shared" ca="1" si="93"/>
        <v>2.2577351778647885</v>
      </c>
      <c r="R329">
        <f t="shared" ca="1" si="94"/>
        <v>1.9297399456246431</v>
      </c>
      <c r="S329">
        <f t="shared" ca="1" si="91"/>
        <v>1.1699686183020768</v>
      </c>
      <c r="T329">
        <f t="shared" ca="1" si="92"/>
        <v>53.916384247876159</v>
      </c>
      <c r="U329">
        <f>70</f>
        <v>70</v>
      </c>
      <c r="V329">
        <f>30</f>
        <v>30</v>
      </c>
      <c r="W329">
        <f t="shared" ca="1" si="90"/>
        <v>239.26347025656582</v>
      </c>
      <c r="X329">
        <f t="shared" ca="1" si="100"/>
        <v>241.08484232967368</v>
      </c>
      <c r="Y329">
        <f t="shared" ca="1" si="99"/>
        <v>-2.4788692049683334</v>
      </c>
      <c r="Z329">
        <f t="shared" ca="1" si="101"/>
        <v>-2.9505702029365724</v>
      </c>
      <c r="AA329">
        <f t="shared" ca="1" si="102"/>
        <v>0.47170099796823894</v>
      </c>
      <c r="AB329">
        <f t="shared" ca="1" si="103"/>
        <v>239.35130000000004</v>
      </c>
    </row>
    <row r="330" spans="1:28" x14ac:dyDescent="0.25">
      <c r="A330" s="20">
        <f t="shared" ca="1" si="104"/>
        <v>45768</v>
      </c>
      <c r="B330" vm="982">
        <f ca="1"/>
        <v>45771</v>
      </c>
      <c r="C330" vm="723">
        <f ca="1"/>
        <v>229.33</v>
      </c>
      <c r="D330" vm="983">
        <f ca="1"/>
        <v>15428144</v>
      </c>
      <c r="E330">
        <f t="shared" ca="1" si="105"/>
        <v>3538136263.52</v>
      </c>
      <c r="F330">
        <f ca="1">SUM($E$2:E330)/SUM($D$2:D330)</f>
        <v>207.28349450295781</v>
      </c>
      <c r="G330">
        <f ca="1">_xlfn.STDEV.P($C$2:C330)</f>
        <v>28.811192286602797</v>
      </c>
      <c r="H330">
        <f t="shared" ca="1" si="106"/>
        <v>236.0946867895606</v>
      </c>
      <c r="I330">
        <f t="shared" ca="1" si="107"/>
        <v>178.47230221635502</v>
      </c>
      <c r="J330">
        <f t="shared" ca="1" si="95"/>
        <v>238.31899999999996</v>
      </c>
      <c r="K330">
        <f t="shared" ca="1" si="96"/>
        <v>8.3540144147652313</v>
      </c>
      <c r="L330">
        <f t="shared" ca="1" si="97"/>
        <v>255.02702882953042</v>
      </c>
      <c r="M330">
        <f t="shared" ca="1" si="98"/>
        <v>221.6109711704695</v>
      </c>
      <c r="N330">
        <f t="shared" ca="1" si="108"/>
        <v>-16.149999999999977</v>
      </c>
      <c r="O330">
        <f t="shared" ca="1" si="109"/>
        <v>0</v>
      </c>
      <c r="P330">
        <f t="shared" ca="1" si="110"/>
        <v>16.149999999999977</v>
      </c>
      <c r="Q330">
        <f t="shared" ca="1" si="93"/>
        <v>2.0964683794458749</v>
      </c>
      <c r="R330">
        <f t="shared" ca="1" si="94"/>
        <v>2.9454728066514528</v>
      </c>
      <c r="S330">
        <f t="shared" ca="1" si="91"/>
        <v>0.71175954322567159</v>
      </c>
      <c r="T330">
        <f t="shared" ca="1" si="92"/>
        <v>41.580579821650574</v>
      </c>
      <c r="U330">
        <f>70</f>
        <v>70</v>
      </c>
      <c r="V330">
        <f>30</f>
        <v>30</v>
      </c>
      <c r="W330">
        <f t="shared" ca="1" si="90"/>
        <v>237.73524406324802</v>
      </c>
      <c r="X330">
        <f t="shared" ca="1" si="100"/>
        <v>240.21411326821635</v>
      </c>
      <c r="Y330">
        <f t="shared" ca="1" si="99"/>
        <v>-2.720055058078799</v>
      </c>
      <c r="Z330">
        <f t="shared" ca="1" si="101"/>
        <v>-2.9044671739650179</v>
      </c>
      <c r="AA330">
        <f t="shared" ca="1" si="102"/>
        <v>0.18441211588621886</v>
      </c>
      <c r="AB330">
        <f t="shared" ca="1" si="103"/>
        <v>239.35630000000003</v>
      </c>
    </row>
    <row r="331" spans="1:28" x14ac:dyDescent="0.25">
      <c r="A331" s="20">
        <f t="shared" ca="1" si="104"/>
        <v>45768</v>
      </c>
      <c r="B331" vm="984">
        <f ca="1"/>
        <v>45772</v>
      </c>
      <c r="C331" vm="985">
        <f ca="1"/>
        <v>232.41</v>
      </c>
      <c r="D331" vm="986">
        <f ca="1"/>
        <v>6700068</v>
      </c>
      <c r="E331">
        <f t="shared" ca="1" si="105"/>
        <v>1557162803.8799999</v>
      </c>
      <c r="F331">
        <f ca="1">SUM($E$2:E331)/SUM($D$2:D331)</f>
        <v>207.39905394979701</v>
      </c>
      <c r="G331">
        <f ca="1">_xlfn.STDEV.P($C$2:C331)</f>
        <v>28.80575113237418</v>
      </c>
      <c r="H331">
        <f t="shared" ca="1" si="106"/>
        <v>236.20480508217119</v>
      </c>
      <c r="I331">
        <f t="shared" ca="1" si="107"/>
        <v>178.59330281742282</v>
      </c>
      <c r="J331">
        <f t="shared" ca="1" si="95"/>
        <v>237.62899999999999</v>
      </c>
      <c r="K331">
        <f t="shared" ca="1" si="96"/>
        <v>8.2370407946441286</v>
      </c>
      <c r="L331">
        <f t="shared" ca="1" si="97"/>
        <v>254.10308158928825</v>
      </c>
      <c r="M331">
        <f t="shared" ca="1" si="98"/>
        <v>221.15491841071173</v>
      </c>
      <c r="N331">
        <f t="shared" ca="1" si="108"/>
        <v>3.0799999999999841</v>
      </c>
      <c r="O331">
        <f t="shared" ca="1" si="109"/>
        <v>3.0799999999999841</v>
      </c>
      <c r="P331">
        <f t="shared" ca="1" si="110"/>
        <v>0</v>
      </c>
      <c r="Q331">
        <f t="shared" ca="1" si="93"/>
        <v>2.1667206380568826</v>
      </c>
      <c r="R331">
        <f t="shared" ca="1" si="94"/>
        <v>2.7350818918906348</v>
      </c>
      <c r="S331">
        <f t="shared" ca="1" si="91"/>
        <v>0.79219589164079085</v>
      </c>
      <c r="T331">
        <f t="shared" ca="1" si="92"/>
        <v>44.202528045944796</v>
      </c>
      <c r="U331">
        <f>70</f>
        <v>70</v>
      </c>
      <c r="V331">
        <f>30</f>
        <v>30</v>
      </c>
      <c r="W331">
        <f t="shared" ca="1" si="90"/>
        <v>236.91597574582522</v>
      </c>
      <c r="X331">
        <f t="shared" ca="1" si="100"/>
        <v>239.63603080390402</v>
      </c>
      <c r="Y331">
        <f t="shared" ca="1" si="99"/>
        <v>-2.5788752557228349</v>
      </c>
      <c r="Z331">
        <f t="shared" ca="1" si="101"/>
        <v>-2.8393487903165813</v>
      </c>
      <c r="AA331">
        <f t="shared" ca="1" si="102"/>
        <v>0.26047353459374634</v>
      </c>
      <c r="AB331">
        <f t="shared" ca="1" si="103"/>
        <v>239.41120000000006</v>
      </c>
    </row>
    <row r="332" spans="1:28" x14ac:dyDescent="0.25">
      <c r="A332" s="20">
        <f t="shared" ca="1" si="104"/>
        <v>45775</v>
      </c>
      <c r="B332" vm="987">
        <f ca="1"/>
        <v>45775</v>
      </c>
      <c r="C332" vm="988">
        <f ca="1"/>
        <v>236.16</v>
      </c>
      <c r="D332" vm="989">
        <f ca="1"/>
        <v>3653461</v>
      </c>
      <c r="E332">
        <f t="shared" ca="1" si="105"/>
        <v>862801349.75999999</v>
      </c>
      <c r="F332">
        <f ca="1">SUM($E$2:E332)/SUM($D$2:D332)</f>
        <v>207.47100117011652</v>
      </c>
      <c r="G332">
        <f ca="1">_xlfn.STDEV.P($C$2:C332)</f>
        <v>28.811400524901064</v>
      </c>
      <c r="H332">
        <f t="shared" ca="1" si="106"/>
        <v>236.2824016950176</v>
      </c>
      <c r="I332">
        <f t="shared" ca="1" si="107"/>
        <v>178.65960064521545</v>
      </c>
      <c r="J332">
        <f t="shared" ca="1" si="95"/>
        <v>237.23699999999999</v>
      </c>
      <c r="K332">
        <f t="shared" ca="1" si="96"/>
        <v>8.1033554453500436</v>
      </c>
      <c r="L332">
        <f t="shared" ca="1" si="97"/>
        <v>253.44371089070009</v>
      </c>
      <c r="M332">
        <f t="shared" ca="1" si="98"/>
        <v>221.0302891092999</v>
      </c>
      <c r="N332">
        <f t="shared" ca="1" si="108"/>
        <v>3.75</v>
      </c>
      <c r="O332">
        <f t="shared" ca="1" si="109"/>
        <v>3.75</v>
      </c>
      <c r="P332">
        <f t="shared" ca="1" si="110"/>
        <v>0</v>
      </c>
      <c r="Q332">
        <f t="shared" ca="1" si="93"/>
        <v>2.2798120210528197</v>
      </c>
      <c r="R332">
        <f t="shared" ca="1" si="94"/>
        <v>2.5397188996127325</v>
      </c>
      <c r="S332">
        <f t="shared" ca="1" si="91"/>
        <v>0.89766313169558076</v>
      </c>
      <c r="T332">
        <f t="shared" ca="1" si="92"/>
        <v>47.303608143217176</v>
      </c>
      <c r="U332">
        <f>70</f>
        <v>70</v>
      </c>
      <c r="V332">
        <f>30</f>
        <v>30</v>
      </c>
      <c r="W332">
        <f t="shared" ca="1" si="90"/>
        <v>236.79967178492905</v>
      </c>
      <c r="X332">
        <f t="shared" ca="1" si="100"/>
        <v>239.37854704065188</v>
      </c>
      <c r="Y332">
        <f t="shared" ca="1" si="99"/>
        <v>-2.181211589994092</v>
      </c>
      <c r="Z332">
        <f t="shared" ca="1" si="101"/>
        <v>-2.7077213502520836</v>
      </c>
      <c r="AA332">
        <f t="shared" ca="1" si="102"/>
        <v>0.52650976025799157</v>
      </c>
      <c r="AB332">
        <f t="shared" ca="1" si="103"/>
        <v>239.49870000000007</v>
      </c>
    </row>
    <row r="333" spans="1:28" x14ac:dyDescent="0.25">
      <c r="A333" s="20">
        <f t="shared" ca="1" si="104"/>
        <v>45775</v>
      </c>
      <c r="B333" vm="990">
        <f ca="1"/>
        <v>45776</v>
      </c>
      <c r="C333" vm="991">
        <f ca="1"/>
        <v>239.39</v>
      </c>
      <c r="D333" vm="992">
        <f ca="1"/>
        <v>3426508</v>
      </c>
      <c r="E333">
        <f t="shared" ca="1" si="105"/>
        <v>820271750.12</v>
      </c>
      <c r="F333">
        <f ca="1">SUM($E$2:E333)/SUM($D$2:D333)</f>
        <v>207.54571304848182</v>
      </c>
      <c r="G333">
        <f ca="1">_xlfn.STDEV.P($C$2:C333)</f>
        <v>28.827551811649268</v>
      </c>
      <c r="H333">
        <f t="shared" ca="1" si="106"/>
        <v>236.37326486013109</v>
      </c>
      <c r="I333">
        <f t="shared" ca="1" si="107"/>
        <v>178.71816123683254</v>
      </c>
      <c r="J333">
        <f t="shared" ca="1" si="95"/>
        <v>236.77349999999996</v>
      </c>
      <c r="K333">
        <f t="shared" ca="1" si="96"/>
        <v>7.6690658698298746</v>
      </c>
      <c r="L333">
        <f t="shared" ca="1" si="97"/>
        <v>252.11163173965971</v>
      </c>
      <c r="M333">
        <f t="shared" ca="1" si="98"/>
        <v>221.4353682603402</v>
      </c>
      <c r="N333">
        <f t="shared" ca="1" si="108"/>
        <v>3.2299999999999898</v>
      </c>
      <c r="O333">
        <f t="shared" ca="1" si="109"/>
        <v>3.2299999999999898</v>
      </c>
      <c r="P333">
        <f t="shared" ca="1" si="110"/>
        <v>0</v>
      </c>
      <c r="Q333">
        <f t="shared" ca="1" si="93"/>
        <v>2.3476825909776173</v>
      </c>
      <c r="R333">
        <f t="shared" ca="1" si="94"/>
        <v>2.3583104067832514</v>
      </c>
      <c r="S333">
        <f t="shared" ca="1" si="91"/>
        <v>0.99549346185512089</v>
      </c>
      <c r="T333">
        <f t="shared" ca="1" si="92"/>
        <v>49.887082111993251</v>
      </c>
      <c r="U333">
        <f>70</f>
        <v>70</v>
      </c>
      <c r="V333">
        <f>30</f>
        <v>30</v>
      </c>
      <c r="W333">
        <f t="shared" ca="1" si="90"/>
        <v>237.1981838180169</v>
      </c>
      <c r="X333">
        <f t="shared" ca="1" si="100"/>
        <v>239.37939540801099</v>
      </c>
      <c r="Y333">
        <f t="shared" ca="1" si="99"/>
        <v>-1.6509484719446164</v>
      </c>
      <c r="Z333">
        <f t="shared" ca="1" si="101"/>
        <v>-2.49636677459059</v>
      </c>
      <c r="AA333">
        <f t="shared" ca="1" si="102"/>
        <v>0.84541830264597362</v>
      </c>
      <c r="AB333">
        <f t="shared" ca="1" si="103"/>
        <v>239.61870000000008</v>
      </c>
    </row>
    <row r="334" spans="1:28" x14ac:dyDescent="0.25">
      <c r="A334" s="20">
        <f t="shared" ca="1" si="104"/>
        <v>45775</v>
      </c>
      <c r="B334" vm="993">
        <f ca="1"/>
        <v>45777</v>
      </c>
      <c r="C334" vm="994">
        <f ca="1"/>
        <v>241.82</v>
      </c>
      <c r="D334" vm="995">
        <f ca="1"/>
        <v>5142993</v>
      </c>
      <c r="E334">
        <f t="shared" ca="1" si="105"/>
        <v>1243678567.26</v>
      </c>
      <c r="F334">
        <f ca="1">SUM($E$2:E334)/SUM($D$2:D334)</f>
        <v>207.66570439048473</v>
      </c>
      <c r="G334">
        <f ca="1">_xlfn.STDEV.P($C$2:C334)</f>
        <v>28.852046718846807</v>
      </c>
      <c r="H334">
        <f t="shared" ca="1" si="106"/>
        <v>236.51775110933153</v>
      </c>
      <c r="I334">
        <f t="shared" ca="1" si="107"/>
        <v>178.81365767163794</v>
      </c>
      <c r="J334">
        <f t="shared" ca="1" si="95"/>
        <v>236.3475</v>
      </c>
      <c r="K334">
        <f t="shared" ca="1" si="96"/>
        <v>7.0906334621623763</v>
      </c>
      <c r="L334">
        <f t="shared" ca="1" si="97"/>
        <v>250.52876692432474</v>
      </c>
      <c r="M334">
        <f t="shared" ca="1" si="98"/>
        <v>222.16623307567525</v>
      </c>
      <c r="N334">
        <f t="shared" ca="1" si="108"/>
        <v>2.4300000000000068</v>
      </c>
      <c r="O334">
        <f t="shared" ca="1" si="109"/>
        <v>2.4300000000000068</v>
      </c>
      <c r="P334">
        <f t="shared" ca="1" si="110"/>
        <v>0</v>
      </c>
      <c r="Q334">
        <f t="shared" ca="1" si="93"/>
        <v>2.353562405907788</v>
      </c>
      <c r="R334">
        <f t="shared" ca="1" si="94"/>
        <v>2.1898596634415908</v>
      </c>
      <c r="S334">
        <f t="shared" ca="1" si="91"/>
        <v>1.074754901055587</v>
      </c>
      <c r="T334">
        <f t="shared" ca="1" si="92"/>
        <v>51.801535714352418</v>
      </c>
      <c r="U334">
        <f>70</f>
        <v>70</v>
      </c>
      <c r="V334">
        <f>30</f>
        <v>30</v>
      </c>
      <c r="W334">
        <f t="shared" ca="1" si="90"/>
        <v>237.90923246139891</v>
      </c>
      <c r="X334">
        <f t="shared" ca="1" si="100"/>
        <v>239.56018093334353</v>
      </c>
      <c r="Y334">
        <f t="shared" ca="1" si="99"/>
        <v>-1.3889936247896344</v>
      </c>
      <c r="Z334">
        <f t="shared" ca="1" si="101"/>
        <v>-2.2748921446303991</v>
      </c>
      <c r="AA334">
        <f t="shared" ca="1" si="102"/>
        <v>0.88589851984076473</v>
      </c>
      <c r="AB334">
        <f t="shared" ca="1" si="103"/>
        <v>239.74690000000007</v>
      </c>
    </row>
    <row r="335" spans="1:28" x14ac:dyDescent="0.25">
      <c r="A335" s="20">
        <f t="shared" ca="1" si="104"/>
        <v>45775</v>
      </c>
      <c r="B335" vm="996">
        <f ca="1"/>
        <v>45778</v>
      </c>
      <c r="C335" vm="997">
        <f ca="1"/>
        <v>239.66</v>
      </c>
      <c r="D335" vm="998">
        <f ca="1"/>
        <v>4243294</v>
      </c>
      <c r="E335">
        <f t="shared" ca="1" si="105"/>
        <v>1016947840.04</v>
      </c>
      <c r="F335">
        <f ca="1">SUM($E$2:E335)/SUM($D$2:D335)</f>
        <v>207.75785295721724</v>
      </c>
      <c r="G335">
        <f ca="1">_xlfn.STDEV.P($C$2:C335)</f>
        <v>28.868167038443374</v>
      </c>
      <c r="H335">
        <f t="shared" ca="1" si="106"/>
        <v>236.62601999566061</v>
      </c>
      <c r="I335">
        <f t="shared" ca="1" si="107"/>
        <v>178.88968591877386</v>
      </c>
      <c r="J335">
        <f t="shared" ca="1" si="95"/>
        <v>235.83149999999995</v>
      </c>
      <c r="K335">
        <f t="shared" ca="1" si="96"/>
        <v>6.3869400259229625</v>
      </c>
      <c r="L335">
        <f t="shared" ca="1" si="97"/>
        <v>248.60538005184588</v>
      </c>
      <c r="M335">
        <f t="shared" ca="1" si="98"/>
        <v>223.05761994815401</v>
      </c>
      <c r="N335">
        <f t="shared" ca="1" si="108"/>
        <v>-2.1599999999999966</v>
      </c>
      <c r="O335">
        <f t="shared" ca="1" si="109"/>
        <v>0</v>
      </c>
      <c r="P335">
        <f t="shared" ca="1" si="110"/>
        <v>2.1599999999999966</v>
      </c>
      <c r="Q335">
        <f t="shared" ca="1" si="93"/>
        <v>2.1854508054858033</v>
      </c>
      <c r="R335">
        <f t="shared" ca="1" si="94"/>
        <v>2.1877268303386197</v>
      </c>
      <c r="S335">
        <f t="shared" ca="1" si="91"/>
        <v>0.99895963937487386</v>
      </c>
      <c r="T335">
        <f t="shared" ca="1" si="92"/>
        <v>49.973977447952592</v>
      </c>
      <c r="U335">
        <f>70</f>
        <v>70</v>
      </c>
      <c r="V335">
        <f>30</f>
        <v>30</v>
      </c>
      <c r="W335">
        <f t="shared" ref="W335:W398" ca="1" si="111">C335*(2/(12+1)) + W334*(1-(2/(12+1)))</f>
        <v>238.17858131349141</v>
      </c>
      <c r="X335">
        <f t="shared" ca="1" si="100"/>
        <v>239.56757493828104</v>
      </c>
      <c r="Y335">
        <f t="shared" ca="1" si="99"/>
        <v>-0.69807180864501106</v>
      </c>
      <c r="Z335">
        <f t="shared" ca="1" si="101"/>
        <v>-1.9595280774333217</v>
      </c>
      <c r="AA335">
        <f t="shared" ca="1" si="102"/>
        <v>1.2614562687883106</v>
      </c>
      <c r="AB335">
        <f t="shared" ca="1" si="103"/>
        <v>239.80860000000004</v>
      </c>
    </row>
    <row r="336" spans="1:28" x14ac:dyDescent="0.25">
      <c r="A336" s="20">
        <f t="shared" ca="1" si="104"/>
        <v>45775</v>
      </c>
      <c r="B336" vm="999">
        <f ca="1"/>
        <v>45779</v>
      </c>
      <c r="C336" vm="1000">
        <f ca="1"/>
        <v>245.55</v>
      </c>
      <c r="D336" vm="1001">
        <f ca="1"/>
        <v>3731946</v>
      </c>
      <c r="E336">
        <f t="shared" ca="1" si="105"/>
        <v>916379340.30000007</v>
      </c>
      <c r="F336">
        <f ca="1">SUM($E$2:E336)/SUM($D$2:D336)</f>
        <v>207.85334146683579</v>
      </c>
      <c r="G336">
        <f ca="1">_xlfn.STDEV.P($C$2:C336)</f>
        <v>28.906097721816536</v>
      </c>
      <c r="H336">
        <f t="shared" ca="1" si="106"/>
        <v>236.75943918865232</v>
      </c>
      <c r="I336">
        <f t="shared" ca="1" si="107"/>
        <v>178.94724374501925</v>
      </c>
      <c r="J336">
        <f t="shared" ca="1" si="95"/>
        <v>235.93449999999999</v>
      </c>
      <c r="K336">
        <f t="shared" ca="1" si="96"/>
        <v>6.5319115240406243</v>
      </c>
      <c r="L336">
        <f t="shared" ca="1" si="97"/>
        <v>248.99832304808123</v>
      </c>
      <c r="M336">
        <f t="shared" ca="1" si="98"/>
        <v>222.87067695191874</v>
      </c>
      <c r="N336">
        <f t="shared" ca="1" si="108"/>
        <v>5.8900000000000148</v>
      </c>
      <c r="O336">
        <f t="shared" ca="1" si="109"/>
        <v>5.8900000000000148</v>
      </c>
      <c r="P336">
        <f t="shared" ca="1" si="110"/>
        <v>0</v>
      </c>
      <c r="Q336">
        <f t="shared" ca="1" si="93"/>
        <v>2.4500614622368184</v>
      </c>
      <c r="R336">
        <f t="shared" ca="1" si="94"/>
        <v>2.0314606281715752</v>
      </c>
      <c r="S336">
        <f t="shared" ref="S336:S399" ca="1" si="112">IF(R336=0,NA(),Q336/R336)</f>
        <v>1.2060590435572491</v>
      </c>
      <c r="T336">
        <f t="shared" ref="T336:T399" ca="1" si="113">100-(100/(1+S336))</f>
        <v>54.670297564315888</v>
      </c>
      <c r="U336">
        <f>70</f>
        <v>70</v>
      </c>
      <c r="V336">
        <f>30</f>
        <v>30</v>
      </c>
      <c r="W336">
        <f t="shared" ca="1" si="111"/>
        <v>239.31264572680041</v>
      </c>
      <c r="X336">
        <f t="shared" ca="1" si="100"/>
        <v>240.01071753544542</v>
      </c>
      <c r="Y336">
        <f t="shared" ca="1" si="99"/>
        <v>0.14077658643864766</v>
      </c>
      <c r="Z336">
        <f t="shared" ca="1" si="101"/>
        <v>-1.5394671446589279</v>
      </c>
      <c r="AA336">
        <f t="shared" ca="1" si="102"/>
        <v>1.6802437310975755</v>
      </c>
      <c r="AB336">
        <f t="shared" ca="1" si="103"/>
        <v>239.91660000000005</v>
      </c>
    </row>
    <row r="337" spans="1:28" x14ac:dyDescent="0.25">
      <c r="A337" s="20">
        <f t="shared" ca="1" si="104"/>
        <v>45782</v>
      </c>
      <c r="B337" vm="1002">
        <f ca="1"/>
        <v>45782</v>
      </c>
      <c r="C337" vm="1003">
        <f ca="1"/>
        <v>249.18</v>
      </c>
      <c r="D337" vm="1004">
        <f ca="1"/>
        <v>4138168</v>
      </c>
      <c r="E337">
        <f t="shared" ca="1" si="105"/>
        <v>1031148702.24</v>
      </c>
      <c r="F337">
        <f ca="1">SUM($E$2:E337)/SUM($D$2:D337)</f>
        <v>207.96880305971635</v>
      </c>
      <c r="G337">
        <f ca="1">_xlfn.STDEV.P($C$2:C337)</f>
        <v>28.958657285403895</v>
      </c>
      <c r="H337">
        <f t="shared" ca="1" si="106"/>
        <v>236.92746034512024</v>
      </c>
      <c r="I337">
        <f t="shared" ca="1" si="107"/>
        <v>179.01014577431246</v>
      </c>
      <c r="J337">
        <f t="shared" ca="1" si="95"/>
        <v>237.01950000000002</v>
      </c>
      <c r="K337">
        <f t="shared" ca="1" si="96"/>
        <v>6.8482487004458212</v>
      </c>
      <c r="L337">
        <f t="shared" ca="1" si="97"/>
        <v>250.71599740089167</v>
      </c>
      <c r="M337">
        <f t="shared" ca="1" si="98"/>
        <v>223.32300259910838</v>
      </c>
      <c r="N337">
        <f t="shared" ca="1" si="108"/>
        <v>3.6299999999999955</v>
      </c>
      <c r="O337">
        <f t="shared" ca="1" si="109"/>
        <v>3.6299999999999955</v>
      </c>
      <c r="P337">
        <f t="shared" ca="1" si="110"/>
        <v>0</v>
      </c>
      <c r="Q337">
        <f t="shared" ref="Q337:Q400" ca="1" si="114">(Q336*13+O337)/14</f>
        <v>2.5343427863627599</v>
      </c>
      <c r="R337">
        <f t="shared" ref="R337:R400" ca="1" si="115">(R336*13+P337)/14</f>
        <v>1.8863562975878914</v>
      </c>
      <c r="S337">
        <f t="shared" ca="1" si="112"/>
        <v>1.3435122461241586</v>
      </c>
      <c r="T337">
        <f t="shared" ca="1" si="113"/>
        <v>57.32900471700713</v>
      </c>
      <c r="U337">
        <f>70</f>
        <v>70</v>
      </c>
      <c r="V337">
        <f>30</f>
        <v>30</v>
      </c>
      <c r="W337">
        <f t="shared" ca="1" si="111"/>
        <v>240.83070023036959</v>
      </c>
      <c r="X337">
        <f t="shared" ca="1" si="100"/>
        <v>240.68992364393094</v>
      </c>
      <c r="Y337">
        <f t="shared" ca="1" si="99"/>
        <v>0.79160337362458222</v>
      </c>
      <c r="Z337">
        <f t="shared" ca="1" si="101"/>
        <v>-1.0732530410022261</v>
      </c>
      <c r="AA337">
        <f t="shared" ca="1" si="102"/>
        <v>1.8648564146268083</v>
      </c>
      <c r="AB337">
        <f t="shared" ca="1" si="103"/>
        <v>240.02800000000008</v>
      </c>
    </row>
    <row r="338" spans="1:28" x14ac:dyDescent="0.25">
      <c r="A338" s="20">
        <f t="shared" ca="1" si="104"/>
        <v>45782</v>
      </c>
      <c r="B338" vm="1005">
        <f ca="1"/>
        <v>45783</v>
      </c>
      <c r="C338" vm="1006">
        <f ca="1"/>
        <v>249.12</v>
      </c>
      <c r="D338" vm="1007">
        <f ca="1"/>
        <v>2900556</v>
      </c>
      <c r="E338">
        <f t="shared" ca="1" si="105"/>
        <v>722586510.72000003</v>
      </c>
      <c r="F338">
        <f ca="1">SUM($E$2:E338)/SUM($D$2:D338)</f>
        <v>208.04923216022297</v>
      </c>
      <c r="G338">
        <f ca="1">_xlfn.STDEV.P($C$2:C338)</f>
        <v>29.009983632378738</v>
      </c>
      <c r="H338">
        <f t="shared" ca="1" si="106"/>
        <v>237.05921579260172</v>
      </c>
      <c r="I338">
        <f t="shared" ca="1" si="107"/>
        <v>179.03924852784422</v>
      </c>
      <c r="J338">
        <f t="shared" ca="1" si="95"/>
        <v>238.18649999999997</v>
      </c>
      <c r="K338">
        <f t="shared" ca="1" si="96"/>
        <v>6.8207487434337164</v>
      </c>
      <c r="L338">
        <f t="shared" ca="1" si="97"/>
        <v>251.82799748686739</v>
      </c>
      <c r="M338">
        <f t="shared" ca="1" si="98"/>
        <v>224.54500251313254</v>
      </c>
      <c r="N338">
        <f t="shared" ca="1" si="108"/>
        <v>-6.0000000000002274E-2</v>
      </c>
      <c r="O338">
        <f t="shared" ca="1" si="109"/>
        <v>0</v>
      </c>
      <c r="P338">
        <f t="shared" ca="1" si="110"/>
        <v>6.0000000000002274E-2</v>
      </c>
      <c r="Q338">
        <f t="shared" ca="1" si="114"/>
        <v>2.3533183016225627</v>
      </c>
      <c r="R338">
        <f t="shared" ca="1" si="115"/>
        <v>1.7559022763316137</v>
      </c>
      <c r="S338">
        <f t="shared" ca="1" si="112"/>
        <v>1.3402330718193813</v>
      </c>
      <c r="T338">
        <f t="shared" ca="1" si="113"/>
        <v>57.269213394093086</v>
      </c>
      <c r="U338">
        <f>70</f>
        <v>70</v>
      </c>
      <c r="V338">
        <f>30</f>
        <v>30</v>
      </c>
      <c r="W338">
        <f t="shared" ca="1" si="111"/>
        <v>242.10597711800506</v>
      </c>
      <c r="X338">
        <f t="shared" ca="1" si="100"/>
        <v>241.31437374438048</v>
      </c>
      <c r="Y338">
        <f t="shared" ca="1" si="99"/>
        <v>1.6315206185864781</v>
      </c>
      <c r="Z338">
        <f t="shared" ca="1" si="101"/>
        <v>-0.53229830908448528</v>
      </c>
      <c r="AA338">
        <f t="shared" ca="1" si="102"/>
        <v>2.1638189276709632</v>
      </c>
      <c r="AB338">
        <f t="shared" ca="1" si="103"/>
        <v>240.21920000000006</v>
      </c>
    </row>
    <row r="339" spans="1:28" x14ac:dyDescent="0.25">
      <c r="A339" s="20">
        <f t="shared" ca="1" si="104"/>
        <v>45782</v>
      </c>
      <c r="B339" vm="1008">
        <f ca="1"/>
        <v>45784</v>
      </c>
      <c r="C339" vm="1009">
        <f ca="1"/>
        <v>253.37</v>
      </c>
      <c r="D339" vm="1010">
        <f ca="1"/>
        <v>3400001</v>
      </c>
      <c r="E339">
        <f t="shared" ca="1" si="105"/>
        <v>861458253.37</v>
      </c>
      <c r="F339">
        <f ca="1">SUM($E$2:E339)/SUM($D$2:D339)</f>
        <v>208.15282552769193</v>
      </c>
      <c r="G339">
        <f ca="1">_xlfn.STDEV.P($C$2:C339)</f>
        <v>29.079756245436403</v>
      </c>
      <c r="H339">
        <f t="shared" ca="1" si="106"/>
        <v>237.23258177312835</v>
      </c>
      <c r="I339">
        <f t="shared" ca="1" si="107"/>
        <v>179.07306928225552</v>
      </c>
      <c r="J339">
        <f t="shared" ca="1" si="95"/>
        <v>239.80349999999999</v>
      </c>
      <c r="K339">
        <f t="shared" ca="1" si="96"/>
        <v>6.3570477052100047</v>
      </c>
      <c r="L339">
        <f t="shared" ca="1" si="97"/>
        <v>252.51759541042</v>
      </c>
      <c r="M339">
        <f t="shared" ca="1" si="98"/>
        <v>227.08940458957997</v>
      </c>
      <c r="N339">
        <f t="shared" ca="1" si="108"/>
        <v>4.25</v>
      </c>
      <c r="O339">
        <f t="shared" ca="1" si="109"/>
        <v>4.25</v>
      </c>
      <c r="P339">
        <f t="shared" ca="1" si="110"/>
        <v>0</v>
      </c>
      <c r="Q339">
        <f t="shared" ca="1" si="114"/>
        <v>2.4887955657923797</v>
      </c>
      <c r="R339">
        <f t="shared" ca="1" si="115"/>
        <v>1.6304806851650699</v>
      </c>
      <c r="S339">
        <f t="shared" ca="1" si="112"/>
        <v>1.5264183062312167</v>
      </c>
      <c r="T339">
        <f t="shared" ca="1" si="113"/>
        <v>60.418272875335937</v>
      </c>
      <c r="U339">
        <f>70</f>
        <v>70</v>
      </c>
      <c r="V339">
        <f>30</f>
        <v>30</v>
      </c>
      <c r="W339">
        <f t="shared" ca="1" si="111"/>
        <v>243.83890371523506</v>
      </c>
      <c r="X339">
        <f t="shared" ca="1" si="100"/>
        <v>242.20738309664858</v>
      </c>
      <c r="Y339">
        <f t="shared" ca="1" si="99"/>
        <v>2.3324071140000626</v>
      </c>
      <c r="Z339">
        <f t="shared" ca="1" si="101"/>
        <v>4.0642775532424291E-2</v>
      </c>
      <c r="AA339">
        <f t="shared" ca="1" si="102"/>
        <v>2.2917643384676385</v>
      </c>
      <c r="AB339">
        <f t="shared" ca="1" si="103"/>
        <v>240.43570000000008</v>
      </c>
    </row>
    <row r="340" spans="1:28" x14ac:dyDescent="0.25">
      <c r="A340" s="20">
        <f t="shared" ca="1" si="104"/>
        <v>45782</v>
      </c>
      <c r="B340" vm="1011">
        <f ca="1"/>
        <v>45785</v>
      </c>
      <c r="C340" vm="1012">
        <f ca="1"/>
        <v>254.14</v>
      </c>
      <c r="D340" vm="1013">
        <f ca="1"/>
        <v>3637012</v>
      </c>
      <c r="E340">
        <f t="shared" ca="1" si="105"/>
        <v>924310229.67999995</v>
      </c>
      <c r="F340">
        <f ca="1">SUM($E$2:E340)/SUM($D$2:D340)</f>
        <v>208.26499547112311</v>
      </c>
      <c r="G340">
        <f ca="1">_xlfn.STDEV.P($C$2:C340)</f>
        <v>29.1519695209996</v>
      </c>
      <c r="H340">
        <f t="shared" ca="1" si="106"/>
        <v>237.4169649921227</v>
      </c>
      <c r="I340">
        <f t="shared" ca="1" si="107"/>
        <v>179.11302595012353</v>
      </c>
      <c r="J340">
        <f t="shared" ca="1" si="95"/>
        <v>240.74499999999998</v>
      </c>
      <c r="K340">
        <f t="shared" ca="1" si="96"/>
        <v>7.0166880026345604</v>
      </c>
      <c r="L340">
        <f t="shared" ca="1" si="97"/>
        <v>254.77837600526911</v>
      </c>
      <c r="M340">
        <f t="shared" ca="1" si="98"/>
        <v>226.71162399473084</v>
      </c>
      <c r="N340">
        <f t="shared" ca="1" si="108"/>
        <v>0.76999999999998181</v>
      </c>
      <c r="O340">
        <f t="shared" ca="1" si="109"/>
        <v>0.76999999999998181</v>
      </c>
      <c r="P340">
        <f t="shared" ca="1" si="110"/>
        <v>0</v>
      </c>
      <c r="Q340">
        <f t="shared" ca="1" si="114"/>
        <v>2.3660244539500654</v>
      </c>
      <c r="R340">
        <f t="shared" ca="1" si="115"/>
        <v>1.5140177790818505</v>
      </c>
      <c r="S340">
        <f t="shared" ca="1" si="112"/>
        <v>1.5627454886196246</v>
      </c>
      <c r="T340">
        <f t="shared" ca="1" si="113"/>
        <v>60.979347951612958</v>
      </c>
      <c r="U340">
        <f>70</f>
        <v>70</v>
      </c>
      <c r="V340">
        <f>30</f>
        <v>30</v>
      </c>
      <c r="W340">
        <f t="shared" ca="1" si="111"/>
        <v>245.42368775904504</v>
      </c>
      <c r="X340">
        <f t="shared" ca="1" si="100"/>
        <v>243.09128064504498</v>
      </c>
      <c r="Y340">
        <f t="shared" ca="1" si="99"/>
        <v>2.4608804979964418</v>
      </c>
      <c r="Z340">
        <f t="shared" ca="1" si="101"/>
        <v>0.52469032002522775</v>
      </c>
      <c r="AA340">
        <f t="shared" ca="1" si="102"/>
        <v>1.9361901779712141</v>
      </c>
      <c r="AB340">
        <f t="shared" ca="1" si="103"/>
        <v>240.67590000000007</v>
      </c>
    </row>
    <row r="341" spans="1:28" x14ac:dyDescent="0.25">
      <c r="A341" s="20">
        <f t="shared" ca="1" si="104"/>
        <v>45782</v>
      </c>
      <c r="B341" vm="1014">
        <f ca="1"/>
        <v>45786</v>
      </c>
      <c r="C341" vm="1015">
        <f ca="1"/>
        <v>249.2</v>
      </c>
      <c r="D341" vm="1016">
        <f ca="1"/>
        <v>2901346</v>
      </c>
      <c r="E341">
        <f t="shared" ca="1" si="105"/>
        <v>723015423.19999993</v>
      </c>
      <c r="F341">
        <f ca="1">SUM($E$2:E341)/SUM($D$2:D341)</f>
        <v>208.34449145425251</v>
      </c>
      <c r="G341">
        <f ca="1">_xlfn.STDEV.P($C$2:C341)</f>
        <v>29.200534730137257</v>
      </c>
      <c r="H341">
        <f t="shared" ca="1" si="106"/>
        <v>237.54502618438977</v>
      </c>
      <c r="I341">
        <f t="shared" ca="1" si="107"/>
        <v>179.14395672411524</v>
      </c>
      <c r="J341">
        <f t="shared" ca="1" si="95"/>
        <v>241.72750000000002</v>
      </c>
      <c r="K341">
        <f t="shared" ca="1" si="96"/>
        <v>6.7367693920829188</v>
      </c>
      <c r="L341">
        <f t="shared" ca="1" si="97"/>
        <v>255.20103878416586</v>
      </c>
      <c r="M341">
        <f t="shared" ca="1" si="98"/>
        <v>228.25396121583418</v>
      </c>
      <c r="N341">
        <f t="shared" ca="1" si="108"/>
        <v>-4.9399999999999977</v>
      </c>
      <c r="O341">
        <f t="shared" ca="1" si="109"/>
        <v>0</v>
      </c>
      <c r="P341">
        <f t="shared" ca="1" si="110"/>
        <v>4.9399999999999977</v>
      </c>
      <c r="Q341">
        <f t="shared" ca="1" si="114"/>
        <v>2.1970227072393462</v>
      </c>
      <c r="R341">
        <f t="shared" ca="1" si="115"/>
        <v>1.7587307948617181</v>
      </c>
      <c r="S341">
        <f t="shared" ca="1" si="112"/>
        <v>1.2492092102203107</v>
      </c>
      <c r="T341">
        <f t="shared" ca="1" si="113"/>
        <v>55.539929524739513</v>
      </c>
      <c r="U341">
        <f>70</f>
        <v>70</v>
      </c>
      <c r="V341">
        <f>30</f>
        <v>30</v>
      </c>
      <c r="W341">
        <f t="shared" ca="1" si="111"/>
        <v>246.0046588730381</v>
      </c>
      <c r="X341">
        <f t="shared" ca="1" si="100"/>
        <v>243.54377837504165</v>
      </c>
      <c r="Y341">
        <f t="shared" ca="1" si="99"/>
        <v>2.8916686991560709</v>
      </c>
      <c r="Z341">
        <f t="shared" ca="1" si="101"/>
        <v>0.99808599585139635</v>
      </c>
      <c r="AA341">
        <f t="shared" ca="1" si="102"/>
        <v>1.8935827033046746</v>
      </c>
      <c r="AB341">
        <f t="shared" ca="1" si="103"/>
        <v>240.84530000000007</v>
      </c>
    </row>
    <row r="342" spans="1:28" x14ac:dyDescent="0.25">
      <c r="A342" s="20">
        <f t="shared" ca="1" si="104"/>
        <v>45789</v>
      </c>
      <c r="B342" vm="1017">
        <f ca="1"/>
        <v>45789</v>
      </c>
      <c r="C342" vm="1018">
        <f ca="1"/>
        <v>253.69</v>
      </c>
      <c r="D342" vm="1019">
        <f ca="1"/>
        <v>4609520</v>
      </c>
      <c r="E342">
        <f t="shared" ca="1" si="105"/>
        <v>1169389128.8</v>
      </c>
      <c r="F342">
        <f ca="1">SUM($E$2:E342)/SUM($D$2:D342)</f>
        <v>208.48396855286671</v>
      </c>
      <c r="G342">
        <f ca="1">_xlfn.STDEV.P($C$2:C342)</f>
        <v>29.268289029563473</v>
      </c>
      <c r="H342">
        <f t="shared" ca="1" si="106"/>
        <v>237.75225758243019</v>
      </c>
      <c r="I342">
        <f t="shared" ca="1" si="107"/>
        <v>179.21567952330324</v>
      </c>
      <c r="J342">
        <f t="shared" ref="J342:J405" ca="1" si="116">AVERAGE(C323:C342)</f>
        <v>242.63799999999998</v>
      </c>
      <c r="K342">
        <f t="shared" ref="K342:K405" ca="1" si="117">_xlfn.STDEV.S(C323:C342)</f>
        <v>7.0702755101533112</v>
      </c>
      <c r="L342">
        <f t="shared" ref="L342:L405" ca="1" si="118">J342 + 2*K342</f>
        <v>256.77855102030662</v>
      </c>
      <c r="M342">
        <f t="shared" ref="M342:M405" ca="1" si="119">J342-2*K342</f>
        <v>228.49744897969336</v>
      </c>
      <c r="N342">
        <f t="shared" ca="1" si="108"/>
        <v>4.4900000000000091</v>
      </c>
      <c r="O342">
        <f t="shared" ca="1" si="109"/>
        <v>4.4900000000000091</v>
      </c>
      <c r="P342">
        <f t="shared" ca="1" si="110"/>
        <v>0</v>
      </c>
      <c r="Q342">
        <f t="shared" ca="1" si="114"/>
        <v>2.3608067995793935</v>
      </c>
      <c r="R342">
        <f t="shared" ca="1" si="115"/>
        <v>1.6331071666573096</v>
      </c>
      <c r="S342">
        <f t="shared" ca="1" si="112"/>
        <v>1.4455920883695346</v>
      </c>
      <c r="T342">
        <f t="shared" ca="1" si="113"/>
        <v>59.110106515486166</v>
      </c>
      <c r="U342">
        <f>70</f>
        <v>70</v>
      </c>
      <c r="V342">
        <f>30</f>
        <v>30</v>
      </c>
      <c r="W342">
        <f t="shared" ca="1" si="111"/>
        <v>247.18701904641685</v>
      </c>
      <c r="X342">
        <f t="shared" ca="1" si="100"/>
        <v>244.29535034726078</v>
      </c>
      <c r="Y342">
        <f t="shared" ca="1" si="99"/>
        <v>3.5871105240058228</v>
      </c>
      <c r="Z342">
        <f t="shared" ca="1" si="101"/>
        <v>1.5158909014822819</v>
      </c>
      <c r="AA342">
        <f t="shared" ca="1" si="102"/>
        <v>2.0712196225235409</v>
      </c>
      <c r="AB342">
        <f t="shared" ca="1" si="103"/>
        <v>241.07400000000001</v>
      </c>
    </row>
    <row r="343" spans="1:28" x14ac:dyDescent="0.25">
      <c r="A343" s="20">
        <f t="shared" ca="1" si="104"/>
        <v>45789</v>
      </c>
      <c r="B343" vm="1020">
        <f ca="1"/>
        <v>45790</v>
      </c>
      <c r="C343" vm="1021">
        <f ca="1"/>
        <v>258.58999999999997</v>
      </c>
      <c r="D343" vm="1022">
        <f ca="1"/>
        <v>3521389</v>
      </c>
      <c r="E343">
        <f t="shared" ca="1" si="105"/>
        <v>910595981.50999987</v>
      </c>
      <c r="F343">
        <f ca="1">SUM($E$2:E343)/SUM($D$2:D343)</f>
        <v>208.60143061889221</v>
      </c>
      <c r="G343">
        <f ca="1">_xlfn.STDEV.P($C$2:C343)</f>
        <v>29.358859478400145</v>
      </c>
      <c r="H343">
        <f t="shared" ca="1" si="106"/>
        <v>237.96029009729236</v>
      </c>
      <c r="I343">
        <f t="shared" ca="1" si="107"/>
        <v>179.24257114049206</v>
      </c>
      <c r="J343">
        <f t="shared" ca="1" si="116"/>
        <v>243.61449999999996</v>
      </c>
      <c r="K343">
        <f t="shared" ca="1" si="117"/>
        <v>7.8552037562772057</v>
      </c>
      <c r="L343">
        <f t="shared" ca="1" si="118"/>
        <v>259.32490751255438</v>
      </c>
      <c r="M343">
        <f t="shared" ca="1" si="119"/>
        <v>227.90409248744555</v>
      </c>
      <c r="N343">
        <f t="shared" ca="1" si="108"/>
        <v>4.8999999999999773</v>
      </c>
      <c r="O343">
        <f t="shared" ca="1" si="109"/>
        <v>4.8999999999999773</v>
      </c>
      <c r="P343">
        <f t="shared" ca="1" si="110"/>
        <v>0</v>
      </c>
      <c r="Q343">
        <f t="shared" ca="1" si="114"/>
        <v>2.5421777424665781</v>
      </c>
      <c r="R343">
        <f t="shared" ca="1" si="115"/>
        <v>1.5164566547532161</v>
      </c>
      <c r="S343">
        <f t="shared" ca="1" si="112"/>
        <v>1.676393278039513</v>
      </c>
      <c r="T343">
        <f t="shared" ca="1" si="113"/>
        <v>62.63628338162205</v>
      </c>
      <c r="U343">
        <f>70</f>
        <v>70</v>
      </c>
      <c r="V343">
        <f>30</f>
        <v>30</v>
      </c>
      <c r="W343">
        <f t="shared" ca="1" si="111"/>
        <v>248.94132380850655</v>
      </c>
      <c r="X343">
        <f t="shared" ca="1" si="100"/>
        <v>245.35421328450073</v>
      </c>
      <c r="Y343">
        <f t="shared" ca="1" si="99"/>
        <v>4.02966909875704</v>
      </c>
      <c r="Z343">
        <f t="shared" ca="1" si="101"/>
        <v>2.0186465409372336</v>
      </c>
      <c r="AA343">
        <f t="shared" ca="1" si="102"/>
        <v>2.0110225578198064</v>
      </c>
      <c r="AB343">
        <f t="shared" ca="1" si="103"/>
        <v>241.36660000000003</v>
      </c>
    </row>
    <row r="344" spans="1:28" x14ac:dyDescent="0.25">
      <c r="A344" s="20">
        <f t="shared" ca="1" si="104"/>
        <v>45789</v>
      </c>
      <c r="B344" vm="1023">
        <f ca="1"/>
        <v>45791</v>
      </c>
      <c r="C344" vm="1024">
        <f ca="1"/>
        <v>257.82</v>
      </c>
      <c r="D344" vm="1025">
        <f ca="1"/>
        <v>3635124</v>
      </c>
      <c r="E344">
        <f t="shared" ca="1" si="105"/>
        <v>937207669.67999995</v>
      </c>
      <c r="F344">
        <f ca="1">SUM($E$2:E344)/SUM($D$2:D344)</f>
        <v>208.720251323795</v>
      </c>
      <c r="G344">
        <f ca="1">_xlfn.STDEV.P($C$2:C344)</f>
        <v>29.44395948686099</v>
      </c>
      <c r="H344">
        <f t="shared" ca="1" si="106"/>
        <v>238.16421081065599</v>
      </c>
      <c r="I344">
        <f t="shared" ca="1" si="107"/>
        <v>179.27629183693401</v>
      </c>
      <c r="J344">
        <f t="shared" ca="1" si="116"/>
        <v>244.47049999999996</v>
      </c>
      <c r="K344">
        <f t="shared" ca="1" si="117"/>
        <v>8.4324794848939781</v>
      </c>
      <c r="L344">
        <f t="shared" ca="1" si="118"/>
        <v>261.33545896978791</v>
      </c>
      <c r="M344">
        <f t="shared" ca="1" si="119"/>
        <v>227.60554103021201</v>
      </c>
      <c r="N344">
        <f t="shared" ca="1" si="108"/>
        <v>-0.76999999999998181</v>
      </c>
      <c r="O344">
        <f t="shared" ca="1" si="109"/>
        <v>0</v>
      </c>
      <c r="P344">
        <f t="shared" ca="1" si="110"/>
        <v>0.76999999999998181</v>
      </c>
      <c r="Q344">
        <f t="shared" ca="1" si="114"/>
        <v>2.3605936180046796</v>
      </c>
      <c r="R344">
        <f t="shared" ca="1" si="115"/>
        <v>1.4631383222708423</v>
      </c>
      <c r="S344">
        <f t="shared" ca="1" si="112"/>
        <v>1.6133769323606773</v>
      </c>
      <c r="T344">
        <f t="shared" ca="1" si="113"/>
        <v>61.735332258531315</v>
      </c>
      <c r="U344">
        <f>70</f>
        <v>70</v>
      </c>
      <c r="V344">
        <f>30</f>
        <v>30</v>
      </c>
      <c r="W344">
        <f t="shared" ca="1" si="111"/>
        <v>250.30727399181325</v>
      </c>
      <c r="X344">
        <f t="shared" ca="1" si="100"/>
        <v>246.27760489305621</v>
      </c>
      <c r="Y344">
        <f t="shared" ca="1" si="99"/>
        <v>5.0372614966531728</v>
      </c>
      <c r="Z344">
        <f t="shared" ca="1" si="101"/>
        <v>2.6223695320804215</v>
      </c>
      <c r="AA344">
        <f t="shared" ca="1" si="102"/>
        <v>2.4148919645727513</v>
      </c>
      <c r="AB344">
        <f t="shared" ca="1" si="103"/>
        <v>241.65510000000006</v>
      </c>
    </row>
    <row r="345" spans="1:28" x14ac:dyDescent="0.25">
      <c r="A345" s="20">
        <f t="shared" ca="1" si="104"/>
        <v>45789</v>
      </c>
      <c r="B345" vm="1026">
        <f ca="1"/>
        <v>45792</v>
      </c>
      <c r="C345" vm="1027">
        <f ca="1"/>
        <v>266.68</v>
      </c>
      <c r="D345" vm="1028">
        <f ca="1"/>
        <v>4856276</v>
      </c>
      <c r="E345">
        <f t="shared" ca="1" si="105"/>
        <v>1295071683.6800001</v>
      </c>
      <c r="F345">
        <f ca="1">SUM($E$2:E345)/SUM($D$2:D345)</f>
        <v>208.90657813903991</v>
      </c>
      <c r="G345">
        <f ca="1">_xlfn.STDEV.P($C$2:C345)</f>
        <v>29.575495895650452</v>
      </c>
      <c r="H345">
        <f t="shared" ca="1" si="106"/>
        <v>238.48207403469036</v>
      </c>
      <c r="I345">
        <f t="shared" ca="1" si="107"/>
        <v>179.33108224338946</v>
      </c>
      <c r="J345">
        <f t="shared" ca="1" si="116"/>
        <v>245.87599999999998</v>
      </c>
      <c r="K345">
        <f t="shared" ca="1" si="117"/>
        <v>9.6517379945680997</v>
      </c>
      <c r="L345">
        <f t="shared" ca="1" si="118"/>
        <v>265.17947598913617</v>
      </c>
      <c r="M345">
        <f t="shared" ca="1" si="119"/>
        <v>226.57252401086379</v>
      </c>
      <c r="N345">
        <f t="shared" ca="1" si="108"/>
        <v>8.8600000000000136</v>
      </c>
      <c r="O345">
        <f t="shared" ca="1" si="109"/>
        <v>8.8600000000000136</v>
      </c>
      <c r="P345">
        <f t="shared" ca="1" si="110"/>
        <v>0</v>
      </c>
      <c r="Q345">
        <f t="shared" ca="1" si="114"/>
        <v>2.8248369310043464</v>
      </c>
      <c r="R345">
        <f t="shared" ca="1" si="115"/>
        <v>1.3586284421086392</v>
      </c>
      <c r="S345">
        <f t="shared" ca="1" si="112"/>
        <v>2.0791828313413636</v>
      </c>
      <c r="T345">
        <f t="shared" ca="1" si="113"/>
        <v>67.523851139285</v>
      </c>
      <c r="U345">
        <f>70</f>
        <v>70</v>
      </c>
      <c r="V345">
        <f>30</f>
        <v>30</v>
      </c>
      <c r="W345">
        <f t="shared" ca="1" si="111"/>
        <v>252.82615491614968</v>
      </c>
      <c r="X345">
        <f t="shared" ca="1" si="100"/>
        <v>247.7888934194965</v>
      </c>
      <c r="Y345">
        <f t="shared" ca="1" si="99"/>
        <v>5.775662816980315</v>
      </c>
      <c r="Z345">
        <f t="shared" ca="1" si="101"/>
        <v>3.2530281890603998</v>
      </c>
      <c r="AA345">
        <f t="shared" ca="1" si="102"/>
        <v>2.5226346279199152</v>
      </c>
      <c r="AB345">
        <f t="shared" ca="1" si="103"/>
        <v>242.12020000000004</v>
      </c>
    </row>
    <row r="346" spans="1:28" x14ac:dyDescent="0.25">
      <c r="A346" s="20">
        <f t="shared" ca="1" si="104"/>
        <v>45789</v>
      </c>
      <c r="B346" vm="1029">
        <f ca="1"/>
        <v>45793</v>
      </c>
      <c r="C346" vm="1030">
        <f ca="1"/>
        <v>266.76</v>
      </c>
      <c r="D346" vm="1031">
        <f ca="1"/>
        <v>3817937</v>
      </c>
      <c r="E346">
        <f t="shared" ca="1" si="105"/>
        <v>1018472874.12</v>
      </c>
      <c r="F346">
        <f ca="1">SUM($E$2:E346)/SUM($D$2:D346)</f>
        <v>209.05242835054443</v>
      </c>
      <c r="G346">
        <f ca="1">_xlfn.STDEV.P($C$2:C346)</f>
        <v>29.705154459146044</v>
      </c>
      <c r="H346">
        <f t="shared" ca="1" si="106"/>
        <v>238.75758280969046</v>
      </c>
      <c r="I346">
        <f t="shared" ca="1" si="107"/>
        <v>179.3472738913984</v>
      </c>
      <c r="J346">
        <f t="shared" ca="1" si="116"/>
        <v>247.27350000000001</v>
      </c>
      <c r="K346">
        <f t="shared" ca="1" si="117"/>
        <v>10.555910928305323</v>
      </c>
      <c r="L346">
        <f t="shared" ca="1" si="118"/>
        <v>268.38532185661063</v>
      </c>
      <c r="M346">
        <f t="shared" ca="1" si="119"/>
        <v>226.16167814338937</v>
      </c>
      <c r="N346">
        <f t="shared" ca="1" si="108"/>
        <v>7.9999999999984084E-2</v>
      </c>
      <c r="O346">
        <f t="shared" ca="1" si="109"/>
        <v>7.9999999999984084E-2</v>
      </c>
      <c r="P346">
        <f t="shared" ca="1" si="110"/>
        <v>0</v>
      </c>
      <c r="Q346">
        <f t="shared" ca="1" si="114"/>
        <v>2.6287771502183204</v>
      </c>
      <c r="R346">
        <f t="shared" ca="1" si="115"/>
        <v>1.2615835533865936</v>
      </c>
      <c r="S346">
        <f t="shared" ca="1" si="112"/>
        <v>2.0837122861673598</v>
      </c>
      <c r="T346">
        <f t="shared" ca="1" si="113"/>
        <v>67.571553141137372</v>
      </c>
      <c r="U346">
        <f>70</f>
        <v>70</v>
      </c>
      <c r="V346">
        <f>30</f>
        <v>30</v>
      </c>
      <c r="W346">
        <f t="shared" ca="1" si="111"/>
        <v>254.96982339058818</v>
      </c>
      <c r="X346">
        <f t="shared" ca="1" si="100"/>
        <v>249.19416057360786</v>
      </c>
      <c r="Y346">
        <f t="shared" ca="1" si="99"/>
        <v>6.4199867822852923</v>
      </c>
      <c r="Z346">
        <f t="shared" ca="1" si="101"/>
        <v>3.8864199077053785</v>
      </c>
      <c r="AA346">
        <f t="shared" ca="1" si="102"/>
        <v>2.5335668745799138</v>
      </c>
      <c r="AB346">
        <f t="shared" ca="1" si="103"/>
        <v>242.54859999999999</v>
      </c>
    </row>
    <row r="347" spans="1:28" x14ac:dyDescent="0.25">
      <c r="A347" s="20">
        <f t="shared" ca="1" si="104"/>
        <v>45796</v>
      </c>
      <c r="B347" vm="1032">
        <f ca="1"/>
        <v>45796</v>
      </c>
      <c r="C347" vm="1033">
        <f ca="1"/>
        <v>268.41000000000003</v>
      </c>
      <c r="D347" vm="1034">
        <f ca="1"/>
        <v>3198903</v>
      </c>
      <c r="E347">
        <f t="shared" ca="1" si="105"/>
        <v>858617554.23000014</v>
      </c>
      <c r="F347">
        <f ca="1">SUM($E$2:E347)/SUM($D$2:D347)</f>
        <v>209.17754354901456</v>
      </c>
      <c r="G347">
        <f ca="1">_xlfn.STDEV.P($C$2:C347)</f>
        <v>29.842098983605368</v>
      </c>
      <c r="H347">
        <f t="shared" ca="1" si="106"/>
        <v>239.01964253261991</v>
      </c>
      <c r="I347">
        <f t="shared" ca="1" si="107"/>
        <v>179.3354445654092</v>
      </c>
      <c r="J347">
        <f t="shared" ca="1" si="116"/>
        <v>248.88299999999998</v>
      </c>
      <c r="K347">
        <f t="shared" ca="1" si="117"/>
        <v>11.2153086636549</v>
      </c>
      <c r="L347">
        <f t="shared" ca="1" si="118"/>
        <v>271.31361732730977</v>
      </c>
      <c r="M347">
        <f t="shared" ca="1" si="119"/>
        <v>226.45238267269019</v>
      </c>
      <c r="N347">
        <f t="shared" ca="1" si="108"/>
        <v>1.6500000000000341</v>
      </c>
      <c r="O347">
        <f t="shared" ca="1" si="109"/>
        <v>1.6500000000000341</v>
      </c>
      <c r="P347">
        <f t="shared" ca="1" si="110"/>
        <v>0</v>
      </c>
      <c r="Q347">
        <f t="shared" ca="1" si="114"/>
        <v>2.5588644966312999</v>
      </c>
      <c r="R347">
        <f t="shared" ca="1" si="115"/>
        <v>1.1714704424304083</v>
      </c>
      <c r="S347">
        <f t="shared" ca="1" si="112"/>
        <v>2.1843184462448018</v>
      </c>
      <c r="T347">
        <f t="shared" ca="1" si="113"/>
        <v>68.596105669667594</v>
      </c>
      <c r="U347">
        <f>70</f>
        <v>70</v>
      </c>
      <c r="V347">
        <f>30</f>
        <v>30</v>
      </c>
      <c r="W347">
        <f t="shared" ca="1" si="111"/>
        <v>257.03754286895924</v>
      </c>
      <c r="X347">
        <f t="shared" ca="1" si="100"/>
        <v>250.61755608667394</v>
      </c>
      <c r="Y347">
        <f t="shared" ca="1" si="99"/>
        <v>6.7351695268144169</v>
      </c>
      <c r="Z347">
        <f t="shared" ca="1" si="101"/>
        <v>4.4561698315271858</v>
      </c>
      <c r="AA347">
        <f t="shared" ca="1" si="102"/>
        <v>2.2789996952872311</v>
      </c>
      <c r="AB347">
        <f t="shared" ca="1" si="103"/>
        <v>242.99910000000003</v>
      </c>
    </row>
    <row r="348" spans="1:28" x14ac:dyDescent="0.25">
      <c r="A348" s="20">
        <f t="shared" ca="1" si="104"/>
        <v>45796</v>
      </c>
      <c r="B348" vm="1035">
        <f ca="1"/>
        <v>45797</v>
      </c>
      <c r="C348" vm="1036">
        <f ca="1"/>
        <v>266.95</v>
      </c>
      <c r="D348" vm="1037">
        <f ca="1"/>
        <v>2437860</v>
      </c>
      <c r="E348">
        <f t="shared" ca="1" si="105"/>
        <v>650786727</v>
      </c>
      <c r="F348">
        <f ca="1">SUM($E$2:E348)/SUM($D$2:D348)</f>
        <v>209.27019781000001</v>
      </c>
      <c r="G348">
        <f ca="1">_xlfn.STDEV.P($C$2:C348)</f>
        <v>29.968203555995874</v>
      </c>
      <c r="H348">
        <f t="shared" ca="1" si="106"/>
        <v>239.23840136599588</v>
      </c>
      <c r="I348">
        <f t="shared" ca="1" si="107"/>
        <v>179.30199425400414</v>
      </c>
      <c r="J348">
        <f t="shared" ca="1" si="116"/>
        <v>250.18549999999999</v>
      </c>
      <c r="K348">
        <f t="shared" ca="1" si="117"/>
        <v>11.739806093171351</v>
      </c>
      <c r="L348">
        <f t="shared" ca="1" si="118"/>
        <v>273.6651121863427</v>
      </c>
      <c r="M348">
        <f t="shared" ca="1" si="119"/>
        <v>226.70588781365728</v>
      </c>
      <c r="N348">
        <f t="shared" ca="1" si="108"/>
        <v>-1.4600000000000364</v>
      </c>
      <c r="O348">
        <f t="shared" ca="1" si="109"/>
        <v>0</v>
      </c>
      <c r="P348">
        <f t="shared" ca="1" si="110"/>
        <v>1.4600000000000364</v>
      </c>
      <c r="Q348">
        <f t="shared" ca="1" si="114"/>
        <v>2.3760884611576358</v>
      </c>
      <c r="R348">
        <f t="shared" ca="1" si="115"/>
        <v>1.1920796965425247</v>
      </c>
      <c r="S348">
        <f t="shared" ca="1" si="112"/>
        <v>1.9932295366234136</v>
      </c>
      <c r="T348">
        <f t="shared" ca="1" si="113"/>
        <v>66.591269137078115</v>
      </c>
      <c r="U348">
        <f>70</f>
        <v>70</v>
      </c>
      <c r="V348">
        <f>30</f>
        <v>30</v>
      </c>
      <c r="W348">
        <f t="shared" ca="1" si="111"/>
        <v>258.56253627373474</v>
      </c>
      <c r="X348">
        <f t="shared" ca="1" si="100"/>
        <v>251.82736674692032</v>
      </c>
      <c r="Y348">
        <f t="shared" ref="Y348:Y411" ca="1" si="120">W349-X349</f>
        <v>6.4203392608265517</v>
      </c>
      <c r="Z348">
        <f t="shared" ca="1" si="101"/>
        <v>4.8490037173870588</v>
      </c>
      <c r="AA348">
        <f t="shared" ca="1" si="102"/>
        <v>1.5713355434394929</v>
      </c>
      <c r="AB348">
        <f t="shared" ca="1" si="103"/>
        <v>243.44929999999999</v>
      </c>
    </row>
    <row r="349" spans="1:28" x14ac:dyDescent="0.25">
      <c r="A349" s="20">
        <f t="shared" ca="1" si="104"/>
        <v>45796</v>
      </c>
      <c r="B349" vm="1038">
        <f ca="1"/>
        <v>45798</v>
      </c>
      <c r="C349" vm="1039">
        <f ca="1"/>
        <v>260.87</v>
      </c>
      <c r="D349" vm="1040">
        <f ca="1"/>
        <v>3753904</v>
      </c>
      <c r="E349">
        <f t="shared" ca="1" si="105"/>
        <v>979280936.48000002</v>
      </c>
      <c r="F349">
        <f ca="1">SUM($E$2:E349)/SUM($D$2:D349)</f>
        <v>209.39731251888034</v>
      </c>
      <c r="G349">
        <f ca="1">_xlfn.STDEV.P($C$2:C349)</f>
        <v>30.05960127212326</v>
      </c>
      <c r="H349">
        <f t="shared" ca="1" si="106"/>
        <v>239.45691379100361</v>
      </c>
      <c r="I349">
        <f t="shared" ca="1" si="107"/>
        <v>179.33771124675707</v>
      </c>
      <c r="J349">
        <f t="shared" ca="1" si="116"/>
        <v>250.95499999999998</v>
      </c>
      <c r="K349">
        <f t="shared" ca="1" si="117"/>
        <v>11.918168571775748</v>
      </c>
      <c r="L349">
        <f t="shared" ca="1" si="118"/>
        <v>274.79133714355146</v>
      </c>
      <c r="M349">
        <f t="shared" ca="1" si="119"/>
        <v>227.11866285644848</v>
      </c>
      <c r="N349">
        <f t="shared" ca="1" si="108"/>
        <v>-6.0799999999999841</v>
      </c>
      <c r="O349">
        <f t="shared" ca="1" si="109"/>
        <v>0</v>
      </c>
      <c r="P349">
        <f t="shared" ca="1" si="110"/>
        <v>6.0799999999999841</v>
      </c>
      <c r="Q349">
        <f t="shared" ca="1" si="114"/>
        <v>2.2063678567892331</v>
      </c>
      <c r="R349">
        <f t="shared" ca="1" si="115"/>
        <v>1.5412168610752004</v>
      </c>
      <c r="S349">
        <f t="shared" ca="1" si="112"/>
        <v>1.4315752133998865</v>
      </c>
      <c r="T349">
        <f t="shared" ca="1" si="113"/>
        <v>58.874395721373716</v>
      </c>
      <c r="U349">
        <f>70</f>
        <v>70</v>
      </c>
      <c r="V349">
        <f>30</f>
        <v>30</v>
      </c>
      <c r="W349">
        <f t="shared" ca="1" si="111"/>
        <v>258.91753069316019</v>
      </c>
      <c r="X349">
        <f t="shared" ref="X349:X412" ca="1" si="121">C349*(2/(26+1)) + X348*(1-(2/(26+1)))</f>
        <v>252.49719143233364</v>
      </c>
      <c r="Y349">
        <f t="shared" ca="1" si="120"/>
        <v>5.9010809127069592</v>
      </c>
      <c r="Z349">
        <f t="shared" ca="1" si="101"/>
        <v>5.0594191564510389</v>
      </c>
      <c r="AA349">
        <f t="shared" ca="1" si="102"/>
        <v>0.84166175625592032</v>
      </c>
      <c r="AB349">
        <f t="shared" ca="1" si="103"/>
        <v>243.81390000000002</v>
      </c>
    </row>
    <row r="350" spans="1:28" x14ac:dyDescent="0.25">
      <c r="A350" s="20">
        <f t="shared" ca="1" si="104"/>
        <v>45796</v>
      </c>
      <c r="B350" vm="1041">
        <f ca="1"/>
        <v>45799</v>
      </c>
      <c r="C350" vm="1042">
        <f ca="1"/>
        <v>258.37</v>
      </c>
      <c r="D350" vm="1043">
        <f ca="1"/>
        <v>3091253</v>
      </c>
      <c r="E350">
        <f t="shared" ca="1" si="105"/>
        <v>798687037.61000001</v>
      </c>
      <c r="F350">
        <f ca="1">SUM($E$2:E350)/SUM($D$2:D350)</f>
        <v>209.49645801123324</v>
      </c>
      <c r="G350">
        <f ca="1">_xlfn.STDEV.P($C$2:C350)</f>
        <v>30.137195027606676</v>
      </c>
      <c r="H350">
        <f t="shared" ca="1" si="106"/>
        <v>239.63365303883992</v>
      </c>
      <c r="I350">
        <f t="shared" ca="1" si="107"/>
        <v>179.35926298362656</v>
      </c>
      <c r="J350">
        <f t="shared" ca="1" si="116"/>
        <v>252.40699999999998</v>
      </c>
      <c r="K350">
        <f t="shared" ca="1" si="117"/>
        <v>10.867594562687154</v>
      </c>
      <c r="L350">
        <f t="shared" ca="1" si="118"/>
        <v>274.14218912537427</v>
      </c>
      <c r="M350">
        <f t="shared" ca="1" si="119"/>
        <v>230.67181087462566</v>
      </c>
      <c r="N350">
        <f t="shared" ca="1" si="108"/>
        <v>-2.5</v>
      </c>
      <c r="O350">
        <f t="shared" ca="1" si="109"/>
        <v>0</v>
      </c>
      <c r="P350">
        <f t="shared" ca="1" si="110"/>
        <v>2.5</v>
      </c>
      <c r="Q350">
        <f t="shared" ca="1" si="114"/>
        <v>2.0487701527328595</v>
      </c>
      <c r="R350">
        <f t="shared" ca="1" si="115"/>
        <v>1.6097013709984005</v>
      </c>
      <c r="S350">
        <f t="shared" ca="1" si="112"/>
        <v>1.272764122367698</v>
      </c>
      <c r="T350">
        <f t="shared" ca="1" si="113"/>
        <v>56.000713397471714</v>
      </c>
      <c r="U350">
        <f>70</f>
        <v>70</v>
      </c>
      <c r="V350">
        <f>30</f>
        <v>30</v>
      </c>
      <c r="W350">
        <f t="shared" ca="1" si="111"/>
        <v>258.83329520190478</v>
      </c>
      <c r="X350">
        <f t="shared" ca="1" si="121"/>
        <v>252.93221428919782</v>
      </c>
      <c r="Y350">
        <f t="shared" ca="1" si="120"/>
        <v>5.4477465269983441</v>
      </c>
      <c r="Z350">
        <f t="shared" ca="1" si="101"/>
        <v>5.1370846305605005</v>
      </c>
      <c r="AA350">
        <f t="shared" ca="1" si="102"/>
        <v>0.31066189643784359</v>
      </c>
      <c r="AB350">
        <f t="shared" ca="1" si="103"/>
        <v>244.14869999999999</v>
      </c>
    </row>
    <row r="351" spans="1:28" x14ac:dyDescent="0.25">
      <c r="A351" s="20">
        <f t="shared" ca="1" si="104"/>
        <v>45796</v>
      </c>
      <c r="B351" vm="1044">
        <f ca="1"/>
        <v>45800</v>
      </c>
      <c r="C351" vm="1045">
        <f ca="1"/>
        <v>258.63</v>
      </c>
      <c r="D351" vm="1046">
        <f ca="1"/>
        <v>2722721</v>
      </c>
      <c r="E351">
        <f t="shared" ca="1" si="105"/>
        <v>704177332.23000002</v>
      </c>
      <c r="F351">
        <f ca="1">SUM($E$2:E351)/SUM($D$2:D351)</f>
        <v>209.58391448797965</v>
      </c>
      <c r="G351">
        <f ca="1">_xlfn.STDEV.P($C$2:C351)</f>
        <v>30.214698723621147</v>
      </c>
      <c r="H351">
        <f t="shared" ca="1" si="106"/>
        <v>239.79861321160081</v>
      </c>
      <c r="I351">
        <f t="shared" ca="1" si="107"/>
        <v>179.3692157643585</v>
      </c>
      <c r="J351">
        <f t="shared" ca="1" si="116"/>
        <v>253.71799999999999</v>
      </c>
      <c r="K351">
        <f t="shared" ca="1" si="117"/>
        <v>9.8634330523883733</v>
      </c>
      <c r="L351">
        <f t="shared" ca="1" si="118"/>
        <v>273.44486610477674</v>
      </c>
      <c r="M351">
        <f t="shared" ca="1" si="119"/>
        <v>233.99113389522324</v>
      </c>
      <c r="N351">
        <f t="shared" ca="1" si="108"/>
        <v>0.25999999999999091</v>
      </c>
      <c r="O351">
        <f t="shared" ca="1" si="109"/>
        <v>0.25999999999999091</v>
      </c>
      <c r="P351">
        <f t="shared" ca="1" si="110"/>
        <v>0</v>
      </c>
      <c r="Q351">
        <f t="shared" ca="1" si="114"/>
        <v>1.9210008561090832</v>
      </c>
      <c r="R351">
        <f t="shared" ca="1" si="115"/>
        <v>1.494722701641372</v>
      </c>
      <c r="S351">
        <f t="shared" ca="1" si="112"/>
        <v>1.285188787190835</v>
      </c>
      <c r="T351">
        <f t="shared" ca="1" si="113"/>
        <v>56.239939316817129</v>
      </c>
      <c r="U351">
        <f>70</f>
        <v>70</v>
      </c>
      <c r="V351">
        <f>30</f>
        <v>30</v>
      </c>
      <c r="W351">
        <f t="shared" ca="1" si="111"/>
        <v>258.80201901699633</v>
      </c>
      <c r="X351">
        <f t="shared" ca="1" si="121"/>
        <v>253.35427248999798</v>
      </c>
      <c r="Y351">
        <f t="shared" ca="1" si="120"/>
        <v>5.3974389994261003</v>
      </c>
      <c r="Z351">
        <f t="shared" ca="1" si="101"/>
        <v>5.1891555043336215</v>
      </c>
      <c r="AA351">
        <f t="shared" ca="1" si="102"/>
        <v>0.20828349509247879</v>
      </c>
      <c r="AB351">
        <f t="shared" ca="1" si="103"/>
        <v>244.50720000000001</v>
      </c>
    </row>
    <row r="352" spans="1:28" x14ac:dyDescent="0.25">
      <c r="A352" s="20">
        <f t="shared" ca="1" si="104"/>
        <v>45803</v>
      </c>
      <c r="B352" vm="1047">
        <f ca="1"/>
        <v>45804</v>
      </c>
      <c r="C352" vm="1048">
        <f ca="1"/>
        <v>263.23</v>
      </c>
      <c r="D352" vm="1049">
        <f ca="1"/>
        <v>3284216</v>
      </c>
      <c r="E352">
        <f t="shared" ca="1" si="105"/>
        <v>864504177.68000007</v>
      </c>
      <c r="F352">
        <f ca="1">SUM($E$2:E352)/SUM($D$2:D352)</f>
        <v>209.6988486305701</v>
      </c>
      <c r="G352">
        <f ca="1">_xlfn.STDEV.P($C$2:C352)</f>
        <v>30.313600610735335</v>
      </c>
      <c r="H352">
        <f t="shared" ca="1" si="106"/>
        <v>240.01244924130543</v>
      </c>
      <c r="I352">
        <f t="shared" ca="1" si="107"/>
        <v>179.38524801983476</v>
      </c>
      <c r="J352">
        <f t="shared" ca="1" si="116"/>
        <v>255.07150000000001</v>
      </c>
      <c r="K352">
        <f t="shared" ca="1" si="117"/>
        <v>9.1594485440761648</v>
      </c>
      <c r="L352">
        <f t="shared" ca="1" si="118"/>
        <v>273.39039708815233</v>
      </c>
      <c r="M352">
        <f t="shared" ca="1" si="119"/>
        <v>236.75260291184767</v>
      </c>
      <c r="N352">
        <f t="shared" ca="1" si="108"/>
        <v>4.6000000000000227</v>
      </c>
      <c r="O352">
        <f t="shared" ca="1" si="109"/>
        <v>4.6000000000000227</v>
      </c>
      <c r="P352">
        <f t="shared" ca="1" si="110"/>
        <v>0</v>
      </c>
      <c r="Q352">
        <f t="shared" ca="1" si="114"/>
        <v>2.1123579378155788</v>
      </c>
      <c r="R352">
        <f t="shared" ca="1" si="115"/>
        <v>1.3879567943812741</v>
      </c>
      <c r="S352">
        <f t="shared" ca="1" si="112"/>
        <v>1.5219190873713253</v>
      </c>
      <c r="T352">
        <f t="shared" ca="1" si="113"/>
        <v>60.347657265946182</v>
      </c>
      <c r="U352">
        <f>70</f>
        <v>70</v>
      </c>
      <c r="V352">
        <f>30</f>
        <v>30</v>
      </c>
      <c r="W352">
        <f t="shared" ca="1" si="111"/>
        <v>259.48324686053536</v>
      </c>
      <c r="X352">
        <f t="shared" ca="1" si="121"/>
        <v>254.08580786110926</v>
      </c>
      <c r="Y352">
        <f t="shared" ca="1" si="120"/>
        <v>5.0579964749814224</v>
      </c>
      <c r="Z352">
        <f t="shared" ca="1" si="101"/>
        <v>5.1629236984631817</v>
      </c>
      <c r="AA352">
        <f t="shared" ca="1" si="102"/>
        <v>-0.10492722348175931</v>
      </c>
      <c r="AB352">
        <f t="shared" ca="1" si="103"/>
        <v>244.93700000000001</v>
      </c>
    </row>
    <row r="353" spans="1:28" x14ac:dyDescent="0.25">
      <c r="A353" s="20">
        <f t="shared" ca="1" si="104"/>
        <v>45803</v>
      </c>
      <c r="B353" vm="1050">
        <f ca="1"/>
        <v>45805</v>
      </c>
      <c r="C353" vm="1051">
        <f ca="1"/>
        <v>260.24</v>
      </c>
      <c r="D353" vm="1052">
        <f ca="1"/>
        <v>2318437</v>
      </c>
      <c r="E353">
        <f t="shared" ca="1" si="105"/>
        <v>603350044.88</v>
      </c>
      <c r="F353">
        <f ca="1">SUM($E$2:E353)/SUM($D$2:D353)</f>
        <v>209.77517303038468</v>
      </c>
      <c r="G353">
        <f ca="1">_xlfn.STDEV.P($C$2:C353)</f>
        <v>30.395964923424437</v>
      </c>
      <c r="H353">
        <f t="shared" ca="1" si="106"/>
        <v>240.17113795380911</v>
      </c>
      <c r="I353">
        <f t="shared" ca="1" si="107"/>
        <v>179.37920810696025</v>
      </c>
      <c r="J353">
        <f t="shared" ca="1" si="116"/>
        <v>256.11399999999992</v>
      </c>
      <c r="K353">
        <f t="shared" ca="1" si="117"/>
        <v>8.4388895502966097</v>
      </c>
      <c r="L353">
        <f t="shared" ca="1" si="118"/>
        <v>272.99177910059313</v>
      </c>
      <c r="M353">
        <f t="shared" ca="1" si="119"/>
        <v>239.2362208994067</v>
      </c>
      <c r="N353">
        <f t="shared" ca="1" si="108"/>
        <v>-2.9900000000000091</v>
      </c>
      <c r="O353">
        <f t="shared" ca="1" si="109"/>
        <v>0</v>
      </c>
      <c r="P353">
        <f t="shared" ca="1" si="110"/>
        <v>2.9900000000000091</v>
      </c>
      <c r="Q353">
        <f t="shared" ca="1" si="114"/>
        <v>1.961475227971609</v>
      </c>
      <c r="R353">
        <f t="shared" ca="1" si="115"/>
        <v>1.5023884519254693</v>
      </c>
      <c r="S353">
        <f t="shared" ca="1" si="112"/>
        <v>1.305571289141481</v>
      </c>
      <c r="T353">
        <f t="shared" ca="1" si="113"/>
        <v>56.62680201173189</v>
      </c>
      <c r="U353">
        <f>70</f>
        <v>70</v>
      </c>
      <c r="V353">
        <f>30</f>
        <v>30</v>
      </c>
      <c r="W353">
        <f t="shared" ca="1" si="111"/>
        <v>259.59967042045298</v>
      </c>
      <c r="X353">
        <f t="shared" ca="1" si="121"/>
        <v>254.54167394547156</v>
      </c>
      <c r="Y353">
        <f t="shared" ca="1" si="120"/>
        <v>4.6107637680805738</v>
      </c>
      <c r="Z353">
        <f t="shared" ca="1" si="101"/>
        <v>5.0524917123866606</v>
      </c>
      <c r="AA353">
        <f t="shared" ca="1" si="102"/>
        <v>-0.44172794430608686</v>
      </c>
      <c r="AB353">
        <f t="shared" ca="1" si="103"/>
        <v>245.34110000000004</v>
      </c>
    </row>
    <row r="354" spans="1:28" x14ac:dyDescent="0.25">
      <c r="A354" s="20">
        <f t="shared" ca="1" si="104"/>
        <v>45803</v>
      </c>
      <c r="B354" vm="1053">
        <f ca="1"/>
        <v>45806</v>
      </c>
      <c r="C354" vm="1054">
        <f ca="1"/>
        <v>258.69</v>
      </c>
      <c r="D354" vm="1055">
        <f ca="1"/>
        <v>2295228</v>
      </c>
      <c r="E354">
        <f t="shared" ca="1" si="105"/>
        <v>593752531.32000005</v>
      </c>
      <c r="F354">
        <f ca="1">SUM($E$2:E354)/SUM($D$2:D354)</f>
        <v>209.84819281130967</v>
      </c>
      <c r="G354">
        <f ca="1">_xlfn.STDEV.P($C$2:C354)</f>
        <v>30.469621456262566</v>
      </c>
      <c r="H354">
        <f t="shared" ca="1" si="106"/>
        <v>240.31781426757223</v>
      </c>
      <c r="I354">
        <f t="shared" ca="1" si="107"/>
        <v>179.37857135504711</v>
      </c>
      <c r="J354">
        <f t="shared" ca="1" si="116"/>
        <v>256.95749999999992</v>
      </c>
      <c r="K354">
        <f t="shared" ca="1" si="117"/>
        <v>7.7499398130090773</v>
      </c>
      <c r="L354">
        <f t="shared" ca="1" si="118"/>
        <v>272.45737962601805</v>
      </c>
      <c r="M354">
        <f t="shared" ca="1" si="119"/>
        <v>241.45762037398177</v>
      </c>
      <c r="N354">
        <f t="shared" ca="1" si="108"/>
        <v>-1.5500000000000114</v>
      </c>
      <c r="O354">
        <f t="shared" ca="1" si="109"/>
        <v>0</v>
      </c>
      <c r="P354">
        <f t="shared" ca="1" si="110"/>
        <v>1.5500000000000114</v>
      </c>
      <c r="Q354">
        <f t="shared" ca="1" si="114"/>
        <v>1.8213698545450654</v>
      </c>
      <c r="R354">
        <f t="shared" ca="1" si="115"/>
        <v>1.5057892767879366</v>
      </c>
      <c r="S354">
        <f t="shared" ca="1" si="112"/>
        <v>1.2095781811053319</v>
      </c>
      <c r="T354">
        <f t="shared" ca="1" si="113"/>
        <v>54.742492999285766</v>
      </c>
      <c r="U354">
        <f>70</f>
        <v>70</v>
      </c>
      <c r="V354">
        <f>30</f>
        <v>30</v>
      </c>
      <c r="W354">
        <f t="shared" ca="1" si="111"/>
        <v>259.45972112499868</v>
      </c>
      <c r="X354">
        <f t="shared" ca="1" si="121"/>
        <v>254.84895735691811</v>
      </c>
      <c r="Y354">
        <f t="shared" ca="1" si="120"/>
        <v>4.2373391257157209</v>
      </c>
      <c r="Z354">
        <f t="shared" ca="1" si="101"/>
        <v>4.8894611950524727</v>
      </c>
      <c r="AA354">
        <f t="shared" ca="1" si="102"/>
        <v>-0.65212206933675176</v>
      </c>
      <c r="AB354">
        <f t="shared" ca="1" si="103"/>
        <v>245.72860000000003</v>
      </c>
    </row>
    <row r="355" spans="1:28" x14ac:dyDescent="0.25">
      <c r="A355" s="20">
        <f t="shared" ca="1" si="104"/>
        <v>45803</v>
      </c>
      <c r="B355" vm="1056">
        <f ca="1"/>
        <v>45807</v>
      </c>
      <c r="C355" vm="1057">
        <f ca="1"/>
        <v>259.06</v>
      </c>
      <c r="D355" vm="1058">
        <f ca="1"/>
        <v>9668923</v>
      </c>
      <c r="E355">
        <f t="shared" ca="1" si="105"/>
        <v>2504831192.3800001</v>
      </c>
      <c r="F355">
        <f ca="1">SUM($E$2:E355)/SUM($D$2:D355)</f>
        <v>210.15573099427266</v>
      </c>
      <c r="G355">
        <f ca="1">_xlfn.STDEV.P($C$2:C355)</f>
        <v>30.54374315345401</v>
      </c>
      <c r="H355">
        <f t="shared" ca="1" si="106"/>
        <v>240.69947414772668</v>
      </c>
      <c r="I355">
        <f t="shared" ca="1" si="107"/>
        <v>179.61198784081864</v>
      </c>
      <c r="J355">
        <f t="shared" ca="1" si="116"/>
        <v>257.92749999999995</v>
      </c>
      <c r="K355">
        <f t="shared" ca="1" si="117"/>
        <v>6.5997160026617419</v>
      </c>
      <c r="L355">
        <f t="shared" ca="1" si="118"/>
        <v>271.12693200532345</v>
      </c>
      <c r="M355">
        <f t="shared" ca="1" si="119"/>
        <v>244.72806799467648</v>
      </c>
      <c r="N355">
        <f t="shared" ca="1" si="108"/>
        <v>0.37000000000000455</v>
      </c>
      <c r="O355">
        <f t="shared" ca="1" si="109"/>
        <v>0.37000000000000455</v>
      </c>
      <c r="P355">
        <f t="shared" ca="1" si="110"/>
        <v>0</v>
      </c>
      <c r="Q355">
        <f t="shared" ca="1" si="114"/>
        <v>1.7177005792204181</v>
      </c>
      <c r="R355">
        <f t="shared" ca="1" si="115"/>
        <v>1.3982328998745126</v>
      </c>
      <c r="S355">
        <f t="shared" ca="1" si="112"/>
        <v>1.2284795897554526</v>
      </c>
      <c r="T355">
        <f t="shared" ca="1" si="113"/>
        <v>55.126355897666656</v>
      </c>
      <c r="U355">
        <f>70</f>
        <v>70</v>
      </c>
      <c r="V355">
        <f>30</f>
        <v>30</v>
      </c>
      <c r="W355">
        <f t="shared" ca="1" si="111"/>
        <v>259.39822556730655</v>
      </c>
      <c r="X355">
        <f t="shared" ca="1" si="121"/>
        <v>255.16088644159083</v>
      </c>
      <c r="Y355">
        <f t="shared" ca="1" si="120"/>
        <v>4.2825780626012033</v>
      </c>
      <c r="Z355">
        <f t="shared" ca="1" si="101"/>
        <v>4.7680845685622195</v>
      </c>
      <c r="AA355">
        <f t="shared" ca="1" si="102"/>
        <v>-0.48550650596101619</v>
      </c>
      <c r="AB355">
        <f t="shared" ca="1" si="103"/>
        <v>246.09270000000001</v>
      </c>
    </row>
    <row r="356" spans="1:28" x14ac:dyDescent="0.25">
      <c r="A356" s="20">
        <f t="shared" ca="1" si="104"/>
        <v>45810</v>
      </c>
      <c r="B356" vm="1059">
        <f ca="1"/>
        <v>45810</v>
      </c>
      <c r="C356" vm="1060">
        <f ca="1"/>
        <v>263.89999999999998</v>
      </c>
      <c r="D356" vm="1061">
        <f ca="1"/>
        <v>2831881</v>
      </c>
      <c r="E356">
        <f t="shared" ca="1" si="105"/>
        <v>747333395.89999998</v>
      </c>
      <c r="F356">
        <f ca="1">SUM($E$2:E356)/SUM($D$2:D356)</f>
        <v>210.25392039693716</v>
      </c>
      <c r="G356">
        <f ca="1">_xlfn.STDEV.P($C$2:C356)</f>
        <v>30.639980458744198</v>
      </c>
      <c r="H356">
        <f t="shared" ca="1" si="106"/>
        <v>240.89390085568135</v>
      </c>
      <c r="I356">
        <f t="shared" ca="1" si="107"/>
        <v>179.61393993819297</v>
      </c>
      <c r="J356">
        <f t="shared" ca="1" si="116"/>
        <v>258.84499999999997</v>
      </c>
      <c r="K356">
        <f t="shared" ca="1" si="117"/>
        <v>6.0402200203913807</v>
      </c>
      <c r="L356">
        <f t="shared" ca="1" si="118"/>
        <v>270.92544004078275</v>
      </c>
      <c r="M356">
        <f t="shared" ca="1" si="119"/>
        <v>246.76455995921719</v>
      </c>
      <c r="N356">
        <f t="shared" ca="1" si="108"/>
        <v>4.839999999999975</v>
      </c>
      <c r="O356">
        <f t="shared" ca="1" si="109"/>
        <v>4.839999999999975</v>
      </c>
      <c r="P356">
        <f t="shared" ca="1" si="110"/>
        <v>0</v>
      </c>
      <c r="Q356">
        <f t="shared" ca="1" si="114"/>
        <v>1.9407219664189579</v>
      </c>
      <c r="R356">
        <f t="shared" ca="1" si="115"/>
        <v>1.2983591213120476</v>
      </c>
      <c r="S356">
        <f t="shared" ca="1" si="112"/>
        <v>1.4947497457080867</v>
      </c>
      <c r="T356">
        <f t="shared" ca="1" si="113"/>
        <v>59.915819142967017</v>
      </c>
      <c r="U356">
        <f>70</f>
        <v>70</v>
      </c>
      <c r="V356">
        <f>30</f>
        <v>30</v>
      </c>
      <c r="W356">
        <f t="shared" ca="1" si="111"/>
        <v>260.0908062492594</v>
      </c>
      <c r="X356">
        <f t="shared" ca="1" si="121"/>
        <v>255.8082281866582</v>
      </c>
      <c r="Y356">
        <f t="shared" ca="1" si="120"/>
        <v>4.372921069419192</v>
      </c>
      <c r="Z356">
        <f t="shared" ca="1" si="101"/>
        <v>4.689051868733614</v>
      </c>
      <c r="AA356">
        <f t="shared" ca="1" si="102"/>
        <v>-0.31613079931442201</v>
      </c>
      <c r="AB356">
        <f t="shared" ca="1" si="103"/>
        <v>246.505</v>
      </c>
    </row>
    <row r="357" spans="1:28" x14ac:dyDescent="0.25">
      <c r="A357" s="20">
        <f t="shared" ca="1" si="104"/>
        <v>45810</v>
      </c>
      <c r="B357" vm="1062">
        <f ca="1"/>
        <v>45811</v>
      </c>
      <c r="C357" vm="1063">
        <f ca="1"/>
        <v>265.2</v>
      </c>
      <c r="D357" vm="1064">
        <f ca="1"/>
        <v>2494922</v>
      </c>
      <c r="E357">
        <f t="shared" ca="1" si="105"/>
        <v>661653314.39999998</v>
      </c>
      <c r="F357">
        <f ca="1">SUM($E$2:E357)/SUM($D$2:D357)</f>
        <v>210.34221876335982</v>
      </c>
      <c r="G357">
        <f ca="1">_xlfn.STDEV.P($C$2:C357)</f>
        <v>30.741183763446735</v>
      </c>
      <c r="H357">
        <f t="shared" ca="1" si="106"/>
        <v>241.08340252680657</v>
      </c>
      <c r="I357">
        <f t="shared" ca="1" si="107"/>
        <v>179.60103499991308</v>
      </c>
      <c r="J357">
        <f t="shared" ca="1" si="116"/>
        <v>259.64599999999996</v>
      </c>
      <c r="K357">
        <f t="shared" ca="1" si="117"/>
        <v>5.7461322460828992</v>
      </c>
      <c r="L357">
        <f t="shared" ca="1" si="118"/>
        <v>271.13826449216577</v>
      </c>
      <c r="M357">
        <f t="shared" ca="1" si="119"/>
        <v>248.15373550783417</v>
      </c>
      <c r="N357">
        <f t="shared" ca="1" si="108"/>
        <v>1.3000000000000114</v>
      </c>
      <c r="O357">
        <f t="shared" ca="1" si="109"/>
        <v>1.3000000000000114</v>
      </c>
      <c r="P357">
        <f t="shared" ca="1" si="110"/>
        <v>0</v>
      </c>
      <c r="Q357">
        <f t="shared" ca="1" si="114"/>
        <v>1.8949561116747475</v>
      </c>
      <c r="R357">
        <f t="shared" ca="1" si="115"/>
        <v>1.2056191840754729</v>
      </c>
      <c r="S357">
        <f t="shared" ca="1" si="112"/>
        <v>1.571770038752238</v>
      </c>
      <c r="T357">
        <f t="shared" ca="1" si="113"/>
        <v>61.116274591752514</v>
      </c>
      <c r="U357">
        <f>70</f>
        <v>70</v>
      </c>
      <c r="V357">
        <f>30</f>
        <v>30</v>
      </c>
      <c r="W357">
        <f t="shared" ca="1" si="111"/>
        <v>260.87683605706565</v>
      </c>
      <c r="X357">
        <f t="shared" ca="1" si="121"/>
        <v>256.50391498764645</v>
      </c>
      <c r="Y357">
        <f t="shared" ca="1" si="120"/>
        <v>4.4193958346535283</v>
      </c>
      <c r="Z357">
        <f t="shared" ca="1" si="101"/>
        <v>4.6351206619175969</v>
      </c>
      <c r="AA357">
        <f t="shared" ca="1" si="102"/>
        <v>-0.21572482726406861</v>
      </c>
      <c r="AB357">
        <f t="shared" ca="1" si="103"/>
        <v>246.91740000000001</v>
      </c>
    </row>
    <row r="358" spans="1:28" x14ac:dyDescent="0.25">
      <c r="A358" s="20">
        <f t="shared" ca="1" si="104"/>
        <v>45810</v>
      </c>
      <c r="B358" vm="1065">
        <f ca="1"/>
        <v>45812</v>
      </c>
      <c r="C358" vm="1066">
        <f ca="1"/>
        <v>265.52</v>
      </c>
      <c r="D358" vm="1067">
        <f ca="1"/>
        <v>2588741</v>
      </c>
      <c r="E358">
        <f t="shared" ca="1" si="105"/>
        <v>687362510.31999993</v>
      </c>
      <c r="F358">
        <f ca="1">SUM($E$2:E358)/SUM($D$2:D358)</f>
        <v>210.43407068947903</v>
      </c>
      <c r="G358">
        <f ca="1">_xlfn.STDEV.P($C$2:C358)</f>
        <v>30.842318371791102</v>
      </c>
      <c r="H358">
        <f t="shared" ca="1" si="106"/>
        <v>241.27638906127012</v>
      </c>
      <c r="I358">
        <f t="shared" ca="1" si="107"/>
        <v>179.59175231768793</v>
      </c>
      <c r="J358">
        <f t="shared" ca="1" si="116"/>
        <v>260.46600000000001</v>
      </c>
      <c r="K358">
        <f t="shared" ca="1" si="117"/>
        <v>5.3192890304507534</v>
      </c>
      <c r="L358">
        <f t="shared" ca="1" si="118"/>
        <v>271.10457806090153</v>
      </c>
      <c r="M358">
        <f t="shared" ca="1" si="119"/>
        <v>249.82742193909851</v>
      </c>
      <c r="N358">
        <f t="shared" ca="1" si="108"/>
        <v>0.31999999999999318</v>
      </c>
      <c r="O358">
        <f t="shared" ca="1" si="109"/>
        <v>0.31999999999999318</v>
      </c>
      <c r="P358">
        <f t="shared" ca="1" si="110"/>
        <v>0</v>
      </c>
      <c r="Q358">
        <f t="shared" ca="1" si="114"/>
        <v>1.7824592465551223</v>
      </c>
      <c r="R358">
        <f t="shared" ca="1" si="115"/>
        <v>1.119503528070082</v>
      </c>
      <c r="S358">
        <f t="shared" ca="1" si="112"/>
        <v>1.5921872525296219</v>
      </c>
      <c r="T358">
        <f t="shared" ca="1" si="113"/>
        <v>61.422540018120372</v>
      </c>
      <c r="U358">
        <f>70</f>
        <v>70</v>
      </c>
      <c r="V358">
        <f>30</f>
        <v>30</v>
      </c>
      <c r="W358">
        <f t="shared" ca="1" si="111"/>
        <v>261.59116897136323</v>
      </c>
      <c r="X358">
        <f t="shared" ca="1" si="121"/>
        <v>257.1717731367097</v>
      </c>
      <c r="Y358">
        <f t="shared" ca="1" si="120"/>
        <v>4.512338789356761</v>
      </c>
      <c r="Z358">
        <f t="shared" ref="Z358:Z421" ca="1" si="122">Y358*(2/(9+1)) + Z357*(1-(2/(9+1)))</f>
        <v>4.6105642874054302</v>
      </c>
      <c r="AA358">
        <f t="shared" ref="AA358:AA421" ca="1" si="123">Y358-Z358</f>
        <v>-9.8225498048669202E-2</v>
      </c>
      <c r="AB358">
        <f t="shared" ref="AB358:AB421" ca="1" si="124">AVERAGE(C259:C358)</f>
        <v>247.34080000000003</v>
      </c>
    </row>
    <row r="359" spans="1:28" x14ac:dyDescent="0.25">
      <c r="A359" s="20">
        <f t="shared" ca="1" si="104"/>
        <v>45810</v>
      </c>
      <c r="B359" vm="1068">
        <f ca="1"/>
        <v>45813</v>
      </c>
      <c r="C359" vm="1069">
        <f ca="1"/>
        <v>266.86</v>
      </c>
      <c r="D359" vm="1070">
        <f ca="1"/>
        <v>2659478</v>
      </c>
      <c r="E359">
        <f t="shared" ca="1" si="105"/>
        <v>709708299.08000004</v>
      </c>
      <c r="F359">
        <f ca="1">SUM($E$2:E359)/SUM($D$2:D359)</f>
        <v>210.53040222544169</v>
      </c>
      <c r="G359">
        <f ca="1">_xlfn.STDEV.P($C$2:C359)</f>
        <v>30.948622052040736</v>
      </c>
      <c r="H359">
        <f t="shared" ca="1" si="106"/>
        <v>241.47902427748244</v>
      </c>
      <c r="I359">
        <f t="shared" ca="1" si="107"/>
        <v>179.58178017340094</v>
      </c>
      <c r="J359">
        <f t="shared" ca="1" si="116"/>
        <v>261.14049999999992</v>
      </c>
      <c r="K359">
        <f t="shared" ca="1" si="117"/>
        <v>5.2266165718822082</v>
      </c>
      <c r="L359">
        <f t="shared" ca="1" si="118"/>
        <v>271.59373314376433</v>
      </c>
      <c r="M359">
        <f t="shared" ca="1" si="119"/>
        <v>250.68726685623551</v>
      </c>
      <c r="N359">
        <f t="shared" ca="1" si="108"/>
        <v>1.3400000000000318</v>
      </c>
      <c r="O359">
        <f t="shared" ca="1" si="109"/>
        <v>1.3400000000000318</v>
      </c>
      <c r="P359">
        <f t="shared" ca="1" si="110"/>
        <v>0</v>
      </c>
      <c r="Q359">
        <f t="shared" ca="1" si="114"/>
        <v>1.7508550146583299</v>
      </c>
      <c r="R359">
        <f t="shared" ca="1" si="115"/>
        <v>1.0395389903507906</v>
      </c>
      <c r="S359">
        <f t="shared" ca="1" si="112"/>
        <v>1.6842610338910973</v>
      </c>
      <c r="T359">
        <f t="shared" ca="1" si="113"/>
        <v>62.745799034663825</v>
      </c>
      <c r="U359">
        <f>70</f>
        <v>70</v>
      </c>
      <c r="V359">
        <f>30</f>
        <v>30</v>
      </c>
      <c r="W359">
        <f t="shared" ca="1" si="111"/>
        <v>262.40175836038429</v>
      </c>
      <c r="X359">
        <f t="shared" ca="1" si="121"/>
        <v>257.88941957102753</v>
      </c>
      <c r="Y359">
        <f t="shared" ca="1" si="120"/>
        <v>4.6940765596871756</v>
      </c>
      <c r="Z359">
        <f t="shared" ca="1" si="122"/>
        <v>4.6272667418617797</v>
      </c>
      <c r="AA359">
        <f t="shared" ca="1" si="123"/>
        <v>6.6809817825395967E-2</v>
      </c>
      <c r="AB359">
        <f t="shared" ca="1" si="124"/>
        <v>247.81189999999998</v>
      </c>
    </row>
    <row r="360" spans="1:28" x14ac:dyDescent="0.25">
      <c r="A360" s="20">
        <f t="shared" ca="1" si="104"/>
        <v>45810</v>
      </c>
      <c r="B360" vm="1071">
        <f ca="1"/>
        <v>45814</v>
      </c>
      <c r="C360" vm="1072">
        <f ca="1"/>
        <v>268.87</v>
      </c>
      <c r="D360" vm="1073">
        <f ca="1"/>
        <v>2495543</v>
      </c>
      <c r="E360">
        <f t="shared" ca="1" si="105"/>
        <v>670976646.40999997</v>
      </c>
      <c r="F360">
        <f ca="1">SUM($E$2:E360)/SUM($D$2:D360)</f>
        <v>210.62371189983384</v>
      </c>
      <c r="G360">
        <f ca="1">_xlfn.STDEV.P($C$2:C360)</f>
        <v>31.063644882871326</v>
      </c>
      <c r="H360">
        <f t="shared" ca="1" si="106"/>
        <v>241.68735678270517</v>
      </c>
      <c r="I360">
        <f t="shared" ca="1" si="107"/>
        <v>179.56006701696251</v>
      </c>
      <c r="J360">
        <f t="shared" ca="1" si="116"/>
        <v>261.87699999999995</v>
      </c>
      <c r="K360">
        <f t="shared" ca="1" si="117"/>
        <v>5.2260603054107122</v>
      </c>
      <c r="L360">
        <f t="shared" ca="1" si="118"/>
        <v>272.32912061082141</v>
      </c>
      <c r="M360">
        <f t="shared" ca="1" si="119"/>
        <v>251.42487938917853</v>
      </c>
      <c r="N360">
        <f t="shared" ca="1" si="108"/>
        <v>2.0099999999999909</v>
      </c>
      <c r="O360">
        <f t="shared" ca="1" si="109"/>
        <v>2.0099999999999909</v>
      </c>
      <c r="P360">
        <f t="shared" ca="1" si="110"/>
        <v>0</v>
      </c>
      <c r="Q360">
        <f t="shared" ca="1" si="114"/>
        <v>1.7693653707541628</v>
      </c>
      <c r="R360">
        <f t="shared" ca="1" si="115"/>
        <v>0.96528620532573406</v>
      </c>
      <c r="S360">
        <f t="shared" ca="1" si="112"/>
        <v>1.8329956037827078</v>
      </c>
      <c r="T360">
        <f t="shared" ca="1" si="113"/>
        <v>64.70167483970792</v>
      </c>
      <c r="U360">
        <f>70</f>
        <v>70</v>
      </c>
      <c r="V360">
        <f>30</f>
        <v>30</v>
      </c>
      <c r="W360">
        <f t="shared" ca="1" si="111"/>
        <v>263.39687245878673</v>
      </c>
      <c r="X360">
        <f t="shared" ca="1" si="121"/>
        <v>258.70279589909956</v>
      </c>
      <c r="Y360">
        <f t="shared" ca="1" si="120"/>
        <v>5.0390383277843398</v>
      </c>
      <c r="Z360">
        <f t="shared" ca="1" si="122"/>
        <v>4.7096210590462917</v>
      </c>
      <c r="AA360">
        <f t="shared" ca="1" si="123"/>
        <v>0.32941726873804811</v>
      </c>
      <c r="AB360">
        <f t="shared" ca="1" si="124"/>
        <v>248.32659999999996</v>
      </c>
    </row>
    <row r="361" spans="1:28" x14ac:dyDescent="0.25">
      <c r="A361" s="20">
        <f t="shared" ca="1" si="104"/>
        <v>45817</v>
      </c>
      <c r="B361" vm="1074">
        <f ca="1"/>
        <v>45817</v>
      </c>
      <c r="C361" vm="1075">
        <f ca="1"/>
        <v>272.08</v>
      </c>
      <c r="D361" vm="1076">
        <f ca="1"/>
        <v>4331464</v>
      </c>
      <c r="E361">
        <f t="shared" ca="1" si="105"/>
        <v>1178504725.1199999</v>
      </c>
      <c r="F361">
        <f ca="1">SUM($E$2:E361)/SUM($D$2:D361)</f>
        <v>210.79384752157691</v>
      </c>
      <c r="G361">
        <f ca="1">_xlfn.STDEV.P($C$2:C361)</f>
        <v>31.19408419476397</v>
      </c>
      <c r="H361">
        <f t="shared" ca="1" si="106"/>
        <v>241.98793171634088</v>
      </c>
      <c r="I361">
        <f t="shared" ca="1" si="107"/>
        <v>179.59976332681293</v>
      </c>
      <c r="J361">
        <f t="shared" ca="1" si="116"/>
        <v>263.02100000000002</v>
      </c>
      <c r="K361">
        <f t="shared" ca="1" si="117"/>
        <v>4.7911243598532227</v>
      </c>
      <c r="L361">
        <f t="shared" ca="1" si="118"/>
        <v>272.60324871970647</v>
      </c>
      <c r="M361">
        <f t="shared" ca="1" si="119"/>
        <v>253.43875128029356</v>
      </c>
      <c r="N361">
        <f t="shared" ca="1" si="108"/>
        <v>3.2099999999999795</v>
      </c>
      <c r="O361">
        <f t="shared" ca="1" si="109"/>
        <v>3.2099999999999795</v>
      </c>
      <c r="P361">
        <f t="shared" ca="1" si="110"/>
        <v>0</v>
      </c>
      <c r="Q361">
        <f t="shared" ca="1" si="114"/>
        <v>1.8722678442717211</v>
      </c>
      <c r="R361">
        <f t="shared" ca="1" si="115"/>
        <v>0.89633719065961015</v>
      </c>
      <c r="S361">
        <f t="shared" ca="1" si="112"/>
        <v>2.0887985724367057</v>
      </c>
      <c r="T361">
        <f t="shared" ca="1" si="113"/>
        <v>67.62495266205994</v>
      </c>
      <c r="U361">
        <f>70</f>
        <v>70</v>
      </c>
      <c r="V361">
        <f>30</f>
        <v>30</v>
      </c>
      <c r="W361">
        <f t="shared" ca="1" si="111"/>
        <v>264.73273823435801</v>
      </c>
      <c r="X361">
        <f t="shared" ca="1" si="121"/>
        <v>259.69369990657367</v>
      </c>
      <c r="Y361">
        <f t="shared" ca="1" si="120"/>
        <v>5.5837344329569305</v>
      </c>
      <c r="Z361">
        <f t="shared" ca="1" si="122"/>
        <v>4.8844437338284195</v>
      </c>
      <c r="AA361">
        <f t="shared" ca="1" si="123"/>
        <v>0.69929069912851105</v>
      </c>
      <c r="AB361">
        <f t="shared" ca="1" si="124"/>
        <v>248.86989999999997</v>
      </c>
    </row>
    <row r="362" spans="1:28" x14ac:dyDescent="0.25">
      <c r="A362" s="20">
        <f t="shared" ca="1" si="104"/>
        <v>45817</v>
      </c>
      <c r="B362" vm="1077">
        <f ca="1"/>
        <v>45818</v>
      </c>
      <c r="C362" vm="1078">
        <f ca="1"/>
        <v>276.24</v>
      </c>
      <c r="D362" vm="1079">
        <f ca="1"/>
        <v>5163507</v>
      </c>
      <c r="E362">
        <f t="shared" ca="1" si="105"/>
        <v>1426367173.6800001</v>
      </c>
      <c r="F362">
        <f ca="1">SUM($E$2:E362)/SUM($D$2:D362)</f>
        <v>211.00912183503931</v>
      </c>
      <c r="G362">
        <f ca="1">_xlfn.STDEV.P($C$2:C362)</f>
        <v>31.345909930218685</v>
      </c>
      <c r="H362">
        <f t="shared" ca="1" si="106"/>
        <v>242.35503176525799</v>
      </c>
      <c r="I362">
        <f t="shared" ca="1" si="107"/>
        <v>179.66321190482063</v>
      </c>
      <c r="J362">
        <f t="shared" ca="1" si="116"/>
        <v>264.14849999999996</v>
      </c>
      <c r="K362">
        <f t="shared" ca="1" si="117"/>
        <v>5.1216355066675634</v>
      </c>
      <c r="L362">
        <f t="shared" ca="1" si="118"/>
        <v>274.39177101333507</v>
      </c>
      <c r="M362">
        <f t="shared" ca="1" si="119"/>
        <v>253.90522898666484</v>
      </c>
      <c r="N362">
        <f t="shared" ca="1" si="108"/>
        <v>4.160000000000025</v>
      </c>
      <c r="O362">
        <f t="shared" ca="1" si="109"/>
        <v>4.160000000000025</v>
      </c>
      <c r="P362">
        <f t="shared" ca="1" si="110"/>
        <v>0</v>
      </c>
      <c r="Q362">
        <f t="shared" ca="1" si="114"/>
        <v>2.0356772839666002</v>
      </c>
      <c r="R362">
        <f t="shared" ca="1" si="115"/>
        <v>0.83231310561249505</v>
      </c>
      <c r="S362">
        <f t="shared" ca="1" si="112"/>
        <v>2.4458070769756239</v>
      </c>
      <c r="T362">
        <f t="shared" ca="1" si="113"/>
        <v>70.9792226418637</v>
      </c>
      <c r="U362">
        <f>70</f>
        <v>70</v>
      </c>
      <c r="V362">
        <f>30</f>
        <v>30</v>
      </c>
      <c r="W362">
        <f t="shared" ca="1" si="111"/>
        <v>266.50308619830292</v>
      </c>
      <c r="X362">
        <f t="shared" ca="1" si="121"/>
        <v>260.91935176534599</v>
      </c>
      <c r="Y362">
        <f t="shared" ca="1" si="120"/>
        <v>6.3680549206795263</v>
      </c>
      <c r="Z362">
        <f t="shared" ca="1" si="122"/>
        <v>5.1811659711986415</v>
      </c>
      <c r="AA362">
        <f t="shared" ca="1" si="123"/>
        <v>1.1868889494808847</v>
      </c>
      <c r="AB362">
        <f t="shared" ca="1" si="124"/>
        <v>249.43200000000002</v>
      </c>
    </row>
    <row r="363" spans="1:28" x14ac:dyDescent="0.25">
      <c r="A363" s="20">
        <f t="shared" ca="1" si="104"/>
        <v>45817</v>
      </c>
      <c r="B363" vm="1080">
        <f ca="1"/>
        <v>45819</v>
      </c>
      <c r="C363" vm="1081">
        <f ca="1"/>
        <v>281.52</v>
      </c>
      <c r="D363" vm="1082">
        <f ca="1"/>
        <v>4656034</v>
      </c>
      <c r="E363">
        <f t="shared" ca="1" si="105"/>
        <v>1310766691.6799998</v>
      </c>
      <c r="F363">
        <f ca="1">SUM($E$2:E363)/SUM($D$2:D363)</f>
        <v>211.21764262136568</v>
      </c>
      <c r="G363">
        <f ca="1">_xlfn.STDEV.P($C$2:C363)</f>
        <v>31.526902630245491</v>
      </c>
      <c r="H363">
        <f t="shared" ca="1" si="106"/>
        <v>242.74454525161119</v>
      </c>
      <c r="I363">
        <f t="shared" ca="1" si="107"/>
        <v>179.69073999112018</v>
      </c>
      <c r="J363">
        <f t="shared" ca="1" si="116"/>
        <v>265.29499999999996</v>
      </c>
      <c r="K363">
        <f t="shared" ca="1" si="117"/>
        <v>6.2533136478947977</v>
      </c>
      <c r="L363">
        <f t="shared" ca="1" si="118"/>
        <v>277.80162729578956</v>
      </c>
      <c r="M363">
        <f t="shared" ca="1" si="119"/>
        <v>252.78837270421036</v>
      </c>
      <c r="N363">
        <f t="shared" ca="1" si="108"/>
        <v>5.2799999999999727</v>
      </c>
      <c r="O363">
        <f t="shared" ca="1" si="109"/>
        <v>5.2799999999999727</v>
      </c>
      <c r="P363">
        <f t="shared" ca="1" si="110"/>
        <v>0</v>
      </c>
      <c r="Q363">
        <f t="shared" ca="1" si="114"/>
        <v>2.2674146208261265</v>
      </c>
      <c r="R363">
        <f t="shared" ca="1" si="115"/>
        <v>0.77286216949731679</v>
      </c>
      <c r="S363">
        <f t="shared" ca="1" si="112"/>
        <v>2.9337891157240792</v>
      </c>
      <c r="T363">
        <f t="shared" ca="1" si="113"/>
        <v>74.57921686745189</v>
      </c>
      <c r="U363">
        <f>70</f>
        <v>70</v>
      </c>
      <c r="V363">
        <f>30</f>
        <v>30</v>
      </c>
      <c r="W363">
        <f t="shared" ca="1" si="111"/>
        <v>268.81338062933321</v>
      </c>
      <c r="X363">
        <f t="shared" ca="1" si="121"/>
        <v>262.44532570865368</v>
      </c>
      <c r="Y363">
        <f t="shared" ca="1" si="120"/>
        <v>6.8708922837593036</v>
      </c>
      <c r="Z363">
        <f t="shared" ca="1" si="122"/>
        <v>5.5191112337107739</v>
      </c>
      <c r="AA363">
        <f t="shared" ca="1" si="123"/>
        <v>1.3517810500485297</v>
      </c>
      <c r="AB363">
        <f t="shared" ca="1" si="124"/>
        <v>250.02059999999997</v>
      </c>
    </row>
    <row r="364" spans="1:28" x14ac:dyDescent="0.25">
      <c r="A364" s="20">
        <f t="shared" ca="1" si="104"/>
        <v>45817</v>
      </c>
      <c r="B364" vm="1083">
        <f ca="1"/>
        <v>45820</v>
      </c>
      <c r="C364" vm="1084">
        <f ca="1"/>
        <v>281.02999999999997</v>
      </c>
      <c r="D364" vm="1085">
        <f ca="1"/>
        <v>3418007</v>
      </c>
      <c r="E364">
        <f t="shared" ca="1" si="105"/>
        <v>960562507.20999992</v>
      </c>
      <c r="F364">
        <f ca="1">SUM($E$2:E364)/SUM($D$2:D364)</f>
        <v>211.36887351843473</v>
      </c>
      <c r="G364">
        <f ca="1">_xlfn.STDEV.P($C$2:C364)</f>
        <v>31.70163395628358</v>
      </c>
      <c r="H364">
        <f t="shared" ca="1" si="106"/>
        <v>243.07050747471831</v>
      </c>
      <c r="I364">
        <f t="shared" ca="1" si="107"/>
        <v>179.66723956215114</v>
      </c>
      <c r="J364">
        <f t="shared" ca="1" si="116"/>
        <v>266.45549999999997</v>
      </c>
      <c r="K364">
        <f t="shared" ca="1" si="117"/>
        <v>6.9120569525857789</v>
      </c>
      <c r="L364">
        <f t="shared" ca="1" si="118"/>
        <v>280.27961390517152</v>
      </c>
      <c r="M364">
        <f t="shared" ca="1" si="119"/>
        <v>252.63138609482843</v>
      </c>
      <c r="N364">
        <f t="shared" ca="1" si="108"/>
        <v>-0.49000000000000909</v>
      </c>
      <c r="O364">
        <f t="shared" ca="1" si="109"/>
        <v>0</v>
      </c>
      <c r="P364">
        <f t="shared" ca="1" si="110"/>
        <v>0.49000000000000909</v>
      </c>
      <c r="Q364">
        <f t="shared" ca="1" si="114"/>
        <v>2.1054564336242603</v>
      </c>
      <c r="R364">
        <f t="shared" ca="1" si="115"/>
        <v>0.75265772881893767</v>
      </c>
      <c r="S364">
        <f t="shared" ca="1" si="112"/>
        <v>2.7973624039284357</v>
      </c>
      <c r="T364">
        <f t="shared" ca="1" si="113"/>
        <v>73.665931938297931</v>
      </c>
      <c r="U364">
        <f>70</f>
        <v>70</v>
      </c>
      <c r="V364">
        <f>30</f>
        <v>30</v>
      </c>
      <c r="W364">
        <f t="shared" ca="1" si="111"/>
        <v>270.69286053251273</v>
      </c>
      <c r="X364">
        <f t="shared" ca="1" si="121"/>
        <v>263.82196824875342</v>
      </c>
      <c r="Y364">
        <f t="shared" ca="1" si="120"/>
        <v>6.8826207900610257</v>
      </c>
      <c r="Z364">
        <f t="shared" ca="1" si="122"/>
        <v>5.7918131449808241</v>
      </c>
      <c r="AA364">
        <f t="shared" ca="1" si="123"/>
        <v>1.0908076450802016</v>
      </c>
      <c r="AB364">
        <f t="shared" ca="1" si="124"/>
        <v>250.58299999999997</v>
      </c>
    </row>
    <row r="365" spans="1:28" x14ac:dyDescent="0.25">
      <c r="A365" s="20">
        <f t="shared" ca="1" si="104"/>
        <v>45817</v>
      </c>
      <c r="B365" vm="1086">
        <f ca="1"/>
        <v>45821</v>
      </c>
      <c r="C365" vm="1087">
        <f ca="1"/>
        <v>277.22000000000003</v>
      </c>
      <c r="D365" vm="1088">
        <f ca="1"/>
        <v>3243824</v>
      </c>
      <c r="E365">
        <f t="shared" ca="1" si="105"/>
        <v>899252889.28000009</v>
      </c>
      <c r="F365">
        <f ca="1">SUM($E$2:E365)/SUM($D$2:D365)</f>
        <v>211.50397615934395</v>
      </c>
      <c r="G365">
        <f ca="1">_xlfn.STDEV.P($C$2:C365)</f>
        <v>31.850750746780442</v>
      </c>
      <c r="H365">
        <f t="shared" ca="1" si="106"/>
        <v>243.3547269061244</v>
      </c>
      <c r="I365">
        <f t="shared" ca="1" si="107"/>
        <v>179.6532254125635</v>
      </c>
      <c r="J365">
        <f t="shared" ca="1" si="116"/>
        <v>266.98249999999996</v>
      </c>
      <c r="K365">
        <f t="shared" ca="1" si="117"/>
        <v>7.3198489163298097</v>
      </c>
      <c r="L365">
        <f t="shared" ca="1" si="118"/>
        <v>281.62219783265959</v>
      </c>
      <c r="M365">
        <f t="shared" ca="1" si="119"/>
        <v>252.34280216734035</v>
      </c>
      <c r="N365">
        <f t="shared" ca="1" si="108"/>
        <v>-3.8099999999999454</v>
      </c>
      <c r="O365">
        <f t="shared" ca="1" si="109"/>
        <v>0</v>
      </c>
      <c r="P365">
        <f t="shared" ca="1" si="110"/>
        <v>3.8099999999999454</v>
      </c>
      <c r="Q365">
        <f t="shared" ca="1" si="114"/>
        <v>1.9550666883653847</v>
      </c>
      <c r="R365">
        <f t="shared" ca="1" si="115"/>
        <v>0.97103931961758116</v>
      </c>
      <c r="S365">
        <f t="shared" ca="1" si="112"/>
        <v>2.0133754101073245</v>
      </c>
      <c r="T365">
        <f t="shared" ca="1" si="113"/>
        <v>66.81462267708676</v>
      </c>
      <c r="U365">
        <f>70</f>
        <v>70</v>
      </c>
      <c r="V365">
        <f>30</f>
        <v>30</v>
      </c>
      <c r="W365">
        <f t="shared" ca="1" si="111"/>
        <v>271.69703583520311</v>
      </c>
      <c r="X365">
        <f t="shared" ca="1" si="121"/>
        <v>264.81441504514208</v>
      </c>
      <c r="Y365">
        <f t="shared" ca="1" si="120"/>
        <v>7.1811246535161217</v>
      </c>
      <c r="Z365">
        <f t="shared" ca="1" si="122"/>
        <v>6.0696754466878833</v>
      </c>
      <c r="AA365">
        <f t="shared" ca="1" si="123"/>
        <v>1.1114492068282384</v>
      </c>
      <c r="AB365">
        <f t="shared" ca="1" si="124"/>
        <v>251.11259999999996</v>
      </c>
    </row>
    <row r="366" spans="1:28" x14ac:dyDescent="0.25">
      <c r="A366" s="20">
        <f t="shared" ca="1" si="104"/>
        <v>45824</v>
      </c>
      <c r="B366" vm="1089">
        <f ca="1"/>
        <v>45824</v>
      </c>
      <c r="C366" vm="1090">
        <f ca="1"/>
        <v>281.83</v>
      </c>
      <c r="D366" vm="1091">
        <f ca="1"/>
        <v>3685321</v>
      </c>
      <c r="E366">
        <f t="shared" ca="1" si="105"/>
        <v>1038634017.4299999</v>
      </c>
      <c r="F366">
        <f ca="1">SUM($E$2:E366)/SUM($D$2:D366)</f>
        <v>211.66751602065193</v>
      </c>
      <c r="G366">
        <f ca="1">_xlfn.STDEV.P($C$2:C366)</f>
        <v>32.024448678547905</v>
      </c>
      <c r="H366">
        <f t="shared" ca="1" si="106"/>
        <v>243.69196469919984</v>
      </c>
      <c r="I366">
        <f t="shared" ca="1" si="107"/>
        <v>179.64306734210402</v>
      </c>
      <c r="J366">
        <f t="shared" ca="1" si="116"/>
        <v>267.73599999999999</v>
      </c>
      <c r="K366">
        <f t="shared" ca="1" si="117"/>
        <v>8.0363224110744067</v>
      </c>
      <c r="L366">
        <f t="shared" ca="1" si="118"/>
        <v>283.80864482214878</v>
      </c>
      <c r="M366">
        <f t="shared" ca="1" si="119"/>
        <v>251.66335517785117</v>
      </c>
      <c r="N366">
        <f t="shared" ca="1" si="108"/>
        <v>4.6099999999999568</v>
      </c>
      <c r="O366">
        <f t="shared" ca="1" si="109"/>
        <v>4.6099999999999568</v>
      </c>
      <c r="P366">
        <f t="shared" ca="1" si="110"/>
        <v>0</v>
      </c>
      <c r="Q366">
        <f t="shared" ca="1" si="114"/>
        <v>2.1447047820535685</v>
      </c>
      <c r="R366">
        <f t="shared" ca="1" si="115"/>
        <v>0.90167936821632544</v>
      </c>
      <c r="S366">
        <f t="shared" ca="1" si="112"/>
        <v>2.3785669913864815</v>
      </c>
      <c r="T366">
        <f t="shared" ca="1" si="113"/>
        <v>70.401652459475883</v>
      </c>
      <c r="U366">
        <f>70</f>
        <v>70</v>
      </c>
      <c r="V366">
        <f>30</f>
        <v>30</v>
      </c>
      <c r="W366">
        <f t="shared" ca="1" si="111"/>
        <v>273.25595339901804</v>
      </c>
      <c r="X366">
        <f t="shared" ca="1" si="121"/>
        <v>266.07482874550192</v>
      </c>
      <c r="Y366">
        <f t="shared" ca="1" si="120"/>
        <v>7.4304809607414199</v>
      </c>
      <c r="Z366">
        <f t="shared" ca="1" si="122"/>
        <v>6.3418365494985904</v>
      </c>
      <c r="AA366">
        <f t="shared" ca="1" si="123"/>
        <v>1.0886444112428295</v>
      </c>
      <c r="AB366">
        <f t="shared" ca="1" si="124"/>
        <v>251.69829999999999</v>
      </c>
    </row>
    <row r="367" spans="1:28" x14ac:dyDescent="0.25">
      <c r="A367" s="20">
        <f t="shared" ca="1" si="104"/>
        <v>45824</v>
      </c>
      <c r="B367" vm="1092">
        <f ca="1"/>
        <v>45825</v>
      </c>
      <c r="C367" vm="1093">
        <f ca="1"/>
        <v>283.05</v>
      </c>
      <c r="D367" vm="1094">
        <f ca="1"/>
        <v>3069556</v>
      </c>
      <c r="E367">
        <f t="shared" ca="1" si="105"/>
        <v>868837825.80000007</v>
      </c>
      <c r="F367">
        <f ca="1">SUM($E$2:E367)/SUM($D$2:D367)</f>
        <v>211.80550966507712</v>
      </c>
      <c r="G367">
        <f ca="1">_xlfn.STDEV.P($C$2:C367)</f>
        <v>32.202493616651779</v>
      </c>
      <c r="H367">
        <f t="shared" ca="1" si="106"/>
        <v>244.00800328172892</v>
      </c>
      <c r="I367">
        <f t="shared" ca="1" si="107"/>
        <v>179.60301604842533</v>
      </c>
      <c r="J367">
        <f t="shared" ca="1" si="116"/>
        <v>268.46799999999996</v>
      </c>
      <c r="K367">
        <f t="shared" ca="1" si="117"/>
        <v>8.7371406860838068</v>
      </c>
      <c r="L367">
        <f t="shared" ca="1" si="118"/>
        <v>285.9422813721676</v>
      </c>
      <c r="M367">
        <f t="shared" ca="1" si="119"/>
        <v>250.99371862783235</v>
      </c>
      <c r="N367">
        <f t="shared" ca="1" si="108"/>
        <v>1.2200000000000273</v>
      </c>
      <c r="O367">
        <f t="shared" ca="1" si="109"/>
        <v>1.2200000000000273</v>
      </c>
      <c r="P367">
        <f t="shared" ca="1" si="110"/>
        <v>0</v>
      </c>
      <c r="Q367">
        <f t="shared" ca="1" si="114"/>
        <v>2.0786544404783158</v>
      </c>
      <c r="R367">
        <f t="shared" ca="1" si="115"/>
        <v>0.83727369905801652</v>
      </c>
      <c r="S367">
        <f t="shared" ca="1" si="112"/>
        <v>2.4826462873692647</v>
      </c>
      <c r="T367">
        <f t="shared" ca="1" si="113"/>
        <v>71.286202574554764</v>
      </c>
      <c r="U367">
        <f>70</f>
        <v>70</v>
      </c>
      <c r="V367">
        <f>30</f>
        <v>30</v>
      </c>
      <c r="W367">
        <f t="shared" ca="1" si="111"/>
        <v>274.76272979916911</v>
      </c>
      <c r="X367">
        <f t="shared" ca="1" si="121"/>
        <v>267.33224883842769</v>
      </c>
      <c r="Y367">
        <f t="shared" ca="1" si="120"/>
        <v>7.5539312759664767</v>
      </c>
      <c r="Z367">
        <f t="shared" ca="1" si="122"/>
        <v>6.5842554947921679</v>
      </c>
      <c r="AA367">
        <f t="shared" ca="1" si="123"/>
        <v>0.96967578117430886</v>
      </c>
      <c r="AB367">
        <f t="shared" ca="1" si="124"/>
        <v>252.26839999999996</v>
      </c>
    </row>
    <row r="368" spans="1:28" x14ac:dyDescent="0.25">
      <c r="A368" s="20">
        <f t="shared" ca="1" si="104"/>
        <v>45824</v>
      </c>
      <c r="B368" vm="1095">
        <f ca="1"/>
        <v>45826</v>
      </c>
      <c r="C368" vm="1096">
        <f ca="1"/>
        <v>283.20999999999998</v>
      </c>
      <c r="D368" vm="1097">
        <f ca="1"/>
        <v>3534110</v>
      </c>
      <c r="E368">
        <f t="shared" ca="1" si="105"/>
        <v>1000895293.0999999</v>
      </c>
      <c r="F368">
        <f ca="1">SUM($E$2:E368)/SUM($D$2:D368)</f>
        <v>211.96408363783632</v>
      </c>
      <c r="G368">
        <f ca="1">_xlfn.STDEV.P($C$2:C368)</f>
        <v>32.378371440120119</v>
      </c>
      <c r="H368">
        <f t="shared" ca="1" si="106"/>
        <v>244.34245507795646</v>
      </c>
      <c r="I368">
        <f t="shared" ca="1" si="107"/>
        <v>179.58571219771619</v>
      </c>
      <c r="J368">
        <f t="shared" ca="1" si="116"/>
        <v>269.28100000000001</v>
      </c>
      <c r="K368">
        <f t="shared" ca="1" si="117"/>
        <v>9.3251718765026368</v>
      </c>
      <c r="L368">
        <f t="shared" ca="1" si="118"/>
        <v>287.93134375300531</v>
      </c>
      <c r="M368">
        <f t="shared" ca="1" si="119"/>
        <v>250.63065624699473</v>
      </c>
      <c r="N368">
        <f t="shared" ca="1" si="108"/>
        <v>0.15999999999996817</v>
      </c>
      <c r="O368">
        <f t="shared" ca="1" si="109"/>
        <v>0.15999999999996817</v>
      </c>
      <c r="P368">
        <f t="shared" ca="1" si="110"/>
        <v>0</v>
      </c>
      <c r="Q368">
        <f t="shared" ca="1" si="114"/>
        <v>1.9416076947298624</v>
      </c>
      <c r="R368">
        <f t="shared" ca="1" si="115"/>
        <v>0.77746843483958672</v>
      </c>
      <c r="S368">
        <f t="shared" ca="1" si="112"/>
        <v>2.4973460113920507</v>
      </c>
      <c r="T368">
        <f t="shared" ca="1" si="113"/>
        <v>71.40688977462743</v>
      </c>
      <c r="U368">
        <f>70</f>
        <v>70</v>
      </c>
      <c r="V368">
        <f>30</f>
        <v>30</v>
      </c>
      <c r="W368">
        <f t="shared" ca="1" si="111"/>
        <v>276.06230983006617</v>
      </c>
      <c r="X368">
        <f t="shared" ca="1" si="121"/>
        <v>268.50837855409969</v>
      </c>
      <c r="Y368">
        <f t="shared" ca="1" si="120"/>
        <v>7.3858774628126866</v>
      </c>
      <c r="Z368">
        <f t="shared" ca="1" si="122"/>
        <v>6.744579888396272</v>
      </c>
      <c r="AA368">
        <f t="shared" ca="1" si="123"/>
        <v>0.64129757441641466</v>
      </c>
      <c r="AB368">
        <f t="shared" ca="1" si="124"/>
        <v>252.85249999999996</v>
      </c>
    </row>
    <row r="369" spans="1:28" x14ac:dyDescent="0.25">
      <c r="A369" s="20">
        <f t="shared" ca="1" si="104"/>
        <v>45824</v>
      </c>
      <c r="B369" vm="1098">
        <f ca="1"/>
        <v>45828</v>
      </c>
      <c r="C369" vm="1099">
        <f ca="1"/>
        <v>280.97000000000003</v>
      </c>
      <c r="D369" vm="1100">
        <f ca="1"/>
        <v>7676962</v>
      </c>
      <c r="E369">
        <f t="shared" ca="1" si="105"/>
        <v>2156996013.1400003</v>
      </c>
      <c r="F369">
        <f ca="1">SUM($E$2:E369)/SUM($D$2:D369)</f>
        <v>212.29537643873664</v>
      </c>
      <c r="G369">
        <f ca="1">_xlfn.STDEV.P($C$2:C369)</f>
        <v>32.537939577512695</v>
      </c>
      <c r="H369">
        <f t="shared" ca="1" si="106"/>
        <v>244.83331601624934</v>
      </c>
      <c r="I369">
        <f t="shared" ca="1" si="107"/>
        <v>179.75743686122394</v>
      </c>
      <c r="J369">
        <f t="shared" ca="1" si="116"/>
        <v>270.286</v>
      </c>
      <c r="K369">
        <f t="shared" ca="1" si="117"/>
        <v>9.4532230092787852</v>
      </c>
      <c r="L369">
        <f t="shared" ca="1" si="118"/>
        <v>289.19244601855758</v>
      </c>
      <c r="M369">
        <f t="shared" ca="1" si="119"/>
        <v>251.37955398144243</v>
      </c>
      <c r="N369">
        <f t="shared" ca="1" si="108"/>
        <v>-2.2399999999999523</v>
      </c>
      <c r="O369">
        <f t="shared" ca="1" si="109"/>
        <v>0</v>
      </c>
      <c r="P369">
        <f t="shared" ca="1" si="110"/>
        <v>2.2399999999999523</v>
      </c>
      <c r="Q369">
        <f t="shared" ca="1" si="114"/>
        <v>1.8029214308205863</v>
      </c>
      <c r="R369">
        <f t="shared" ca="1" si="115"/>
        <v>0.88193497520818431</v>
      </c>
      <c r="S369">
        <f t="shared" ca="1" si="112"/>
        <v>2.0442793193398408</v>
      </c>
      <c r="T369">
        <f t="shared" ca="1" si="113"/>
        <v>67.151503029069872</v>
      </c>
      <c r="U369">
        <f>70</f>
        <v>70</v>
      </c>
      <c r="V369">
        <f>30</f>
        <v>30</v>
      </c>
      <c r="W369">
        <f t="shared" ca="1" si="111"/>
        <v>276.81733908697908</v>
      </c>
      <c r="X369">
        <f t="shared" ca="1" si="121"/>
        <v>269.43146162416639</v>
      </c>
      <c r="Y369">
        <f t="shared" ca="1" si="120"/>
        <v>7.8249706010789168</v>
      </c>
      <c r="Z369">
        <f t="shared" ca="1" si="122"/>
        <v>6.9606580309328017</v>
      </c>
      <c r="AA369">
        <f t="shared" ca="1" si="123"/>
        <v>0.86431257014611518</v>
      </c>
      <c r="AB369">
        <f t="shared" ca="1" si="124"/>
        <v>253.42089999999996</v>
      </c>
    </row>
    <row r="370" spans="1:28" x14ac:dyDescent="0.25">
      <c r="A370" s="20">
        <f t="shared" ca="1" si="104"/>
        <v>45831</v>
      </c>
      <c r="B370" vm="1101">
        <f ca="1"/>
        <v>45831</v>
      </c>
      <c r="C370" vm="1102">
        <f ca="1"/>
        <v>289.18</v>
      </c>
      <c r="D370" vm="1103">
        <f ca="1"/>
        <v>3786159</v>
      </c>
      <c r="E370">
        <f t="shared" ca="1" si="105"/>
        <v>1094881459.6200001</v>
      </c>
      <c r="F370">
        <f ca="1">SUM($E$2:E370)/SUM($D$2:D370)</f>
        <v>212.47698969164972</v>
      </c>
      <c r="G370">
        <f ca="1">_xlfn.STDEV.P($C$2:C370)</f>
        <v>32.744776313501859</v>
      </c>
      <c r="H370">
        <f t="shared" ca="1" si="106"/>
        <v>245.22176600515158</v>
      </c>
      <c r="I370">
        <f t="shared" ca="1" si="107"/>
        <v>179.73221337814786</v>
      </c>
      <c r="J370">
        <f t="shared" ca="1" si="116"/>
        <v>271.82650000000007</v>
      </c>
      <c r="K370">
        <f t="shared" ca="1" si="117"/>
        <v>9.9086205290884806</v>
      </c>
      <c r="L370">
        <f t="shared" ca="1" si="118"/>
        <v>291.64374105817706</v>
      </c>
      <c r="M370">
        <f t="shared" ca="1" si="119"/>
        <v>252.00925894182311</v>
      </c>
      <c r="N370">
        <f t="shared" ca="1" si="108"/>
        <v>8.2099999999999795</v>
      </c>
      <c r="O370">
        <f t="shared" ca="1" si="109"/>
        <v>8.2099999999999795</v>
      </c>
      <c r="P370">
        <f t="shared" ca="1" si="110"/>
        <v>0</v>
      </c>
      <c r="Q370">
        <f t="shared" ca="1" si="114"/>
        <v>2.260569900047686</v>
      </c>
      <c r="R370">
        <f t="shared" ca="1" si="115"/>
        <v>0.81893961983617114</v>
      </c>
      <c r="S370">
        <f t="shared" ca="1" si="112"/>
        <v>2.7603621137537746</v>
      </c>
      <c r="T370">
        <f t="shared" ca="1" si="113"/>
        <v>73.406816424874791</v>
      </c>
      <c r="U370">
        <f>70</f>
        <v>70</v>
      </c>
      <c r="V370">
        <f>30</f>
        <v>30</v>
      </c>
      <c r="W370">
        <f t="shared" ca="1" si="111"/>
        <v>278.71928691975154</v>
      </c>
      <c r="X370">
        <f t="shared" ca="1" si="121"/>
        <v>270.89431631867262</v>
      </c>
      <c r="Y370">
        <f t="shared" ca="1" si="120"/>
        <v>8.4475652752067845</v>
      </c>
      <c r="Z370">
        <f t="shared" ca="1" si="122"/>
        <v>7.2580394797875991</v>
      </c>
      <c r="AA370">
        <f t="shared" ca="1" si="123"/>
        <v>1.1895257954191853</v>
      </c>
      <c r="AB370">
        <f t="shared" ca="1" si="124"/>
        <v>254.05609999999996</v>
      </c>
    </row>
    <row r="371" spans="1:28" x14ac:dyDescent="0.25">
      <c r="A371" s="20">
        <f t="shared" ca="1" si="104"/>
        <v>45831</v>
      </c>
      <c r="B371" vm="1104">
        <f ca="1"/>
        <v>45832</v>
      </c>
      <c r="C371" vm="1105">
        <f ca="1"/>
        <v>293.79000000000002</v>
      </c>
      <c r="D371" vm="1106">
        <f ca="1"/>
        <v>4219120</v>
      </c>
      <c r="E371">
        <f t="shared" ca="1" si="105"/>
        <v>1239535264.8000002</v>
      </c>
      <c r="F371">
        <f ca="1">SUM($E$2:E371)/SUM($D$2:D371)</f>
        <v>212.69046587705145</v>
      </c>
      <c r="G371">
        <f ca="1">_xlfn.STDEV.P($C$2:C371)</f>
        <v>32.977996616909181</v>
      </c>
      <c r="H371">
        <f t="shared" ca="1" si="106"/>
        <v>245.66846249396065</v>
      </c>
      <c r="I371">
        <f t="shared" ca="1" si="107"/>
        <v>179.71246926014226</v>
      </c>
      <c r="J371">
        <f t="shared" ca="1" si="116"/>
        <v>273.58450000000005</v>
      </c>
      <c r="K371">
        <f t="shared" ca="1" si="117"/>
        <v>10.542822190326561</v>
      </c>
      <c r="L371">
        <f t="shared" ca="1" si="118"/>
        <v>294.67014438065314</v>
      </c>
      <c r="M371">
        <f t="shared" ca="1" si="119"/>
        <v>252.49885561934693</v>
      </c>
      <c r="N371">
        <f t="shared" ca="1" si="108"/>
        <v>4.6100000000000136</v>
      </c>
      <c r="O371">
        <f t="shared" ca="1" si="109"/>
        <v>4.6100000000000136</v>
      </c>
      <c r="P371">
        <f t="shared" ca="1" si="110"/>
        <v>0</v>
      </c>
      <c r="Q371">
        <f t="shared" ca="1" si="114"/>
        <v>2.4283863357585664</v>
      </c>
      <c r="R371">
        <f t="shared" ca="1" si="115"/>
        <v>0.76044393270501609</v>
      </c>
      <c r="S371">
        <f t="shared" ca="1" si="112"/>
        <v>3.1933798552648351</v>
      </c>
      <c r="T371">
        <f t="shared" ca="1" si="113"/>
        <v>76.152887777517009</v>
      </c>
      <c r="U371">
        <f>70</f>
        <v>70</v>
      </c>
      <c r="V371">
        <f>30</f>
        <v>30</v>
      </c>
      <c r="W371">
        <f t="shared" ca="1" si="111"/>
        <v>281.03785816286666</v>
      </c>
      <c r="X371">
        <f t="shared" ca="1" si="121"/>
        <v>272.59029288765987</v>
      </c>
      <c r="Y371">
        <f t="shared" ca="1" si="120"/>
        <v>8.6213067973844772</v>
      </c>
      <c r="Z371">
        <f t="shared" ca="1" si="122"/>
        <v>7.5306929433069749</v>
      </c>
      <c r="AA371">
        <f t="shared" ca="1" si="123"/>
        <v>1.0906138540775023</v>
      </c>
      <c r="AB371">
        <f t="shared" ca="1" si="124"/>
        <v>254.70770000000002</v>
      </c>
    </row>
    <row r="372" spans="1:28" x14ac:dyDescent="0.25">
      <c r="A372" s="20">
        <f t="shared" ca="1" si="104"/>
        <v>45831</v>
      </c>
      <c r="B372" vm="1107">
        <f ca="1"/>
        <v>45833</v>
      </c>
      <c r="C372" vm="1108">
        <f ca="1"/>
        <v>291.06</v>
      </c>
      <c r="D372" vm="1109">
        <f ca="1"/>
        <v>3862309</v>
      </c>
      <c r="E372">
        <f t="shared" ca="1" si="105"/>
        <v>1124163657.54</v>
      </c>
      <c r="F372">
        <f ca="1">SUM($E$2:E372)/SUM($D$2:D372)</f>
        <v>212.87836263832133</v>
      </c>
      <c r="G372">
        <f ca="1">_xlfn.STDEV.P($C$2:C372)</f>
        <v>33.189032916450017</v>
      </c>
      <c r="H372">
        <f t="shared" ca="1" si="106"/>
        <v>246.06739555477134</v>
      </c>
      <c r="I372">
        <f t="shared" ca="1" si="107"/>
        <v>179.68932972187133</v>
      </c>
      <c r="J372">
        <f t="shared" ca="1" si="116"/>
        <v>274.97600000000006</v>
      </c>
      <c r="K372">
        <f t="shared" ca="1" si="117"/>
        <v>10.933586304304926</v>
      </c>
      <c r="L372">
        <f t="shared" ca="1" si="118"/>
        <v>296.8431726086099</v>
      </c>
      <c r="M372">
        <f t="shared" ca="1" si="119"/>
        <v>253.10882739139021</v>
      </c>
      <c r="N372">
        <f t="shared" ca="1" si="108"/>
        <v>-2.7300000000000182</v>
      </c>
      <c r="O372">
        <f t="shared" ca="1" si="109"/>
        <v>0</v>
      </c>
      <c r="P372">
        <f t="shared" ca="1" si="110"/>
        <v>2.7300000000000182</v>
      </c>
      <c r="Q372">
        <f t="shared" ca="1" si="114"/>
        <v>2.2549301689186687</v>
      </c>
      <c r="R372">
        <f t="shared" ca="1" si="115"/>
        <v>0.90112650894037338</v>
      </c>
      <c r="S372">
        <f t="shared" ca="1" si="112"/>
        <v>2.5023458377339503</v>
      </c>
      <c r="T372">
        <f t="shared" ca="1" si="113"/>
        <v>71.447708298075753</v>
      </c>
      <c r="U372">
        <f>70</f>
        <v>70</v>
      </c>
      <c r="V372">
        <f>30</f>
        <v>30</v>
      </c>
      <c r="W372">
        <f t="shared" ca="1" si="111"/>
        <v>282.57972613781027</v>
      </c>
      <c r="X372">
        <f t="shared" ca="1" si="121"/>
        <v>273.95841934042579</v>
      </c>
      <c r="Y372">
        <f t="shared" ca="1" si="120"/>
        <v>8.7285822714850951</v>
      </c>
      <c r="Z372">
        <f t="shared" ca="1" si="122"/>
        <v>7.7702708089426</v>
      </c>
      <c r="AA372">
        <f t="shared" ca="1" si="123"/>
        <v>0.95831146254249511</v>
      </c>
      <c r="AB372">
        <f t="shared" ca="1" si="124"/>
        <v>255.03560000000004</v>
      </c>
    </row>
    <row r="373" spans="1:28" x14ac:dyDescent="0.25">
      <c r="A373" s="20">
        <f t="shared" ca="1" si="104"/>
        <v>45831</v>
      </c>
      <c r="B373" vm="1110">
        <f ca="1"/>
        <v>45834</v>
      </c>
      <c r="C373" vm="1111">
        <f ca="1"/>
        <v>291.93</v>
      </c>
      <c r="D373" vm="1112">
        <f ca="1"/>
        <v>3621110</v>
      </c>
      <c r="E373">
        <f t="shared" ca="1" si="105"/>
        <v>1057110642.3000001</v>
      </c>
      <c r="F373">
        <f ca="1">SUM($E$2:E373)/SUM($D$2:D373)</f>
        <v>213.05566007988705</v>
      </c>
      <c r="G373">
        <f ca="1">_xlfn.STDEV.P($C$2:C373)</f>
        <v>33.401807440207996</v>
      </c>
      <c r="H373">
        <f t="shared" ca="1" si="106"/>
        <v>246.45746752009504</v>
      </c>
      <c r="I373">
        <f t="shared" ca="1" si="107"/>
        <v>179.65385263967906</v>
      </c>
      <c r="J373">
        <f t="shared" ca="1" si="116"/>
        <v>276.5605000000001</v>
      </c>
      <c r="K373">
        <f t="shared" ca="1" si="117"/>
        <v>10.981799524188819</v>
      </c>
      <c r="L373">
        <f t="shared" ca="1" si="118"/>
        <v>298.52409904837776</v>
      </c>
      <c r="M373">
        <f t="shared" ca="1" si="119"/>
        <v>254.59690095162247</v>
      </c>
      <c r="N373">
        <f t="shared" ca="1" si="108"/>
        <v>0.87000000000000455</v>
      </c>
      <c r="O373">
        <f t="shared" ca="1" si="109"/>
        <v>0.87000000000000455</v>
      </c>
      <c r="P373">
        <f t="shared" ca="1" si="110"/>
        <v>0</v>
      </c>
      <c r="Q373">
        <f t="shared" ca="1" si="114"/>
        <v>2.1560065854244783</v>
      </c>
      <c r="R373">
        <f t="shared" ca="1" si="115"/>
        <v>0.83676032973034675</v>
      </c>
      <c r="S373">
        <f t="shared" ca="1" si="112"/>
        <v>2.5766118550568358</v>
      </c>
      <c r="T373">
        <f t="shared" ca="1" si="113"/>
        <v>72.040578051930964</v>
      </c>
      <c r="U373">
        <f>70</f>
        <v>70</v>
      </c>
      <c r="V373">
        <f>30</f>
        <v>30</v>
      </c>
      <c r="W373">
        <f t="shared" ca="1" si="111"/>
        <v>284.01822980891637</v>
      </c>
      <c r="X373">
        <f t="shared" ca="1" si="121"/>
        <v>275.28964753743128</v>
      </c>
      <c r="Y373">
        <f t="shared" ca="1" si="120"/>
        <v>8.5352672466751756</v>
      </c>
      <c r="Z373">
        <f t="shared" ca="1" si="122"/>
        <v>7.9232700964891158</v>
      </c>
      <c r="AA373">
        <f t="shared" ca="1" si="123"/>
        <v>0.61199715018605971</v>
      </c>
      <c r="AB373">
        <f t="shared" ca="1" si="124"/>
        <v>255.39790000000005</v>
      </c>
    </row>
    <row r="374" spans="1:28" x14ac:dyDescent="0.25">
      <c r="A374" s="20">
        <f t="shared" ca="1" si="104"/>
        <v>45831</v>
      </c>
      <c r="B374" vm="1113">
        <f ca="1"/>
        <v>45835</v>
      </c>
      <c r="C374" vm="1114">
        <f ca="1"/>
        <v>289.7</v>
      </c>
      <c r="D374" vm="1115">
        <f ca="1"/>
        <v>3562501</v>
      </c>
      <c r="E374">
        <f t="shared" ca="1" si="105"/>
        <v>1032056539.6999999</v>
      </c>
      <c r="F374">
        <f ca="1">SUM($E$2:E374)/SUM($D$2:D374)</f>
        <v>213.22440384972091</v>
      </c>
      <c r="G374">
        <f ca="1">_xlfn.STDEV.P($C$2:C374)</f>
        <v>33.596795049972329</v>
      </c>
      <c r="H374">
        <f t="shared" ca="1" si="106"/>
        <v>246.82119889969323</v>
      </c>
      <c r="I374">
        <f t="shared" ca="1" si="107"/>
        <v>179.6276087997486</v>
      </c>
      <c r="J374">
        <f t="shared" ca="1" si="116"/>
        <v>278.11100000000005</v>
      </c>
      <c r="K374">
        <f t="shared" ca="1" si="117"/>
        <v>10.504658565557827</v>
      </c>
      <c r="L374">
        <f t="shared" ca="1" si="118"/>
        <v>299.12031713111571</v>
      </c>
      <c r="M374">
        <f t="shared" ca="1" si="119"/>
        <v>257.10168286888438</v>
      </c>
      <c r="N374">
        <f t="shared" ca="1" si="108"/>
        <v>-2.2300000000000182</v>
      </c>
      <c r="O374">
        <f t="shared" ca="1" si="109"/>
        <v>0</v>
      </c>
      <c r="P374">
        <f t="shared" ca="1" si="110"/>
        <v>2.2300000000000182</v>
      </c>
      <c r="Q374">
        <f t="shared" ca="1" si="114"/>
        <v>2.0020061150370156</v>
      </c>
      <c r="R374">
        <f t="shared" ca="1" si="115"/>
        <v>0.93627744903532328</v>
      </c>
      <c r="S374">
        <f t="shared" ca="1" si="112"/>
        <v>2.1382615987384366</v>
      </c>
      <c r="T374">
        <f t="shared" ca="1" si="113"/>
        <v>68.135224915539411</v>
      </c>
      <c r="U374">
        <f>70</f>
        <v>70</v>
      </c>
      <c r="V374">
        <f>30</f>
        <v>30</v>
      </c>
      <c r="W374">
        <f t="shared" ca="1" si="111"/>
        <v>284.8923482998523</v>
      </c>
      <c r="X374">
        <f t="shared" ca="1" si="121"/>
        <v>276.35708105317713</v>
      </c>
      <c r="Y374">
        <f t="shared" ca="1" si="120"/>
        <v>8.6917837685856512</v>
      </c>
      <c r="Z374">
        <f t="shared" ca="1" si="122"/>
        <v>8.0769728309084243</v>
      </c>
      <c r="AA374">
        <f t="shared" ca="1" si="123"/>
        <v>0.61481093767722683</v>
      </c>
      <c r="AB374">
        <f t="shared" ca="1" si="124"/>
        <v>255.68760000000003</v>
      </c>
    </row>
    <row r="375" spans="1:28" x14ac:dyDescent="0.25">
      <c r="A375" s="20">
        <f t="shared" ca="1" si="104"/>
        <v>45838</v>
      </c>
      <c r="B375" vm="1116">
        <f ca="1"/>
        <v>45838</v>
      </c>
      <c r="C375" vm="1117">
        <f ca="1"/>
        <v>294.77999999999997</v>
      </c>
      <c r="D375" vm="1118">
        <f ca="1"/>
        <v>3495386</v>
      </c>
      <c r="E375">
        <f t="shared" ca="1" si="105"/>
        <v>1030369885.0799999</v>
      </c>
      <c r="F375">
        <f ca="1">SUM($E$2:E375)/SUM($D$2:D375)</f>
        <v>213.40019800642827</v>
      </c>
      <c r="G375">
        <f ca="1">_xlfn.STDEV.P($C$2:C375)</f>
        <v>33.820344006130391</v>
      </c>
      <c r="H375">
        <f t="shared" ca="1" si="106"/>
        <v>247.22054201255867</v>
      </c>
      <c r="I375">
        <f t="shared" ca="1" si="107"/>
        <v>179.57985400029787</v>
      </c>
      <c r="J375">
        <f t="shared" ca="1" si="116"/>
        <v>279.89700000000005</v>
      </c>
      <c r="K375">
        <f t="shared" ca="1" si="117"/>
        <v>10.124821557881772</v>
      </c>
      <c r="L375">
        <f t="shared" ca="1" si="118"/>
        <v>300.1466431157636</v>
      </c>
      <c r="M375">
        <f t="shared" ca="1" si="119"/>
        <v>259.6473568842365</v>
      </c>
      <c r="N375">
        <f t="shared" ca="1" si="108"/>
        <v>5.0799999999999841</v>
      </c>
      <c r="O375">
        <f t="shared" ca="1" si="109"/>
        <v>5.0799999999999841</v>
      </c>
      <c r="P375">
        <f t="shared" ca="1" si="110"/>
        <v>0</v>
      </c>
      <c r="Q375">
        <f t="shared" ca="1" si="114"/>
        <v>2.2218628211057991</v>
      </c>
      <c r="R375">
        <f t="shared" ca="1" si="115"/>
        <v>0.8694004883899431</v>
      </c>
      <c r="S375">
        <f t="shared" ca="1" si="112"/>
        <v>2.5556263779199191</v>
      </c>
      <c r="T375">
        <f t="shared" ca="1" si="113"/>
        <v>71.875560204809503</v>
      </c>
      <c r="U375">
        <f>70</f>
        <v>70</v>
      </c>
      <c r="V375">
        <f>30</f>
        <v>30</v>
      </c>
      <c r="W375">
        <f t="shared" ca="1" si="111"/>
        <v>286.41352548449038</v>
      </c>
      <c r="X375">
        <f t="shared" ca="1" si="121"/>
        <v>277.72174171590473</v>
      </c>
      <c r="Y375">
        <f t="shared" ca="1" si="120"/>
        <v>8.4297749607538321</v>
      </c>
      <c r="Z375">
        <f t="shared" ca="1" si="122"/>
        <v>8.1475332568775052</v>
      </c>
      <c r="AA375">
        <f t="shared" ca="1" si="123"/>
        <v>0.28224170387632697</v>
      </c>
      <c r="AB375">
        <f t="shared" ca="1" si="124"/>
        <v>255.99080000000001</v>
      </c>
    </row>
    <row r="376" spans="1:28" x14ac:dyDescent="0.25">
      <c r="A376" s="20">
        <f t="shared" ca="1" si="104"/>
        <v>45838</v>
      </c>
      <c r="B376" vm="1119">
        <f ca="1"/>
        <v>45839</v>
      </c>
      <c r="C376" vm="1120">
        <f ca="1"/>
        <v>291.2</v>
      </c>
      <c r="D376" vm="1121">
        <f ca="1"/>
        <v>3272797</v>
      </c>
      <c r="E376">
        <f t="shared" ca="1" si="105"/>
        <v>953038486.39999998</v>
      </c>
      <c r="F376">
        <f ca="1">SUM($E$2:E376)/SUM($D$2:D376)</f>
        <v>213.55690105860668</v>
      </c>
      <c r="G376">
        <f ca="1">_xlfn.STDEV.P($C$2:C376)</f>
        <v>34.017348763623325</v>
      </c>
      <c r="H376">
        <f t="shared" ca="1" si="106"/>
        <v>247.57424982223</v>
      </c>
      <c r="I376">
        <f t="shared" ca="1" si="107"/>
        <v>179.53955229498337</v>
      </c>
      <c r="J376">
        <f t="shared" ca="1" si="116"/>
        <v>281.26200000000006</v>
      </c>
      <c r="K376">
        <f t="shared" ca="1" si="117"/>
        <v>9.6853593254539554</v>
      </c>
      <c r="L376">
        <f t="shared" ca="1" si="118"/>
        <v>300.63271865090798</v>
      </c>
      <c r="M376">
        <f t="shared" ca="1" si="119"/>
        <v>261.89128134909214</v>
      </c>
      <c r="N376">
        <f t="shared" ca="1" si="108"/>
        <v>-3.5799999999999841</v>
      </c>
      <c r="O376">
        <f t="shared" ca="1" si="109"/>
        <v>0</v>
      </c>
      <c r="P376">
        <f t="shared" ca="1" si="110"/>
        <v>3.5799999999999841</v>
      </c>
      <c r="Q376">
        <f t="shared" ca="1" si="114"/>
        <v>2.0631583338839561</v>
      </c>
      <c r="R376">
        <f t="shared" ca="1" si="115"/>
        <v>1.0630147392192317</v>
      </c>
      <c r="S376">
        <f t="shared" ca="1" si="112"/>
        <v>1.9408558110862271</v>
      </c>
      <c r="T376">
        <f t="shared" ca="1" si="113"/>
        <v>65.9962927719791</v>
      </c>
      <c r="U376">
        <f>70</f>
        <v>70</v>
      </c>
      <c r="V376">
        <f>30</f>
        <v>30</v>
      </c>
      <c r="W376">
        <f t="shared" ca="1" si="111"/>
        <v>287.14990617918414</v>
      </c>
      <c r="X376">
        <f t="shared" ca="1" si="121"/>
        <v>278.72013121843031</v>
      </c>
      <c r="Y376">
        <f t="shared" ca="1" si="120"/>
        <v>7.8452407100508026</v>
      </c>
      <c r="Z376">
        <f t="shared" ca="1" si="122"/>
        <v>8.0870747475121654</v>
      </c>
      <c r="AA376">
        <f t="shared" ca="1" si="123"/>
        <v>-0.24183403746136278</v>
      </c>
      <c r="AB376">
        <f t="shared" ca="1" si="124"/>
        <v>256.26980000000003</v>
      </c>
    </row>
    <row r="377" spans="1:28" x14ac:dyDescent="0.25">
      <c r="A377" s="20">
        <f t="shared" ca="1" si="104"/>
        <v>45838</v>
      </c>
      <c r="B377" vm="1122">
        <f ca="1"/>
        <v>45840</v>
      </c>
      <c r="C377" vm="1123">
        <f ca="1"/>
        <v>287.64999999999998</v>
      </c>
      <c r="D377" vm="1124">
        <f ca="1"/>
        <v>3257515</v>
      </c>
      <c r="E377">
        <f t="shared" ca="1" si="105"/>
        <v>937024189.74999988</v>
      </c>
      <c r="F377">
        <f ca="1">SUM($E$2:E377)/SUM($D$2:D377)</f>
        <v>213.70514408980716</v>
      </c>
      <c r="G377">
        <f ca="1">_xlfn.STDEV.P($C$2:C377)</f>
        <v>34.189823682889923</v>
      </c>
      <c r="H377">
        <f t="shared" ca="1" si="106"/>
        <v>247.8949677726971</v>
      </c>
      <c r="I377">
        <f t="shared" ca="1" si="107"/>
        <v>179.51532040691723</v>
      </c>
      <c r="J377">
        <f t="shared" ca="1" si="116"/>
        <v>282.3845</v>
      </c>
      <c r="K377">
        <f t="shared" ca="1" si="117"/>
        <v>9.0027367037970567</v>
      </c>
      <c r="L377">
        <f t="shared" ca="1" si="118"/>
        <v>300.38997340759414</v>
      </c>
      <c r="M377">
        <f t="shared" ca="1" si="119"/>
        <v>264.37902659240586</v>
      </c>
      <c r="N377">
        <f t="shared" ca="1" si="108"/>
        <v>-3.5500000000000114</v>
      </c>
      <c r="O377">
        <f t="shared" ca="1" si="109"/>
        <v>0</v>
      </c>
      <c r="P377">
        <f t="shared" ca="1" si="110"/>
        <v>3.5500000000000114</v>
      </c>
      <c r="Q377">
        <f t="shared" ca="1" si="114"/>
        <v>1.9157898814636736</v>
      </c>
      <c r="R377">
        <f t="shared" ca="1" si="115"/>
        <v>1.240656543560716</v>
      </c>
      <c r="S377">
        <f t="shared" ca="1" si="112"/>
        <v>1.5441742450052354</v>
      </c>
      <c r="T377">
        <f t="shared" ca="1" si="113"/>
        <v>60.694516031548694</v>
      </c>
      <c r="U377">
        <f>70</f>
        <v>70</v>
      </c>
      <c r="V377">
        <f>30</f>
        <v>30</v>
      </c>
      <c r="W377">
        <f t="shared" ca="1" si="111"/>
        <v>287.22684369007891</v>
      </c>
      <c r="X377">
        <f t="shared" ca="1" si="121"/>
        <v>279.38160298002811</v>
      </c>
      <c r="Y377">
        <f t="shared" ca="1" si="120"/>
        <v>7.6424832120920314</v>
      </c>
      <c r="Z377">
        <f t="shared" ca="1" si="122"/>
        <v>7.9981564404281391</v>
      </c>
      <c r="AA377">
        <f t="shared" ca="1" si="123"/>
        <v>-0.35567322833610771</v>
      </c>
      <c r="AB377">
        <f t="shared" ca="1" si="124"/>
        <v>256.61190000000005</v>
      </c>
    </row>
    <row r="378" spans="1:28" x14ac:dyDescent="0.25">
      <c r="A378" s="20">
        <f t="shared" ca="1" si="104"/>
        <v>45838</v>
      </c>
      <c r="B378" vm="1125">
        <f ca="1"/>
        <v>45841</v>
      </c>
      <c r="C378" vm="1126">
        <f ca="1"/>
        <v>291.97000000000003</v>
      </c>
      <c r="D378" vm="1127">
        <f ca="1"/>
        <v>1853289</v>
      </c>
      <c r="E378">
        <f t="shared" ca="1" si="105"/>
        <v>541104789.33000004</v>
      </c>
      <c r="F378">
        <f ca="1">SUM($E$2:E378)/SUM($D$2:D378)</f>
        <v>213.79413096747155</v>
      </c>
      <c r="G378">
        <f ca="1">_xlfn.STDEV.P($C$2:C378)</f>
        <v>34.384905206132125</v>
      </c>
      <c r="H378">
        <f t="shared" ca="1" si="106"/>
        <v>248.17903617360366</v>
      </c>
      <c r="I378">
        <f t="shared" ca="1" si="107"/>
        <v>179.40922576133943</v>
      </c>
      <c r="J378">
        <f t="shared" ca="1" si="116"/>
        <v>283.70699999999999</v>
      </c>
      <c r="K378">
        <f t="shared" ca="1" si="117"/>
        <v>8.3111416025021558</v>
      </c>
      <c r="L378">
        <f t="shared" ca="1" si="118"/>
        <v>300.32928320500429</v>
      </c>
      <c r="M378">
        <f t="shared" ca="1" si="119"/>
        <v>267.0847167949957</v>
      </c>
      <c r="N378">
        <f t="shared" ca="1" si="108"/>
        <v>4.32000000000005</v>
      </c>
      <c r="O378">
        <f t="shared" ca="1" si="109"/>
        <v>4.32000000000005</v>
      </c>
      <c r="P378">
        <f t="shared" ca="1" si="110"/>
        <v>0</v>
      </c>
      <c r="Q378">
        <f t="shared" ca="1" si="114"/>
        <v>2.0875191756448435</v>
      </c>
      <c r="R378">
        <f t="shared" ca="1" si="115"/>
        <v>1.1520382190206651</v>
      </c>
      <c r="S378">
        <f t="shared" ca="1" si="112"/>
        <v>1.8120225016661518</v>
      </c>
      <c r="T378">
        <f t="shared" ca="1" si="113"/>
        <v>64.438406897260251</v>
      </c>
      <c r="U378">
        <f>70</f>
        <v>70</v>
      </c>
      <c r="V378">
        <f>30</f>
        <v>30</v>
      </c>
      <c r="W378">
        <f t="shared" ca="1" si="111"/>
        <v>287.9565600454514</v>
      </c>
      <c r="X378">
        <f t="shared" ca="1" si="121"/>
        <v>280.31407683335937</v>
      </c>
      <c r="Y378">
        <f t="shared" ca="1" si="120"/>
        <v>7.4364198366304208</v>
      </c>
      <c r="Z378">
        <f t="shared" ca="1" si="122"/>
        <v>7.8858091196685951</v>
      </c>
      <c r="AA378">
        <f t="shared" ca="1" si="123"/>
        <v>-0.44938928303817427</v>
      </c>
      <c r="AB378">
        <f t="shared" ca="1" si="124"/>
        <v>257.00820000000004</v>
      </c>
    </row>
    <row r="379" spans="1:28" x14ac:dyDescent="0.25">
      <c r="A379" s="20">
        <f t="shared" ca="1" si="104"/>
        <v>45845</v>
      </c>
      <c r="B379" vm="1128">
        <f ca="1"/>
        <v>45845</v>
      </c>
      <c r="C379" vm="1129">
        <f ca="1"/>
        <v>292.47000000000003</v>
      </c>
      <c r="D379" vm="1130">
        <f ca="1"/>
        <v>4488064</v>
      </c>
      <c r="E379">
        <f t="shared" ca="1" si="105"/>
        <v>1312624078.0800002</v>
      </c>
      <c r="F379">
        <f ca="1">SUM($E$2:E379)/SUM($D$2:D379)</f>
        <v>214.01016514392418</v>
      </c>
      <c r="G379">
        <f ca="1">_xlfn.STDEV.P($C$2:C379)</f>
        <v>34.579617943926621</v>
      </c>
      <c r="H379">
        <f t="shared" ca="1" si="106"/>
        <v>248.5897830878508</v>
      </c>
      <c r="I379">
        <f t="shared" ca="1" si="107"/>
        <v>179.43054719999756</v>
      </c>
      <c r="J379">
        <f t="shared" ca="1" si="116"/>
        <v>284.98750000000001</v>
      </c>
      <c r="K379">
        <f t="shared" ca="1" si="117"/>
        <v>7.5135021443854155</v>
      </c>
      <c r="L379">
        <f t="shared" ca="1" si="118"/>
        <v>300.01450428877087</v>
      </c>
      <c r="M379">
        <f t="shared" ca="1" si="119"/>
        <v>269.96049571122916</v>
      </c>
      <c r="N379">
        <f t="shared" ca="1" si="108"/>
        <v>0.5</v>
      </c>
      <c r="O379">
        <f t="shared" ca="1" si="109"/>
        <v>0.5</v>
      </c>
      <c r="P379">
        <f t="shared" ca="1" si="110"/>
        <v>0</v>
      </c>
      <c r="Q379">
        <f t="shared" ca="1" si="114"/>
        <v>1.974124948813069</v>
      </c>
      <c r="R379">
        <f t="shared" ca="1" si="115"/>
        <v>1.0697497748049032</v>
      </c>
      <c r="S379">
        <f t="shared" ca="1" si="112"/>
        <v>1.8454081461929752</v>
      </c>
      <c r="T379">
        <f t="shared" ca="1" si="113"/>
        <v>64.855656952484878</v>
      </c>
      <c r="U379">
        <f>70</f>
        <v>70</v>
      </c>
      <c r="V379">
        <f>30</f>
        <v>30</v>
      </c>
      <c r="W379">
        <f t="shared" ca="1" si="111"/>
        <v>288.65093542307426</v>
      </c>
      <c r="X379">
        <f t="shared" ca="1" si="121"/>
        <v>281.21451558644384</v>
      </c>
      <c r="Y379">
        <f t="shared" ca="1" si="120"/>
        <v>7.0266958833584567</v>
      </c>
      <c r="Z379">
        <f t="shared" ca="1" si="122"/>
        <v>7.7139864724065674</v>
      </c>
      <c r="AA379">
        <f t="shared" ca="1" si="123"/>
        <v>-0.68729058904811069</v>
      </c>
      <c r="AB379">
        <f t="shared" ca="1" si="124"/>
        <v>257.44020000000012</v>
      </c>
    </row>
    <row r="380" spans="1:28" x14ac:dyDescent="0.25">
      <c r="A380" s="20">
        <f t="shared" ca="1" si="104"/>
        <v>45845</v>
      </c>
      <c r="B380" vm="1131">
        <f ca="1"/>
        <v>45846</v>
      </c>
      <c r="C380" vm="1132">
        <f ca="1"/>
        <v>290.42</v>
      </c>
      <c r="D380" vm="1133">
        <f ca="1"/>
        <v>2925329</v>
      </c>
      <c r="E380">
        <f t="shared" ca="1" si="105"/>
        <v>849574048.18000007</v>
      </c>
      <c r="F380">
        <f ca="1">SUM($E$2:E380)/SUM($D$2:D380)</f>
        <v>214.14667664992001</v>
      </c>
      <c r="G380">
        <f ca="1">_xlfn.STDEV.P($C$2:C380)</f>
        <v>34.758867961945803</v>
      </c>
      <c r="H380">
        <f t="shared" ca="1" si="106"/>
        <v>248.90554461186582</v>
      </c>
      <c r="I380">
        <f t="shared" ca="1" si="107"/>
        <v>179.3878086879742</v>
      </c>
      <c r="J380">
        <f t="shared" ca="1" si="116"/>
        <v>286.06499999999994</v>
      </c>
      <c r="K380">
        <f t="shared" ca="1" si="117"/>
        <v>6.5659396249047841</v>
      </c>
      <c r="L380">
        <f t="shared" ca="1" si="118"/>
        <v>299.19687924980951</v>
      </c>
      <c r="M380">
        <f t="shared" ca="1" si="119"/>
        <v>272.93312075019037</v>
      </c>
      <c r="N380">
        <f t="shared" ca="1" si="108"/>
        <v>-2.0500000000000114</v>
      </c>
      <c r="O380">
        <f t="shared" ca="1" si="109"/>
        <v>0</v>
      </c>
      <c r="P380">
        <f t="shared" ca="1" si="110"/>
        <v>2.0500000000000114</v>
      </c>
      <c r="Q380">
        <f t="shared" ca="1" si="114"/>
        <v>1.8331160238978497</v>
      </c>
      <c r="R380">
        <f t="shared" ca="1" si="115"/>
        <v>1.1397676480331251</v>
      </c>
      <c r="S380">
        <f t="shared" ca="1" si="112"/>
        <v>1.6083243168563544</v>
      </c>
      <c r="T380">
        <f t="shared" ca="1" si="113"/>
        <v>61.661209323645927</v>
      </c>
      <c r="U380">
        <f>70</f>
        <v>70</v>
      </c>
      <c r="V380">
        <f>30</f>
        <v>30</v>
      </c>
      <c r="W380">
        <f t="shared" ca="1" si="111"/>
        <v>288.92309920413976</v>
      </c>
      <c r="X380">
        <f t="shared" ca="1" si="121"/>
        <v>281.8964033207813</v>
      </c>
      <c r="Y380">
        <f t="shared" ca="1" si="120"/>
        <v>6.6032745993607023</v>
      </c>
      <c r="Z380">
        <f t="shared" ca="1" si="122"/>
        <v>7.4918440977973946</v>
      </c>
      <c r="AA380">
        <f t="shared" ca="1" si="123"/>
        <v>-0.88856949843669231</v>
      </c>
      <c r="AB380">
        <f t="shared" ca="1" si="124"/>
        <v>257.79740000000015</v>
      </c>
    </row>
    <row r="381" spans="1:28" x14ac:dyDescent="0.25">
      <c r="A381" s="20">
        <f t="shared" ca="1" si="104"/>
        <v>45845</v>
      </c>
      <c r="B381" vm="1134">
        <f ca="1"/>
        <v>45847</v>
      </c>
      <c r="C381" vm="1135">
        <f ca="1"/>
        <v>290.14</v>
      </c>
      <c r="D381" vm="1136">
        <f ca="1"/>
        <v>2971309</v>
      </c>
      <c r="E381">
        <f t="shared" ca="1" si="105"/>
        <v>862095593.25999999</v>
      </c>
      <c r="F381">
        <f ca="1">SUM($E$2:E381)/SUM($D$2:D381)</f>
        <v>214.28432821623554</v>
      </c>
      <c r="G381">
        <f ca="1">_xlfn.STDEV.P($C$2:C381)</f>
        <v>34.933479688301837</v>
      </c>
      <c r="H381">
        <f t="shared" ca="1" si="106"/>
        <v>249.21780790453738</v>
      </c>
      <c r="I381">
        <f t="shared" ca="1" si="107"/>
        <v>179.35084852793369</v>
      </c>
      <c r="J381">
        <f t="shared" ca="1" si="116"/>
        <v>286.96799999999996</v>
      </c>
      <c r="K381">
        <f t="shared" ca="1" si="117"/>
        <v>5.7300542846698379</v>
      </c>
      <c r="L381">
        <f t="shared" ca="1" si="118"/>
        <v>298.42810856933966</v>
      </c>
      <c r="M381">
        <f t="shared" ca="1" si="119"/>
        <v>275.50789143066027</v>
      </c>
      <c r="N381">
        <f t="shared" ca="1" si="108"/>
        <v>-0.28000000000002956</v>
      </c>
      <c r="O381">
        <f t="shared" ca="1" si="109"/>
        <v>0</v>
      </c>
      <c r="P381">
        <f t="shared" ca="1" si="110"/>
        <v>0.28000000000002956</v>
      </c>
      <c r="Q381">
        <f t="shared" ca="1" si="114"/>
        <v>1.7021791650480032</v>
      </c>
      <c r="R381">
        <f t="shared" ca="1" si="115"/>
        <v>1.0783556731736184</v>
      </c>
      <c r="S381">
        <f t="shared" ca="1" si="112"/>
        <v>1.5784951175139295</v>
      </c>
      <c r="T381">
        <f t="shared" ca="1" si="113"/>
        <v>61.217688829127759</v>
      </c>
      <c r="U381">
        <f>70</f>
        <v>70</v>
      </c>
      <c r="V381">
        <f>30</f>
        <v>30</v>
      </c>
      <c r="W381">
        <f t="shared" ca="1" si="111"/>
        <v>289.1103147111952</v>
      </c>
      <c r="X381">
        <f t="shared" ca="1" si="121"/>
        <v>282.5070401118345</v>
      </c>
      <c r="Y381">
        <f t="shared" ca="1" si="120"/>
        <v>5.9801009483725807</v>
      </c>
      <c r="Z381">
        <f t="shared" ca="1" si="122"/>
        <v>7.1894954679124323</v>
      </c>
      <c r="AA381">
        <f t="shared" ca="1" si="123"/>
        <v>-1.2093945195398517</v>
      </c>
      <c r="AB381">
        <f t="shared" ca="1" si="124"/>
        <v>258.14070000000009</v>
      </c>
    </row>
    <row r="382" spans="1:28" x14ac:dyDescent="0.25">
      <c r="A382" s="20">
        <f t="shared" ca="1" si="104"/>
        <v>45845</v>
      </c>
      <c r="B382" vm="1137">
        <f ca="1"/>
        <v>45848</v>
      </c>
      <c r="C382" vm="1138">
        <f ca="1"/>
        <v>287.43</v>
      </c>
      <c r="D382" vm="1139">
        <f ca="1"/>
        <v>3489068</v>
      </c>
      <c r="E382">
        <f t="shared" ca="1" si="105"/>
        <v>1002862815.24</v>
      </c>
      <c r="F382">
        <f ca="1">SUM($E$2:E382)/SUM($D$2:D382)</f>
        <v>214.43957878686953</v>
      </c>
      <c r="G382">
        <f ca="1">_xlfn.STDEV.P($C$2:C382)</f>
        <v>35.090026300158343</v>
      </c>
      <c r="H382">
        <f t="shared" ca="1" si="106"/>
        <v>249.52960508702787</v>
      </c>
      <c r="I382">
        <f t="shared" ca="1" si="107"/>
        <v>179.34955248671119</v>
      </c>
      <c r="J382">
        <f t="shared" ca="1" si="116"/>
        <v>287.52750000000003</v>
      </c>
      <c r="K382">
        <f t="shared" ca="1" si="117"/>
        <v>5.1437216456978954</v>
      </c>
      <c r="L382">
        <f t="shared" ca="1" si="118"/>
        <v>297.81494329139582</v>
      </c>
      <c r="M382">
        <f t="shared" ca="1" si="119"/>
        <v>277.24005670860424</v>
      </c>
      <c r="N382">
        <f t="shared" ca="1" si="108"/>
        <v>-2.7099999999999795</v>
      </c>
      <c r="O382">
        <f t="shared" ca="1" si="109"/>
        <v>0</v>
      </c>
      <c r="P382">
        <f t="shared" ca="1" si="110"/>
        <v>2.7099999999999795</v>
      </c>
      <c r="Q382">
        <f t="shared" ca="1" si="114"/>
        <v>1.5805949389731457</v>
      </c>
      <c r="R382">
        <f t="shared" ca="1" si="115"/>
        <v>1.1949016965183585</v>
      </c>
      <c r="S382">
        <f t="shared" ca="1" si="112"/>
        <v>1.3227824042585259</v>
      </c>
      <c r="T382">
        <f t="shared" ca="1" si="113"/>
        <v>56.948184291105903</v>
      </c>
      <c r="U382">
        <f>70</f>
        <v>70</v>
      </c>
      <c r="V382">
        <f>30</f>
        <v>30</v>
      </c>
      <c r="W382">
        <f t="shared" ca="1" si="111"/>
        <v>288.85180475562674</v>
      </c>
      <c r="X382">
        <f t="shared" ca="1" si="121"/>
        <v>282.87170380725416</v>
      </c>
      <c r="Y382">
        <f t="shared" ca="1" si="120"/>
        <v>5.1173853990414386</v>
      </c>
      <c r="Z382">
        <f t="shared" ca="1" si="122"/>
        <v>6.7750734541382336</v>
      </c>
      <c r="AA382">
        <f t="shared" ca="1" si="123"/>
        <v>-1.657688055096795</v>
      </c>
      <c r="AB382">
        <f t="shared" ca="1" si="124"/>
        <v>258.42310000000009</v>
      </c>
    </row>
    <row r="383" spans="1:28" x14ac:dyDescent="0.25">
      <c r="A383" s="20">
        <f t="shared" ca="1" si="104"/>
        <v>45845</v>
      </c>
      <c r="B383" vm="1140">
        <f ca="1"/>
        <v>45849</v>
      </c>
      <c r="C383" vm="1141">
        <f ca="1"/>
        <v>283.58999999999997</v>
      </c>
      <c r="D383" vm="1142">
        <f ca="1"/>
        <v>3790679</v>
      </c>
      <c r="E383">
        <f t="shared" ca="1" si="105"/>
        <v>1074998657.6099999</v>
      </c>
      <c r="F383">
        <f ca="1">SUM($E$2:E383)/SUM($D$2:D383)</f>
        <v>214.59867017236166</v>
      </c>
      <c r="G383">
        <f ca="1">_xlfn.STDEV.P($C$2:C383)</f>
        <v>35.223683389750676</v>
      </c>
      <c r="H383">
        <f t="shared" ca="1" si="106"/>
        <v>249.82235356211234</v>
      </c>
      <c r="I383">
        <f t="shared" ca="1" si="107"/>
        <v>179.37498678261099</v>
      </c>
      <c r="J383">
        <f t="shared" ca="1" si="116"/>
        <v>287.63100000000003</v>
      </c>
      <c r="K383">
        <f t="shared" ca="1" si="117"/>
        <v>5.036180570317363</v>
      </c>
      <c r="L383">
        <f t="shared" ca="1" si="118"/>
        <v>297.70336114063474</v>
      </c>
      <c r="M383">
        <f t="shared" ca="1" si="119"/>
        <v>277.55863885936532</v>
      </c>
      <c r="N383">
        <f t="shared" ca="1" si="108"/>
        <v>-3.8400000000000318</v>
      </c>
      <c r="O383">
        <f t="shared" ca="1" si="109"/>
        <v>0</v>
      </c>
      <c r="P383">
        <f t="shared" ca="1" si="110"/>
        <v>3.8400000000000318</v>
      </c>
      <c r="Q383">
        <f t="shared" ca="1" si="114"/>
        <v>1.4676953004750639</v>
      </c>
      <c r="R383">
        <f t="shared" ca="1" si="115"/>
        <v>1.3838372896241924</v>
      </c>
      <c r="S383">
        <f t="shared" ca="1" si="112"/>
        <v>1.0605981725450142</v>
      </c>
      <c r="T383">
        <f t="shared" ca="1" si="113"/>
        <v>51.47040246255704</v>
      </c>
      <c r="U383">
        <f>70</f>
        <v>70</v>
      </c>
      <c r="V383">
        <f>30</f>
        <v>30</v>
      </c>
      <c r="W383">
        <f t="shared" ca="1" si="111"/>
        <v>288.04229633168416</v>
      </c>
      <c r="X383">
        <f t="shared" ca="1" si="121"/>
        <v>282.92491093264272</v>
      </c>
      <c r="Y383">
        <f t="shared" ca="1" si="120"/>
        <v>4.3991052917416482</v>
      </c>
      <c r="Z383">
        <f t="shared" ca="1" si="122"/>
        <v>6.2998798216589167</v>
      </c>
      <c r="AA383">
        <f t="shared" ca="1" si="123"/>
        <v>-1.9007745299172685</v>
      </c>
      <c r="AB383">
        <f t="shared" ca="1" si="124"/>
        <v>258.64620000000008</v>
      </c>
    </row>
    <row r="384" spans="1:28" x14ac:dyDescent="0.25">
      <c r="A384" s="20">
        <f t="shared" ca="1" si="104"/>
        <v>45852</v>
      </c>
      <c r="B384" vm="1143">
        <f ca="1"/>
        <v>45852</v>
      </c>
      <c r="C384" vm="1144">
        <f ca="1"/>
        <v>283.79000000000002</v>
      </c>
      <c r="D384" vm="1145">
        <f ca="1"/>
        <v>2857401</v>
      </c>
      <c r="E384">
        <f t="shared" ca="1" si="105"/>
        <v>810901829.79000008</v>
      </c>
      <c r="F384">
        <f ca="1">SUM($E$2:E384)/SUM($D$2:D384)</f>
        <v>214.71845592938018</v>
      </c>
      <c r="G384">
        <f ca="1">_xlfn.STDEV.P($C$2:C384)</f>
        <v>35.356234592773959</v>
      </c>
      <c r="H384">
        <f t="shared" ca="1" si="106"/>
        <v>250.07469052215413</v>
      </c>
      <c r="I384">
        <f t="shared" ca="1" si="107"/>
        <v>179.36222133660624</v>
      </c>
      <c r="J384">
        <f t="shared" ca="1" si="116"/>
        <v>287.76900000000001</v>
      </c>
      <c r="K384">
        <f t="shared" ca="1" si="117"/>
        <v>4.8812119935847669</v>
      </c>
      <c r="L384">
        <f t="shared" ca="1" si="118"/>
        <v>297.53142398716955</v>
      </c>
      <c r="M384">
        <f t="shared" ca="1" si="119"/>
        <v>278.00657601283046</v>
      </c>
      <c r="N384">
        <f t="shared" ca="1" si="108"/>
        <v>0.20000000000004547</v>
      </c>
      <c r="O384">
        <f t="shared" ca="1" si="109"/>
        <v>0.20000000000004547</v>
      </c>
      <c r="P384">
        <f t="shared" ca="1" si="110"/>
        <v>0</v>
      </c>
      <c r="Q384">
        <f t="shared" ca="1" si="114"/>
        <v>1.3771456361554197</v>
      </c>
      <c r="R384">
        <f t="shared" ca="1" si="115"/>
        <v>1.28499176893675</v>
      </c>
      <c r="S384">
        <f t="shared" ca="1" si="112"/>
        <v>1.0717155311390991</v>
      </c>
      <c r="T384">
        <f t="shared" ca="1" si="113"/>
        <v>51.730824769645558</v>
      </c>
      <c r="U384">
        <f>70</f>
        <v>70</v>
      </c>
      <c r="V384">
        <f>30</f>
        <v>30</v>
      </c>
      <c r="W384">
        <f t="shared" ca="1" si="111"/>
        <v>287.38809689604045</v>
      </c>
      <c r="X384">
        <f t="shared" ca="1" si="121"/>
        <v>282.9889916042988</v>
      </c>
      <c r="Y384">
        <f t="shared" ca="1" si="120"/>
        <v>3.6992664009313216</v>
      </c>
      <c r="Z384">
        <f t="shared" ca="1" si="122"/>
        <v>5.779757137513398</v>
      </c>
      <c r="AA384">
        <f t="shared" ca="1" si="123"/>
        <v>-2.0804907365820764</v>
      </c>
      <c r="AB384">
        <f t="shared" ca="1" si="124"/>
        <v>258.85340000000014</v>
      </c>
    </row>
    <row r="385" spans="1:28" x14ac:dyDescent="0.25">
      <c r="A385" s="20">
        <f t="shared" ca="1" si="104"/>
        <v>45852</v>
      </c>
      <c r="B385" vm="1146">
        <f ca="1"/>
        <v>45853</v>
      </c>
      <c r="C385" vm="1147">
        <f ca="1"/>
        <v>282.7</v>
      </c>
      <c r="D385" vm="1148">
        <f ca="1"/>
        <v>2864106</v>
      </c>
      <c r="E385">
        <f t="shared" ca="1" si="105"/>
        <v>809682766.19999993</v>
      </c>
      <c r="F385">
        <f ca="1">SUM($E$2:E385)/SUM($D$2:D385)</f>
        <v>214.83621908939625</v>
      </c>
      <c r="G385">
        <f ca="1">_xlfn.STDEV.P($C$2:C385)</f>
        <v>35.481191560247396</v>
      </c>
      <c r="H385">
        <f t="shared" ca="1" si="106"/>
        <v>250.31741064964365</v>
      </c>
      <c r="I385">
        <f t="shared" ca="1" si="107"/>
        <v>179.35502752914886</v>
      </c>
      <c r="J385">
        <f t="shared" ca="1" si="116"/>
        <v>288.04300000000001</v>
      </c>
      <c r="K385">
        <f t="shared" ca="1" si="117"/>
        <v>4.3866437236108835</v>
      </c>
      <c r="L385">
        <f t="shared" ca="1" si="118"/>
        <v>296.81628744722178</v>
      </c>
      <c r="M385">
        <f t="shared" ca="1" si="119"/>
        <v>279.26971255277823</v>
      </c>
      <c r="N385">
        <f t="shared" ca="1" si="108"/>
        <v>-1.0900000000000318</v>
      </c>
      <c r="O385">
        <f t="shared" ca="1" si="109"/>
        <v>0</v>
      </c>
      <c r="P385">
        <f t="shared" ca="1" si="110"/>
        <v>1.0900000000000318</v>
      </c>
      <c r="Q385">
        <f t="shared" ca="1" si="114"/>
        <v>1.2787780907157469</v>
      </c>
      <c r="R385">
        <f t="shared" ca="1" si="115"/>
        <v>1.2710637854412703</v>
      </c>
      <c r="S385">
        <f t="shared" ca="1" si="112"/>
        <v>1.006069172423002</v>
      </c>
      <c r="T385">
        <f t="shared" ca="1" si="113"/>
        <v>50.151270267905858</v>
      </c>
      <c r="U385">
        <f>70</f>
        <v>70</v>
      </c>
      <c r="V385">
        <f>30</f>
        <v>30</v>
      </c>
      <c r="W385">
        <f t="shared" ca="1" si="111"/>
        <v>286.66685121972654</v>
      </c>
      <c r="X385">
        <f t="shared" ca="1" si="121"/>
        <v>282.96758481879522</v>
      </c>
      <c r="Y385">
        <f t="shared" ca="1" si="120"/>
        <v>3.0465804733627806</v>
      </c>
      <c r="Z385">
        <f t="shared" ca="1" si="122"/>
        <v>5.2331218046832753</v>
      </c>
      <c r="AA385">
        <f t="shared" ca="1" si="123"/>
        <v>-2.1865413313204947</v>
      </c>
      <c r="AB385">
        <f t="shared" ca="1" si="124"/>
        <v>259.0372000000001</v>
      </c>
    </row>
    <row r="386" spans="1:28" x14ac:dyDescent="0.25">
      <c r="A386" s="20">
        <f t="shared" ca="1" si="104"/>
        <v>45852</v>
      </c>
      <c r="B386" vm="1149">
        <f ca="1"/>
        <v>45854</v>
      </c>
      <c r="C386" vm="1150">
        <f ca="1"/>
        <v>281.92</v>
      </c>
      <c r="D386" vm="1151">
        <f ca="1"/>
        <v>2804831</v>
      </c>
      <c r="E386">
        <f t="shared" ca="1" si="105"/>
        <v>790737955.5200001</v>
      </c>
      <c r="F386">
        <f ca="1">SUM($E$2:E386)/SUM($D$2:D386)</f>
        <v>214.94982932063084</v>
      </c>
      <c r="G386">
        <f ca="1">_xlfn.STDEV.P($C$2:C386)</f>
        <v>35.600340527536588</v>
      </c>
      <c r="H386">
        <f t="shared" ca="1" si="106"/>
        <v>250.55016984816743</v>
      </c>
      <c r="I386">
        <f t="shared" ca="1" si="107"/>
        <v>179.34948879309425</v>
      </c>
      <c r="J386">
        <f t="shared" ca="1" si="116"/>
        <v>288.04750000000001</v>
      </c>
      <c r="K386">
        <f t="shared" ca="1" si="117"/>
        <v>4.3799758170445111</v>
      </c>
      <c r="L386">
        <f t="shared" ca="1" si="118"/>
        <v>296.80745163408903</v>
      </c>
      <c r="M386">
        <f t="shared" ca="1" si="119"/>
        <v>279.28754836591099</v>
      </c>
      <c r="N386">
        <f t="shared" ca="1" si="108"/>
        <v>-0.77999999999997272</v>
      </c>
      <c r="O386">
        <f t="shared" ca="1" si="109"/>
        <v>0</v>
      </c>
      <c r="P386">
        <f t="shared" ca="1" si="110"/>
        <v>0.77999999999997272</v>
      </c>
      <c r="Q386">
        <f t="shared" ca="1" si="114"/>
        <v>1.1874367985217649</v>
      </c>
      <c r="R386">
        <f t="shared" ca="1" si="115"/>
        <v>1.2359878007668921</v>
      </c>
      <c r="S386">
        <f t="shared" ca="1" si="112"/>
        <v>0.96071886614495483</v>
      </c>
      <c r="T386">
        <f t="shared" ca="1" si="113"/>
        <v>48.998297651608837</v>
      </c>
      <c r="U386">
        <f>70</f>
        <v>70</v>
      </c>
      <c r="V386">
        <f>30</f>
        <v>30</v>
      </c>
      <c r="W386">
        <f t="shared" ca="1" si="111"/>
        <v>285.93656641669168</v>
      </c>
      <c r="X386">
        <f t="shared" ca="1" si="121"/>
        <v>282.8899859433289</v>
      </c>
      <c r="Y386">
        <f t="shared" ca="1" si="120"/>
        <v>2.5068797554858406</v>
      </c>
      <c r="Z386">
        <f t="shared" ca="1" si="122"/>
        <v>4.6878733948437885</v>
      </c>
      <c r="AA386">
        <f t="shared" ca="1" si="123"/>
        <v>-2.1809936393579479</v>
      </c>
      <c r="AB386">
        <f t="shared" ca="1" si="124"/>
        <v>259.20900000000006</v>
      </c>
    </row>
    <row r="387" spans="1:28" x14ac:dyDescent="0.25">
      <c r="A387" s="20">
        <f t="shared" ref="A387:A450" ca="1" si="125">B387 - WEEKDAY(B387, 2) + 1</f>
        <v>45852</v>
      </c>
      <c r="B387" vm="1152">
        <f ca="1"/>
        <v>45855</v>
      </c>
      <c r="C387" vm="1153">
        <f ca="1"/>
        <v>282</v>
      </c>
      <c r="D387" vm="1154">
        <f ca="1"/>
        <v>3337168</v>
      </c>
      <c r="E387">
        <f t="shared" ref="E387:E450" ca="1" si="126">C387*D387</f>
        <v>941081376</v>
      </c>
      <c r="F387">
        <f ca="1">SUM($E$2:E387)/SUM($D$2:D387)</f>
        <v>215.08466255609483</v>
      </c>
      <c r="G387">
        <f ca="1">_xlfn.STDEV.P($C$2:C387)</f>
        <v>35.718017328836467</v>
      </c>
      <c r="H387">
        <f t="shared" ref="H387:H450" ca="1" si="127">F387 + G387</f>
        <v>250.80267988493131</v>
      </c>
      <c r="I387">
        <f t="shared" ref="I387:I450" ca="1" si="128">F387 - G387</f>
        <v>179.36664522725835</v>
      </c>
      <c r="J387">
        <f t="shared" ca="1" si="116"/>
        <v>287.995</v>
      </c>
      <c r="K387">
        <f t="shared" ca="1" si="117"/>
        <v>4.4487828021890028</v>
      </c>
      <c r="L387">
        <f t="shared" ca="1" si="118"/>
        <v>296.89256560437804</v>
      </c>
      <c r="M387">
        <f t="shared" ca="1" si="119"/>
        <v>279.09743439562197</v>
      </c>
      <c r="N387">
        <f t="shared" ca="1" si="108"/>
        <v>7.9999999999984084E-2</v>
      </c>
      <c r="O387">
        <f t="shared" ca="1" si="109"/>
        <v>7.9999999999984084E-2</v>
      </c>
      <c r="P387">
        <f t="shared" ca="1" si="110"/>
        <v>0</v>
      </c>
      <c r="Q387">
        <f t="shared" ca="1" si="114"/>
        <v>1.1083341700559235</v>
      </c>
      <c r="R387">
        <f t="shared" ca="1" si="115"/>
        <v>1.1477029578549711</v>
      </c>
      <c r="S387">
        <f t="shared" ca="1" si="112"/>
        <v>0.96569775521653534</v>
      </c>
      <c r="T387">
        <f t="shared" ca="1" si="113"/>
        <v>49.127479168848978</v>
      </c>
      <c r="U387">
        <f>70</f>
        <v>70</v>
      </c>
      <c r="V387">
        <f>30</f>
        <v>30</v>
      </c>
      <c r="W387">
        <f t="shared" ca="1" si="111"/>
        <v>285.33094081412372</v>
      </c>
      <c r="X387">
        <f t="shared" ca="1" si="121"/>
        <v>282.82406105863788</v>
      </c>
      <c r="Y387">
        <f t="shared" ca="1" si="120"/>
        <v>2.3641868311607936</v>
      </c>
      <c r="Z387">
        <f t="shared" ca="1" si="122"/>
        <v>4.2231360821071897</v>
      </c>
      <c r="AA387">
        <f t="shared" ca="1" si="123"/>
        <v>-1.8589492509463961</v>
      </c>
      <c r="AB387">
        <f t="shared" ca="1" si="124"/>
        <v>259.41420000000011</v>
      </c>
    </row>
    <row r="388" spans="1:28" x14ac:dyDescent="0.25">
      <c r="A388" s="20">
        <f t="shared" ca="1" si="125"/>
        <v>45852</v>
      </c>
      <c r="B388" vm="1155">
        <f ca="1"/>
        <v>45856</v>
      </c>
      <c r="C388" vm="1156">
        <f ca="1"/>
        <v>285.87</v>
      </c>
      <c r="D388" vm="1157">
        <f ca="1"/>
        <v>4478165</v>
      </c>
      <c r="E388">
        <f t="shared" ca="1" si="126"/>
        <v>1280173028.55</v>
      </c>
      <c r="F388">
        <f ca="1">SUM($E$2:E388)/SUM($D$2:D388)</f>
        <v>215.27516126629689</v>
      </c>
      <c r="G388">
        <f ca="1">_xlfn.STDEV.P($C$2:C388)</f>
        <v>35.853058229073596</v>
      </c>
      <c r="H388">
        <f t="shared" ca="1" si="127"/>
        <v>251.1282194953705</v>
      </c>
      <c r="I388">
        <f t="shared" ca="1" si="128"/>
        <v>179.42210303722328</v>
      </c>
      <c r="J388">
        <f t="shared" ca="1" si="116"/>
        <v>288.12800000000004</v>
      </c>
      <c r="K388">
        <f t="shared" ca="1" si="117"/>
        <v>4.3365479844056409</v>
      </c>
      <c r="L388">
        <f t="shared" ca="1" si="118"/>
        <v>296.8010959688113</v>
      </c>
      <c r="M388">
        <f t="shared" ca="1" si="119"/>
        <v>279.45490403118879</v>
      </c>
      <c r="N388">
        <f t="shared" ref="N388:N451" ca="1" si="129">C388-C387</f>
        <v>3.8700000000000045</v>
      </c>
      <c r="O388">
        <f t="shared" ref="O388:O451" ca="1" si="130">MAX(N388,0)</f>
        <v>3.8700000000000045</v>
      </c>
      <c r="P388">
        <f t="shared" ref="P388:P451" ca="1" si="131">MAX(-N388,0)</f>
        <v>0</v>
      </c>
      <c r="Q388">
        <f t="shared" ca="1" si="114"/>
        <v>1.3055960150519292</v>
      </c>
      <c r="R388">
        <f t="shared" ca="1" si="115"/>
        <v>1.0657241751510447</v>
      </c>
      <c r="S388">
        <f t="shared" ca="1" si="112"/>
        <v>1.225078726272572</v>
      </c>
      <c r="T388">
        <f t="shared" ca="1" si="113"/>
        <v>55.057769947978905</v>
      </c>
      <c r="U388">
        <f>70</f>
        <v>70</v>
      </c>
      <c r="V388">
        <f>30</f>
        <v>30</v>
      </c>
      <c r="W388">
        <f t="shared" ca="1" si="111"/>
        <v>285.41387299656623</v>
      </c>
      <c r="X388">
        <f t="shared" ca="1" si="121"/>
        <v>283.04968616540543</v>
      </c>
      <c r="Y388">
        <f t="shared" ca="1" si="120"/>
        <v>2.1329124678729272</v>
      </c>
      <c r="Z388">
        <f t="shared" ca="1" si="122"/>
        <v>3.8050913592603375</v>
      </c>
      <c r="AA388">
        <f t="shared" ca="1" si="123"/>
        <v>-1.6721788913874103</v>
      </c>
      <c r="AB388">
        <f t="shared" ca="1" si="124"/>
        <v>259.65420000000012</v>
      </c>
    </row>
    <row r="389" spans="1:28" x14ac:dyDescent="0.25">
      <c r="A389" s="20">
        <f t="shared" ca="1" si="125"/>
        <v>45859</v>
      </c>
      <c r="B389" vm="1158">
        <f ca="1"/>
        <v>45859</v>
      </c>
      <c r="C389" vm="1159">
        <f ca="1"/>
        <v>284.70999999999998</v>
      </c>
      <c r="D389" vm="1160">
        <f ca="1"/>
        <v>3051791</v>
      </c>
      <c r="E389">
        <f t="shared" ca="1" si="126"/>
        <v>868875415.6099999</v>
      </c>
      <c r="F389">
        <f ca="1">SUM($E$2:E389)/SUM($D$2:D389)</f>
        <v>215.40227283735805</v>
      </c>
      <c r="G389">
        <f ca="1">_xlfn.STDEV.P($C$2:C389)</f>
        <v>35.9801605834895</v>
      </c>
      <c r="H389">
        <f t="shared" ca="1" si="127"/>
        <v>251.38243342084755</v>
      </c>
      <c r="I389">
        <f t="shared" ca="1" si="128"/>
        <v>179.42211225386856</v>
      </c>
      <c r="J389">
        <f t="shared" ca="1" si="116"/>
        <v>288.315</v>
      </c>
      <c r="K389">
        <f t="shared" ca="1" si="117"/>
        <v>4.0849769695930096</v>
      </c>
      <c r="L389">
        <f t="shared" ca="1" si="118"/>
        <v>296.48495393918603</v>
      </c>
      <c r="M389">
        <f t="shared" ca="1" si="119"/>
        <v>280.14504606081397</v>
      </c>
      <c r="N389">
        <f t="shared" ca="1" si="129"/>
        <v>-1.160000000000025</v>
      </c>
      <c r="O389">
        <f t="shared" ca="1" si="130"/>
        <v>0</v>
      </c>
      <c r="P389">
        <f t="shared" ca="1" si="131"/>
        <v>1.160000000000025</v>
      </c>
      <c r="Q389">
        <f t="shared" ca="1" si="114"/>
        <v>1.2123391568339343</v>
      </c>
      <c r="R389">
        <f t="shared" ca="1" si="115"/>
        <v>1.0724581626402576</v>
      </c>
      <c r="S389">
        <f t="shared" ca="1" si="112"/>
        <v>1.1304302573904677</v>
      </c>
      <c r="T389">
        <f t="shared" ca="1" si="113"/>
        <v>53.061124787774787</v>
      </c>
      <c r="U389">
        <f>70</f>
        <v>70</v>
      </c>
      <c r="V389">
        <f>30</f>
        <v>30</v>
      </c>
      <c r="W389">
        <f t="shared" ca="1" si="111"/>
        <v>285.30558484324837</v>
      </c>
      <c r="X389">
        <f t="shared" ca="1" si="121"/>
        <v>283.17267237537544</v>
      </c>
      <c r="Y389">
        <f t="shared" ca="1" si="120"/>
        <v>1.7080346907343369</v>
      </c>
      <c r="Z389">
        <f t="shared" ca="1" si="122"/>
        <v>3.3856800255551374</v>
      </c>
      <c r="AA389">
        <f t="shared" ca="1" si="123"/>
        <v>-1.6776453348208005</v>
      </c>
      <c r="AB389">
        <f t="shared" ca="1" si="124"/>
        <v>259.92380000000009</v>
      </c>
    </row>
    <row r="390" spans="1:28" x14ac:dyDescent="0.25">
      <c r="A390" s="20">
        <f t="shared" ca="1" si="125"/>
        <v>45859</v>
      </c>
      <c r="B390" vm="1161">
        <f ca="1"/>
        <v>45860</v>
      </c>
      <c r="C390" vm="1162">
        <f ca="1"/>
        <v>281.95999999999998</v>
      </c>
      <c r="D390" vm="1163">
        <f ca="1"/>
        <v>4824219</v>
      </c>
      <c r="E390">
        <f t="shared" ca="1" si="126"/>
        <v>1360236789.24</v>
      </c>
      <c r="F390">
        <f ca="1">SUM($E$2:E390)/SUM($D$2:D390)</f>
        <v>215.5943268502613</v>
      </c>
      <c r="G390">
        <f ca="1">_xlfn.STDEV.P($C$2:C390)</f>
        <v>36.091995521125853</v>
      </c>
      <c r="H390">
        <f t="shared" ca="1" si="127"/>
        <v>251.68632237138715</v>
      </c>
      <c r="I390">
        <f t="shared" ca="1" si="128"/>
        <v>179.50233132913544</v>
      </c>
      <c r="J390">
        <f t="shared" ca="1" si="116"/>
        <v>287.95400000000001</v>
      </c>
      <c r="K390">
        <f t="shared" ca="1" si="117"/>
        <v>4.316949946675928</v>
      </c>
      <c r="L390">
        <f t="shared" ca="1" si="118"/>
        <v>296.58789989335185</v>
      </c>
      <c r="M390">
        <f t="shared" ca="1" si="119"/>
        <v>279.32010010664817</v>
      </c>
      <c r="N390">
        <f t="shared" ca="1" si="129"/>
        <v>-2.75</v>
      </c>
      <c r="O390">
        <f t="shared" ca="1" si="130"/>
        <v>0</v>
      </c>
      <c r="P390">
        <f t="shared" ca="1" si="131"/>
        <v>2.75</v>
      </c>
      <c r="Q390">
        <f t="shared" ca="1" si="114"/>
        <v>1.1257435027743676</v>
      </c>
      <c r="R390">
        <f t="shared" ca="1" si="115"/>
        <v>1.1922825795945247</v>
      </c>
      <c r="S390">
        <f t="shared" ca="1" si="112"/>
        <v>0.94419185689789598</v>
      </c>
      <c r="T390">
        <f t="shared" ca="1" si="113"/>
        <v>48.564747020616828</v>
      </c>
      <c r="U390">
        <f>70</f>
        <v>70</v>
      </c>
      <c r="V390">
        <f>30</f>
        <v>30</v>
      </c>
      <c r="W390">
        <f t="shared" ca="1" si="111"/>
        <v>284.79087948274861</v>
      </c>
      <c r="X390">
        <f t="shared" ca="1" si="121"/>
        <v>283.08284479201427</v>
      </c>
      <c r="Y390">
        <f t="shared" ca="1" si="120"/>
        <v>1.3596770625974841</v>
      </c>
      <c r="Z390">
        <f t="shared" ca="1" si="122"/>
        <v>2.9804794329636071</v>
      </c>
      <c r="AA390">
        <f t="shared" ca="1" si="123"/>
        <v>-1.620802370366123</v>
      </c>
      <c r="AB390">
        <f t="shared" ca="1" si="124"/>
        <v>260.18500000000006</v>
      </c>
    </row>
    <row r="391" spans="1:28" x14ac:dyDescent="0.25">
      <c r="A391" s="20">
        <f t="shared" ca="1" si="125"/>
        <v>45859</v>
      </c>
      <c r="B391" vm="1164">
        <f ca="1"/>
        <v>45861</v>
      </c>
      <c r="C391" vm="1165">
        <f ca="1"/>
        <v>282.01</v>
      </c>
      <c r="D391" vm="1166">
        <f ca="1"/>
        <v>8105906</v>
      </c>
      <c r="E391">
        <f t="shared" ca="1" si="126"/>
        <v>2285946551.0599999</v>
      </c>
      <c r="F391">
        <f ca="1">SUM($E$2:E391)/SUM($D$2:D391)</f>
        <v>215.91478364158007</v>
      </c>
      <c r="G391">
        <f ca="1">_xlfn.STDEV.P($C$2:C391)</f>
        <v>36.202344502595366</v>
      </c>
      <c r="H391">
        <f t="shared" ca="1" si="127"/>
        <v>252.11712814417544</v>
      </c>
      <c r="I391">
        <f t="shared" ca="1" si="128"/>
        <v>179.71243913898471</v>
      </c>
      <c r="J391">
        <f t="shared" ca="1" si="116"/>
        <v>287.36500000000001</v>
      </c>
      <c r="K391">
        <f t="shared" ca="1" si="117"/>
        <v>4.2822700571198551</v>
      </c>
      <c r="L391">
        <f t="shared" ca="1" si="118"/>
        <v>295.92954011423973</v>
      </c>
      <c r="M391">
        <f t="shared" ca="1" si="119"/>
        <v>278.80045988576029</v>
      </c>
      <c r="N391">
        <f t="shared" ca="1" si="129"/>
        <v>5.0000000000011369E-2</v>
      </c>
      <c r="O391">
        <f t="shared" ca="1" si="130"/>
        <v>5.0000000000011369E-2</v>
      </c>
      <c r="P391">
        <f t="shared" ca="1" si="131"/>
        <v>0</v>
      </c>
      <c r="Q391">
        <f t="shared" ca="1" si="114"/>
        <v>1.0489046811476279</v>
      </c>
      <c r="R391">
        <f t="shared" ca="1" si="115"/>
        <v>1.1071195381949157</v>
      </c>
      <c r="S391">
        <f t="shared" ca="1" si="112"/>
        <v>0.94741773129376505</v>
      </c>
      <c r="T391">
        <f t="shared" ca="1" si="113"/>
        <v>48.649948907692703</v>
      </c>
      <c r="U391">
        <f>70</f>
        <v>70</v>
      </c>
      <c r="V391">
        <f>30</f>
        <v>30</v>
      </c>
      <c r="W391">
        <f t="shared" ca="1" si="111"/>
        <v>284.36305187001807</v>
      </c>
      <c r="X391">
        <f t="shared" ca="1" si="121"/>
        <v>283.00337480742058</v>
      </c>
      <c r="Y391">
        <f t="shared" ca="1" si="120"/>
        <v>-0.64384731343682233</v>
      </c>
      <c r="Z391">
        <f t="shared" ca="1" si="122"/>
        <v>2.255614083683521</v>
      </c>
      <c r="AA391">
        <f t="shared" ca="1" si="123"/>
        <v>-2.8994613971203433</v>
      </c>
      <c r="AB391">
        <f t="shared" ca="1" si="124"/>
        <v>260.47280000000001</v>
      </c>
    </row>
    <row r="392" spans="1:28" x14ac:dyDescent="0.25">
      <c r="A392" s="20">
        <f t="shared" ca="1" si="125"/>
        <v>45859</v>
      </c>
      <c r="B392" vm="1167">
        <f ca="1"/>
        <v>45862</v>
      </c>
      <c r="C392" vm="1168">
        <f ca="1"/>
        <v>260.51</v>
      </c>
      <c r="D392" vm="1169">
        <f ca="1"/>
        <v>22647720</v>
      </c>
      <c r="E392">
        <f t="shared" ca="1" si="126"/>
        <v>5899957537.1999998</v>
      </c>
      <c r="F392">
        <f ca="1">SUM($E$2:E392)/SUM($D$2:D392)</f>
        <v>216.50797455911453</v>
      </c>
      <c r="G392">
        <f ca="1">_xlfn.STDEV.P($C$2:C392)</f>
        <v>36.226918882312113</v>
      </c>
      <c r="H392">
        <f t="shared" ca="1" si="127"/>
        <v>252.73489344142664</v>
      </c>
      <c r="I392">
        <f t="shared" ca="1" si="128"/>
        <v>180.28105567680242</v>
      </c>
      <c r="J392">
        <f t="shared" ca="1" si="116"/>
        <v>285.83749999999998</v>
      </c>
      <c r="K392">
        <f t="shared" ca="1" si="117"/>
        <v>7.2883893787888523</v>
      </c>
      <c r="L392">
        <f t="shared" ca="1" si="118"/>
        <v>300.41427875757768</v>
      </c>
      <c r="M392">
        <f t="shared" ca="1" si="119"/>
        <v>271.26072124242228</v>
      </c>
      <c r="N392">
        <f t="shared" ca="1" si="129"/>
        <v>-21.5</v>
      </c>
      <c r="O392">
        <f t="shared" ca="1" si="130"/>
        <v>0</v>
      </c>
      <c r="P392">
        <f t="shared" ca="1" si="131"/>
        <v>21.5</v>
      </c>
      <c r="Q392">
        <f t="shared" ca="1" si="114"/>
        <v>0.97398291820851157</v>
      </c>
      <c r="R392">
        <f t="shared" ca="1" si="115"/>
        <v>2.5637538568952789</v>
      </c>
      <c r="S392">
        <f t="shared" ca="1" si="112"/>
        <v>0.37990500359032542</v>
      </c>
      <c r="T392">
        <f t="shared" ca="1" si="113"/>
        <v>27.531243281375467</v>
      </c>
      <c r="U392">
        <f>70</f>
        <v>70</v>
      </c>
      <c r="V392">
        <f>30</f>
        <v>30</v>
      </c>
      <c r="W392">
        <f t="shared" ca="1" si="111"/>
        <v>280.69335158232298</v>
      </c>
      <c r="X392">
        <f t="shared" ca="1" si="121"/>
        <v>281.3371988957598</v>
      </c>
      <c r="Y392">
        <f t="shared" ca="1" si="120"/>
        <v>-2.2692427953618903</v>
      </c>
      <c r="Z392">
        <f t="shared" ca="1" si="122"/>
        <v>1.3506427078744387</v>
      </c>
      <c r="AA392">
        <f t="shared" ca="1" si="123"/>
        <v>-3.6198855032363291</v>
      </c>
      <c r="AB392">
        <f t="shared" ca="1" si="124"/>
        <v>260.55350000000004</v>
      </c>
    </row>
    <row r="393" spans="1:28" x14ac:dyDescent="0.25">
      <c r="A393" s="20">
        <f t="shared" ca="1" si="125"/>
        <v>45859</v>
      </c>
      <c r="B393" vm="1170">
        <f ca="1"/>
        <v>45863</v>
      </c>
      <c r="C393" vm="1171">
        <f ca="1"/>
        <v>259.72000000000003</v>
      </c>
      <c r="D393" vm="1172">
        <f ca="1"/>
        <v>7758653</v>
      </c>
      <c r="E393">
        <f t="shared" ca="1" si="126"/>
        <v>2015077357.1600003</v>
      </c>
      <c r="F393">
        <f ca="1">SUM($E$2:E393)/SUM($D$2:D393)</f>
        <v>216.70399354943973</v>
      </c>
      <c r="G393">
        <f ca="1">_xlfn.STDEV.P($C$2:C393)</f>
        <v>36.248532221996044</v>
      </c>
      <c r="H393">
        <f t="shared" ca="1" si="127"/>
        <v>252.95252577143577</v>
      </c>
      <c r="I393">
        <f t="shared" ca="1" si="128"/>
        <v>180.45546132744369</v>
      </c>
      <c r="J393">
        <f t="shared" ca="1" si="116"/>
        <v>284.22700000000003</v>
      </c>
      <c r="K393">
        <f t="shared" ca="1" si="117"/>
        <v>9.1835746394252542</v>
      </c>
      <c r="L393">
        <f t="shared" ca="1" si="118"/>
        <v>302.59414927885052</v>
      </c>
      <c r="M393">
        <f t="shared" ca="1" si="119"/>
        <v>265.85985072114954</v>
      </c>
      <c r="N393">
        <f t="shared" ca="1" si="129"/>
        <v>-0.78999999999996362</v>
      </c>
      <c r="O393">
        <f t="shared" ca="1" si="130"/>
        <v>0</v>
      </c>
      <c r="P393">
        <f t="shared" ca="1" si="131"/>
        <v>0.78999999999996362</v>
      </c>
      <c r="Q393">
        <f t="shared" ca="1" si="114"/>
        <v>0.90441270976504651</v>
      </c>
      <c r="R393">
        <f t="shared" ca="1" si="115"/>
        <v>2.4370571528313278</v>
      </c>
      <c r="S393">
        <f t="shared" ca="1" si="112"/>
        <v>0.37110853502730395</v>
      </c>
      <c r="T393">
        <f t="shared" ca="1" si="113"/>
        <v>27.066313537309711</v>
      </c>
      <c r="U393">
        <f>70</f>
        <v>70</v>
      </c>
      <c r="V393">
        <f>30</f>
        <v>30</v>
      </c>
      <c r="W393">
        <f t="shared" ca="1" si="111"/>
        <v>277.46668210811941</v>
      </c>
      <c r="X393">
        <f t="shared" ca="1" si="121"/>
        <v>279.7359249034813</v>
      </c>
      <c r="Y393">
        <f t="shared" ca="1" si="120"/>
        <v>-3.2384359188602616</v>
      </c>
      <c r="Z393">
        <f t="shared" ca="1" si="122"/>
        <v>0.43282698252749863</v>
      </c>
      <c r="AA393">
        <f t="shared" ca="1" si="123"/>
        <v>-3.6712629013877605</v>
      </c>
      <c r="AB393">
        <f t="shared" ca="1" si="124"/>
        <v>260.64880000000005</v>
      </c>
    </row>
    <row r="394" spans="1:28" x14ac:dyDescent="0.25">
      <c r="A394" s="20">
        <f t="shared" ca="1" si="125"/>
        <v>45866</v>
      </c>
      <c r="B394" vm="1173">
        <f ca="1"/>
        <v>45866</v>
      </c>
      <c r="C394" vm="1174">
        <f ca="1"/>
        <v>263.20999999999998</v>
      </c>
      <c r="D394" vm="1175">
        <f ca="1"/>
        <v>5192516</v>
      </c>
      <c r="E394">
        <f t="shared" ca="1" si="126"/>
        <v>1366722136.3599999</v>
      </c>
      <c r="F394">
        <f ca="1">SUM($E$2:E394)/SUM($D$2:D394)</f>
        <v>216.84475301749879</v>
      </c>
      <c r="G394">
        <f ca="1">_xlfn.STDEV.P($C$2:C394)</f>
        <v>36.2808088045158</v>
      </c>
      <c r="H394">
        <f t="shared" ca="1" si="127"/>
        <v>253.12556182201459</v>
      </c>
      <c r="I394">
        <f t="shared" ca="1" si="128"/>
        <v>180.56394421298299</v>
      </c>
      <c r="J394">
        <f t="shared" ca="1" si="116"/>
        <v>282.90250000000003</v>
      </c>
      <c r="K394">
        <f t="shared" ca="1" si="117"/>
        <v>10.206028597688825</v>
      </c>
      <c r="L394">
        <f t="shared" ca="1" si="118"/>
        <v>303.31455719537769</v>
      </c>
      <c r="M394">
        <f t="shared" ca="1" si="119"/>
        <v>262.49044280462238</v>
      </c>
      <c r="N394">
        <f t="shared" ca="1" si="129"/>
        <v>3.4899999999999523</v>
      </c>
      <c r="O394">
        <f t="shared" ca="1" si="130"/>
        <v>3.4899999999999523</v>
      </c>
      <c r="P394">
        <f t="shared" ca="1" si="131"/>
        <v>0</v>
      </c>
      <c r="Q394">
        <f t="shared" ca="1" si="114"/>
        <v>1.0890975162103971</v>
      </c>
      <c r="R394">
        <f t="shared" ca="1" si="115"/>
        <v>2.2629816419148043</v>
      </c>
      <c r="S394">
        <f t="shared" ca="1" si="112"/>
        <v>0.48126661570655327</v>
      </c>
      <c r="T394">
        <f t="shared" ca="1" si="113"/>
        <v>32.490208758062948</v>
      </c>
      <c r="U394">
        <f>70</f>
        <v>70</v>
      </c>
      <c r="V394">
        <f>30</f>
        <v>30</v>
      </c>
      <c r="W394">
        <f t="shared" ca="1" si="111"/>
        <v>275.27334639917797</v>
      </c>
      <c r="X394">
        <f t="shared" ca="1" si="121"/>
        <v>278.51178231803823</v>
      </c>
      <c r="Y394">
        <f t="shared" ca="1" si="120"/>
        <v>-4.0246876718136377</v>
      </c>
      <c r="Z394">
        <f t="shared" ca="1" si="122"/>
        <v>-0.45867594834072872</v>
      </c>
      <c r="AA394">
        <f t="shared" ca="1" si="123"/>
        <v>-3.5660117234729092</v>
      </c>
      <c r="AB394">
        <f t="shared" ca="1" si="124"/>
        <v>260.74880000000007</v>
      </c>
    </row>
    <row r="395" spans="1:28" x14ac:dyDescent="0.25">
      <c r="A395" s="20">
        <f t="shared" ca="1" si="125"/>
        <v>45866</v>
      </c>
      <c r="B395" vm="1176">
        <f ca="1"/>
        <v>45867</v>
      </c>
      <c r="C395" vm="1177">
        <f ca="1"/>
        <v>262.41000000000003</v>
      </c>
      <c r="D395" vm="1178">
        <f ca="1"/>
        <v>4627265</v>
      </c>
      <c r="E395">
        <f t="shared" ca="1" si="126"/>
        <v>1214240608.6500001</v>
      </c>
      <c r="F395">
        <f ca="1">SUM($E$2:E395)/SUM($D$2:D395)</f>
        <v>216.96732155925758</v>
      </c>
      <c r="G395">
        <f ca="1">_xlfn.STDEV.P($C$2:C395)</f>
        <v>36.309886181000479</v>
      </c>
      <c r="H395">
        <f t="shared" ca="1" si="127"/>
        <v>253.27720774025806</v>
      </c>
      <c r="I395">
        <f t="shared" ca="1" si="128"/>
        <v>180.65743537825711</v>
      </c>
      <c r="J395">
        <f t="shared" ca="1" si="116"/>
        <v>281.28399999999999</v>
      </c>
      <c r="K395">
        <f t="shared" ca="1" si="117"/>
        <v>10.774174971467163</v>
      </c>
      <c r="L395">
        <f t="shared" ca="1" si="118"/>
        <v>302.83234994293434</v>
      </c>
      <c r="M395">
        <f t="shared" ca="1" si="119"/>
        <v>259.73565005706564</v>
      </c>
      <c r="N395">
        <f t="shared" ca="1" si="129"/>
        <v>-0.79999999999995453</v>
      </c>
      <c r="O395">
        <f t="shared" ca="1" si="130"/>
        <v>0</v>
      </c>
      <c r="P395">
        <f t="shared" ca="1" si="131"/>
        <v>0.79999999999995453</v>
      </c>
      <c r="Q395">
        <f t="shared" ca="1" si="114"/>
        <v>1.011304836481083</v>
      </c>
      <c r="R395">
        <f t="shared" ca="1" si="115"/>
        <v>2.1584829532066006</v>
      </c>
      <c r="S395">
        <f t="shared" ca="1" si="112"/>
        <v>0.46852574627875015</v>
      </c>
      <c r="T395">
        <f t="shared" ca="1" si="113"/>
        <v>31.904496565075291</v>
      </c>
      <c r="U395">
        <f>70</f>
        <v>70</v>
      </c>
      <c r="V395">
        <f>30</f>
        <v>30</v>
      </c>
      <c r="W395">
        <f t="shared" ca="1" si="111"/>
        <v>273.29437003007365</v>
      </c>
      <c r="X395">
        <f t="shared" ca="1" si="121"/>
        <v>277.31905770188729</v>
      </c>
      <c r="Y395">
        <f t="shared" ca="1" si="120"/>
        <v>-4.766341464904599</v>
      </c>
      <c r="Z395">
        <f t="shared" ca="1" si="122"/>
        <v>-1.320209051653503</v>
      </c>
      <c r="AA395">
        <f t="shared" ca="1" si="123"/>
        <v>-3.446132413251096</v>
      </c>
      <c r="AB395">
        <f t="shared" ca="1" si="124"/>
        <v>260.85940000000005</v>
      </c>
    </row>
    <row r="396" spans="1:28" x14ac:dyDescent="0.25">
      <c r="A396" s="20">
        <f t="shared" ca="1" si="125"/>
        <v>45866</v>
      </c>
      <c r="B396" vm="1179">
        <f ca="1"/>
        <v>45868</v>
      </c>
      <c r="C396" vm="1180">
        <f ca="1"/>
        <v>260.26</v>
      </c>
      <c r="D396" vm="1181">
        <f ca="1"/>
        <v>3718290</v>
      </c>
      <c r="E396">
        <f t="shared" ca="1" si="126"/>
        <v>967722155.39999998</v>
      </c>
      <c r="F396">
        <f ca="1">SUM($E$2:E396)/SUM($D$2:D396)</f>
        <v>217.06069877044902</v>
      </c>
      <c r="G396">
        <f ca="1">_xlfn.STDEV.P($C$2:C396)</f>
        <v>36.331658735639465</v>
      </c>
      <c r="H396">
        <f t="shared" ca="1" si="127"/>
        <v>253.3923575060885</v>
      </c>
      <c r="I396">
        <f t="shared" ca="1" si="128"/>
        <v>180.72904003480954</v>
      </c>
      <c r="J396">
        <f t="shared" ca="1" si="116"/>
        <v>279.73700000000002</v>
      </c>
      <c r="K396">
        <f t="shared" ca="1" si="117"/>
        <v>11.473978385895627</v>
      </c>
      <c r="L396">
        <f t="shared" ca="1" si="118"/>
        <v>302.68495677179129</v>
      </c>
      <c r="M396">
        <f t="shared" ca="1" si="119"/>
        <v>256.78904322820875</v>
      </c>
      <c r="N396">
        <f t="shared" ca="1" si="129"/>
        <v>-2.1500000000000341</v>
      </c>
      <c r="O396">
        <f t="shared" ca="1" si="130"/>
        <v>0</v>
      </c>
      <c r="P396">
        <f t="shared" ca="1" si="131"/>
        <v>2.1500000000000341</v>
      </c>
      <c r="Q396">
        <f t="shared" ca="1" si="114"/>
        <v>0.93906877673243427</v>
      </c>
      <c r="R396">
        <f t="shared" ca="1" si="115"/>
        <v>2.1578770279775599</v>
      </c>
      <c r="S396">
        <f t="shared" ca="1" si="112"/>
        <v>0.43518178494747839</v>
      </c>
      <c r="T396">
        <f t="shared" ca="1" si="113"/>
        <v>30.322415565175547</v>
      </c>
      <c r="U396">
        <f>70</f>
        <v>70</v>
      </c>
      <c r="V396">
        <f>30</f>
        <v>30</v>
      </c>
      <c r="W396">
        <f t="shared" ca="1" si="111"/>
        <v>271.28908233313922</v>
      </c>
      <c r="X396">
        <f t="shared" ca="1" si="121"/>
        <v>276.05542379804382</v>
      </c>
      <c r="Y396">
        <f t="shared" ca="1" si="120"/>
        <v>-5.8602714570424155</v>
      </c>
      <c r="Z396">
        <f t="shared" ca="1" si="122"/>
        <v>-2.2282215327312853</v>
      </c>
      <c r="AA396">
        <f t="shared" ca="1" si="123"/>
        <v>-3.6320499243111302</v>
      </c>
      <c r="AB396">
        <f t="shared" ca="1" si="124"/>
        <v>260.9751</v>
      </c>
    </row>
    <row r="397" spans="1:28" x14ac:dyDescent="0.25">
      <c r="A397" s="20">
        <f t="shared" ca="1" si="125"/>
        <v>45866</v>
      </c>
      <c r="B397" vm="1182">
        <f ca="1"/>
        <v>45869</v>
      </c>
      <c r="C397" vm="1183">
        <f ca="1"/>
        <v>253.15</v>
      </c>
      <c r="D397" vm="1184">
        <f ca="1"/>
        <v>6739092</v>
      </c>
      <c r="E397">
        <f t="shared" ca="1" si="126"/>
        <v>1706001139.8</v>
      </c>
      <c r="F397">
        <f ca="1">SUM($E$2:E397)/SUM($D$2:D397)</f>
        <v>217.20122863318289</v>
      </c>
      <c r="G397">
        <f ca="1">_xlfn.STDEV.P($C$2:C397)</f>
        <v>36.333024514383027</v>
      </c>
      <c r="H397">
        <f t="shared" ca="1" si="127"/>
        <v>253.53425314756592</v>
      </c>
      <c r="I397">
        <f t="shared" ca="1" si="128"/>
        <v>180.86820411879987</v>
      </c>
      <c r="J397">
        <f t="shared" ca="1" si="116"/>
        <v>278.012</v>
      </c>
      <c r="K397">
        <f t="shared" ca="1" si="117"/>
        <v>12.7447242335593</v>
      </c>
      <c r="L397">
        <f t="shared" ca="1" si="118"/>
        <v>303.50144846711862</v>
      </c>
      <c r="M397">
        <f t="shared" ca="1" si="119"/>
        <v>252.52255153288141</v>
      </c>
      <c r="N397">
        <f t="shared" ca="1" si="129"/>
        <v>-7.1099999999999852</v>
      </c>
      <c r="O397">
        <f t="shared" ca="1" si="130"/>
        <v>0</v>
      </c>
      <c r="P397">
        <f t="shared" ca="1" si="131"/>
        <v>7.1099999999999852</v>
      </c>
      <c r="Q397">
        <f t="shared" ca="1" si="114"/>
        <v>0.87199243553726036</v>
      </c>
      <c r="R397">
        <f t="shared" ca="1" si="115"/>
        <v>2.511600097407733</v>
      </c>
      <c r="S397">
        <f t="shared" ca="1" si="112"/>
        <v>0.34718601756595696</v>
      </c>
      <c r="T397">
        <f t="shared" ca="1" si="113"/>
        <v>25.771201084259999</v>
      </c>
      <c r="U397">
        <f>70</f>
        <v>70</v>
      </c>
      <c r="V397">
        <f>30</f>
        <v>30</v>
      </c>
      <c r="W397">
        <f t="shared" ca="1" si="111"/>
        <v>268.49845428188701</v>
      </c>
      <c r="X397">
        <f t="shared" ca="1" si="121"/>
        <v>274.35872573892942</v>
      </c>
      <c r="Y397">
        <f t="shared" ca="1" si="120"/>
        <v>-6.8978488416855726</v>
      </c>
      <c r="Z397">
        <f t="shared" ca="1" si="122"/>
        <v>-3.1621469945221428</v>
      </c>
      <c r="AA397">
        <f t="shared" ca="1" si="123"/>
        <v>-3.7357018471634298</v>
      </c>
      <c r="AB397">
        <f t="shared" ca="1" si="124"/>
        <v>260.89120000000003</v>
      </c>
    </row>
    <row r="398" spans="1:28" x14ac:dyDescent="0.25">
      <c r="A398" s="20">
        <f t="shared" ca="1" si="125"/>
        <v>45866</v>
      </c>
      <c r="B398" vm="1185">
        <f ca="1"/>
        <v>45870</v>
      </c>
      <c r="C398" vm="1186">
        <f ca="1"/>
        <v>250.05</v>
      </c>
      <c r="D398" vm="1187">
        <f ca="1"/>
        <v>9683404</v>
      </c>
      <c r="E398">
        <f t="shared" ca="1" si="126"/>
        <v>2421335170.2000003</v>
      </c>
      <c r="F398">
        <f ca="1">SUM($E$2:E398)/SUM($D$2:D398)</f>
        <v>217.3840019305913</v>
      </c>
      <c r="G398">
        <f ca="1">_xlfn.STDEV.P($C$2:C398)</f>
        <v>36.326584012634299</v>
      </c>
      <c r="H398">
        <f t="shared" ca="1" si="127"/>
        <v>253.7105859432256</v>
      </c>
      <c r="I398">
        <f t="shared" ca="1" si="128"/>
        <v>181.057417917957</v>
      </c>
      <c r="J398">
        <f t="shared" ca="1" si="116"/>
        <v>275.91600000000005</v>
      </c>
      <c r="K398">
        <f t="shared" ca="1" si="117"/>
        <v>13.736841129259895</v>
      </c>
      <c r="L398">
        <f t="shared" ca="1" si="118"/>
        <v>303.38968225851983</v>
      </c>
      <c r="M398">
        <f t="shared" ca="1" si="119"/>
        <v>248.44231774148025</v>
      </c>
      <c r="N398">
        <f t="shared" ca="1" si="129"/>
        <v>-3.0999999999999943</v>
      </c>
      <c r="O398">
        <f t="shared" ca="1" si="130"/>
        <v>0</v>
      </c>
      <c r="P398">
        <f t="shared" ca="1" si="131"/>
        <v>3.0999999999999943</v>
      </c>
      <c r="Q398">
        <f t="shared" ca="1" si="114"/>
        <v>0.80970726157031325</v>
      </c>
      <c r="R398">
        <f t="shared" ca="1" si="115"/>
        <v>2.553628661878609</v>
      </c>
      <c r="S398">
        <f t="shared" ca="1" si="112"/>
        <v>0.31708105162582328</v>
      </c>
      <c r="T398">
        <f t="shared" ca="1" si="113"/>
        <v>24.07452838490191</v>
      </c>
      <c r="U398">
        <f>70</f>
        <v>70</v>
      </c>
      <c r="V398">
        <f>30</f>
        <v>30</v>
      </c>
      <c r="W398">
        <f t="shared" ca="1" si="111"/>
        <v>265.66023054621206</v>
      </c>
      <c r="X398">
        <f t="shared" ca="1" si="121"/>
        <v>272.55807938789764</v>
      </c>
      <c r="Y398">
        <f t="shared" ca="1" si="120"/>
        <v>-7.4781975180677023</v>
      </c>
      <c r="Z398">
        <f t="shared" ca="1" si="122"/>
        <v>-4.0253570992312548</v>
      </c>
      <c r="AA398">
        <f t="shared" ca="1" si="123"/>
        <v>-3.4528404188364474</v>
      </c>
      <c r="AB398">
        <f t="shared" ca="1" si="124"/>
        <v>260.82270000000005</v>
      </c>
    </row>
    <row r="399" spans="1:28" x14ac:dyDescent="0.25">
      <c r="A399" s="20">
        <f t="shared" ca="1" si="125"/>
        <v>45873</v>
      </c>
      <c r="B399" vm="1188">
        <f ca="1"/>
        <v>45873</v>
      </c>
      <c r="C399" vm="1189">
        <f ca="1"/>
        <v>251.98</v>
      </c>
      <c r="D399" vm="1190">
        <f ca="1"/>
        <v>5280588</v>
      </c>
      <c r="E399">
        <f t="shared" ca="1" si="126"/>
        <v>1330602564.24</v>
      </c>
      <c r="F399">
        <f ca="1">SUM($E$2:E399)/SUM($D$2:D399)</f>
        <v>217.48865644372245</v>
      </c>
      <c r="G399">
        <f ca="1">_xlfn.STDEV.P($C$2:C399)</f>
        <v>36.324585557122838</v>
      </c>
      <c r="H399">
        <f t="shared" ca="1" si="127"/>
        <v>253.81324200084529</v>
      </c>
      <c r="I399">
        <f t="shared" ca="1" si="128"/>
        <v>181.1640708865996</v>
      </c>
      <c r="J399">
        <f t="shared" ca="1" si="116"/>
        <v>273.89150000000001</v>
      </c>
      <c r="K399">
        <f t="shared" ca="1" si="117"/>
        <v>14.146304064461869</v>
      </c>
      <c r="L399">
        <f t="shared" ca="1" si="118"/>
        <v>302.18410812892375</v>
      </c>
      <c r="M399">
        <f t="shared" ca="1" si="119"/>
        <v>245.59889187107626</v>
      </c>
      <c r="N399">
        <f t="shared" ca="1" si="129"/>
        <v>1.9299999999999784</v>
      </c>
      <c r="O399">
        <f t="shared" ca="1" si="130"/>
        <v>1.9299999999999784</v>
      </c>
      <c r="P399">
        <f t="shared" ca="1" si="131"/>
        <v>0</v>
      </c>
      <c r="Q399">
        <f t="shared" ca="1" si="114"/>
        <v>0.88972817145814642</v>
      </c>
      <c r="R399">
        <f t="shared" ca="1" si="115"/>
        <v>2.3712266146015653</v>
      </c>
      <c r="S399">
        <f t="shared" ca="1" si="112"/>
        <v>0.37521853288056423</v>
      </c>
      <c r="T399">
        <f t="shared" ca="1" si="113"/>
        <v>27.284284199880787</v>
      </c>
      <c r="U399">
        <f>70</f>
        <v>70</v>
      </c>
      <c r="V399">
        <f>30</f>
        <v>30</v>
      </c>
      <c r="W399">
        <f t="shared" ref="W399:W462" ca="1" si="132">C399*(2/(12+1)) + W398*(1-(2/(12+1)))</f>
        <v>263.55557969294864</v>
      </c>
      <c r="X399">
        <f t="shared" ca="1" si="121"/>
        <v>271.03377721101634</v>
      </c>
      <c r="Y399">
        <f t="shared" ca="1" si="120"/>
        <v>-7.9521664523492177</v>
      </c>
      <c r="Z399">
        <f t="shared" ca="1" si="122"/>
        <v>-4.8107189698548476</v>
      </c>
      <c r="AA399">
        <f t="shared" ca="1" si="123"/>
        <v>-3.1414474824943701</v>
      </c>
      <c r="AB399">
        <f t="shared" ca="1" si="124"/>
        <v>260.85300000000001</v>
      </c>
    </row>
    <row r="400" spans="1:28" x14ac:dyDescent="0.25">
      <c r="A400" s="20">
        <f t="shared" ca="1" si="125"/>
        <v>45873</v>
      </c>
      <c r="B400" vm="1191">
        <f ca="1"/>
        <v>45874</v>
      </c>
      <c r="C400" vm="1192">
        <f ca="1"/>
        <v>250.67</v>
      </c>
      <c r="D400" vm="1193">
        <f ca="1"/>
        <v>5823016</v>
      </c>
      <c r="E400">
        <f t="shared" ca="1" si="126"/>
        <v>1459655420.72</v>
      </c>
      <c r="F400">
        <f ca="1">SUM($E$2:E400)/SUM($D$2:D400)</f>
        <v>217.59897421069755</v>
      </c>
      <c r="G400">
        <f ca="1">_xlfn.STDEV.P($C$2:C400)</f>
        <v>36.319238902064122</v>
      </c>
      <c r="H400">
        <f t="shared" ca="1" si="127"/>
        <v>253.91821311276166</v>
      </c>
      <c r="I400">
        <f t="shared" ca="1" si="128"/>
        <v>181.27973530863343</v>
      </c>
      <c r="J400">
        <f t="shared" ca="1" si="116"/>
        <v>271.904</v>
      </c>
      <c r="K400">
        <f t="shared" ca="1" si="117"/>
        <v>14.490076604352371</v>
      </c>
      <c r="L400">
        <f t="shared" ca="1" si="118"/>
        <v>300.88415320870473</v>
      </c>
      <c r="M400">
        <f t="shared" ca="1" si="119"/>
        <v>242.92384679129526</v>
      </c>
      <c r="N400">
        <f t="shared" ca="1" si="129"/>
        <v>-1.3100000000000023</v>
      </c>
      <c r="O400">
        <f t="shared" ca="1" si="130"/>
        <v>0</v>
      </c>
      <c r="P400">
        <f t="shared" ca="1" si="131"/>
        <v>1.3100000000000023</v>
      </c>
      <c r="Q400">
        <f t="shared" ca="1" si="114"/>
        <v>0.82617615921113596</v>
      </c>
      <c r="R400">
        <f t="shared" ca="1" si="115"/>
        <v>2.2954247135585963</v>
      </c>
      <c r="S400">
        <f t="shared" ref="S400:S463" ca="1" si="133">IF(R400=0,NA(),Q400/R400)</f>
        <v>0.35992300437086228</v>
      </c>
      <c r="T400">
        <f t="shared" ref="T400:T463" ca="1" si="134">100-(100/(1+S400))</f>
        <v>26.466425173634931</v>
      </c>
      <c r="U400">
        <f>70</f>
        <v>70</v>
      </c>
      <c r="V400">
        <f>30</f>
        <v>30</v>
      </c>
      <c r="W400">
        <f t="shared" ca="1" si="132"/>
        <v>261.57318281711036</v>
      </c>
      <c r="X400">
        <f t="shared" ca="1" si="121"/>
        <v>269.52534926945958</v>
      </c>
      <c r="Y400">
        <f t="shared" ca="1" si="120"/>
        <v>-8.1044536065315924</v>
      </c>
      <c r="Z400">
        <f t="shared" ca="1" si="122"/>
        <v>-5.4694658971901973</v>
      </c>
      <c r="AA400">
        <f t="shared" ca="1" si="123"/>
        <v>-2.6349877093413951</v>
      </c>
      <c r="AB400">
        <f t="shared" ca="1" si="124"/>
        <v>260.86340000000001</v>
      </c>
    </row>
    <row r="401" spans="1:28" x14ac:dyDescent="0.25">
      <c r="A401" s="20">
        <f t="shared" ca="1" si="125"/>
        <v>45873</v>
      </c>
      <c r="B401" vm="1194">
        <f ca="1"/>
        <v>45875</v>
      </c>
      <c r="C401" vm="1195">
        <f ca="1"/>
        <v>252.28</v>
      </c>
      <c r="D401" vm="1196">
        <f ca="1"/>
        <v>3692105</v>
      </c>
      <c r="E401">
        <f t="shared" ca="1" si="126"/>
        <v>931444249.39999998</v>
      </c>
      <c r="F401">
        <f ca="1">SUM($E$2:E401)/SUM($D$2:D401)</f>
        <v>217.67192919122485</v>
      </c>
      <c r="G401">
        <f ca="1">_xlfn.STDEV.P($C$2:C401)</f>
        <v>36.31757476980043</v>
      </c>
      <c r="H401">
        <f t="shared" ca="1" si="127"/>
        <v>253.98950396102526</v>
      </c>
      <c r="I401">
        <f t="shared" ca="1" si="128"/>
        <v>181.35435442142443</v>
      </c>
      <c r="J401">
        <f t="shared" ca="1" si="116"/>
        <v>270.01100000000002</v>
      </c>
      <c r="K401">
        <f t="shared" ca="1" si="117"/>
        <v>14.45531186286313</v>
      </c>
      <c r="L401">
        <f t="shared" ca="1" si="118"/>
        <v>298.92162372572631</v>
      </c>
      <c r="M401">
        <f t="shared" ca="1" si="119"/>
        <v>241.10037627427377</v>
      </c>
      <c r="N401">
        <f t="shared" ca="1" si="129"/>
        <v>1.6100000000000136</v>
      </c>
      <c r="O401">
        <f t="shared" ca="1" si="130"/>
        <v>1.6100000000000136</v>
      </c>
      <c r="P401">
        <f t="shared" ca="1" si="131"/>
        <v>0</v>
      </c>
      <c r="Q401">
        <f t="shared" ref="Q401:Q464" ca="1" si="135">(Q400*13+O401)/14</f>
        <v>0.8821635764103416</v>
      </c>
      <c r="R401">
        <f t="shared" ref="R401:R464" ca="1" si="136">(R400*13+P401)/14</f>
        <v>2.1314658054472679</v>
      </c>
      <c r="S401">
        <f t="shared" ca="1" si="133"/>
        <v>0.4138764854476415</v>
      </c>
      <c r="T401">
        <f t="shared" ca="1" si="134"/>
        <v>29.27246401701106</v>
      </c>
      <c r="U401">
        <f>70</f>
        <v>70</v>
      </c>
      <c r="V401">
        <f>30</f>
        <v>30</v>
      </c>
      <c r="W401">
        <f t="shared" ca="1" si="132"/>
        <v>260.14346238370877</v>
      </c>
      <c r="X401">
        <f t="shared" ca="1" si="121"/>
        <v>268.24791599024036</v>
      </c>
      <c r="Y401">
        <f t="shared" ca="1" si="120"/>
        <v>-8.3005252674262806</v>
      </c>
      <c r="Z401">
        <f t="shared" ca="1" si="122"/>
        <v>-6.0356777712374141</v>
      </c>
      <c r="AA401">
        <f t="shared" ca="1" si="123"/>
        <v>-2.2648474961888665</v>
      </c>
      <c r="AB401">
        <f t="shared" ca="1" si="124"/>
        <v>260.9282</v>
      </c>
    </row>
    <row r="402" spans="1:28" x14ac:dyDescent="0.25">
      <c r="A402" s="20">
        <f t="shared" ca="1" si="125"/>
        <v>45873</v>
      </c>
      <c r="B402" vm="1197">
        <f ca="1"/>
        <v>45876</v>
      </c>
      <c r="C402" vm="1198">
        <f ca="1"/>
        <v>250.16</v>
      </c>
      <c r="D402" vm="1199">
        <f ca="1"/>
        <v>6251285</v>
      </c>
      <c r="E402">
        <f t="shared" ca="1" si="126"/>
        <v>1563821455.5999999</v>
      </c>
      <c r="F402">
        <f ca="1">SUM($E$2:E402)/SUM($D$2:D402)</f>
        <v>217.7872315278037</v>
      </c>
      <c r="G402">
        <f ca="1">_xlfn.STDEV.P($C$2:C402)</f>
        <v>36.310684762772077</v>
      </c>
      <c r="H402">
        <f t="shared" ca="1" si="127"/>
        <v>254.09791629057577</v>
      </c>
      <c r="I402">
        <f t="shared" ca="1" si="128"/>
        <v>181.47654676503163</v>
      </c>
      <c r="J402">
        <f t="shared" ca="1" si="116"/>
        <v>268.14749999999998</v>
      </c>
      <c r="K402">
        <f t="shared" ca="1" si="117"/>
        <v>14.493833125995707</v>
      </c>
      <c r="L402">
        <f t="shared" ca="1" si="118"/>
        <v>297.13516625199139</v>
      </c>
      <c r="M402">
        <f t="shared" ca="1" si="119"/>
        <v>239.15983374800857</v>
      </c>
      <c r="N402">
        <f t="shared" ca="1" si="129"/>
        <v>-2.1200000000000045</v>
      </c>
      <c r="O402">
        <f t="shared" ca="1" si="130"/>
        <v>0</v>
      </c>
      <c r="P402">
        <f t="shared" ca="1" si="131"/>
        <v>2.1200000000000045</v>
      </c>
      <c r="Q402">
        <f t="shared" ca="1" si="135"/>
        <v>0.81915189238103159</v>
      </c>
      <c r="R402">
        <f t="shared" ca="1" si="136"/>
        <v>2.1306468193438919</v>
      </c>
      <c r="S402">
        <f t="shared" ca="1" si="133"/>
        <v>0.38446160337041685</v>
      </c>
      <c r="T402">
        <f t="shared" ca="1" si="134"/>
        <v>27.769755581119796</v>
      </c>
      <c r="U402">
        <f>70</f>
        <v>70</v>
      </c>
      <c r="V402">
        <f>30</f>
        <v>30</v>
      </c>
      <c r="W402">
        <f t="shared" ca="1" si="132"/>
        <v>258.60754509390739</v>
      </c>
      <c r="X402">
        <f t="shared" ca="1" si="121"/>
        <v>266.90807036133367</v>
      </c>
      <c r="Y402">
        <f t="shared" ca="1" si="120"/>
        <v>-8.9889514944243274</v>
      </c>
      <c r="Z402">
        <f t="shared" ca="1" si="122"/>
        <v>-6.6263325158747968</v>
      </c>
      <c r="AA402">
        <f t="shared" ca="1" si="123"/>
        <v>-2.3626189785495306</v>
      </c>
      <c r="AB402">
        <f t="shared" ca="1" si="124"/>
        <v>260.94630000000001</v>
      </c>
    </row>
    <row r="403" spans="1:28" x14ac:dyDescent="0.25">
      <c r="A403" s="20">
        <f t="shared" ca="1" si="125"/>
        <v>45873</v>
      </c>
      <c r="B403" vm="1200">
        <f ca="1"/>
        <v>45877</v>
      </c>
      <c r="C403" vm="1201">
        <f ca="1"/>
        <v>242.27</v>
      </c>
      <c r="D403" vm="1202">
        <f ca="1"/>
        <v>6828390</v>
      </c>
      <c r="E403">
        <f t="shared" ca="1" si="126"/>
        <v>1654314045.3</v>
      </c>
      <c r="F403">
        <f ca="1">SUM($E$2:E403)/SUM($D$2:D403)</f>
        <v>217.88177756947411</v>
      </c>
      <c r="G403">
        <f ca="1">_xlfn.STDEV.P($C$2:C403)</f>
        <v>36.287749353472329</v>
      </c>
      <c r="H403">
        <f t="shared" ca="1" si="127"/>
        <v>254.16952692294643</v>
      </c>
      <c r="I403">
        <f t="shared" ca="1" si="128"/>
        <v>181.59402821600179</v>
      </c>
      <c r="J403">
        <f t="shared" ca="1" si="116"/>
        <v>266.08150000000006</v>
      </c>
      <c r="K403">
        <f t="shared" ca="1" si="117"/>
        <v>15.108658819226456</v>
      </c>
      <c r="L403">
        <f t="shared" ca="1" si="118"/>
        <v>296.29881763845299</v>
      </c>
      <c r="M403">
        <f t="shared" ca="1" si="119"/>
        <v>235.86418236154714</v>
      </c>
      <c r="N403">
        <f t="shared" ca="1" si="129"/>
        <v>-7.8899999999999864</v>
      </c>
      <c r="O403">
        <f t="shared" ca="1" si="130"/>
        <v>0</v>
      </c>
      <c r="P403">
        <f t="shared" ca="1" si="131"/>
        <v>7.8899999999999864</v>
      </c>
      <c r="Q403">
        <f t="shared" ca="1" si="135"/>
        <v>0.76064104292524359</v>
      </c>
      <c r="R403">
        <f t="shared" ca="1" si="136"/>
        <v>2.5420291893907558</v>
      </c>
      <c r="S403">
        <f t="shared" ca="1" si="133"/>
        <v>0.2992259278924902</v>
      </c>
      <c r="T403">
        <f t="shared" ca="1" si="134"/>
        <v>23.031092704397665</v>
      </c>
      <c r="U403">
        <f>70</f>
        <v>70</v>
      </c>
      <c r="V403">
        <f>30</f>
        <v>30</v>
      </c>
      <c r="W403">
        <f t="shared" ca="1" si="132"/>
        <v>256.09407661792164</v>
      </c>
      <c r="X403">
        <f t="shared" ca="1" si="121"/>
        <v>265.08302811234597</v>
      </c>
      <c r="Y403">
        <f t="shared" ca="1" si="120"/>
        <v>-9.9021178945575912</v>
      </c>
      <c r="Z403">
        <f t="shared" ca="1" si="122"/>
        <v>-7.281489591611356</v>
      </c>
      <c r="AA403">
        <f t="shared" ca="1" si="123"/>
        <v>-2.6206283029462352</v>
      </c>
      <c r="AB403">
        <f t="shared" ca="1" si="124"/>
        <v>260.83929999999998</v>
      </c>
    </row>
    <row r="404" spans="1:28" x14ac:dyDescent="0.25">
      <c r="A404" s="20">
        <f t="shared" ca="1" si="125"/>
        <v>45880</v>
      </c>
      <c r="B404" vm="1203">
        <f ca="1"/>
        <v>45880</v>
      </c>
      <c r="C404" vm="1204">
        <f ca="1"/>
        <v>236.3</v>
      </c>
      <c r="D404" vm="1205">
        <f ca="1"/>
        <v>9381960</v>
      </c>
      <c r="E404">
        <f t="shared" ca="1" si="126"/>
        <v>2216957148</v>
      </c>
      <c r="F404">
        <f ca="1">SUM($E$2:E404)/SUM($D$2:D404)</f>
        <v>217.97898681492987</v>
      </c>
      <c r="G404">
        <f ca="1">_xlfn.STDEV.P($C$2:C404)</f>
        <v>36.255649687867873</v>
      </c>
      <c r="H404">
        <f t="shared" ca="1" si="127"/>
        <v>254.23463650279774</v>
      </c>
      <c r="I404">
        <f t="shared" ca="1" si="128"/>
        <v>181.723337127062</v>
      </c>
      <c r="J404">
        <f t="shared" ca="1" si="116"/>
        <v>263.70700000000005</v>
      </c>
      <c r="K404">
        <f t="shared" ca="1" si="117"/>
        <v>15.89064872313604</v>
      </c>
      <c r="L404">
        <f t="shared" ca="1" si="118"/>
        <v>295.48829744627216</v>
      </c>
      <c r="M404">
        <f t="shared" ca="1" si="119"/>
        <v>231.92570255372797</v>
      </c>
      <c r="N404">
        <f t="shared" ca="1" si="129"/>
        <v>-5.9699999999999989</v>
      </c>
      <c r="O404">
        <f t="shared" ca="1" si="130"/>
        <v>0</v>
      </c>
      <c r="P404">
        <f t="shared" ca="1" si="131"/>
        <v>5.9699999999999989</v>
      </c>
      <c r="Q404">
        <f t="shared" ca="1" si="135"/>
        <v>0.70630953985915479</v>
      </c>
      <c r="R404">
        <f t="shared" ca="1" si="136"/>
        <v>2.7868842472914159</v>
      </c>
      <c r="S404">
        <f t="shared" ca="1" si="133"/>
        <v>0.25344057276351534</v>
      </c>
      <c r="T404">
        <f t="shared" ca="1" si="134"/>
        <v>20.219592238405355</v>
      </c>
      <c r="U404">
        <f>70</f>
        <v>70</v>
      </c>
      <c r="V404">
        <f>30</f>
        <v>30</v>
      </c>
      <c r="W404">
        <f t="shared" ca="1" si="132"/>
        <v>253.0488340613183</v>
      </c>
      <c r="X404">
        <f t="shared" ca="1" si="121"/>
        <v>262.95095195587589</v>
      </c>
      <c r="Y404">
        <f t="shared" ca="1" si="120"/>
        <v>-10.626768289026018</v>
      </c>
      <c r="Z404">
        <f t="shared" ca="1" si="122"/>
        <v>-7.9505453310942888</v>
      </c>
      <c r="AA404">
        <f t="shared" ca="1" si="123"/>
        <v>-2.6762229579317287</v>
      </c>
      <c r="AB404">
        <f t="shared" ca="1" si="124"/>
        <v>260.7328</v>
      </c>
    </row>
    <row r="405" spans="1:28" x14ac:dyDescent="0.25">
      <c r="A405" s="20">
        <f t="shared" ca="1" si="125"/>
        <v>45880</v>
      </c>
      <c r="B405" vm="1206">
        <f ca="1"/>
        <v>45881</v>
      </c>
      <c r="C405" vm="1207">
        <f ca="1"/>
        <v>234.77</v>
      </c>
      <c r="D405" vm="1208">
        <f ca="1"/>
        <v>8800597</v>
      </c>
      <c r="E405">
        <f t="shared" ca="1" si="126"/>
        <v>2066116157.6900001</v>
      </c>
      <c r="F405">
        <f ca="1">SUM($E$2:E405)/SUM($D$2:D405)</f>
        <v>218.06170681062972</v>
      </c>
      <c r="G405">
        <f ca="1">_xlfn.STDEV.P($C$2:C405)</f>
        <v>36.221670337270417</v>
      </c>
      <c r="H405">
        <f t="shared" ca="1" si="127"/>
        <v>254.28337714790013</v>
      </c>
      <c r="I405">
        <f t="shared" ca="1" si="128"/>
        <v>181.84003647335931</v>
      </c>
      <c r="J405">
        <f t="shared" ca="1" si="116"/>
        <v>261.31050000000005</v>
      </c>
      <c r="K405">
        <f t="shared" ca="1" si="117"/>
        <v>16.478843366092487</v>
      </c>
      <c r="L405">
        <f t="shared" ca="1" si="118"/>
        <v>294.26818673218503</v>
      </c>
      <c r="M405">
        <f t="shared" ca="1" si="119"/>
        <v>228.35281326781507</v>
      </c>
      <c r="N405">
        <f t="shared" ca="1" si="129"/>
        <v>-1.5300000000000011</v>
      </c>
      <c r="O405">
        <f t="shared" ca="1" si="130"/>
        <v>0</v>
      </c>
      <c r="P405">
        <f t="shared" ca="1" si="131"/>
        <v>1.5300000000000011</v>
      </c>
      <c r="Q405">
        <f t="shared" ca="1" si="135"/>
        <v>0.65585885844064384</v>
      </c>
      <c r="R405">
        <f t="shared" ca="1" si="136"/>
        <v>2.6971068010563148</v>
      </c>
      <c r="S405">
        <f t="shared" ca="1" si="133"/>
        <v>0.24317125973052992</v>
      </c>
      <c r="T405">
        <f t="shared" ca="1" si="134"/>
        <v>19.560559965264943</v>
      </c>
      <c r="U405">
        <f>70</f>
        <v>70</v>
      </c>
      <c r="V405">
        <f>30</f>
        <v>30</v>
      </c>
      <c r="W405">
        <f t="shared" ca="1" si="132"/>
        <v>250.23670574419242</v>
      </c>
      <c r="X405">
        <f t="shared" ca="1" si="121"/>
        <v>260.86347403321844</v>
      </c>
      <c r="Y405">
        <f t="shared" ca="1" si="120"/>
        <v>-10.650619529261661</v>
      </c>
      <c r="Z405">
        <f t="shared" ca="1" si="122"/>
        <v>-8.4905601707277647</v>
      </c>
      <c r="AA405">
        <f t="shared" ca="1" si="123"/>
        <v>-2.1600593585338963</v>
      </c>
      <c r="AB405">
        <f t="shared" ca="1" si="124"/>
        <v>260.55759999999992</v>
      </c>
    </row>
    <row r="406" spans="1:28" x14ac:dyDescent="0.25">
      <c r="A406" s="20">
        <f t="shared" ca="1" si="125"/>
        <v>45880</v>
      </c>
      <c r="B406" vm="1209">
        <f ca="1"/>
        <v>45882</v>
      </c>
      <c r="C406" vm="1210">
        <f ca="1"/>
        <v>240.07</v>
      </c>
      <c r="D406" vm="1211">
        <f ca="1"/>
        <v>5663562</v>
      </c>
      <c r="E406">
        <f t="shared" ca="1" si="126"/>
        <v>1359651329.3399999</v>
      </c>
      <c r="F406">
        <f ca="1">SUM($E$2:E406)/SUM($D$2:D406)</f>
        <v>218.1312609191622</v>
      </c>
      <c r="G406">
        <f ca="1">_xlfn.STDEV.P($C$2:C406)</f>
        <v>36.19516870696944</v>
      </c>
      <c r="H406">
        <f t="shared" ca="1" si="127"/>
        <v>254.32642962613164</v>
      </c>
      <c r="I406">
        <f t="shared" ca="1" si="128"/>
        <v>181.93609221219276</v>
      </c>
      <c r="J406">
        <f t="shared" ref="J406:J469" ca="1" si="137">AVERAGE(C387:C406)</f>
        <v>259.21800000000007</v>
      </c>
      <c r="K406">
        <f t="shared" ref="K406:K469" ca="1" si="138">_xlfn.STDEV.S(C387:C406)</f>
        <v>16.380877040976127</v>
      </c>
      <c r="L406">
        <f t="shared" ref="L406:L469" ca="1" si="139">J406 + 2*K406</f>
        <v>291.97975408195231</v>
      </c>
      <c r="M406">
        <f t="shared" ref="M406:M469" ca="1" si="140">J406-2*K406</f>
        <v>226.45624591804781</v>
      </c>
      <c r="N406">
        <f t="shared" ca="1" si="129"/>
        <v>5.2999999999999829</v>
      </c>
      <c r="O406">
        <f t="shared" ca="1" si="130"/>
        <v>5.2999999999999829</v>
      </c>
      <c r="P406">
        <f t="shared" ca="1" si="131"/>
        <v>0</v>
      </c>
      <c r="Q406">
        <f t="shared" ca="1" si="135"/>
        <v>0.98758322569488233</v>
      </c>
      <c r="R406">
        <f t="shared" ca="1" si="136"/>
        <v>2.504456315266578</v>
      </c>
      <c r="S406">
        <f t="shared" ca="1" si="133"/>
        <v>0.39433038607014492</v>
      </c>
      <c r="T406">
        <f t="shared" ca="1" si="134"/>
        <v>28.280986343670435</v>
      </c>
      <c r="U406">
        <f>70</f>
        <v>70</v>
      </c>
      <c r="V406">
        <f>30</f>
        <v>30</v>
      </c>
      <c r="W406">
        <f t="shared" ca="1" si="132"/>
        <v>248.67259716816281</v>
      </c>
      <c r="X406">
        <f t="shared" ca="1" si="121"/>
        <v>259.32321669742447</v>
      </c>
      <c r="Y406">
        <f t="shared" ca="1" si="120"/>
        <v>-10.784057172987474</v>
      </c>
      <c r="Z406">
        <f t="shared" ca="1" si="122"/>
        <v>-8.9492595711797076</v>
      </c>
      <c r="AA406">
        <f t="shared" ca="1" si="123"/>
        <v>-1.8347976018077663</v>
      </c>
      <c r="AB406">
        <f t="shared" ca="1" si="124"/>
        <v>260.52509999999995</v>
      </c>
    </row>
    <row r="407" spans="1:28" x14ac:dyDescent="0.25">
      <c r="A407" s="20">
        <f t="shared" ca="1" si="125"/>
        <v>45880</v>
      </c>
      <c r="B407" vm="1212">
        <f ca="1"/>
        <v>45883</v>
      </c>
      <c r="C407" vm="1213">
        <f ca="1"/>
        <v>237.11</v>
      </c>
      <c r="D407" vm="1214">
        <f ca="1"/>
        <v>4556725</v>
      </c>
      <c r="E407">
        <f t="shared" ca="1" si="126"/>
        <v>1080445064.75</v>
      </c>
      <c r="F407">
        <f ca="1">SUM($E$2:E407)/SUM($D$2:D407)</f>
        <v>218.17939625995189</v>
      </c>
      <c r="G407">
        <f ca="1">_xlfn.STDEV.P($C$2:C407)</f>
        <v>36.164341910836654</v>
      </c>
      <c r="H407">
        <f t="shared" ca="1" si="127"/>
        <v>254.34373817078853</v>
      </c>
      <c r="I407">
        <f t="shared" ca="1" si="128"/>
        <v>182.01505434911525</v>
      </c>
      <c r="J407">
        <f t="shared" ca="1" si="137"/>
        <v>256.9735</v>
      </c>
      <c r="K407">
        <f t="shared" ca="1" si="138"/>
        <v>16.169038078018769</v>
      </c>
      <c r="L407">
        <f t="shared" ca="1" si="139"/>
        <v>289.31157615603752</v>
      </c>
      <c r="M407">
        <f t="shared" ca="1" si="140"/>
        <v>224.63542384396246</v>
      </c>
      <c r="N407">
        <f t="shared" ca="1" si="129"/>
        <v>-2.9599999999999795</v>
      </c>
      <c r="O407">
        <f t="shared" ca="1" si="130"/>
        <v>0</v>
      </c>
      <c r="P407">
        <f t="shared" ca="1" si="131"/>
        <v>2.9599999999999795</v>
      </c>
      <c r="Q407">
        <f t="shared" ca="1" si="135"/>
        <v>0.91704156671667647</v>
      </c>
      <c r="R407">
        <f t="shared" ca="1" si="136"/>
        <v>2.5369951498903922</v>
      </c>
      <c r="S407">
        <f t="shared" ca="1" si="133"/>
        <v>0.3614676073607378</v>
      </c>
      <c r="T407">
        <f t="shared" ca="1" si="134"/>
        <v>26.549849985888244</v>
      </c>
      <c r="U407">
        <f>70</f>
        <v>70</v>
      </c>
      <c r="V407">
        <f>30</f>
        <v>30</v>
      </c>
      <c r="W407">
        <f t="shared" ca="1" si="132"/>
        <v>246.89373606536853</v>
      </c>
      <c r="X407">
        <f t="shared" ca="1" si="121"/>
        <v>257.677793238356</v>
      </c>
      <c r="Y407">
        <f t="shared" ca="1" si="120"/>
        <v>-10.557501968806974</v>
      </c>
      <c r="Z407">
        <f t="shared" ca="1" si="122"/>
        <v>-9.2709080507051613</v>
      </c>
      <c r="AA407">
        <f t="shared" ca="1" si="123"/>
        <v>-1.2865939181018131</v>
      </c>
      <c r="AB407">
        <f t="shared" ca="1" si="124"/>
        <v>260.45749999999998</v>
      </c>
    </row>
    <row r="408" spans="1:28" x14ac:dyDescent="0.25">
      <c r="A408" s="20">
        <f t="shared" ca="1" si="125"/>
        <v>45880</v>
      </c>
      <c r="B408" vm="1215">
        <f ca="1"/>
        <v>45884</v>
      </c>
      <c r="C408" vm="1216">
        <f ca="1"/>
        <v>239.72</v>
      </c>
      <c r="D408" vm="1217">
        <f ca="1"/>
        <v>4344322</v>
      </c>
      <c r="E408">
        <f t="shared" ca="1" si="126"/>
        <v>1041420869.84</v>
      </c>
      <c r="F408">
        <f ca="1">SUM($E$2:E408)/SUM($D$2:D408)</f>
        <v>218.23135694589598</v>
      </c>
      <c r="G408">
        <f ca="1">_xlfn.STDEV.P($C$2:C408)</f>
        <v>36.137359822719503</v>
      </c>
      <c r="H408">
        <f t="shared" ca="1" si="127"/>
        <v>254.36871676861549</v>
      </c>
      <c r="I408">
        <f t="shared" ca="1" si="128"/>
        <v>182.09399712317648</v>
      </c>
      <c r="J408">
        <f t="shared" ca="1" si="137"/>
        <v>254.66600000000003</v>
      </c>
      <c r="K408">
        <f t="shared" ca="1" si="138"/>
        <v>15.084852074358004</v>
      </c>
      <c r="L408">
        <f t="shared" ca="1" si="139"/>
        <v>284.83570414871605</v>
      </c>
      <c r="M408">
        <f t="shared" ca="1" si="140"/>
        <v>224.496295851284</v>
      </c>
      <c r="N408">
        <f t="shared" ca="1" si="129"/>
        <v>2.6099999999999852</v>
      </c>
      <c r="O408">
        <f t="shared" ca="1" si="130"/>
        <v>2.6099999999999852</v>
      </c>
      <c r="P408">
        <f t="shared" ca="1" si="131"/>
        <v>0</v>
      </c>
      <c r="Q408">
        <f t="shared" ca="1" si="135"/>
        <v>1.0379671690940557</v>
      </c>
      <c r="R408">
        <f t="shared" ca="1" si="136"/>
        <v>2.3557812106125069</v>
      </c>
      <c r="S408">
        <f t="shared" ca="1" si="133"/>
        <v>0.44060423116465158</v>
      </c>
      <c r="T408">
        <f t="shared" ca="1" si="134"/>
        <v>30.584682568122588</v>
      </c>
      <c r="U408">
        <f>70</f>
        <v>70</v>
      </c>
      <c r="V408">
        <f>30</f>
        <v>30</v>
      </c>
      <c r="W408">
        <f t="shared" ca="1" si="132"/>
        <v>245.79008436300413</v>
      </c>
      <c r="X408">
        <f t="shared" ca="1" si="121"/>
        <v>256.3475863318111</v>
      </c>
      <c r="Y408">
        <f t="shared" ca="1" si="120"/>
        <v>-10.281226501499674</v>
      </c>
      <c r="Z408">
        <f t="shared" ca="1" si="122"/>
        <v>-9.4729717408640646</v>
      </c>
      <c r="AA408">
        <f t="shared" ca="1" si="123"/>
        <v>-0.80825476063560941</v>
      </c>
      <c r="AB408">
        <f t="shared" ca="1" si="124"/>
        <v>260.37019999999995</v>
      </c>
    </row>
    <row r="409" spans="1:28" x14ac:dyDescent="0.25">
      <c r="A409" s="20">
        <f t="shared" ca="1" si="125"/>
        <v>45887</v>
      </c>
      <c r="B409" vm="1218">
        <f ca="1"/>
        <v>45887</v>
      </c>
      <c r="C409" vm="1219">
        <f ca="1"/>
        <v>239.45</v>
      </c>
      <c r="D409" vm="1220">
        <f ca="1"/>
        <v>3569594</v>
      </c>
      <c r="E409">
        <f t="shared" ca="1" si="126"/>
        <v>854739283.29999995</v>
      </c>
      <c r="F409">
        <f ca="1">SUM($E$2:E409)/SUM($D$2:D409)</f>
        <v>218.27333008848348</v>
      </c>
      <c r="G409">
        <f ca="1">_xlfn.STDEV.P($C$2:C409)</f>
        <v>36.109993066520047</v>
      </c>
      <c r="H409">
        <f t="shared" ca="1" si="127"/>
        <v>254.38332315500352</v>
      </c>
      <c r="I409">
        <f t="shared" ca="1" si="128"/>
        <v>182.16333702196343</v>
      </c>
      <c r="J409">
        <f t="shared" ca="1" si="137"/>
        <v>252.40300000000002</v>
      </c>
      <c r="K409">
        <f t="shared" ca="1" si="138"/>
        <v>13.668950254230625</v>
      </c>
      <c r="L409">
        <f t="shared" ca="1" si="139"/>
        <v>279.74090050846127</v>
      </c>
      <c r="M409">
        <f t="shared" ca="1" si="140"/>
        <v>225.06509949153877</v>
      </c>
      <c r="N409">
        <f t="shared" ca="1" si="129"/>
        <v>-0.27000000000001023</v>
      </c>
      <c r="O409">
        <f t="shared" ca="1" si="130"/>
        <v>0</v>
      </c>
      <c r="P409">
        <f t="shared" ca="1" si="131"/>
        <v>0.27000000000001023</v>
      </c>
      <c r="Q409">
        <f t="shared" ca="1" si="135"/>
        <v>0.96382665701590897</v>
      </c>
      <c r="R409">
        <f t="shared" ca="1" si="136"/>
        <v>2.2067968384259</v>
      </c>
      <c r="S409">
        <f t="shared" ca="1" si="133"/>
        <v>0.43675368762237438</v>
      </c>
      <c r="T409">
        <f t="shared" ca="1" si="134"/>
        <v>30.398647408042521</v>
      </c>
      <c r="U409">
        <f>70</f>
        <v>70</v>
      </c>
      <c r="V409">
        <f>30</f>
        <v>30</v>
      </c>
      <c r="W409">
        <f t="shared" ca="1" si="132"/>
        <v>244.81468676869579</v>
      </c>
      <c r="X409">
        <f t="shared" ca="1" si="121"/>
        <v>255.09591327019547</v>
      </c>
      <c r="Y409">
        <f t="shared" ca="1" si="120"/>
        <v>-9.8016234829369466</v>
      </c>
      <c r="Z409">
        <f t="shared" ca="1" si="122"/>
        <v>-9.5387020892786403</v>
      </c>
      <c r="AA409">
        <f t="shared" ca="1" si="123"/>
        <v>-0.26292139365830636</v>
      </c>
      <c r="AB409">
        <f t="shared" ca="1" si="124"/>
        <v>260.26569999999992</v>
      </c>
    </row>
    <row r="410" spans="1:28" x14ac:dyDescent="0.25">
      <c r="A410" s="20">
        <f t="shared" ca="1" si="125"/>
        <v>45887</v>
      </c>
      <c r="B410" vm="1221">
        <f ca="1"/>
        <v>45888</v>
      </c>
      <c r="C410" vm="1222">
        <f ca="1"/>
        <v>241.28</v>
      </c>
      <c r="D410" vm="1223">
        <f ca="1"/>
        <v>3328305</v>
      </c>
      <c r="E410">
        <f t="shared" ca="1" si="126"/>
        <v>803053430.39999998</v>
      </c>
      <c r="F410">
        <f ca="1">SUM($E$2:E410)/SUM($D$2:D410)</f>
        <v>218.31568576813902</v>
      </c>
      <c r="G410">
        <f ca="1">_xlfn.STDEV.P($C$2:C410)</f>
        <v>36.085530340036826</v>
      </c>
      <c r="H410">
        <f t="shared" ca="1" si="127"/>
        <v>254.40121610817584</v>
      </c>
      <c r="I410">
        <f t="shared" ca="1" si="128"/>
        <v>182.23015542810219</v>
      </c>
      <c r="J410">
        <f t="shared" ca="1" si="137"/>
        <v>250.369</v>
      </c>
      <c r="K410">
        <f t="shared" ca="1" si="138"/>
        <v>11.958977204990134</v>
      </c>
      <c r="L410">
        <f t="shared" ca="1" si="139"/>
        <v>274.28695440998024</v>
      </c>
      <c r="M410">
        <f t="shared" ca="1" si="140"/>
        <v>226.45104559001973</v>
      </c>
      <c r="N410">
        <f t="shared" ca="1" si="129"/>
        <v>1.8300000000000125</v>
      </c>
      <c r="O410">
        <f t="shared" ca="1" si="130"/>
        <v>1.8300000000000125</v>
      </c>
      <c r="P410">
        <f t="shared" ca="1" si="131"/>
        <v>0</v>
      </c>
      <c r="Q410">
        <f t="shared" ca="1" si="135"/>
        <v>1.0256961815147736</v>
      </c>
      <c r="R410">
        <f t="shared" ca="1" si="136"/>
        <v>2.0491684928240503</v>
      </c>
      <c r="S410">
        <f t="shared" ca="1" si="133"/>
        <v>0.50054262746408718</v>
      </c>
      <c r="T410">
        <f t="shared" ca="1" si="134"/>
        <v>33.357441388386462</v>
      </c>
      <c r="U410">
        <f>70</f>
        <v>70</v>
      </c>
      <c r="V410">
        <f>30</f>
        <v>30</v>
      </c>
      <c r="W410">
        <f t="shared" ca="1" si="132"/>
        <v>244.27088880428107</v>
      </c>
      <c r="X410">
        <f t="shared" ca="1" si="121"/>
        <v>254.07251228721802</v>
      </c>
      <c r="Y410">
        <f t="shared" ca="1" si="120"/>
        <v>-9.2128561779896927</v>
      </c>
      <c r="Z410">
        <f t="shared" ca="1" si="122"/>
        <v>-9.4735329070208518</v>
      </c>
      <c r="AA410">
        <f t="shared" ca="1" si="123"/>
        <v>0.26067672903115913</v>
      </c>
      <c r="AB410">
        <f t="shared" ca="1" si="124"/>
        <v>260.17509999999993</v>
      </c>
    </row>
    <row r="411" spans="1:28" x14ac:dyDescent="0.25">
      <c r="A411" s="20">
        <f t="shared" ca="1" si="125"/>
        <v>45887</v>
      </c>
      <c r="B411" vm="1224">
        <f ca="1"/>
        <v>45889</v>
      </c>
      <c r="C411" vm="1225">
        <f ca="1"/>
        <v>242.55</v>
      </c>
      <c r="D411" vm="1226">
        <f ca="1"/>
        <v>3240064</v>
      </c>
      <c r="E411">
        <f t="shared" ca="1" si="126"/>
        <v>785877523.20000005</v>
      </c>
      <c r="F411">
        <f ca="1">SUM($E$2:E411)/SUM($D$2:D411)</f>
        <v>218.3590409937332</v>
      </c>
      <c r="G411">
        <f ca="1">_xlfn.STDEV.P($C$2:C411)</f>
        <v>36.063192831397366</v>
      </c>
      <c r="H411">
        <f t="shared" ca="1" si="127"/>
        <v>254.42223382513058</v>
      </c>
      <c r="I411">
        <f t="shared" ca="1" si="128"/>
        <v>182.29584816233583</v>
      </c>
      <c r="J411">
        <f t="shared" ca="1" si="137"/>
        <v>248.39600000000002</v>
      </c>
      <c r="K411">
        <f t="shared" ca="1" si="138"/>
        <v>9.4575363432667015</v>
      </c>
      <c r="L411">
        <f t="shared" ca="1" si="139"/>
        <v>267.31107268653341</v>
      </c>
      <c r="M411">
        <f t="shared" ca="1" si="140"/>
        <v>229.48092731346662</v>
      </c>
      <c r="N411">
        <f t="shared" ca="1" si="129"/>
        <v>1.2700000000000102</v>
      </c>
      <c r="O411">
        <f t="shared" ca="1" si="130"/>
        <v>1.2700000000000102</v>
      </c>
      <c r="P411">
        <f t="shared" ca="1" si="131"/>
        <v>0</v>
      </c>
      <c r="Q411">
        <f t="shared" ca="1" si="135"/>
        <v>1.043146454263719</v>
      </c>
      <c r="R411">
        <f t="shared" ca="1" si="136"/>
        <v>1.9027993147651896</v>
      </c>
      <c r="S411">
        <f t="shared" ca="1" si="133"/>
        <v>0.54821674895991124</v>
      </c>
      <c r="T411">
        <f t="shared" ca="1" si="134"/>
        <v>35.409560665727341</v>
      </c>
      <c r="U411">
        <f>70</f>
        <v>70</v>
      </c>
      <c r="V411">
        <f>30</f>
        <v>30</v>
      </c>
      <c r="W411">
        <f t="shared" ca="1" si="132"/>
        <v>244.00613668054552</v>
      </c>
      <c r="X411">
        <f t="shared" ca="1" si="121"/>
        <v>253.21899285853522</v>
      </c>
      <c r="Y411">
        <f t="shared" ca="1" si="120"/>
        <v>-8.8978634897490565</v>
      </c>
      <c r="Z411">
        <f t="shared" ca="1" si="122"/>
        <v>-9.3583990235664931</v>
      </c>
      <c r="AA411">
        <f t="shared" ca="1" si="123"/>
        <v>0.46053553381743662</v>
      </c>
      <c r="AB411">
        <f t="shared" ca="1" si="124"/>
        <v>260.13849999999996</v>
      </c>
    </row>
    <row r="412" spans="1:28" x14ac:dyDescent="0.25">
      <c r="A412" s="20">
        <f t="shared" ca="1" si="125"/>
        <v>45887</v>
      </c>
      <c r="B412" vm="1227">
        <f ca="1"/>
        <v>45890</v>
      </c>
      <c r="C412" vm="1228">
        <f ca="1"/>
        <v>239.4</v>
      </c>
      <c r="D412" vm="1229">
        <f ca="1"/>
        <v>2991902</v>
      </c>
      <c r="E412">
        <f t="shared" ca="1" si="126"/>
        <v>716261338.80000007</v>
      </c>
      <c r="F412">
        <f ca="1">SUM($E$2:E412)/SUM($D$2:D412)</f>
        <v>218.39374288684218</v>
      </c>
      <c r="G412">
        <f ca="1">_xlfn.STDEV.P($C$2:C412)</f>
        <v>36.035812695309993</v>
      </c>
      <c r="H412">
        <f t="shared" ca="1" si="127"/>
        <v>254.42955558215218</v>
      </c>
      <c r="I412">
        <f t="shared" ca="1" si="128"/>
        <v>182.35793019153218</v>
      </c>
      <c r="J412">
        <f t="shared" ca="1" si="137"/>
        <v>247.34050000000002</v>
      </c>
      <c r="K412">
        <f t="shared" ca="1" si="138"/>
        <v>9.2091267515609623</v>
      </c>
      <c r="L412">
        <f t="shared" ca="1" si="139"/>
        <v>265.75875350312197</v>
      </c>
      <c r="M412">
        <f t="shared" ca="1" si="140"/>
        <v>228.9222464968781</v>
      </c>
      <c r="N412">
        <f t="shared" ca="1" si="129"/>
        <v>-3.1500000000000057</v>
      </c>
      <c r="O412">
        <f t="shared" ca="1" si="130"/>
        <v>0</v>
      </c>
      <c r="P412">
        <f t="shared" ca="1" si="131"/>
        <v>3.1500000000000057</v>
      </c>
      <c r="Q412">
        <f t="shared" ca="1" si="135"/>
        <v>0.96863599324488192</v>
      </c>
      <c r="R412">
        <f t="shared" ca="1" si="136"/>
        <v>1.9918850779962478</v>
      </c>
      <c r="S412">
        <f t="shared" ca="1" si="133"/>
        <v>0.48629110381171625</v>
      </c>
      <c r="T412">
        <f t="shared" ca="1" si="134"/>
        <v>32.718429287814644</v>
      </c>
      <c r="U412">
        <f>70</f>
        <v>70</v>
      </c>
      <c r="V412">
        <f>30</f>
        <v>30</v>
      </c>
      <c r="W412">
        <f t="shared" ca="1" si="132"/>
        <v>243.2975002681539</v>
      </c>
      <c r="X412">
        <f t="shared" ca="1" si="121"/>
        <v>252.19536375790295</v>
      </c>
      <c r="Y412">
        <f t="shared" ref="Y412:Y475" ca="1" si="141">W413-X413</f>
        <v>-8.3350872982243516</v>
      </c>
      <c r="Z412">
        <f t="shared" ca="1" si="122"/>
        <v>-9.1537366784980652</v>
      </c>
      <c r="AA412">
        <f t="shared" ca="1" si="123"/>
        <v>0.81864938027371359</v>
      </c>
      <c r="AB412">
        <f t="shared" ca="1" si="124"/>
        <v>260.09249999999997</v>
      </c>
    </row>
    <row r="413" spans="1:28" x14ac:dyDescent="0.25">
      <c r="A413" s="20">
        <f t="shared" ca="1" si="125"/>
        <v>45887</v>
      </c>
      <c r="B413" vm="1230">
        <f ca="1"/>
        <v>45891</v>
      </c>
      <c r="C413" vm="1231">
        <f ca="1"/>
        <v>242.09</v>
      </c>
      <c r="D413" vm="1232">
        <f ca="1"/>
        <v>3134882</v>
      </c>
      <c r="E413">
        <f t="shared" ca="1" si="126"/>
        <v>758923583.38</v>
      </c>
      <c r="F413">
        <f ca="1">SUM($E$2:E413)/SUM($D$2:D413)</f>
        <v>218.43462105080297</v>
      </c>
      <c r="G413">
        <f ca="1">_xlfn.STDEV.P($C$2:C413)</f>
        <v>36.012703682605725</v>
      </c>
      <c r="H413">
        <f t="shared" ca="1" si="127"/>
        <v>254.44732473340869</v>
      </c>
      <c r="I413">
        <f t="shared" ca="1" si="128"/>
        <v>182.42191736819726</v>
      </c>
      <c r="J413">
        <f t="shared" ca="1" si="137"/>
        <v>246.459</v>
      </c>
      <c r="K413">
        <f t="shared" ca="1" si="138"/>
        <v>8.7963125647535989</v>
      </c>
      <c r="L413">
        <f t="shared" ca="1" si="139"/>
        <v>264.05162512950722</v>
      </c>
      <c r="M413">
        <f t="shared" ca="1" si="140"/>
        <v>228.86637487049279</v>
      </c>
      <c r="N413">
        <f t="shared" ca="1" si="129"/>
        <v>2.6899999999999977</v>
      </c>
      <c r="O413">
        <f t="shared" ca="1" si="130"/>
        <v>2.6899999999999977</v>
      </c>
      <c r="P413">
        <f t="shared" ca="1" si="131"/>
        <v>0</v>
      </c>
      <c r="Q413">
        <f t="shared" ca="1" si="135"/>
        <v>1.0915905651559616</v>
      </c>
      <c r="R413">
        <f t="shared" ca="1" si="136"/>
        <v>1.8496075724250873</v>
      </c>
      <c r="S413">
        <f t="shared" ca="1" si="133"/>
        <v>0.59017414365617993</v>
      </c>
      <c r="T413">
        <f t="shared" ca="1" si="134"/>
        <v>37.113805806151049</v>
      </c>
      <c r="U413">
        <f>70</f>
        <v>70</v>
      </c>
      <c r="V413">
        <f>30</f>
        <v>30</v>
      </c>
      <c r="W413">
        <f t="shared" ca="1" si="132"/>
        <v>243.11173099613023</v>
      </c>
      <c r="X413">
        <f t="shared" ref="X413:X476" ca="1" si="142">C413*(2/(26+1)) + X412*(1-(2/(26+1)))</f>
        <v>251.44681829435459</v>
      </c>
      <c r="Y413">
        <f t="shared" ca="1" si="141"/>
        <v>-8.0113727630044593</v>
      </c>
      <c r="Z413">
        <f t="shared" ca="1" si="122"/>
        <v>-8.9252638953993451</v>
      </c>
      <c r="AA413">
        <f t="shared" ca="1" si="123"/>
        <v>0.91389113239488573</v>
      </c>
      <c r="AB413">
        <f t="shared" ca="1" si="124"/>
        <v>260.02679999999998</v>
      </c>
    </row>
    <row r="414" spans="1:28" x14ac:dyDescent="0.25">
      <c r="A414" s="20">
        <f t="shared" ca="1" si="125"/>
        <v>45894</v>
      </c>
      <c r="B414" vm="1233">
        <f ca="1"/>
        <v>45894</v>
      </c>
      <c r="C414" vm="1234">
        <f ca="1"/>
        <v>239.43</v>
      </c>
      <c r="D414" vm="1235">
        <f ca="1"/>
        <v>3513327</v>
      </c>
      <c r="E414">
        <f t="shared" ca="1" si="126"/>
        <v>841195883.61000001</v>
      </c>
      <c r="F414">
        <f ca="1">SUM($E$2:E414)/SUM($D$2:D414)</f>
        <v>218.4751340029288</v>
      </c>
      <c r="G414">
        <f ca="1">_xlfn.STDEV.P($C$2:C414)</f>
        <v>35.985415914636476</v>
      </c>
      <c r="H414">
        <f t="shared" ca="1" si="127"/>
        <v>254.46054991756529</v>
      </c>
      <c r="I414">
        <f t="shared" ca="1" si="128"/>
        <v>182.48971808829231</v>
      </c>
      <c r="J414">
        <f t="shared" ca="1" si="137"/>
        <v>245.27000000000004</v>
      </c>
      <c r="K414">
        <f t="shared" ca="1" si="138"/>
        <v>7.9824267514400171</v>
      </c>
      <c r="L414">
        <f t="shared" ca="1" si="139"/>
        <v>261.23485350288007</v>
      </c>
      <c r="M414">
        <f t="shared" ca="1" si="140"/>
        <v>229.30514649712001</v>
      </c>
      <c r="N414">
        <f t="shared" ca="1" si="129"/>
        <v>-2.6599999999999966</v>
      </c>
      <c r="O414">
        <f t="shared" ca="1" si="130"/>
        <v>0</v>
      </c>
      <c r="P414">
        <f t="shared" ca="1" si="131"/>
        <v>2.6599999999999966</v>
      </c>
      <c r="Q414">
        <f t="shared" ca="1" si="135"/>
        <v>1.0136198105019643</v>
      </c>
      <c r="R414">
        <f t="shared" ca="1" si="136"/>
        <v>1.9074927458232953</v>
      </c>
      <c r="S414">
        <f t="shared" ca="1" si="133"/>
        <v>0.53138855323115508</v>
      </c>
      <c r="T414">
        <f t="shared" ca="1" si="134"/>
        <v>34.699786158774089</v>
      </c>
      <c r="U414">
        <f>70</f>
        <v>70</v>
      </c>
      <c r="V414">
        <f>30</f>
        <v>30</v>
      </c>
      <c r="W414">
        <f t="shared" ca="1" si="132"/>
        <v>242.54531084287942</v>
      </c>
      <c r="X414">
        <f t="shared" ca="1" si="142"/>
        <v>250.55668360588388</v>
      </c>
      <c r="Y414">
        <f t="shared" ca="1" si="141"/>
        <v>-7.411181913324981</v>
      </c>
      <c r="Z414">
        <f t="shared" ca="1" si="122"/>
        <v>-8.6224474989844726</v>
      </c>
      <c r="AA414">
        <f t="shared" ca="1" si="123"/>
        <v>1.2112655856594916</v>
      </c>
      <c r="AB414">
        <f t="shared" ca="1" si="124"/>
        <v>259.91769999999991</v>
      </c>
    </row>
    <row r="415" spans="1:28" x14ac:dyDescent="0.25">
      <c r="A415" s="20">
        <f t="shared" ca="1" si="125"/>
        <v>45894</v>
      </c>
      <c r="B415" vm="1236">
        <f ca="1"/>
        <v>45895</v>
      </c>
      <c r="C415" vm="1237">
        <f ca="1"/>
        <v>242.63</v>
      </c>
      <c r="D415" vm="1238">
        <f ca="1"/>
        <v>5386582</v>
      </c>
      <c r="E415">
        <f t="shared" ca="1" si="126"/>
        <v>1306946390.6600001</v>
      </c>
      <c r="F415">
        <f ca="1">SUM($E$2:E415)/SUM($D$2:D415)</f>
        <v>218.54638428110661</v>
      </c>
      <c r="G415">
        <f ca="1">_xlfn.STDEV.P($C$2:C415)</f>
        <v>35.963222633762619</v>
      </c>
      <c r="H415">
        <f t="shared" ca="1" si="127"/>
        <v>254.50960691486924</v>
      </c>
      <c r="I415">
        <f t="shared" ca="1" si="128"/>
        <v>182.58316164734399</v>
      </c>
      <c r="J415">
        <f t="shared" ca="1" si="137"/>
        <v>244.28100000000003</v>
      </c>
      <c r="K415">
        <f t="shared" ca="1" si="138"/>
        <v>6.8988602414876397</v>
      </c>
      <c r="L415">
        <f t="shared" ca="1" si="139"/>
        <v>258.07872048297531</v>
      </c>
      <c r="M415">
        <f t="shared" ca="1" si="140"/>
        <v>230.48327951702476</v>
      </c>
      <c r="N415">
        <f t="shared" ca="1" si="129"/>
        <v>3.1999999999999886</v>
      </c>
      <c r="O415">
        <f t="shared" ca="1" si="130"/>
        <v>3.1999999999999886</v>
      </c>
      <c r="P415">
        <f t="shared" ca="1" si="131"/>
        <v>0</v>
      </c>
      <c r="Q415">
        <f t="shared" ca="1" si="135"/>
        <v>1.1697898240375373</v>
      </c>
      <c r="R415">
        <f t="shared" ca="1" si="136"/>
        <v>1.7712432639787743</v>
      </c>
      <c r="S415">
        <f t="shared" ca="1" si="133"/>
        <v>0.66043431064901736</v>
      </c>
      <c r="T415">
        <f t="shared" ca="1" si="134"/>
        <v>39.774793041398432</v>
      </c>
      <c r="U415">
        <f>70</f>
        <v>70</v>
      </c>
      <c r="V415">
        <f>30</f>
        <v>30</v>
      </c>
      <c r="W415">
        <f t="shared" ca="1" si="132"/>
        <v>242.55833994397489</v>
      </c>
      <c r="X415">
        <f t="shared" ca="1" si="142"/>
        <v>249.96952185729987</v>
      </c>
      <c r="Y415">
        <f t="shared" ca="1" si="141"/>
        <v>-6.680192707298886</v>
      </c>
      <c r="Z415">
        <f t="shared" ca="1" si="122"/>
        <v>-8.2339965406473556</v>
      </c>
      <c r="AA415">
        <f t="shared" ca="1" si="123"/>
        <v>1.5538038333484696</v>
      </c>
      <c r="AB415">
        <f t="shared" ca="1" si="124"/>
        <v>259.84419999999989</v>
      </c>
    </row>
    <row r="416" spans="1:28" x14ac:dyDescent="0.25">
      <c r="A416" s="20">
        <f t="shared" ca="1" si="125"/>
        <v>45894</v>
      </c>
      <c r="B416" vm="1239">
        <f ca="1"/>
        <v>45896</v>
      </c>
      <c r="C416" vm="1240">
        <f ca="1"/>
        <v>244.84</v>
      </c>
      <c r="D416" vm="1241">
        <f ca="1"/>
        <v>3698372</v>
      </c>
      <c r="E416">
        <f t="shared" ca="1" si="126"/>
        <v>905509400.48000002</v>
      </c>
      <c r="F416">
        <f ca="1">SUM($E$2:E416)/SUM($D$2:D416)</f>
        <v>218.59952787166642</v>
      </c>
      <c r="G416">
        <f ca="1">_xlfn.STDEV.P($C$2:C416)</f>
        <v>35.944900363307056</v>
      </c>
      <c r="H416">
        <f t="shared" ca="1" si="127"/>
        <v>254.54442823497348</v>
      </c>
      <c r="I416">
        <f t="shared" ca="1" si="128"/>
        <v>182.65462750835937</v>
      </c>
      <c r="J416">
        <f t="shared" ca="1" si="137"/>
        <v>243.51000000000005</v>
      </c>
      <c r="K416">
        <f t="shared" ca="1" si="138"/>
        <v>5.791947222789493</v>
      </c>
      <c r="L416">
        <f t="shared" ca="1" si="139"/>
        <v>255.09389444557902</v>
      </c>
      <c r="M416">
        <f t="shared" ca="1" si="140"/>
        <v>231.92610555442107</v>
      </c>
      <c r="N416">
        <f t="shared" ca="1" si="129"/>
        <v>2.210000000000008</v>
      </c>
      <c r="O416">
        <f t="shared" ca="1" si="130"/>
        <v>2.210000000000008</v>
      </c>
      <c r="P416">
        <f t="shared" ca="1" si="131"/>
        <v>0</v>
      </c>
      <c r="Q416">
        <f t="shared" ca="1" si="135"/>
        <v>1.2440905508919993</v>
      </c>
      <c r="R416">
        <f t="shared" ca="1" si="136"/>
        <v>1.6447258879802906</v>
      </c>
      <c r="S416">
        <f t="shared" ca="1" si="133"/>
        <v>0.75641209272855303</v>
      </c>
      <c r="T416">
        <f t="shared" ca="1" si="134"/>
        <v>43.065752955132588</v>
      </c>
      <c r="U416">
        <f>70</f>
        <v>70</v>
      </c>
      <c r="V416">
        <f>30</f>
        <v>30</v>
      </c>
      <c r="W416">
        <f t="shared" ca="1" si="132"/>
        <v>242.90936456797874</v>
      </c>
      <c r="X416">
        <f t="shared" ca="1" si="142"/>
        <v>249.58955727527763</v>
      </c>
      <c r="Y416">
        <f t="shared" ca="1" si="141"/>
        <v>-5.9603556631782055</v>
      </c>
      <c r="Z416">
        <f t="shared" ca="1" si="122"/>
        <v>-7.7792683651535262</v>
      </c>
      <c r="AA416">
        <f t="shared" ca="1" si="123"/>
        <v>1.8189127019753206</v>
      </c>
      <c r="AB416">
        <f t="shared" ca="1" si="124"/>
        <v>259.85769999999991</v>
      </c>
    </row>
    <row r="417" spans="1:28" x14ac:dyDescent="0.25">
      <c r="A417" s="20">
        <f t="shared" ca="1" si="125"/>
        <v>45894</v>
      </c>
      <c r="B417" vm="1242">
        <f ca="1"/>
        <v>45897</v>
      </c>
      <c r="C417" vm="1243">
        <f ca="1"/>
        <v>245.73</v>
      </c>
      <c r="D417" vm="1244">
        <f ca="1"/>
        <v>2820817</v>
      </c>
      <c r="E417">
        <f t="shared" ca="1" si="126"/>
        <v>693159361.40999997</v>
      </c>
      <c r="F417">
        <f ca="1">SUM($E$2:E417)/SUM($D$2:D417)</f>
        <v>218.64128717752121</v>
      </c>
      <c r="G417">
        <f ca="1">_xlfn.STDEV.P($C$2:C417)</f>
        <v>35.928184475043487</v>
      </c>
      <c r="H417">
        <f t="shared" ca="1" si="127"/>
        <v>254.56947165256469</v>
      </c>
      <c r="I417">
        <f t="shared" ca="1" si="128"/>
        <v>182.71310270247773</v>
      </c>
      <c r="J417">
        <f t="shared" ca="1" si="137"/>
        <v>243.13899999999998</v>
      </c>
      <c r="K417">
        <f t="shared" ca="1" si="138"/>
        <v>5.3637790095377573</v>
      </c>
      <c r="L417">
        <f t="shared" ca="1" si="139"/>
        <v>253.86655801907548</v>
      </c>
      <c r="M417">
        <f t="shared" ca="1" si="140"/>
        <v>232.41144198092448</v>
      </c>
      <c r="N417">
        <f t="shared" ca="1" si="129"/>
        <v>0.88999999999998636</v>
      </c>
      <c r="O417">
        <f t="shared" ca="1" si="130"/>
        <v>0.88999999999998636</v>
      </c>
      <c r="P417">
        <f t="shared" ca="1" si="131"/>
        <v>0</v>
      </c>
      <c r="Q417">
        <f t="shared" ca="1" si="135"/>
        <v>1.2187983686854269</v>
      </c>
      <c r="R417">
        <f t="shared" ca="1" si="136"/>
        <v>1.5272454674102698</v>
      </c>
      <c r="S417">
        <f t="shared" ca="1" si="133"/>
        <v>0.79803698533944734</v>
      </c>
      <c r="T417">
        <f t="shared" ca="1" si="134"/>
        <v>44.38379142622518</v>
      </c>
      <c r="U417">
        <f>70</f>
        <v>70</v>
      </c>
      <c r="V417">
        <f>30</f>
        <v>30</v>
      </c>
      <c r="W417">
        <f t="shared" ca="1" si="132"/>
        <v>243.34330848059739</v>
      </c>
      <c r="X417">
        <f t="shared" ca="1" si="142"/>
        <v>249.30366414377559</v>
      </c>
      <c r="Y417">
        <f t="shared" ca="1" si="141"/>
        <v>-5.507145948688418</v>
      </c>
      <c r="Z417">
        <f t="shared" ca="1" si="122"/>
        <v>-7.3248438818605051</v>
      </c>
      <c r="AA417">
        <f t="shared" ca="1" si="123"/>
        <v>1.8176979331720871</v>
      </c>
      <c r="AB417">
        <f t="shared" ca="1" si="124"/>
        <v>260.04019999999991</v>
      </c>
    </row>
    <row r="418" spans="1:28" x14ac:dyDescent="0.25">
      <c r="A418" s="20">
        <f t="shared" ca="1" si="125"/>
        <v>45894</v>
      </c>
      <c r="B418" vm="1245">
        <f ca="1"/>
        <v>45898</v>
      </c>
      <c r="C418" vm="941">
        <f ca="1"/>
        <v>243.49</v>
      </c>
      <c r="D418" vm="1246">
        <f ca="1"/>
        <v>2967558</v>
      </c>
      <c r="E418">
        <f t="shared" ca="1" si="126"/>
        <v>722570697.42000008</v>
      </c>
      <c r="F418">
        <f ca="1">SUM($E$2:E418)/SUM($D$2:D418)</f>
        <v>218.68145899189236</v>
      </c>
      <c r="G418">
        <f ca="1">_xlfn.STDEV.P($C$2:C418)</f>
        <v>35.907385957092856</v>
      </c>
      <c r="H418">
        <f t="shared" ca="1" si="127"/>
        <v>254.58884494898521</v>
      </c>
      <c r="I418">
        <f t="shared" ca="1" si="128"/>
        <v>182.7740730347995</v>
      </c>
      <c r="J418">
        <f t="shared" ca="1" si="137"/>
        <v>242.81099999999998</v>
      </c>
      <c r="K418">
        <f t="shared" ca="1" si="138"/>
        <v>5.113665798107732</v>
      </c>
      <c r="L418">
        <f t="shared" ca="1" si="139"/>
        <v>253.03833159621544</v>
      </c>
      <c r="M418">
        <f t="shared" ca="1" si="140"/>
        <v>232.58366840378451</v>
      </c>
      <c r="N418">
        <f t="shared" ca="1" si="129"/>
        <v>-2.2399999999999807</v>
      </c>
      <c r="O418">
        <f t="shared" ca="1" si="130"/>
        <v>0</v>
      </c>
      <c r="P418">
        <f t="shared" ca="1" si="131"/>
        <v>2.2399999999999807</v>
      </c>
      <c r="Q418">
        <f t="shared" ca="1" si="135"/>
        <v>1.1317413423507536</v>
      </c>
      <c r="R418">
        <f t="shared" ca="1" si="136"/>
        <v>1.5781565054523921</v>
      </c>
      <c r="S418">
        <f t="shared" ca="1" si="133"/>
        <v>0.71712871216554674</v>
      </c>
      <c r="T418">
        <f t="shared" ca="1" si="134"/>
        <v>41.763247395772915</v>
      </c>
      <c r="U418">
        <f>70</f>
        <v>70</v>
      </c>
      <c r="V418">
        <f>30</f>
        <v>30</v>
      </c>
      <c r="W418">
        <f t="shared" ca="1" si="132"/>
        <v>243.36587640665934</v>
      </c>
      <c r="X418">
        <f t="shared" ca="1" si="142"/>
        <v>248.87302235534776</v>
      </c>
      <c r="Y418">
        <f t="shared" ca="1" si="141"/>
        <v>-5.2480540533053954</v>
      </c>
      <c r="Z418">
        <f t="shared" ca="1" si="122"/>
        <v>-6.9094859161494835</v>
      </c>
      <c r="AA418">
        <f t="shared" ca="1" si="123"/>
        <v>1.6614318628440881</v>
      </c>
      <c r="AB418">
        <f t="shared" ca="1" si="124"/>
        <v>260.21729999999997</v>
      </c>
    </row>
    <row r="419" spans="1:28" x14ac:dyDescent="0.25">
      <c r="A419" s="20">
        <f t="shared" ca="1" si="125"/>
        <v>45901</v>
      </c>
      <c r="B419" vm="1247">
        <f ca="1"/>
        <v>45902</v>
      </c>
      <c r="C419" vm="1248">
        <f ca="1"/>
        <v>241.5</v>
      </c>
      <c r="D419" vm="1249">
        <f ca="1"/>
        <v>3469501</v>
      </c>
      <c r="E419">
        <f t="shared" ca="1" si="126"/>
        <v>837884491.5</v>
      </c>
      <c r="F419">
        <f ca="1">SUM($E$2:E419)/SUM($D$2:D419)</f>
        <v>218.72450700762593</v>
      </c>
      <c r="G419">
        <f ca="1">_xlfn.STDEV.P($C$2:C419)</f>
        <v>35.883284088863135</v>
      </c>
      <c r="H419">
        <f t="shared" ca="1" si="127"/>
        <v>254.60779109648905</v>
      </c>
      <c r="I419">
        <f t="shared" ca="1" si="128"/>
        <v>182.84122291876281</v>
      </c>
      <c r="J419">
        <f t="shared" ca="1" si="137"/>
        <v>242.28699999999998</v>
      </c>
      <c r="K419">
        <f t="shared" ca="1" si="138"/>
        <v>4.6396382572237993</v>
      </c>
      <c r="L419">
        <f t="shared" ca="1" si="139"/>
        <v>251.56627651444757</v>
      </c>
      <c r="M419">
        <f t="shared" ca="1" si="140"/>
        <v>233.00772348555239</v>
      </c>
      <c r="N419">
        <f t="shared" ca="1" si="129"/>
        <v>-1.9900000000000091</v>
      </c>
      <c r="O419">
        <f t="shared" ca="1" si="130"/>
        <v>0</v>
      </c>
      <c r="P419">
        <f t="shared" ca="1" si="131"/>
        <v>1.9900000000000091</v>
      </c>
      <c r="Q419">
        <f t="shared" ca="1" si="135"/>
        <v>1.0509026750399855</v>
      </c>
      <c r="R419">
        <f t="shared" ca="1" si="136"/>
        <v>1.6075738979200789</v>
      </c>
      <c r="S419">
        <f t="shared" ca="1" si="133"/>
        <v>0.65371966812827131</v>
      </c>
      <c r="T419">
        <f t="shared" ca="1" si="134"/>
        <v>39.530259011079579</v>
      </c>
      <c r="U419">
        <f>70</f>
        <v>70</v>
      </c>
      <c r="V419">
        <f>30</f>
        <v>30</v>
      </c>
      <c r="W419">
        <f t="shared" ca="1" si="132"/>
        <v>243.07881849794254</v>
      </c>
      <c r="X419">
        <f t="shared" ca="1" si="142"/>
        <v>248.32687255124793</v>
      </c>
      <c r="Y419">
        <f t="shared" ca="1" si="141"/>
        <v>-4.7778475363722066</v>
      </c>
      <c r="Z419">
        <f t="shared" ca="1" si="122"/>
        <v>-6.4831582401940286</v>
      </c>
      <c r="AA419">
        <f t="shared" ca="1" si="123"/>
        <v>1.705310703821822</v>
      </c>
      <c r="AB419">
        <f t="shared" ca="1" si="124"/>
        <v>260.42199999999991</v>
      </c>
    </row>
    <row r="420" spans="1:28" x14ac:dyDescent="0.25">
      <c r="A420" s="20">
        <f t="shared" ca="1" si="125"/>
        <v>45901</v>
      </c>
      <c r="B420" vm="1250">
        <f ca="1"/>
        <v>45903</v>
      </c>
      <c r="C420" vm="1251">
        <f ca="1"/>
        <v>244.1</v>
      </c>
      <c r="D420" vm="1252">
        <f ca="1"/>
        <v>3163225</v>
      </c>
      <c r="E420">
        <f t="shared" ca="1" si="126"/>
        <v>772143222.5</v>
      </c>
      <c r="F420">
        <f ca="1">SUM($E$2:E420)/SUM($D$2:D420)</f>
        <v>218.7680779021515</v>
      </c>
      <c r="G420">
        <f ca="1">_xlfn.STDEV.P($C$2:C420)</f>
        <v>35.863517839646789</v>
      </c>
      <c r="H420">
        <f t="shared" ca="1" si="127"/>
        <v>254.63159574179829</v>
      </c>
      <c r="I420">
        <f t="shared" ca="1" si="128"/>
        <v>182.90456006250471</v>
      </c>
      <c r="J420">
        <f t="shared" ca="1" si="137"/>
        <v>241.95850000000004</v>
      </c>
      <c r="K420">
        <f t="shared" ca="1" si="138"/>
        <v>4.2293003962954954</v>
      </c>
      <c r="L420">
        <f t="shared" ca="1" si="139"/>
        <v>250.41710079259104</v>
      </c>
      <c r="M420">
        <f t="shared" ca="1" si="140"/>
        <v>233.49989920740904</v>
      </c>
      <c r="N420">
        <f t="shared" ca="1" si="129"/>
        <v>2.5999999999999943</v>
      </c>
      <c r="O420">
        <f t="shared" ca="1" si="130"/>
        <v>2.5999999999999943</v>
      </c>
      <c r="P420">
        <f t="shared" ca="1" si="131"/>
        <v>0</v>
      </c>
      <c r="Q420">
        <f t="shared" ca="1" si="135"/>
        <v>1.1615524839657003</v>
      </c>
      <c r="R420">
        <f t="shared" ca="1" si="136"/>
        <v>1.4927471909257874</v>
      </c>
      <c r="S420">
        <f t="shared" ca="1" si="133"/>
        <v>0.77813074512993496</v>
      </c>
      <c r="T420">
        <f t="shared" ca="1" si="134"/>
        <v>43.761165890704731</v>
      </c>
      <c r="U420">
        <f>70</f>
        <v>70</v>
      </c>
      <c r="V420">
        <f>30</f>
        <v>30</v>
      </c>
      <c r="W420">
        <f t="shared" ca="1" si="132"/>
        <v>243.23592334441292</v>
      </c>
      <c r="X420">
        <f t="shared" ca="1" si="142"/>
        <v>248.01377088078513</v>
      </c>
      <c r="Y420">
        <f t="shared" ca="1" si="141"/>
        <v>-4.1093057064516358</v>
      </c>
      <c r="Z420">
        <f t="shared" ca="1" si="122"/>
        <v>-6.0083877334455504</v>
      </c>
      <c r="AA420">
        <f t="shared" ca="1" si="123"/>
        <v>1.8990820269939146</v>
      </c>
      <c r="AB420">
        <f t="shared" ca="1" si="124"/>
        <v>260.5098999999999</v>
      </c>
    </row>
    <row r="421" spans="1:28" x14ac:dyDescent="0.25">
      <c r="A421" s="20">
        <f t="shared" ca="1" si="125"/>
        <v>45901</v>
      </c>
      <c r="B421" vm="1253">
        <f ca="1"/>
        <v>45904</v>
      </c>
      <c r="C421" vm="1254">
        <f ca="1"/>
        <v>247.18</v>
      </c>
      <c r="D421" vm="1255">
        <f ca="1"/>
        <v>4765087</v>
      </c>
      <c r="E421">
        <f t="shared" ca="1" si="126"/>
        <v>1177834204.6600001</v>
      </c>
      <c r="F421">
        <f ca="1">SUM($E$2:E421)/SUM($D$2:D421)</f>
        <v>218.84137748010616</v>
      </c>
      <c r="G421">
        <f ca="1">_xlfn.STDEV.P($C$2:C421)</f>
        <v>35.849407261416964</v>
      </c>
      <c r="H421">
        <f t="shared" ca="1" si="127"/>
        <v>254.69078474152312</v>
      </c>
      <c r="I421">
        <f t="shared" ca="1" si="128"/>
        <v>182.9919702186892</v>
      </c>
      <c r="J421">
        <f t="shared" ca="1" si="137"/>
        <v>241.70350000000008</v>
      </c>
      <c r="K421">
        <f t="shared" ca="1" si="138"/>
        <v>3.6941123497575918</v>
      </c>
      <c r="L421">
        <f t="shared" ca="1" si="139"/>
        <v>249.09172469951525</v>
      </c>
      <c r="M421">
        <f t="shared" ca="1" si="140"/>
        <v>234.3152753004849</v>
      </c>
      <c r="N421">
        <f t="shared" ca="1" si="129"/>
        <v>3.0800000000000125</v>
      </c>
      <c r="O421">
        <f t="shared" ca="1" si="130"/>
        <v>3.0800000000000125</v>
      </c>
      <c r="P421">
        <f t="shared" ca="1" si="131"/>
        <v>0</v>
      </c>
      <c r="Q421">
        <f t="shared" ca="1" si="135"/>
        <v>1.2985844493967227</v>
      </c>
      <c r="R421">
        <f t="shared" ca="1" si="136"/>
        <v>1.3861223915739453</v>
      </c>
      <c r="S421">
        <f t="shared" ca="1" si="133"/>
        <v>0.93684688833442542</v>
      </c>
      <c r="T421">
        <f t="shared" ca="1" si="134"/>
        <v>48.369692719493109</v>
      </c>
      <c r="U421">
        <f>70</f>
        <v>70</v>
      </c>
      <c r="V421">
        <f>30</f>
        <v>30</v>
      </c>
      <c r="W421">
        <f t="shared" ca="1" si="132"/>
        <v>243.84270436834942</v>
      </c>
      <c r="X421">
        <f t="shared" ca="1" si="142"/>
        <v>247.95201007480105</v>
      </c>
      <c r="Y421">
        <f t="shared" ca="1" si="141"/>
        <v>-3.4309973701155627</v>
      </c>
      <c r="Z421">
        <f t="shared" ca="1" si="122"/>
        <v>-5.4929096607795529</v>
      </c>
      <c r="AA421">
        <f t="shared" ca="1" si="123"/>
        <v>2.0619122906639902</v>
      </c>
      <c r="AB421">
        <f t="shared" ca="1" si="124"/>
        <v>260.68619999999993</v>
      </c>
    </row>
    <row r="422" spans="1:28" x14ac:dyDescent="0.25">
      <c r="A422" s="20">
        <f t="shared" ca="1" si="125"/>
        <v>45901</v>
      </c>
      <c r="B422" vm="1256">
        <f ca="1"/>
        <v>45905</v>
      </c>
      <c r="C422" vm="1257">
        <f ca="1"/>
        <v>248.53</v>
      </c>
      <c r="D422" vm="1258">
        <f ca="1"/>
        <v>3147478</v>
      </c>
      <c r="E422">
        <f t="shared" ca="1" si="126"/>
        <v>782242707.34000003</v>
      </c>
      <c r="F422">
        <f ca="1">SUM($E$2:E422)/SUM($D$2:D422)</f>
        <v>218.89188352125382</v>
      </c>
      <c r="G422">
        <f ca="1">_xlfn.STDEV.P($C$2:C422)</f>
        <v>35.837899387937327</v>
      </c>
      <c r="H422">
        <f t="shared" ca="1" si="127"/>
        <v>254.72978290919116</v>
      </c>
      <c r="I422">
        <f t="shared" ca="1" si="128"/>
        <v>183.05398413331648</v>
      </c>
      <c r="J422">
        <f t="shared" ca="1" si="137"/>
        <v>241.62200000000001</v>
      </c>
      <c r="K422">
        <f t="shared" ca="1" si="138"/>
        <v>3.5111755416399379</v>
      </c>
      <c r="L422">
        <f t="shared" ca="1" si="139"/>
        <v>248.6443510832799</v>
      </c>
      <c r="M422">
        <f t="shared" ca="1" si="140"/>
        <v>234.59964891672013</v>
      </c>
      <c r="N422">
        <f t="shared" ca="1" si="129"/>
        <v>1.3499999999999943</v>
      </c>
      <c r="O422">
        <f t="shared" ca="1" si="130"/>
        <v>1.3499999999999943</v>
      </c>
      <c r="P422">
        <f t="shared" ca="1" si="131"/>
        <v>0</v>
      </c>
      <c r="Q422">
        <f t="shared" ca="1" si="135"/>
        <v>1.3022569887255278</v>
      </c>
      <c r="R422">
        <f t="shared" ca="1" si="136"/>
        <v>1.2871136493186637</v>
      </c>
      <c r="S422">
        <f t="shared" ca="1" si="133"/>
        <v>1.0117653475393413</v>
      </c>
      <c r="T422">
        <f t="shared" ca="1" si="134"/>
        <v>50.292413515167958</v>
      </c>
      <c r="U422">
        <f>70</f>
        <v>70</v>
      </c>
      <c r="V422">
        <f>30</f>
        <v>30</v>
      </c>
      <c r="W422">
        <f t="shared" ca="1" si="132"/>
        <v>244.56382677321875</v>
      </c>
      <c r="X422">
        <f t="shared" ca="1" si="142"/>
        <v>247.99482414333431</v>
      </c>
      <c r="Y422">
        <f t="shared" ca="1" si="141"/>
        <v>-2.2573826066600589</v>
      </c>
      <c r="Z422">
        <f t="shared" ref="Z422:Z485" ca="1" si="143">Y422*(2/(9+1)) + Z421*(1-(2/(9+1)))</f>
        <v>-4.8458042499556546</v>
      </c>
      <c r="AA422">
        <f t="shared" ref="AA422:AA485" ca="1" si="144">Y422-Z422</f>
        <v>2.5884216432955958</v>
      </c>
      <c r="AB422">
        <f t="shared" ref="AB422:AB485" ca="1" si="145">AVERAGE(C323:C422)</f>
        <v>260.81669999999991</v>
      </c>
    </row>
    <row r="423" spans="1:28" x14ac:dyDescent="0.25">
      <c r="A423" s="20">
        <f t="shared" ca="1" si="125"/>
        <v>45908</v>
      </c>
      <c r="B423" vm="1259">
        <f ca="1"/>
        <v>45908</v>
      </c>
      <c r="C423" vm="1260">
        <f ca="1"/>
        <v>256.08999999999997</v>
      </c>
      <c r="D423" vm="1261">
        <f ca="1"/>
        <v>6940270</v>
      </c>
      <c r="E423">
        <f t="shared" ca="1" si="126"/>
        <v>1777333744.2999997</v>
      </c>
      <c r="F423">
        <f ca="1">SUM($E$2:E423)/SUM($D$2:D423)</f>
        <v>219.03089857381329</v>
      </c>
      <c r="G423">
        <f ca="1">_xlfn.STDEV.P($C$2:C423)</f>
        <v>35.843436162930985</v>
      </c>
      <c r="H423">
        <f t="shared" ca="1" si="127"/>
        <v>254.87433473674429</v>
      </c>
      <c r="I423">
        <f t="shared" ca="1" si="128"/>
        <v>183.18746241088229</v>
      </c>
      <c r="J423">
        <f t="shared" ca="1" si="137"/>
        <v>242.31300000000002</v>
      </c>
      <c r="K423">
        <f t="shared" ca="1" si="138"/>
        <v>4.7770956823047497</v>
      </c>
      <c r="L423">
        <f t="shared" ca="1" si="139"/>
        <v>251.86719136460951</v>
      </c>
      <c r="M423">
        <f t="shared" ca="1" si="140"/>
        <v>232.75880863539052</v>
      </c>
      <c r="N423">
        <f t="shared" ca="1" si="129"/>
        <v>7.5599999999999739</v>
      </c>
      <c r="O423">
        <f t="shared" ca="1" si="130"/>
        <v>7.5599999999999739</v>
      </c>
      <c r="P423">
        <f t="shared" ca="1" si="131"/>
        <v>0</v>
      </c>
      <c r="Q423">
        <f t="shared" ca="1" si="135"/>
        <v>1.749238632387988</v>
      </c>
      <c r="R423">
        <f t="shared" ca="1" si="136"/>
        <v>1.1951769600816162</v>
      </c>
      <c r="S423">
        <f t="shared" ca="1" si="133"/>
        <v>1.4635812861289896</v>
      </c>
      <c r="T423">
        <f t="shared" ca="1" si="134"/>
        <v>59.408686629078353</v>
      </c>
      <c r="U423">
        <f>70</f>
        <v>70</v>
      </c>
      <c r="V423">
        <f>30</f>
        <v>30</v>
      </c>
      <c r="W423">
        <f t="shared" ca="1" si="132"/>
        <v>246.33708419272355</v>
      </c>
      <c r="X423">
        <f t="shared" ca="1" si="142"/>
        <v>248.59446679938361</v>
      </c>
      <c r="Y423">
        <f t="shared" ca="1" si="141"/>
        <v>-1.0712470215406711</v>
      </c>
      <c r="Z423">
        <f t="shared" ca="1" si="143"/>
        <v>-4.0908928042726576</v>
      </c>
      <c r="AA423">
        <f t="shared" ca="1" si="144"/>
        <v>3.0196457827319865</v>
      </c>
      <c r="AB423">
        <f t="shared" ca="1" si="145"/>
        <v>260.98699999999991</v>
      </c>
    </row>
    <row r="424" spans="1:28" x14ac:dyDescent="0.25">
      <c r="A424" s="20">
        <f t="shared" ca="1" si="125"/>
        <v>45908</v>
      </c>
      <c r="B424" vm="1262">
        <f ca="1"/>
        <v>45909</v>
      </c>
      <c r="C424" vm="1263">
        <f ca="1"/>
        <v>259.11</v>
      </c>
      <c r="D424" vm="1264">
        <f ca="1"/>
        <v>4931105</v>
      </c>
      <c r="E424">
        <f t="shared" ca="1" si="126"/>
        <v>1277698616.55</v>
      </c>
      <c r="F424">
        <f ca="1">SUM($E$2:E424)/SUM($D$2:D424)</f>
        <v>219.13703759963713</v>
      </c>
      <c r="G424">
        <f ca="1">_xlfn.STDEV.P($C$2:C424)</f>
        <v>35.856580243301089</v>
      </c>
      <c r="H424">
        <f t="shared" ca="1" si="127"/>
        <v>254.99361784293822</v>
      </c>
      <c r="I424">
        <f t="shared" ca="1" si="128"/>
        <v>183.28045735633603</v>
      </c>
      <c r="J424">
        <f t="shared" ca="1" si="137"/>
        <v>243.45349999999999</v>
      </c>
      <c r="K424">
        <f t="shared" ca="1" si="138"/>
        <v>5.8649738860638152</v>
      </c>
      <c r="L424">
        <f t="shared" ca="1" si="139"/>
        <v>255.18344777212764</v>
      </c>
      <c r="M424">
        <f t="shared" ca="1" si="140"/>
        <v>231.72355222787235</v>
      </c>
      <c r="N424">
        <f t="shared" ca="1" si="129"/>
        <v>3.0200000000000387</v>
      </c>
      <c r="O424">
        <f t="shared" ca="1" si="130"/>
        <v>3.0200000000000387</v>
      </c>
      <c r="P424">
        <f t="shared" ca="1" si="131"/>
        <v>0</v>
      </c>
      <c r="Q424">
        <f t="shared" ca="1" si="135"/>
        <v>1.8400073015031346</v>
      </c>
      <c r="R424">
        <f t="shared" ca="1" si="136"/>
        <v>1.1098071772186437</v>
      </c>
      <c r="S424">
        <f t="shared" ca="1" si="133"/>
        <v>1.6579522454652802</v>
      </c>
      <c r="T424">
        <f t="shared" ca="1" si="134"/>
        <v>62.377051668023931</v>
      </c>
      <c r="U424">
        <f>70</f>
        <v>70</v>
      </c>
      <c r="V424">
        <f>30</f>
        <v>30</v>
      </c>
      <c r="W424">
        <f t="shared" ca="1" si="132"/>
        <v>248.30214816307378</v>
      </c>
      <c r="X424">
        <f t="shared" ca="1" si="142"/>
        <v>249.37339518461445</v>
      </c>
      <c r="Y424">
        <f t="shared" ca="1" si="141"/>
        <v>-0.30762230930707801</v>
      </c>
      <c r="Z424">
        <f t="shared" ca="1" si="143"/>
        <v>-3.3342387052795419</v>
      </c>
      <c r="AA424">
        <f t="shared" ca="1" si="144"/>
        <v>3.0266163959724639</v>
      </c>
      <c r="AB424">
        <f t="shared" ca="1" si="145"/>
        <v>261.17109999999991</v>
      </c>
    </row>
    <row r="425" spans="1:28" x14ac:dyDescent="0.25">
      <c r="A425" s="20">
        <f t="shared" ca="1" si="125"/>
        <v>45908</v>
      </c>
      <c r="B425" vm="1265">
        <f ca="1"/>
        <v>45910</v>
      </c>
      <c r="C425" vm="1266">
        <f ca="1"/>
        <v>256.88</v>
      </c>
      <c r="D425" vm="1267">
        <f ca="1"/>
        <v>5185420</v>
      </c>
      <c r="E425">
        <f t="shared" ca="1" si="126"/>
        <v>1332030689.5999999</v>
      </c>
      <c r="F425">
        <f ca="1">SUM($E$2:E425)/SUM($D$2:D425)</f>
        <v>219.24185298697495</v>
      </c>
      <c r="G425">
        <f ca="1">_xlfn.STDEV.P($C$2:C425)</f>
        <v>35.863564393113947</v>
      </c>
      <c r="H425">
        <f t="shared" ca="1" si="127"/>
        <v>255.10541738008891</v>
      </c>
      <c r="I425">
        <f t="shared" ca="1" si="128"/>
        <v>183.37828859386099</v>
      </c>
      <c r="J425">
        <f t="shared" ca="1" si="137"/>
        <v>244.55899999999997</v>
      </c>
      <c r="K425">
        <f t="shared" ca="1" si="138"/>
        <v>6.2153696591594594</v>
      </c>
      <c r="L425">
        <f t="shared" ca="1" si="139"/>
        <v>256.98973931831887</v>
      </c>
      <c r="M425">
        <f t="shared" ca="1" si="140"/>
        <v>232.12826068168104</v>
      </c>
      <c r="N425">
        <f t="shared" ca="1" si="129"/>
        <v>-2.2300000000000182</v>
      </c>
      <c r="O425">
        <f t="shared" ca="1" si="130"/>
        <v>0</v>
      </c>
      <c r="P425">
        <f t="shared" ca="1" si="131"/>
        <v>2.2300000000000182</v>
      </c>
      <c r="Q425">
        <f t="shared" ca="1" si="135"/>
        <v>1.7085782085386252</v>
      </c>
      <c r="R425">
        <f t="shared" ca="1" si="136"/>
        <v>1.1898209502744561</v>
      </c>
      <c r="S425">
        <f t="shared" ca="1" si="133"/>
        <v>1.435996069950279</v>
      </c>
      <c r="T425">
        <f t="shared" ca="1" si="134"/>
        <v>58.949030651744401</v>
      </c>
      <c r="U425">
        <f>70</f>
        <v>70</v>
      </c>
      <c r="V425">
        <f>30</f>
        <v>30</v>
      </c>
      <c r="W425">
        <f t="shared" ca="1" si="132"/>
        <v>249.62181767644705</v>
      </c>
      <c r="X425">
        <f t="shared" ca="1" si="142"/>
        <v>249.92943998575413</v>
      </c>
      <c r="Y425">
        <f t="shared" ca="1" si="141"/>
        <v>0.3045351981044746</v>
      </c>
      <c r="Z425">
        <f t="shared" ca="1" si="143"/>
        <v>-2.6064839246027387</v>
      </c>
      <c r="AA425">
        <f t="shared" ca="1" si="144"/>
        <v>2.9110191227072133</v>
      </c>
      <c r="AB425">
        <f t="shared" ca="1" si="145"/>
        <v>261.35419999999993</v>
      </c>
    </row>
    <row r="426" spans="1:28" x14ac:dyDescent="0.25">
      <c r="A426" s="20">
        <f t="shared" ca="1" si="125"/>
        <v>45908</v>
      </c>
      <c r="B426" vm="1268">
        <f ca="1"/>
        <v>45911</v>
      </c>
      <c r="C426" vm="1269">
        <f ca="1"/>
        <v>257.01</v>
      </c>
      <c r="D426" vm="1270">
        <f ca="1"/>
        <v>3576048</v>
      </c>
      <c r="E426">
        <f t="shared" ca="1" si="126"/>
        <v>919080096.48000002</v>
      </c>
      <c r="F426">
        <f ca="1">SUM($E$2:E426)/SUM($D$2:D426)</f>
        <v>219.31404733251077</v>
      </c>
      <c r="G426">
        <f ca="1">_xlfn.STDEV.P($C$2:C426)</f>
        <v>35.870612550498755</v>
      </c>
      <c r="H426">
        <f t="shared" ca="1" si="127"/>
        <v>255.18465988300952</v>
      </c>
      <c r="I426">
        <f t="shared" ca="1" si="128"/>
        <v>183.44343478201202</v>
      </c>
      <c r="J426">
        <f t="shared" ca="1" si="137"/>
        <v>245.40600000000001</v>
      </c>
      <c r="K426">
        <f t="shared" ca="1" si="138"/>
        <v>6.7062958636289132</v>
      </c>
      <c r="L426">
        <f t="shared" ca="1" si="139"/>
        <v>258.81859172725785</v>
      </c>
      <c r="M426">
        <f t="shared" ca="1" si="140"/>
        <v>231.99340827274219</v>
      </c>
      <c r="N426">
        <f t="shared" ca="1" si="129"/>
        <v>0.12999999999999545</v>
      </c>
      <c r="O426">
        <f t="shared" ca="1" si="130"/>
        <v>0.12999999999999545</v>
      </c>
      <c r="P426">
        <f t="shared" ca="1" si="131"/>
        <v>0</v>
      </c>
      <c r="Q426">
        <f t="shared" ca="1" si="135"/>
        <v>1.5958226222144372</v>
      </c>
      <c r="R426">
        <f t="shared" ca="1" si="136"/>
        <v>1.1048337395405663</v>
      </c>
      <c r="S426">
        <f t="shared" ca="1" si="133"/>
        <v>1.4444006958712572</v>
      </c>
      <c r="T426">
        <f t="shared" ca="1" si="134"/>
        <v>59.090176921931771</v>
      </c>
      <c r="U426">
        <f>70</f>
        <v>70</v>
      </c>
      <c r="V426">
        <f>30</f>
        <v>30</v>
      </c>
      <c r="W426">
        <f t="shared" ca="1" si="132"/>
        <v>250.75846111083979</v>
      </c>
      <c r="X426">
        <f t="shared" ca="1" si="142"/>
        <v>250.45392591273531</v>
      </c>
      <c r="Y426">
        <f t="shared" ca="1" si="141"/>
        <v>0.49588896945991223</v>
      </c>
      <c r="Z426">
        <f t="shared" ca="1" si="143"/>
        <v>-1.9860093457902086</v>
      </c>
      <c r="AA426">
        <f t="shared" ca="1" si="144"/>
        <v>2.4818983152501208</v>
      </c>
      <c r="AB426">
        <f t="shared" ca="1" si="145"/>
        <v>261.53619999999995</v>
      </c>
    </row>
    <row r="427" spans="1:28" x14ac:dyDescent="0.25">
      <c r="A427" s="20">
        <f t="shared" ca="1" si="125"/>
        <v>45908</v>
      </c>
      <c r="B427" vm="1271">
        <f ca="1"/>
        <v>45912</v>
      </c>
      <c r="C427" vm="825">
        <f ca="1"/>
        <v>253.44</v>
      </c>
      <c r="D427" vm="1272">
        <f ca="1"/>
        <v>3433300</v>
      </c>
      <c r="E427">
        <f t="shared" ca="1" si="126"/>
        <v>870135552</v>
      </c>
      <c r="F427">
        <f ca="1">SUM($E$2:E427)/SUM($D$2:D427)</f>
        <v>219.37656091853694</v>
      </c>
      <c r="G427">
        <f ca="1">_xlfn.STDEV.P($C$2:C427)</f>
        <v>35.868792708359088</v>
      </c>
      <c r="H427">
        <f t="shared" ca="1" si="127"/>
        <v>255.24535362689602</v>
      </c>
      <c r="I427">
        <f t="shared" ca="1" si="128"/>
        <v>183.50776821017786</v>
      </c>
      <c r="J427">
        <f t="shared" ca="1" si="137"/>
        <v>246.22250000000003</v>
      </c>
      <c r="K427">
        <f t="shared" ca="1" si="138"/>
        <v>6.6368261874261281</v>
      </c>
      <c r="L427">
        <f t="shared" ca="1" si="139"/>
        <v>259.49615237485227</v>
      </c>
      <c r="M427">
        <f t="shared" ca="1" si="140"/>
        <v>232.94884762514778</v>
      </c>
      <c r="N427">
        <f t="shared" ca="1" si="129"/>
        <v>-3.5699999999999932</v>
      </c>
      <c r="O427">
        <f t="shared" ca="1" si="130"/>
        <v>0</v>
      </c>
      <c r="P427">
        <f t="shared" ca="1" si="131"/>
        <v>3.5699999999999932</v>
      </c>
      <c r="Q427">
        <f t="shared" ca="1" si="135"/>
        <v>1.4818352920562632</v>
      </c>
      <c r="R427">
        <f t="shared" ca="1" si="136"/>
        <v>1.2809170438590967</v>
      </c>
      <c r="S427">
        <f t="shared" ca="1" si="133"/>
        <v>1.1568550041241139</v>
      </c>
      <c r="T427">
        <f t="shared" ca="1" si="134"/>
        <v>53.636197236814525</v>
      </c>
      <c r="U427">
        <f>70</f>
        <v>70</v>
      </c>
      <c r="V427">
        <f>30</f>
        <v>30</v>
      </c>
      <c r="W427">
        <f t="shared" ca="1" si="132"/>
        <v>251.17100555532596</v>
      </c>
      <c r="X427">
        <f t="shared" ca="1" si="142"/>
        <v>250.67511658586605</v>
      </c>
      <c r="Y427">
        <f t="shared" ca="1" si="141"/>
        <v>0.86352068240836388</v>
      </c>
      <c r="Z427">
        <f t="shared" ca="1" si="143"/>
        <v>-1.4161033401504941</v>
      </c>
      <c r="AA427">
        <f t="shared" ca="1" si="144"/>
        <v>2.279624022558858</v>
      </c>
      <c r="AB427">
        <f t="shared" ca="1" si="145"/>
        <v>261.70839999999987</v>
      </c>
    </row>
    <row r="428" spans="1:28" x14ac:dyDescent="0.25">
      <c r="A428" s="20">
        <f t="shared" ca="1" si="125"/>
        <v>45915</v>
      </c>
      <c r="B428" vm="1273">
        <f ca="1"/>
        <v>45915</v>
      </c>
      <c r="C428" vm="1274">
        <f ca="1"/>
        <v>256.24</v>
      </c>
      <c r="D428" vm="1275">
        <f ca="1"/>
        <v>4028365</v>
      </c>
      <c r="E428">
        <f t="shared" ca="1" si="126"/>
        <v>1032228247.6</v>
      </c>
      <c r="F428">
        <f ca="1">SUM($E$2:E428)/SUM($D$2:D428)</f>
        <v>219.45562333607612</v>
      </c>
      <c r="G428">
        <f ca="1">_xlfn.STDEV.P($C$2:C428)</f>
        <v>35.873440026069993</v>
      </c>
      <c r="H428">
        <f t="shared" ca="1" si="127"/>
        <v>255.32906336214612</v>
      </c>
      <c r="I428">
        <f t="shared" ca="1" si="128"/>
        <v>183.58218331000612</v>
      </c>
      <c r="J428">
        <f t="shared" ca="1" si="137"/>
        <v>247.04849999999996</v>
      </c>
      <c r="K428">
        <f t="shared" ca="1" si="138"/>
        <v>6.8106884071250349</v>
      </c>
      <c r="L428">
        <f t="shared" ca="1" si="139"/>
        <v>260.66987681425002</v>
      </c>
      <c r="M428">
        <f t="shared" ca="1" si="140"/>
        <v>233.42712318574991</v>
      </c>
      <c r="N428">
        <f t="shared" ca="1" si="129"/>
        <v>2.8000000000000114</v>
      </c>
      <c r="O428">
        <f t="shared" ca="1" si="130"/>
        <v>2.8000000000000114</v>
      </c>
      <c r="P428">
        <f t="shared" ca="1" si="131"/>
        <v>0</v>
      </c>
      <c r="Q428">
        <f t="shared" ca="1" si="135"/>
        <v>1.5759899140522453</v>
      </c>
      <c r="R428">
        <f t="shared" ca="1" si="136"/>
        <v>1.1894229692977325</v>
      </c>
      <c r="S428">
        <f t="shared" ca="1" si="133"/>
        <v>1.325003766307584</v>
      </c>
      <c r="T428">
        <f t="shared" ca="1" si="134"/>
        <v>56.989316985574895</v>
      </c>
      <c r="U428">
        <f>70</f>
        <v>70</v>
      </c>
      <c r="V428">
        <f>30</f>
        <v>30</v>
      </c>
      <c r="W428">
        <f t="shared" ca="1" si="132"/>
        <v>251.95085085450657</v>
      </c>
      <c r="X428">
        <f t="shared" ca="1" si="142"/>
        <v>251.08733017209821</v>
      </c>
      <c r="Y428">
        <f t="shared" ca="1" si="141"/>
        <v>1.2438187973120591</v>
      </c>
      <c r="Z428">
        <f t="shared" ca="1" si="143"/>
        <v>-0.88411891265798348</v>
      </c>
      <c r="AA428">
        <f t="shared" ca="1" si="144"/>
        <v>2.1279377099700425</v>
      </c>
      <c r="AB428">
        <f t="shared" ca="1" si="145"/>
        <v>261.8617999999999</v>
      </c>
    </row>
    <row r="429" spans="1:28" x14ac:dyDescent="0.25">
      <c r="A429" s="20">
        <f t="shared" ca="1" si="125"/>
        <v>45915</v>
      </c>
      <c r="B429" vm="1276">
        <f ca="1"/>
        <v>45916</v>
      </c>
      <c r="C429" vm="1277">
        <f ca="1"/>
        <v>257.52</v>
      </c>
      <c r="D429" vm="1278">
        <f ca="1"/>
        <v>2719918</v>
      </c>
      <c r="E429">
        <f t="shared" ca="1" si="126"/>
        <v>700433283.3599999</v>
      </c>
      <c r="F429">
        <f ca="1">SUM($E$2:E429)/SUM($D$2:D429)</f>
        <v>219.51066499430223</v>
      </c>
      <c r="G429">
        <f ca="1">_xlfn.STDEV.P($C$2:C429)</f>
        <v>35.881040630700618</v>
      </c>
      <c r="H429">
        <f t="shared" ca="1" si="127"/>
        <v>255.39170562500286</v>
      </c>
      <c r="I429">
        <f t="shared" ca="1" si="128"/>
        <v>183.62962436360161</v>
      </c>
      <c r="J429">
        <f t="shared" ca="1" si="137"/>
        <v>247.95199999999994</v>
      </c>
      <c r="K429">
        <f t="shared" ca="1" si="138"/>
        <v>6.9468391903686708</v>
      </c>
      <c r="L429">
        <f t="shared" ca="1" si="139"/>
        <v>261.8456783807373</v>
      </c>
      <c r="M429">
        <f t="shared" ca="1" si="140"/>
        <v>234.05832161926259</v>
      </c>
      <c r="N429">
        <f t="shared" ca="1" si="129"/>
        <v>1.2799999999999727</v>
      </c>
      <c r="O429">
        <f t="shared" ca="1" si="130"/>
        <v>1.2799999999999727</v>
      </c>
      <c r="P429">
        <f t="shared" ca="1" si="131"/>
        <v>0</v>
      </c>
      <c r="Q429">
        <f t="shared" ca="1" si="135"/>
        <v>1.5548477773342257</v>
      </c>
      <c r="R429">
        <f t="shared" ca="1" si="136"/>
        <v>1.1044641857764659</v>
      </c>
      <c r="S429">
        <f t="shared" ca="1" si="133"/>
        <v>1.4077846953825206</v>
      </c>
      <c r="T429">
        <f t="shared" ca="1" si="134"/>
        <v>58.468047333396157</v>
      </c>
      <c r="U429">
        <f>70</f>
        <v>70</v>
      </c>
      <c r="V429">
        <f>30</f>
        <v>30</v>
      </c>
      <c r="W429">
        <f t="shared" ca="1" si="132"/>
        <v>252.80764303073633</v>
      </c>
      <c r="X429">
        <f t="shared" ca="1" si="142"/>
        <v>251.56382423342427</v>
      </c>
      <c r="Y429">
        <f t="shared" ca="1" si="141"/>
        <v>1.6520430320963158</v>
      </c>
      <c r="Z429">
        <f t="shared" ca="1" si="143"/>
        <v>-0.37688652370712361</v>
      </c>
      <c r="AA429">
        <f t="shared" ca="1" si="144"/>
        <v>2.0289295558034395</v>
      </c>
      <c r="AB429">
        <f t="shared" ca="1" si="145"/>
        <v>261.98219999999992</v>
      </c>
    </row>
    <row r="430" spans="1:28" x14ac:dyDescent="0.25">
      <c r="A430" s="20">
        <f t="shared" ca="1" si="125"/>
        <v>45915</v>
      </c>
      <c r="B430" vm="1279">
        <f ca="1"/>
        <v>45917</v>
      </c>
      <c r="C430" vm="1280">
        <f ca="1"/>
        <v>259.08</v>
      </c>
      <c r="D430" vm="1281">
        <f ca="1"/>
        <v>3974785</v>
      </c>
      <c r="E430">
        <f t="shared" ca="1" si="126"/>
        <v>1029787297.8</v>
      </c>
      <c r="F430">
        <f ca="1">SUM($E$2:E430)/SUM($D$2:D430)</f>
        <v>219.59410467011847</v>
      </c>
      <c r="G430">
        <f ca="1">_xlfn.STDEV.P($C$2:C430)</f>
        <v>35.892389601033912</v>
      </c>
      <c r="H430">
        <f t="shared" ca="1" si="127"/>
        <v>255.48649427115237</v>
      </c>
      <c r="I430">
        <f t="shared" ca="1" si="128"/>
        <v>183.70171506908457</v>
      </c>
      <c r="J430">
        <f t="shared" ca="1" si="137"/>
        <v>248.84200000000001</v>
      </c>
      <c r="K430">
        <f t="shared" ca="1" si="138"/>
        <v>7.1832690109872992</v>
      </c>
      <c r="L430">
        <f t="shared" ca="1" si="139"/>
        <v>263.20853802197462</v>
      </c>
      <c r="M430">
        <f t="shared" ca="1" si="140"/>
        <v>234.47546197802541</v>
      </c>
      <c r="N430">
        <f t="shared" ca="1" si="129"/>
        <v>1.5600000000000023</v>
      </c>
      <c r="O430">
        <f t="shared" ca="1" si="130"/>
        <v>1.5600000000000023</v>
      </c>
      <c r="P430">
        <f t="shared" ca="1" si="131"/>
        <v>0</v>
      </c>
      <c r="Q430">
        <f t="shared" ca="1" si="135"/>
        <v>1.5552157932389241</v>
      </c>
      <c r="R430">
        <f t="shared" ca="1" si="136"/>
        <v>1.0255738867924327</v>
      </c>
      <c r="S430">
        <f t="shared" ca="1" si="133"/>
        <v>1.5164346647933777</v>
      </c>
      <c r="T430">
        <f t="shared" ca="1" si="134"/>
        <v>60.261237297726183</v>
      </c>
      <c r="U430">
        <f>70</f>
        <v>70</v>
      </c>
      <c r="V430">
        <f>30</f>
        <v>30</v>
      </c>
      <c r="W430">
        <f t="shared" ca="1" si="132"/>
        <v>253.77262102600767</v>
      </c>
      <c r="X430">
        <f t="shared" ca="1" si="142"/>
        <v>252.12057799391135</v>
      </c>
      <c r="Y430">
        <f t="shared" ca="1" si="141"/>
        <v>2.4253008453079588</v>
      </c>
      <c r="Z430">
        <f t="shared" ca="1" si="143"/>
        <v>0.18355095009589284</v>
      </c>
      <c r="AA430">
        <f t="shared" ca="1" si="144"/>
        <v>2.2417498952120658</v>
      </c>
      <c r="AB430">
        <f t="shared" ca="1" si="145"/>
        <v>262.27969999999999</v>
      </c>
    </row>
    <row r="431" spans="1:28" x14ac:dyDescent="0.25">
      <c r="A431" s="20">
        <f t="shared" ca="1" si="125"/>
        <v>45915</v>
      </c>
      <c r="B431" vm="1282">
        <f ca="1"/>
        <v>45918</v>
      </c>
      <c r="C431" vm="1283">
        <f ca="1"/>
        <v>265</v>
      </c>
      <c r="D431" vm="1284">
        <f ca="1"/>
        <v>4988421</v>
      </c>
      <c r="E431">
        <f t="shared" ca="1" si="126"/>
        <v>1321931565</v>
      </c>
      <c r="F431">
        <f ca="1">SUM($E$2:E431)/SUM($D$2:D431)</f>
        <v>219.71395182740054</v>
      </c>
      <c r="G431">
        <f ca="1">_xlfn.STDEV.P($C$2:C431)</f>
        <v>35.920024211184774</v>
      </c>
      <c r="H431">
        <f t="shared" ca="1" si="127"/>
        <v>255.6339760385853</v>
      </c>
      <c r="I431">
        <f t="shared" ca="1" si="128"/>
        <v>183.79392761621577</v>
      </c>
      <c r="J431">
        <f t="shared" ca="1" si="137"/>
        <v>249.96450000000004</v>
      </c>
      <c r="K431">
        <f t="shared" ca="1" si="138"/>
        <v>7.8695926966092893</v>
      </c>
      <c r="L431">
        <f t="shared" ca="1" si="139"/>
        <v>265.70368539321862</v>
      </c>
      <c r="M431">
        <f t="shared" ca="1" si="140"/>
        <v>234.22531460678147</v>
      </c>
      <c r="N431">
        <f t="shared" ca="1" si="129"/>
        <v>5.9200000000000159</v>
      </c>
      <c r="O431">
        <f t="shared" ca="1" si="130"/>
        <v>5.9200000000000159</v>
      </c>
      <c r="P431">
        <f t="shared" ca="1" si="131"/>
        <v>0</v>
      </c>
      <c r="Q431">
        <f t="shared" ca="1" si="135"/>
        <v>1.8669860937218592</v>
      </c>
      <c r="R431">
        <f t="shared" ca="1" si="136"/>
        <v>0.9523186091644017</v>
      </c>
      <c r="S431">
        <f t="shared" ca="1" si="133"/>
        <v>1.9604637311036266</v>
      </c>
      <c r="T431">
        <f t="shared" ca="1" si="134"/>
        <v>66.221508154494046</v>
      </c>
      <c r="U431">
        <f>70</f>
        <v>70</v>
      </c>
      <c r="V431">
        <f>30</f>
        <v>30</v>
      </c>
      <c r="W431">
        <f t="shared" ca="1" si="132"/>
        <v>255.49991009892958</v>
      </c>
      <c r="X431">
        <f t="shared" ca="1" si="142"/>
        <v>253.07460925362162</v>
      </c>
      <c r="Y431">
        <f t="shared" ca="1" si="141"/>
        <v>3.1151717719517364</v>
      </c>
      <c r="Z431">
        <f t="shared" ca="1" si="143"/>
        <v>0.76987511446706169</v>
      </c>
      <c r="AA431">
        <f t="shared" ca="1" si="144"/>
        <v>2.345296657484675</v>
      </c>
      <c r="AB431">
        <f t="shared" ca="1" si="145"/>
        <v>262.60559999999998</v>
      </c>
    </row>
    <row r="432" spans="1:28" x14ac:dyDescent="0.25">
      <c r="A432" s="20">
        <f t="shared" ca="1" si="125"/>
        <v>45915</v>
      </c>
      <c r="B432" vm="1285">
        <f ca="1"/>
        <v>45919</v>
      </c>
      <c r="C432" vm="1286">
        <f ca="1"/>
        <v>266.39999999999998</v>
      </c>
      <c r="D432" vm="1287">
        <f ca="1"/>
        <v>9858112</v>
      </c>
      <c r="E432">
        <f t="shared" ca="1" si="126"/>
        <v>2626201036.7999997</v>
      </c>
      <c r="F432">
        <f ca="1">SUM($E$2:E432)/SUM($D$2:D432)</f>
        <v>219.95620742429557</v>
      </c>
      <c r="G432">
        <f ca="1">_xlfn.STDEV.P($C$2:C432)</f>
        <v>35.951418800483154</v>
      </c>
      <c r="H432">
        <f t="shared" ca="1" si="127"/>
        <v>255.90762622477871</v>
      </c>
      <c r="I432">
        <f t="shared" ca="1" si="128"/>
        <v>184.00478862381243</v>
      </c>
      <c r="J432">
        <f t="shared" ca="1" si="137"/>
        <v>251.31450000000004</v>
      </c>
      <c r="K432">
        <f t="shared" ca="1" si="138"/>
        <v>8.2677123896453164</v>
      </c>
      <c r="L432">
        <f t="shared" ca="1" si="139"/>
        <v>267.84992477929069</v>
      </c>
      <c r="M432">
        <f t="shared" ca="1" si="140"/>
        <v>234.77907522070942</v>
      </c>
      <c r="N432">
        <f t="shared" ca="1" si="129"/>
        <v>1.3999999999999773</v>
      </c>
      <c r="O432">
        <f t="shared" ca="1" si="130"/>
        <v>1.3999999999999773</v>
      </c>
      <c r="P432">
        <f t="shared" ca="1" si="131"/>
        <v>0</v>
      </c>
      <c r="Q432">
        <f t="shared" ca="1" si="135"/>
        <v>1.8336299441702961</v>
      </c>
      <c r="R432">
        <f t="shared" ca="1" si="136"/>
        <v>0.88429585136694444</v>
      </c>
      <c r="S432">
        <f t="shared" ca="1" si="133"/>
        <v>2.0735480567231783</v>
      </c>
      <c r="T432">
        <f t="shared" ca="1" si="134"/>
        <v>67.464312203852884</v>
      </c>
      <c r="U432">
        <f>70</f>
        <v>70</v>
      </c>
      <c r="V432">
        <f>30</f>
        <v>30</v>
      </c>
      <c r="W432">
        <f t="shared" ca="1" si="132"/>
        <v>257.17684700678655</v>
      </c>
      <c r="X432">
        <f t="shared" ca="1" si="142"/>
        <v>254.06167523483481</v>
      </c>
      <c r="Y432">
        <f t="shared" ca="1" si="141"/>
        <v>4.016635640154675</v>
      </c>
      <c r="Z432">
        <f t="shared" ca="1" si="143"/>
        <v>1.4192272196045845</v>
      </c>
      <c r="AA432">
        <f t="shared" ca="1" si="144"/>
        <v>2.5974084205500905</v>
      </c>
      <c r="AB432">
        <f t="shared" ca="1" si="145"/>
        <v>262.90800000000002</v>
      </c>
    </row>
    <row r="433" spans="1:28" x14ac:dyDescent="0.25">
      <c r="A433" s="20">
        <f t="shared" ca="1" si="125"/>
        <v>45922</v>
      </c>
      <c r="B433" vm="1288">
        <f ca="1"/>
        <v>45922</v>
      </c>
      <c r="C433" vm="1289">
        <f ca="1"/>
        <v>271.37</v>
      </c>
      <c r="D433" vm="1290">
        <f ca="1"/>
        <v>5030540</v>
      </c>
      <c r="E433">
        <f t="shared" ca="1" si="126"/>
        <v>1365137639.8</v>
      </c>
      <c r="F433">
        <f ca="1">SUM($E$2:E433)/SUM($D$2:D433)</f>
        <v>220.09198834244577</v>
      </c>
      <c r="G433">
        <f ca="1">_xlfn.STDEV.P($C$2:C433)</f>
        <v>35.998249252238693</v>
      </c>
      <c r="H433">
        <f t="shared" ca="1" si="127"/>
        <v>256.09023759468448</v>
      </c>
      <c r="I433">
        <f t="shared" ca="1" si="128"/>
        <v>184.09373909020707</v>
      </c>
      <c r="J433">
        <f t="shared" ca="1" si="137"/>
        <v>252.77850000000004</v>
      </c>
      <c r="K433">
        <f t="shared" ca="1" si="138"/>
        <v>9.0989069759996273</v>
      </c>
      <c r="L433">
        <f t="shared" ca="1" si="139"/>
        <v>270.97631395199932</v>
      </c>
      <c r="M433">
        <f t="shared" ca="1" si="140"/>
        <v>234.58068604800079</v>
      </c>
      <c r="N433">
        <f t="shared" ca="1" si="129"/>
        <v>4.9700000000000273</v>
      </c>
      <c r="O433">
        <f t="shared" ca="1" si="130"/>
        <v>4.9700000000000273</v>
      </c>
      <c r="P433">
        <f t="shared" ca="1" si="131"/>
        <v>0</v>
      </c>
      <c r="Q433">
        <f t="shared" ca="1" si="135"/>
        <v>2.0576563767295624</v>
      </c>
      <c r="R433">
        <f t="shared" ca="1" si="136"/>
        <v>0.82113186198359134</v>
      </c>
      <c r="S433">
        <f t="shared" ca="1" si="133"/>
        <v>2.5058781323610124</v>
      </c>
      <c r="T433">
        <f t="shared" ca="1" si="134"/>
        <v>71.476475728876636</v>
      </c>
      <c r="U433">
        <f>70</f>
        <v>70</v>
      </c>
      <c r="V433">
        <f>30</f>
        <v>30</v>
      </c>
      <c r="W433">
        <f t="shared" ca="1" si="132"/>
        <v>259.36040900574244</v>
      </c>
      <c r="X433">
        <f t="shared" ca="1" si="142"/>
        <v>255.34377336558777</v>
      </c>
      <c r="Y433">
        <f t="shared" ca="1" si="141"/>
        <v>4.7465388344429584</v>
      </c>
      <c r="Z433">
        <f t="shared" ca="1" si="143"/>
        <v>2.0846895425722596</v>
      </c>
      <c r="AA433">
        <f t="shared" ca="1" si="144"/>
        <v>2.6618492918706989</v>
      </c>
      <c r="AB433">
        <f t="shared" ca="1" si="145"/>
        <v>263.2278</v>
      </c>
    </row>
    <row r="434" spans="1:28" x14ac:dyDescent="0.25">
      <c r="A434" s="20">
        <f t="shared" ca="1" si="125"/>
        <v>45922</v>
      </c>
      <c r="B434" vm="1291">
        <f ca="1"/>
        <v>45923</v>
      </c>
      <c r="C434" vm="1292">
        <f ca="1"/>
        <v>272.24</v>
      </c>
      <c r="D434" vm="1293">
        <f ca="1"/>
        <v>5394121</v>
      </c>
      <c r="E434">
        <f t="shared" ca="1" si="126"/>
        <v>1468495501.04</v>
      </c>
      <c r="F434">
        <f ca="1">SUM($E$2:E434)/SUM($D$2:D434)</f>
        <v>220.2392449621986</v>
      </c>
      <c r="G434">
        <f ca="1">_xlfn.STDEV.P($C$2:C434)</f>
        <v>36.047332476018923</v>
      </c>
      <c r="H434">
        <f t="shared" ca="1" si="127"/>
        <v>256.28657743821753</v>
      </c>
      <c r="I434">
        <f t="shared" ca="1" si="128"/>
        <v>184.19191248617966</v>
      </c>
      <c r="J434">
        <f t="shared" ca="1" si="137"/>
        <v>254.41900000000001</v>
      </c>
      <c r="K434">
        <f t="shared" ca="1" si="138"/>
        <v>9.5138535554045713</v>
      </c>
      <c r="L434">
        <f t="shared" ca="1" si="139"/>
        <v>273.44670711080914</v>
      </c>
      <c r="M434">
        <f t="shared" ca="1" si="140"/>
        <v>235.39129288919088</v>
      </c>
      <c r="N434">
        <f t="shared" ca="1" si="129"/>
        <v>0.87000000000000455</v>
      </c>
      <c r="O434">
        <f t="shared" ca="1" si="130"/>
        <v>0.87000000000000455</v>
      </c>
      <c r="P434">
        <f t="shared" ca="1" si="131"/>
        <v>0</v>
      </c>
      <c r="Q434">
        <f t="shared" ca="1" si="135"/>
        <v>1.9728237783917368</v>
      </c>
      <c r="R434">
        <f t="shared" ca="1" si="136"/>
        <v>0.76247958612762046</v>
      </c>
      <c r="S434">
        <f t="shared" ca="1" si="133"/>
        <v>2.5873791433696618</v>
      </c>
      <c r="T434">
        <f t="shared" ca="1" si="134"/>
        <v>72.12449646287763</v>
      </c>
      <c r="U434">
        <f>70</f>
        <v>70</v>
      </c>
      <c r="V434">
        <f>30</f>
        <v>30</v>
      </c>
      <c r="W434">
        <f t="shared" ca="1" si="132"/>
        <v>261.34188454332053</v>
      </c>
      <c r="X434">
        <f t="shared" ca="1" si="142"/>
        <v>256.59534570887757</v>
      </c>
      <c r="Y434">
        <f t="shared" ca="1" si="141"/>
        <v>4.8885822050740444</v>
      </c>
      <c r="Z434">
        <f t="shared" ca="1" si="143"/>
        <v>2.6454680750726167</v>
      </c>
      <c r="AA434">
        <f t="shared" ca="1" si="144"/>
        <v>2.2431141300014277</v>
      </c>
      <c r="AB434">
        <f t="shared" ca="1" si="145"/>
        <v>263.53199999999998</v>
      </c>
    </row>
    <row r="435" spans="1:28" x14ac:dyDescent="0.25">
      <c r="A435" s="20">
        <f t="shared" ca="1" si="125"/>
        <v>45922</v>
      </c>
      <c r="B435" vm="1294">
        <f ca="1"/>
        <v>45924</v>
      </c>
      <c r="C435" vm="1295">
        <f ca="1"/>
        <v>267.52999999999997</v>
      </c>
      <c r="D435" vm="1296">
        <f ca="1"/>
        <v>3159924</v>
      </c>
      <c r="E435">
        <f t="shared" ca="1" si="126"/>
        <v>845374467.71999991</v>
      </c>
      <c r="F435">
        <f ca="1">SUM($E$2:E435)/SUM($D$2:D435)</f>
        <v>220.31734503696859</v>
      </c>
      <c r="G435">
        <f ca="1">_xlfn.STDEV.P($C$2:C435)</f>
        <v>36.080479761889229</v>
      </c>
      <c r="H435">
        <f t="shared" ca="1" si="127"/>
        <v>256.39782479885781</v>
      </c>
      <c r="I435">
        <f t="shared" ca="1" si="128"/>
        <v>184.23686527507937</v>
      </c>
      <c r="J435">
        <f t="shared" ca="1" si="137"/>
        <v>255.66399999999999</v>
      </c>
      <c r="K435">
        <f t="shared" ca="1" si="138"/>
        <v>9.519155424721248</v>
      </c>
      <c r="L435">
        <f t="shared" ca="1" si="139"/>
        <v>274.70231084944248</v>
      </c>
      <c r="M435">
        <f t="shared" ca="1" si="140"/>
        <v>236.62568915055749</v>
      </c>
      <c r="N435">
        <f t="shared" ca="1" si="129"/>
        <v>-4.7100000000000364</v>
      </c>
      <c r="O435">
        <f t="shared" ca="1" si="130"/>
        <v>0</v>
      </c>
      <c r="P435">
        <f t="shared" ca="1" si="131"/>
        <v>4.7100000000000364</v>
      </c>
      <c r="Q435">
        <f t="shared" ca="1" si="135"/>
        <v>1.8319077942208983</v>
      </c>
      <c r="R435">
        <f t="shared" ca="1" si="136"/>
        <v>1.0444453299756502</v>
      </c>
      <c r="S435">
        <f t="shared" ca="1" si="133"/>
        <v>1.7539527839754012</v>
      </c>
      <c r="T435">
        <f t="shared" ca="1" si="134"/>
        <v>63.688556832972473</v>
      </c>
      <c r="U435">
        <f>70</f>
        <v>70</v>
      </c>
      <c r="V435">
        <f>30</f>
        <v>30</v>
      </c>
      <c r="W435">
        <f t="shared" ca="1" si="132"/>
        <v>262.2939023058866</v>
      </c>
      <c r="X435">
        <f t="shared" ca="1" si="142"/>
        <v>257.40532010081256</v>
      </c>
      <c r="Y435">
        <f t="shared" ca="1" si="141"/>
        <v>6.0537890372770562</v>
      </c>
      <c r="Z435">
        <f t="shared" ca="1" si="143"/>
        <v>3.3271322675135044</v>
      </c>
      <c r="AA435">
        <f t="shared" ca="1" si="144"/>
        <v>2.7266567697635518</v>
      </c>
      <c r="AB435">
        <f t="shared" ca="1" si="145"/>
        <v>263.8107</v>
      </c>
    </row>
    <row r="436" spans="1:28" x14ac:dyDescent="0.25">
      <c r="A436" s="20">
        <f t="shared" ca="1" si="125"/>
        <v>45922</v>
      </c>
      <c r="B436" vm="1297">
        <f ca="1"/>
        <v>45925</v>
      </c>
      <c r="C436" vm="1298">
        <f ca="1"/>
        <v>281.44</v>
      </c>
      <c r="D436" vm="1299">
        <f ca="1"/>
        <v>11506192</v>
      </c>
      <c r="E436">
        <f t="shared" ca="1" si="126"/>
        <v>3238302676.48</v>
      </c>
      <c r="F436">
        <f ca="1">SUM($E$2:E436)/SUM($D$2:D436)</f>
        <v>220.68271140275965</v>
      </c>
      <c r="G436">
        <f ca="1">_xlfn.STDEV.P($C$2:C436)</f>
        <v>36.161872249151038</v>
      </c>
      <c r="H436">
        <f t="shared" ca="1" si="127"/>
        <v>256.84458365191068</v>
      </c>
      <c r="I436">
        <f t="shared" ca="1" si="128"/>
        <v>184.52083915360862</v>
      </c>
      <c r="J436">
        <f t="shared" ca="1" si="137"/>
        <v>257.49399999999997</v>
      </c>
      <c r="K436">
        <f t="shared" ca="1" si="138"/>
        <v>10.765288467545757</v>
      </c>
      <c r="L436">
        <f t="shared" ca="1" si="139"/>
        <v>279.02457693509149</v>
      </c>
      <c r="M436">
        <f t="shared" ca="1" si="140"/>
        <v>235.96342306490845</v>
      </c>
      <c r="N436">
        <f t="shared" ca="1" si="129"/>
        <v>13.910000000000025</v>
      </c>
      <c r="O436">
        <f t="shared" ca="1" si="130"/>
        <v>13.910000000000025</v>
      </c>
      <c r="P436">
        <f t="shared" ca="1" si="131"/>
        <v>0</v>
      </c>
      <c r="Q436">
        <f t="shared" ca="1" si="135"/>
        <v>2.6946286660622647</v>
      </c>
      <c r="R436">
        <f t="shared" ca="1" si="136"/>
        <v>0.96984209212024663</v>
      </c>
      <c r="S436">
        <f t="shared" ca="1" si="133"/>
        <v>2.7784200004882535</v>
      </c>
      <c r="T436">
        <f t="shared" ca="1" si="134"/>
        <v>73.533911003255895</v>
      </c>
      <c r="U436">
        <f>70</f>
        <v>70</v>
      </c>
      <c r="V436">
        <f>30</f>
        <v>30</v>
      </c>
      <c r="W436">
        <f t="shared" ca="1" si="132"/>
        <v>265.23945579728866</v>
      </c>
      <c r="X436">
        <f t="shared" ca="1" si="142"/>
        <v>259.1856667600116</v>
      </c>
      <c r="Y436">
        <f t="shared" ca="1" si="141"/>
        <v>7.1266571931366229</v>
      </c>
      <c r="Z436">
        <f t="shared" ca="1" si="143"/>
        <v>4.0870372526381278</v>
      </c>
      <c r="AA436">
        <f t="shared" ca="1" si="144"/>
        <v>3.0396199404984952</v>
      </c>
      <c r="AB436">
        <f t="shared" ca="1" si="145"/>
        <v>264.1696</v>
      </c>
    </row>
    <row r="437" spans="1:28" x14ac:dyDescent="0.25">
      <c r="A437" s="20">
        <f t="shared" ca="1" si="125"/>
        <v>45922</v>
      </c>
      <c r="B437" vm="1300">
        <f ca="1"/>
        <v>45926</v>
      </c>
      <c r="C437" vm="1301">
        <f ca="1"/>
        <v>284.31</v>
      </c>
      <c r="D437" vm="1302">
        <f ca="1"/>
        <v>9063938</v>
      </c>
      <c r="E437">
        <f t="shared" ca="1" si="126"/>
        <v>2576968212.7800002</v>
      </c>
      <c r="F437">
        <f ca="1">SUM($E$2:E437)/SUM($D$2:D437)</f>
        <v>220.98091636670037</v>
      </c>
      <c r="G437">
        <f ca="1">_xlfn.STDEV.P($C$2:C437)</f>
        <v>36.253652738047066</v>
      </c>
      <c r="H437">
        <f t="shared" ca="1" si="127"/>
        <v>257.23456910474744</v>
      </c>
      <c r="I437">
        <f t="shared" ca="1" si="128"/>
        <v>184.7272636286533</v>
      </c>
      <c r="J437">
        <f t="shared" ca="1" si="137"/>
        <v>259.423</v>
      </c>
      <c r="K437">
        <f t="shared" ca="1" si="138"/>
        <v>11.938929291673475</v>
      </c>
      <c r="L437">
        <f t="shared" ca="1" si="139"/>
        <v>283.30085858334695</v>
      </c>
      <c r="M437">
        <f t="shared" ca="1" si="140"/>
        <v>235.54514141665305</v>
      </c>
      <c r="N437">
        <f t="shared" ca="1" si="129"/>
        <v>2.8700000000000045</v>
      </c>
      <c r="O437">
        <f t="shared" ca="1" si="130"/>
        <v>2.8700000000000045</v>
      </c>
      <c r="P437">
        <f t="shared" ca="1" si="131"/>
        <v>0</v>
      </c>
      <c r="Q437">
        <f t="shared" ca="1" si="135"/>
        <v>2.7071551899149604</v>
      </c>
      <c r="R437">
        <f t="shared" ca="1" si="136"/>
        <v>0.90056765696880048</v>
      </c>
      <c r="S437">
        <f t="shared" ca="1" si="133"/>
        <v>3.0060542025536541</v>
      </c>
      <c r="T437">
        <f t="shared" ca="1" si="134"/>
        <v>75.037781581623349</v>
      </c>
      <c r="U437">
        <f>70</f>
        <v>70</v>
      </c>
      <c r="V437">
        <f>30</f>
        <v>30</v>
      </c>
      <c r="W437">
        <f t="shared" ca="1" si="132"/>
        <v>268.17338567462883</v>
      </c>
      <c r="X437">
        <f t="shared" ca="1" si="142"/>
        <v>261.04672848149221</v>
      </c>
      <c r="Y437">
        <f t="shared" ca="1" si="141"/>
        <v>7.5262358657544155</v>
      </c>
      <c r="Z437">
        <f t="shared" ca="1" si="143"/>
        <v>4.7748769752613853</v>
      </c>
      <c r="AA437">
        <f t="shared" ca="1" si="144"/>
        <v>2.7513588904930302</v>
      </c>
      <c r="AB437">
        <f t="shared" ca="1" si="145"/>
        <v>264.52089999999998</v>
      </c>
    </row>
    <row r="438" spans="1:28" x14ac:dyDescent="0.25">
      <c r="A438" s="20">
        <f t="shared" ca="1" si="125"/>
        <v>45929</v>
      </c>
      <c r="B438" vm="1303">
        <f ca="1"/>
        <v>45929</v>
      </c>
      <c r="C438" vm="1304">
        <f ca="1"/>
        <v>279.8</v>
      </c>
      <c r="D438" vm="1305">
        <f ca="1"/>
        <v>6022125</v>
      </c>
      <c r="E438">
        <f t="shared" ca="1" si="126"/>
        <v>1684990575</v>
      </c>
      <c r="F438">
        <f ca="1">SUM($E$2:E438)/SUM($D$2:D438)</f>
        <v>221.16350439479589</v>
      </c>
      <c r="G438">
        <f ca="1">_xlfn.STDEV.P($C$2:C438)</f>
        <v>36.326460002021982</v>
      </c>
      <c r="H438">
        <f t="shared" ca="1" si="127"/>
        <v>257.48996439681787</v>
      </c>
      <c r="I438">
        <f t="shared" ca="1" si="128"/>
        <v>184.83704439277392</v>
      </c>
      <c r="J438">
        <f t="shared" ca="1" si="137"/>
        <v>261.23849999999999</v>
      </c>
      <c r="K438">
        <f t="shared" ca="1" si="138"/>
        <v>12.147478523285574</v>
      </c>
      <c r="L438">
        <f t="shared" ca="1" si="139"/>
        <v>285.53345704657113</v>
      </c>
      <c r="M438">
        <f t="shared" ca="1" si="140"/>
        <v>236.94354295342885</v>
      </c>
      <c r="N438">
        <f t="shared" ca="1" si="129"/>
        <v>-4.5099999999999909</v>
      </c>
      <c r="O438">
        <f t="shared" ca="1" si="130"/>
        <v>0</v>
      </c>
      <c r="P438">
        <f t="shared" ca="1" si="131"/>
        <v>4.5099999999999909</v>
      </c>
      <c r="Q438">
        <f t="shared" ca="1" si="135"/>
        <v>2.5137869620638917</v>
      </c>
      <c r="R438">
        <f t="shared" ca="1" si="136"/>
        <v>1.1583842528995998</v>
      </c>
      <c r="S438">
        <f t="shared" ca="1" si="133"/>
        <v>2.1700803992902418</v>
      </c>
      <c r="T438">
        <f t="shared" ca="1" si="134"/>
        <v>68.455058735296021</v>
      </c>
      <c r="U438">
        <f>70</f>
        <v>70</v>
      </c>
      <c r="V438">
        <f>30</f>
        <v>30</v>
      </c>
      <c r="W438">
        <f t="shared" ca="1" si="132"/>
        <v>269.96209557083978</v>
      </c>
      <c r="X438">
        <f t="shared" ca="1" si="142"/>
        <v>262.43585970508536</v>
      </c>
      <c r="Y438">
        <f t="shared" ca="1" si="141"/>
        <v>7.9417891179107869</v>
      </c>
      <c r="Z438">
        <f t="shared" ca="1" si="143"/>
        <v>5.4082594037912664</v>
      </c>
      <c r="AA438">
        <f t="shared" ca="1" si="144"/>
        <v>2.5335297141195205</v>
      </c>
      <c r="AB438">
        <f t="shared" ca="1" si="145"/>
        <v>264.82769999999999</v>
      </c>
    </row>
    <row r="439" spans="1:28" x14ac:dyDescent="0.25">
      <c r="A439" s="20">
        <f t="shared" ca="1" si="125"/>
        <v>45929</v>
      </c>
      <c r="B439" vm="1306">
        <f ca="1"/>
        <v>45930</v>
      </c>
      <c r="C439" vm="1307">
        <f ca="1"/>
        <v>282.16000000000003</v>
      </c>
      <c r="D439" vm="1308">
        <f ca="1"/>
        <v>5926924</v>
      </c>
      <c r="E439">
        <f t="shared" ca="1" si="126"/>
        <v>1672340875.8400002</v>
      </c>
      <c r="F439">
        <f ca="1">SUM($E$2:E439)/SUM($D$2:D439)</f>
        <v>221.34929070340709</v>
      </c>
      <c r="G439">
        <f ca="1">_xlfn.STDEV.P($C$2:C439)</f>
        <v>36.407324884935534</v>
      </c>
      <c r="H439">
        <f t="shared" ca="1" si="127"/>
        <v>257.75661558834264</v>
      </c>
      <c r="I439">
        <f t="shared" ca="1" si="128"/>
        <v>184.94196581847154</v>
      </c>
      <c r="J439">
        <f t="shared" ca="1" si="137"/>
        <v>263.27149999999995</v>
      </c>
      <c r="K439">
        <f t="shared" ca="1" si="138"/>
        <v>12.072374848126788</v>
      </c>
      <c r="L439">
        <f t="shared" ca="1" si="139"/>
        <v>287.41624969625354</v>
      </c>
      <c r="M439">
        <f t="shared" ca="1" si="140"/>
        <v>239.12675030374638</v>
      </c>
      <c r="N439">
        <f t="shared" ca="1" si="129"/>
        <v>2.3600000000000136</v>
      </c>
      <c r="O439">
        <f t="shared" ca="1" si="130"/>
        <v>2.3600000000000136</v>
      </c>
      <c r="P439">
        <f t="shared" ca="1" si="131"/>
        <v>0</v>
      </c>
      <c r="Q439">
        <f t="shared" ca="1" si="135"/>
        <v>2.5028021790593291</v>
      </c>
      <c r="R439">
        <f t="shared" ca="1" si="136"/>
        <v>1.0756425205496283</v>
      </c>
      <c r="S439">
        <f t="shared" ca="1" si="133"/>
        <v>2.3267973618042315</v>
      </c>
      <c r="T439">
        <f t="shared" ca="1" si="134"/>
        <v>69.941060688539579</v>
      </c>
      <c r="U439">
        <f>70</f>
        <v>70</v>
      </c>
      <c r="V439">
        <f>30</f>
        <v>30</v>
      </c>
      <c r="W439">
        <f t="shared" ca="1" si="132"/>
        <v>271.83869625224906</v>
      </c>
      <c r="X439">
        <f t="shared" ca="1" si="142"/>
        <v>263.89690713433828</v>
      </c>
      <c r="Y439">
        <f t="shared" ca="1" si="141"/>
        <v>8.5222734138405372</v>
      </c>
      <c r="Z439">
        <f t="shared" ca="1" si="143"/>
        <v>6.0310622058011205</v>
      </c>
      <c r="AA439">
        <f t="shared" ca="1" si="144"/>
        <v>2.4912112080394166</v>
      </c>
      <c r="AB439">
        <f t="shared" ca="1" si="145"/>
        <v>265.11560000000003</v>
      </c>
    </row>
    <row r="440" spans="1:28" x14ac:dyDescent="0.25">
      <c r="A440" s="20">
        <f t="shared" ca="1" si="125"/>
        <v>45929</v>
      </c>
      <c r="B440" vm="1309">
        <f ca="1"/>
        <v>45931</v>
      </c>
      <c r="C440" vm="1310">
        <f ca="1"/>
        <v>286.49</v>
      </c>
      <c r="D440" vm="1311">
        <f ca="1"/>
        <v>4381338</v>
      </c>
      <c r="E440">
        <f t="shared" ca="1" si="126"/>
        <v>1255209523.6200001</v>
      </c>
      <c r="F440">
        <f ca="1">SUM($E$2:E440)/SUM($D$2:D440)</f>
        <v>221.49563033502247</v>
      </c>
      <c r="G440">
        <f ca="1">_xlfn.STDEV.P($C$2:C440)</f>
        <v>36.504483991353382</v>
      </c>
      <c r="H440">
        <f t="shared" ca="1" si="127"/>
        <v>258.00011432637586</v>
      </c>
      <c r="I440">
        <f t="shared" ca="1" si="128"/>
        <v>184.99114634366907</v>
      </c>
      <c r="J440">
        <f t="shared" ca="1" si="137"/>
        <v>265.39099999999996</v>
      </c>
      <c r="K440">
        <f t="shared" ca="1" si="138"/>
        <v>12.249187255530577</v>
      </c>
      <c r="L440">
        <f t="shared" ca="1" si="139"/>
        <v>289.88937451106113</v>
      </c>
      <c r="M440">
        <f t="shared" ca="1" si="140"/>
        <v>240.89262548893882</v>
      </c>
      <c r="N440">
        <f t="shared" ca="1" si="129"/>
        <v>4.3299999999999841</v>
      </c>
      <c r="O440">
        <f t="shared" ca="1" si="130"/>
        <v>4.3299999999999841</v>
      </c>
      <c r="P440">
        <f t="shared" ca="1" si="131"/>
        <v>0</v>
      </c>
      <c r="Q440">
        <f t="shared" ca="1" si="135"/>
        <v>2.6333163091265184</v>
      </c>
      <c r="R440">
        <f t="shared" ca="1" si="136"/>
        <v>0.99881091193894045</v>
      </c>
      <c r="S440">
        <f t="shared" ca="1" si="133"/>
        <v>2.6364512818693542</v>
      </c>
      <c r="T440">
        <f t="shared" ca="1" si="134"/>
        <v>72.500662803161774</v>
      </c>
      <c r="U440">
        <f>70</f>
        <v>70</v>
      </c>
      <c r="V440">
        <f>30</f>
        <v>30</v>
      </c>
      <c r="W440">
        <f t="shared" ca="1" si="132"/>
        <v>274.09274298267229</v>
      </c>
      <c r="X440">
        <f t="shared" ca="1" si="142"/>
        <v>265.57046956883175</v>
      </c>
      <c r="Y440">
        <f t="shared" ca="1" si="141"/>
        <v>8.8982964557930018</v>
      </c>
      <c r="Z440">
        <f t="shared" ca="1" si="143"/>
        <v>6.6045090557994968</v>
      </c>
      <c r="AA440">
        <f t="shared" ca="1" si="144"/>
        <v>2.293787399993505</v>
      </c>
      <c r="AB440">
        <f t="shared" ca="1" si="145"/>
        <v>265.43910000000005</v>
      </c>
    </row>
    <row r="441" spans="1:28" x14ac:dyDescent="0.25">
      <c r="A441" s="20">
        <f t="shared" ca="1" si="125"/>
        <v>45929</v>
      </c>
      <c r="B441" vm="1312">
        <f ca="1"/>
        <v>45932</v>
      </c>
      <c r="C441" vm="1313">
        <f ca="1"/>
        <v>286.72000000000003</v>
      </c>
      <c r="D441" vm="1314">
        <f ca="1"/>
        <v>3814232</v>
      </c>
      <c r="E441">
        <f t="shared" ca="1" si="126"/>
        <v>1093616599.0400002</v>
      </c>
      <c r="F441">
        <f ca="1">SUM($E$2:E441)/SUM($D$2:D441)</f>
        <v>221.62294287334134</v>
      </c>
      <c r="G441">
        <f ca="1">_xlfn.STDEV.P($C$2:C441)</f>
        <v>36.601268909770049</v>
      </c>
      <c r="H441">
        <f t="shared" ca="1" si="127"/>
        <v>258.2242117831114</v>
      </c>
      <c r="I441">
        <f t="shared" ca="1" si="128"/>
        <v>185.02167396357129</v>
      </c>
      <c r="J441">
        <f t="shared" ca="1" si="137"/>
        <v>267.36799999999999</v>
      </c>
      <c r="K441">
        <f t="shared" ca="1" si="138"/>
        <v>12.345730819748356</v>
      </c>
      <c r="L441">
        <f t="shared" ca="1" si="139"/>
        <v>292.0594616394967</v>
      </c>
      <c r="M441">
        <f t="shared" ca="1" si="140"/>
        <v>242.67653836050329</v>
      </c>
      <c r="N441">
        <f t="shared" ca="1" si="129"/>
        <v>0.23000000000001819</v>
      </c>
      <c r="O441">
        <f t="shared" ca="1" si="130"/>
        <v>0.23000000000001819</v>
      </c>
      <c r="P441">
        <f t="shared" ca="1" si="131"/>
        <v>0</v>
      </c>
      <c r="Q441">
        <f t="shared" ca="1" si="135"/>
        <v>2.4616508584746257</v>
      </c>
      <c r="R441">
        <f t="shared" ca="1" si="136"/>
        <v>0.92746727537187323</v>
      </c>
      <c r="S441">
        <f t="shared" ca="1" si="133"/>
        <v>2.6541646523189866</v>
      </c>
      <c r="T441">
        <f t="shared" ca="1" si="134"/>
        <v>72.633964390045065</v>
      </c>
      <c r="U441">
        <f>70</f>
        <v>70</v>
      </c>
      <c r="V441">
        <f>30</f>
        <v>30</v>
      </c>
      <c r="W441">
        <f t="shared" ca="1" si="132"/>
        <v>276.03539790841501</v>
      </c>
      <c r="X441">
        <f t="shared" ca="1" si="142"/>
        <v>267.13710145262201</v>
      </c>
      <c r="Y441">
        <f t="shared" ca="1" si="141"/>
        <v>9.2231202470002813</v>
      </c>
      <c r="Z441">
        <f t="shared" ca="1" si="143"/>
        <v>7.1282312940396535</v>
      </c>
      <c r="AA441">
        <f t="shared" ca="1" si="144"/>
        <v>2.0948889529606278</v>
      </c>
      <c r="AB441">
        <f t="shared" ca="1" si="145"/>
        <v>265.81430000000006</v>
      </c>
    </row>
    <row r="442" spans="1:28" x14ac:dyDescent="0.25">
      <c r="A442" s="20">
        <f t="shared" ca="1" si="125"/>
        <v>45929</v>
      </c>
      <c r="B442" vm="1315">
        <f ca="1"/>
        <v>45933</v>
      </c>
      <c r="C442" vm="1316">
        <f ca="1"/>
        <v>288.37</v>
      </c>
      <c r="D442" vm="1317">
        <f ca="1"/>
        <v>4375082</v>
      </c>
      <c r="E442">
        <f t="shared" ca="1" si="126"/>
        <v>1261642396.3399999</v>
      </c>
      <c r="F442">
        <f ca="1">SUM($E$2:E442)/SUM($D$2:D442)</f>
        <v>221.77205097216094</v>
      </c>
      <c r="G442">
        <f ca="1">_xlfn.STDEV.P($C$2:C442)</f>
        <v>36.703596783291921</v>
      </c>
      <c r="H442">
        <f t="shared" ca="1" si="127"/>
        <v>258.47564775545288</v>
      </c>
      <c r="I442">
        <f t="shared" ca="1" si="128"/>
        <v>185.06845418886903</v>
      </c>
      <c r="J442">
        <f t="shared" ca="1" si="137"/>
        <v>269.36</v>
      </c>
      <c r="K442">
        <f t="shared" ca="1" si="138"/>
        <v>12.360328730086012</v>
      </c>
      <c r="L442">
        <f t="shared" ca="1" si="139"/>
        <v>294.08065746017206</v>
      </c>
      <c r="M442">
        <f t="shared" ca="1" si="140"/>
        <v>244.63934253982799</v>
      </c>
      <c r="N442">
        <f t="shared" ca="1" si="129"/>
        <v>1.6499999999999773</v>
      </c>
      <c r="O442">
        <f t="shared" ca="1" si="130"/>
        <v>1.6499999999999773</v>
      </c>
      <c r="P442">
        <f t="shared" ca="1" si="131"/>
        <v>0</v>
      </c>
      <c r="Q442">
        <f t="shared" ca="1" si="135"/>
        <v>2.403675797155008</v>
      </c>
      <c r="R442">
        <f t="shared" ca="1" si="136"/>
        <v>0.86121961284531079</v>
      </c>
      <c r="S442">
        <f t="shared" ca="1" si="133"/>
        <v>2.7910137685017489</v>
      </c>
      <c r="T442">
        <f t="shared" ca="1" si="134"/>
        <v>73.621831492445068</v>
      </c>
      <c r="U442">
        <f>70</f>
        <v>70</v>
      </c>
      <c r="V442">
        <f>30</f>
        <v>30</v>
      </c>
      <c r="W442">
        <f t="shared" ca="1" si="132"/>
        <v>277.93302899942807</v>
      </c>
      <c r="X442">
        <f t="shared" ca="1" si="142"/>
        <v>268.70990875242779</v>
      </c>
      <c r="Y442">
        <f t="shared" ca="1" si="141"/>
        <v>9.4562657216271191</v>
      </c>
      <c r="Z442">
        <f t="shared" ca="1" si="143"/>
        <v>7.5938381795571477</v>
      </c>
      <c r="AA442">
        <f t="shared" ca="1" si="144"/>
        <v>1.8624275420699714</v>
      </c>
      <c r="AB442">
        <f t="shared" ca="1" si="145"/>
        <v>266.16110000000009</v>
      </c>
    </row>
    <row r="443" spans="1:28" x14ac:dyDescent="0.25">
      <c r="A443" s="20">
        <f t="shared" ca="1" si="125"/>
        <v>45936</v>
      </c>
      <c r="B443" vm="1318">
        <f ca="1"/>
        <v>45936</v>
      </c>
      <c r="C443" vm="1319">
        <f ca="1"/>
        <v>289.42</v>
      </c>
      <c r="D443" vm="1320">
        <f ca="1"/>
        <v>2881947</v>
      </c>
      <c r="E443">
        <f t="shared" ca="1" si="126"/>
        <v>834093100.74000001</v>
      </c>
      <c r="F443">
        <f ca="1">SUM($E$2:E443)/SUM($D$2:D443)</f>
        <v>221.87145063921079</v>
      </c>
      <c r="G443">
        <f ca="1">_xlfn.STDEV.P($C$2:C443)</f>
        <v>36.808951602720128</v>
      </c>
      <c r="H443">
        <f t="shared" ca="1" si="127"/>
        <v>258.68040224193089</v>
      </c>
      <c r="I443">
        <f t="shared" ca="1" si="128"/>
        <v>185.06249903649066</v>
      </c>
      <c r="J443">
        <f t="shared" ca="1" si="137"/>
        <v>271.0265</v>
      </c>
      <c r="K443">
        <f t="shared" ca="1" si="138"/>
        <v>12.718703705463408</v>
      </c>
      <c r="L443">
        <f t="shared" ca="1" si="139"/>
        <v>296.46390741092682</v>
      </c>
      <c r="M443">
        <f t="shared" ca="1" si="140"/>
        <v>245.58909258907318</v>
      </c>
      <c r="N443">
        <f t="shared" ca="1" si="129"/>
        <v>1.0500000000000114</v>
      </c>
      <c r="O443">
        <f t="shared" ca="1" si="130"/>
        <v>1.0500000000000114</v>
      </c>
      <c r="P443">
        <f t="shared" ca="1" si="131"/>
        <v>0</v>
      </c>
      <c r="Q443">
        <f t="shared" ca="1" si="135"/>
        <v>2.3069846687867939</v>
      </c>
      <c r="R443">
        <f t="shared" ca="1" si="136"/>
        <v>0.79970392621350295</v>
      </c>
      <c r="S443">
        <f t="shared" ca="1" si="133"/>
        <v>2.8847984774941331</v>
      </c>
      <c r="T443">
        <f t="shared" ca="1" si="134"/>
        <v>74.258639005515562</v>
      </c>
      <c r="U443">
        <f>70</f>
        <v>70</v>
      </c>
      <c r="V443">
        <f>30</f>
        <v>30</v>
      </c>
      <c r="W443">
        <f t="shared" ca="1" si="132"/>
        <v>279.70025530720841</v>
      </c>
      <c r="X443">
        <f t="shared" ca="1" si="142"/>
        <v>270.24398958558129</v>
      </c>
      <c r="Y443">
        <f t="shared" ca="1" si="141"/>
        <v>9.8861515980825629</v>
      </c>
      <c r="Z443">
        <f t="shared" ca="1" si="143"/>
        <v>8.0523008632622322</v>
      </c>
      <c r="AA443">
        <f t="shared" ca="1" si="144"/>
        <v>1.8338507348203308</v>
      </c>
      <c r="AB443">
        <f t="shared" ca="1" si="145"/>
        <v>266.46940000000006</v>
      </c>
    </row>
    <row r="444" spans="1:28" x14ac:dyDescent="0.25">
      <c r="A444" s="20">
        <f t="shared" ca="1" si="125"/>
        <v>45936</v>
      </c>
      <c r="B444" vm="1321">
        <f ca="1"/>
        <v>45937</v>
      </c>
      <c r="C444" vm="1322">
        <f ca="1"/>
        <v>293.87</v>
      </c>
      <c r="D444" vm="1323">
        <f ca="1"/>
        <v>7190126</v>
      </c>
      <c r="E444">
        <f t="shared" ca="1" si="126"/>
        <v>2112962327.6200001</v>
      </c>
      <c r="F444">
        <f ca="1">SUM($E$2:E444)/SUM($D$2:D444)</f>
        <v>222.13442619610063</v>
      </c>
      <c r="G444">
        <f ca="1">_xlfn.STDEV.P($C$2:C444)</f>
        <v>36.932204600593643</v>
      </c>
      <c r="H444">
        <f t="shared" ca="1" si="127"/>
        <v>259.06663079669426</v>
      </c>
      <c r="I444">
        <f t="shared" ca="1" si="128"/>
        <v>185.20222159550698</v>
      </c>
      <c r="J444">
        <f t="shared" ca="1" si="137"/>
        <v>272.76449999999994</v>
      </c>
      <c r="K444">
        <f t="shared" ca="1" si="138"/>
        <v>13.363250264497001</v>
      </c>
      <c r="L444">
        <f t="shared" ca="1" si="139"/>
        <v>299.49100052899394</v>
      </c>
      <c r="M444">
        <f t="shared" ca="1" si="140"/>
        <v>246.03799947100595</v>
      </c>
      <c r="N444">
        <f t="shared" ca="1" si="129"/>
        <v>4.4499999999999886</v>
      </c>
      <c r="O444">
        <f t="shared" ca="1" si="130"/>
        <v>4.4499999999999886</v>
      </c>
      <c r="P444">
        <f t="shared" ca="1" si="131"/>
        <v>0</v>
      </c>
      <c r="Q444">
        <f t="shared" ca="1" si="135"/>
        <v>2.4600571924448791</v>
      </c>
      <c r="R444">
        <f t="shared" ca="1" si="136"/>
        <v>0.74258221719825279</v>
      </c>
      <c r="S444">
        <f t="shared" ca="1" si="133"/>
        <v>3.3128415082798823</v>
      </c>
      <c r="T444">
        <f t="shared" ca="1" si="134"/>
        <v>76.813430354902238</v>
      </c>
      <c r="U444">
        <f>70</f>
        <v>70</v>
      </c>
      <c r="V444">
        <f>30</f>
        <v>30</v>
      </c>
      <c r="W444">
        <f t="shared" ca="1" si="132"/>
        <v>281.88021602917632</v>
      </c>
      <c r="X444">
        <f t="shared" ca="1" si="142"/>
        <v>271.99406443109376</v>
      </c>
      <c r="Y444">
        <f t="shared" ca="1" si="141"/>
        <v>9.7584992038743508</v>
      </c>
      <c r="Z444">
        <f t="shared" ca="1" si="143"/>
        <v>8.3935405313846569</v>
      </c>
      <c r="AA444">
        <f t="shared" ca="1" si="144"/>
        <v>1.3649586724896938</v>
      </c>
      <c r="AB444">
        <f t="shared" ca="1" si="145"/>
        <v>266.82990000000001</v>
      </c>
    </row>
    <row r="445" spans="1:28" x14ac:dyDescent="0.25">
      <c r="A445" s="20">
        <f t="shared" ca="1" si="125"/>
        <v>45936</v>
      </c>
      <c r="B445" vm="1324">
        <f ca="1"/>
        <v>45938</v>
      </c>
      <c r="C445" vm="1325">
        <f ca="1"/>
        <v>289.45999999999998</v>
      </c>
      <c r="D445" vm="1326">
        <f ca="1"/>
        <v>5297030</v>
      </c>
      <c r="E445">
        <f t="shared" ca="1" si="126"/>
        <v>1533278303.8</v>
      </c>
      <c r="F445">
        <f ca="1">SUM($E$2:E445)/SUM($D$2:D445)</f>
        <v>222.31510224538258</v>
      </c>
      <c r="G445">
        <f ca="1">_xlfn.STDEV.P($C$2:C445)</f>
        <v>37.034746136019514</v>
      </c>
      <c r="H445">
        <f t="shared" ca="1" si="127"/>
        <v>259.34984838140207</v>
      </c>
      <c r="I445">
        <f t="shared" ca="1" si="128"/>
        <v>185.28035610936305</v>
      </c>
      <c r="J445">
        <f t="shared" ca="1" si="137"/>
        <v>274.39350000000002</v>
      </c>
      <c r="K445">
        <f t="shared" ca="1" si="138"/>
        <v>13.310665005728941</v>
      </c>
      <c r="L445">
        <f t="shared" ca="1" si="139"/>
        <v>301.01483001145789</v>
      </c>
      <c r="M445">
        <f t="shared" ca="1" si="140"/>
        <v>247.77216998854215</v>
      </c>
      <c r="N445">
        <f t="shared" ca="1" si="129"/>
        <v>-4.410000000000025</v>
      </c>
      <c r="O445">
        <f t="shared" ca="1" si="130"/>
        <v>0</v>
      </c>
      <c r="P445">
        <f t="shared" ca="1" si="131"/>
        <v>4.410000000000025</v>
      </c>
      <c r="Q445">
        <f t="shared" ca="1" si="135"/>
        <v>2.2843388215559592</v>
      </c>
      <c r="R445">
        <f t="shared" ca="1" si="136"/>
        <v>1.0045406302555222</v>
      </c>
      <c r="S445">
        <f t="shared" ca="1" si="133"/>
        <v>2.2740133676573127</v>
      </c>
      <c r="T445">
        <f t="shared" ca="1" si="134"/>
        <v>69.456447249769781</v>
      </c>
      <c r="U445">
        <f>70</f>
        <v>70</v>
      </c>
      <c r="V445">
        <f>30</f>
        <v>30</v>
      </c>
      <c r="W445">
        <f t="shared" ca="1" si="132"/>
        <v>283.0463366400723</v>
      </c>
      <c r="X445">
        <f t="shared" ca="1" si="142"/>
        <v>273.28783743619795</v>
      </c>
      <c r="Y445">
        <f t="shared" ca="1" si="141"/>
        <v>9.4491590180545586</v>
      </c>
      <c r="Z445">
        <f t="shared" ca="1" si="143"/>
        <v>8.6046642287186383</v>
      </c>
      <c r="AA445">
        <f t="shared" ca="1" si="144"/>
        <v>0.84449478933592026</v>
      </c>
      <c r="AB445">
        <f t="shared" ca="1" si="145"/>
        <v>267.05770000000007</v>
      </c>
    </row>
    <row r="446" spans="1:28" x14ac:dyDescent="0.25">
      <c r="A446" s="20">
        <f t="shared" ca="1" si="125"/>
        <v>45936</v>
      </c>
      <c r="B446" vm="1327">
        <f ca="1"/>
        <v>45939</v>
      </c>
      <c r="C446" vm="1328">
        <f ca="1"/>
        <v>288.23</v>
      </c>
      <c r="D446" vm="1329">
        <f ca="1"/>
        <v>4912375</v>
      </c>
      <c r="E446">
        <f t="shared" ca="1" si="126"/>
        <v>1415893846.25</v>
      </c>
      <c r="F446">
        <f ca="1">SUM($E$2:E446)/SUM($D$2:D446)</f>
        <v>222.47874006390413</v>
      </c>
      <c r="G446">
        <f ca="1">_xlfn.STDEV.P($C$2:C446)</f>
        <v>37.130844937722877</v>
      </c>
      <c r="H446">
        <f t="shared" ca="1" si="127"/>
        <v>259.60958500162701</v>
      </c>
      <c r="I446">
        <f t="shared" ca="1" si="128"/>
        <v>185.34789512618124</v>
      </c>
      <c r="J446">
        <f t="shared" ca="1" si="137"/>
        <v>275.9545</v>
      </c>
      <c r="K446">
        <f t="shared" ca="1" si="138"/>
        <v>12.991556964752963</v>
      </c>
      <c r="L446">
        <f t="shared" ca="1" si="139"/>
        <v>301.93761392950591</v>
      </c>
      <c r="M446">
        <f t="shared" ca="1" si="140"/>
        <v>249.97138607049408</v>
      </c>
      <c r="N446">
        <f t="shared" ca="1" si="129"/>
        <v>-1.2299999999999613</v>
      </c>
      <c r="O446">
        <f t="shared" ca="1" si="130"/>
        <v>0</v>
      </c>
      <c r="P446">
        <f t="shared" ca="1" si="131"/>
        <v>1.2299999999999613</v>
      </c>
      <c r="Q446">
        <f t="shared" ca="1" si="135"/>
        <v>2.1211717628733906</v>
      </c>
      <c r="R446">
        <f t="shared" ca="1" si="136"/>
        <v>1.0206448709515537</v>
      </c>
      <c r="S446">
        <f t="shared" ca="1" si="133"/>
        <v>2.0782662248582202</v>
      </c>
      <c r="T446">
        <f t="shared" ca="1" si="134"/>
        <v>67.514180809814192</v>
      </c>
      <c r="U446">
        <f>70</f>
        <v>70</v>
      </c>
      <c r="V446">
        <f>30</f>
        <v>30</v>
      </c>
      <c r="W446">
        <f t="shared" ca="1" si="132"/>
        <v>283.84382331083043</v>
      </c>
      <c r="X446">
        <f t="shared" ca="1" si="142"/>
        <v>274.39466429277587</v>
      </c>
      <c r="Y446">
        <f t="shared" ca="1" si="141"/>
        <v>8.2686883993289939</v>
      </c>
      <c r="Z446">
        <f t="shared" ca="1" si="143"/>
        <v>8.5374690628407102</v>
      </c>
      <c r="AA446">
        <f t="shared" ca="1" si="144"/>
        <v>-0.26878066351171626</v>
      </c>
      <c r="AB446">
        <f t="shared" ca="1" si="145"/>
        <v>267.2724</v>
      </c>
    </row>
    <row r="447" spans="1:28" x14ac:dyDescent="0.25">
      <c r="A447" s="20">
        <f t="shared" ca="1" si="125"/>
        <v>45936</v>
      </c>
      <c r="B447" vm="1330">
        <f ca="1"/>
        <v>45940</v>
      </c>
      <c r="C447" vm="1331">
        <f ca="1"/>
        <v>277.82</v>
      </c>
      <c r="D447" vm="1332">
        <f ca="1"/>
        <v>4508506</v>
      </c>
      <c r="E447">
        <f t="shared" ca="1" si="126"/>
        <v>1252553136.9200001</v>
      </c>
      <c r="F447">
        <f ca="1">SUM($E$2:E447)/SUM($D$2:D447)</f>
        <v>222.60454621728957</v>
      </c>
      <c r="G447">
        <f ca="1">_xlfn.STDEV.P($C$2:C447)</f>
        <v>37.186768597098705</v>
      </c>
      <c r="H447">
        <f t="shared" ca="1" si="127"/>
        <v>259.79131481438827</v>
      </c>
      <c r="I447">
        <f t="shared" ca="1" si="128"/>
        <v>185.41777762019086</v>
      </c>
      <c r="J447">
        <f t="shared" ca="1" si="137"/>
        <v>277.17349999999999</v>
      </c>
      <c r="K447">
        <f t="shared" ca="1" si="138"/>
        <v>11.862565301245594</v>
      </c>
      <c r="L447">
        <f t="shared" ca="1" si="139"/>
        <v>300.89863060249115</v>
      </c>
      <c r="M447">
        <f t="shared" ca="1" si="140"/>
        <v>253.4483693975088</v>
      </c>
      <c r="N447">
        <f t="shared" ca="1" si="129"/>
        <v>-10.410000000000025</v>
      </c>
      <c r="O447">
        <f t="shared" ca="1" si="130"/>
        <v>0</v>
      </c>
      <c r="P447">
        <f t="shared" ca="1" si="131"/>
        <v>10.410000000000025</v>
      </c>
      <c r="Q447">
        <f t="shared" ca="1" si="135"/>
        <v>1.9696594940967198</v>
      </c>
      <c r="R447">
        <f t="shared" ca="1" si="136"/>
        <v>1.6913130944550159</v>
      </c>
      <c r="S447">
        <f t="shared" ca="1" si="133"/>
        <v>1.1645741409761829</v>
      </c>
      <c r="T447">
        <f t="shared" ca="1" si="134"/>
        <v>53.801536243567128</v>
      </c>
      <c r="U447">
        <f>70</f>
        <v>70</v>
      </c>
      <c r="V447">
        <f>30</f>
        <v>30</v>
      </c>
      <c r="W447">
        <f t="shared" ca="1" si="132"/>
        <v>282.91708126301035</v>
      </c>
      <c r="X447">
        <f t="shared" ca="1" si="142"/>
        <v>274.64839286368135</v>
      </c>
      <c r="Y447">
        <f t="shared" ca="1" si="141"/>
        <v>7.2017249413607942</v>
      </c>
      <c r="Z447">
        <f t="shared" ca="1" si="143"/>
        <v>8.270320238544727</v>
      </c>
      <c r="AA447">
        <f t="shared" ca="1" si="144"/>
        <v>-1.0685952971839328</v>
      </c>
      <c r="AB447">
        <f t="shared" ca="1" si="145"/>
        <v>267.36649999999997</v>
      </c>
    </row>
    <row r="448" spans="1:28" x14ac:dyDescent="0.25">
      <c r="A448" s="20">
        <f t="shared" ca="1" si="125"/>
        <v>45943</v>
      </c>
      <c r="B448" vm="1333">
        <f ca="1"/>
        <v>45943</v>
      </c>
      <c r="C448" vm="1087">
        <f ca="1"/>
        <v>277.22000000000003</v>
      </c>
      <c r="D448" vm="1334">
        <f ca="1"/>
        <v>4333836</v>
      </c>
      <c r="E448">
        <f t="shared" ca="1" si="126"/>
        <v>1201426015.9200001</v>
      </c>
      <c r="F448">
        <f ca="1">SUM($E$2:E448)/SUM($D$2:D448)</f>
        <v>222.72363208363299</v>
      </c>
      <c r="G448">
        <f ca="1">_xlfn.STDEV.P($C$2:C448)</f>
        <v>37.239892732327704</v>
      </c>
      <c r="H448">
        <f t="shared" ca="1" si="127"/>
        <v>259.96352481596068</v>
      </c>
      <c r="I448">
        <f t="shared" ca="1" si="128"/>
        <v>185.4837393513053</v>
      </c>
      <c r="J448">
        <f t="shared" ca="1" si="137"/>
        <v>278.22249999999997</v>
      </c>
      <c r="K448">
        <f t="shared" ca="1" si="138"/>
        <v>10.793446781313781</v>
      </c>
      <c r="L448">
        <f t="shared" ca="1" si="139"/>
        <v>299.80939356262752</v>
      </c>
      <c r="M448">
        <f t="shared" ca="1" si="140"/>
        <v>256.63560643737242</v>
      </c>
      <c r="N448">
        <f t="shared" ca="1" si="129"/>
        <v>-0.59999999999996589</v>
      </c>
      <c r="O448">
        <f t="shared" ca="1" si="130"/>
        <v>0</v>
      </c>
      <c r="P448">
        <f t="shared" ca="1" si="131"/>
        <v>0.59999999999996589</v>
      </c>
      <c r="Q448">
        <f t="shared" ca="1" si="135"/>
        <v>1.8289695302326685</v>
      </c>
      <c r="R448">
        <f t="shared" ca="1" si="136"/>
        <v>1.6133621591367981</v>
      </c>
      <c r="S448">
        <f t="shared" ca="1" si="133"/>
        <v>1.1336385447463497</v>
      </c>
      <c r="T448">
        <f t="shared" ca="1" si="134"/>
        <v>53.131705346142333</v>
      </c>
      <c r="U448">
        <f>70</f>
        <v>70</v>
      </c>
      <c r="V448">
        <f>30</f>
        <v>30</v>
      </c>
      <c r="W448">
        <f t="shared" ca="1" si="132"/>
        <v>282.04060722254724</v>
      </c>
      <c r="X448">
        <f t="shared" ca="1" si="142"/>
        <v>274.83888228118644</v>
      </c>
      <c r="Y448">
        <f t="shared" ca="1" si="141"/>
        <v>6.1983578453302925</v>
      </c>
      <c r="Z448">
        <f t="shared" ca="1" si="143"/>
        <v>7.8559277599018404</v>
      </c>
      <c r="AA448">
        <f t="shared" ca="1" si="144"/>
        <v>-1.6575699145715479</v>
      </c>
      <c r="AB448">
        <f t="shared" ca="1" si="145"/>
        <v>267.4692</v>
      </c>
    </row>
    <row r="449" spans="1:28" x14ac:dyDescent="0.25">
      <c r="A449" s="20">
        <f t="shared" ca="1" si="125"/>
        <v>45943</v>
      </c>
      <c r="B449" vm="1335">
        <f ca="1"/>
        <v>45944</v>
      </c>
      <c r="C449" vm="1336">
        <f ca="1"/>
        <v>276.14999999999998</v>
      </c>
      <c r="D449" vm="1337">
        <f ca="1"/>
        <v>3058149</v>
      </c>
      <c r="E449">
        <f t="shared" ca="1" si="126"/>
        <v>844507846.3499999</v>
      </c>
      <c r="F449">
        <f ca="1">SUM($E$2:E449)/SUM($D$2:D449)</f>
        <v>222.80570857699851</v>
      </c>
      <c r="G449">
        <f ca="1">_xlfn.STDEV.P($C$2:C449)</f>
        <v>37.288735047401303</v>
      </c>
      <c r="H449">
        <f t="shared" ca="1" si="127"/>
        <v>260.09444362439979</v>
      </c>
      <c r="I449">
        <f t="shared" ca="1" si="128"/>
        <v>185.51697352959721</v>
      </c>
      <c r="J449">
        <f t="shared" ca="1" si="137"/>
        <v>279.15399999999994</v>
      </c>
      <c r="K449">
        <f t="shared" ca="1" si="138"/>
        <v>9.6567927551433783</v>
      </c>
      <c r="L449">
        <f t="shared" ca="1" si="139"/>
        <v>298.46758551028671</v>
      </c>
      <c r="M449">
        <f t="shared" ca="1" si="140"/>
        <v>259.84041448971317</v>
      </c>
      <c r="N449">
        <f t="shared" ca="1" si="129"/>
        <v>-1.07000000000005</v>
      </c>
      <c r="O449">
        <f t="shared" ca="1" si="130"/>
        <v>0</v>
      </c>
      <c r="P449">
        <f t="shared" ca="1" si="131"/>
        <v>1.07000000000005</v>
      </c>
      <c r="Q449">
        <f t="shared" ca="1" si="135"/>
        <v>1.6983288495017637</v>
      </c>
      <c r="R449">
        <f t="shared" ca="1" si="136"/>
        <v>1.5745505763413161</v>
      </c>
      <c r="S449">
        <f t="shared" ca="1" si="133"/>
        <v>1.0786118115354943</v>
      </c>
      <c r="T449">
        <f t="shared" ca="1" si="134"/>
        <v>51.890969037586267</v>
      </c>
      <c r="U449">
        <f>70</f>
        <v>70</v>
      </c>
      <c r="V449">
        <f>30</f>
        <v>30</v>
      </c>
      <c r="W449">
        <f t="shared" ca="1" si="132"/>
        <v>281.13435995753997</v>
      </c>
      <c r="X449">
        <f t="shared" ca="1" si="142"/>
        <v>274.93600211220968</v>
      </c>
      <c r="Y449">
        <f t="shared" ca="1" si="141"/>
        <v>5.7085590339636383</v>
      </c>
      <c r="Z449">
        <f t="shared" ca="1" si="143"/>
        <v>7.4264540147142002</v>
      </c>
      <c r="AA449">
        <f t="shared" ca="1" si="144"/>
        <v>-1.7178949807505619</v>
      </c>
      <c r="AB449">
        <f t="shared" ca="1" si="145"/>
        <v>267.62200000000007</v>
      </c>
    </row>
    <row r="450" spans="1:28" x14ac:dyDescent="0.25">
      <c r="A450" s="20">
        <f t="shared" ca="1" si="125"/>
        <v>45943</v>
      </c>
      <c r="B450" vm="1338">
        <f ca="1"/>
        <v>45945</v>
      </c>
      <c r="C450" vm="1339">
        <f ca="1"/>
        <v>280.75</v>
      </c>
      <c r="D450" vm="1340">
        <f ca="1"/>
        <v>3346753</v>
      </c>
      <c r="E450">
        <f t="shared" ca="1" si="126"/>
        <v>939600904.75</v>
      </c>
      <c r="F450">
        <f ca="1">SUM($E$2:E450)/SUM($D$2:D450)</f>
        <v>222.90296298209753</v>
      </c>
      <c r="G450">
        <f ca="1">_xlfn.STDEV.P($C$2:C450)</f>
        <v>37.35254464370815</v>
      </c>
      <c r="H450">
        <f t="shared" ca="1" si="127"/>
        <v>260.25550762580571</v>
      </c>
      <c r="I450">
        <f t="shared" ca="1" si="128"/>
        <v>185.55041833838939</v>
      </c>
      <c r="J450">
        <f t="shared" ca="1" si="137"/>
        <v>280.23749999999995</v>
      </c>
      <c r="K450">
        <f t="shared" ca="1" si="138"/>
        <v>8.4227810602836986</v>
      </c>
      <c r="L450">
        <f t="shared" ca="1" si="139"/>
        <v>297.08306212056738</v>
      </c>
      <c r="M450">
        <f t="shared" ca="1" si="140"/>
        <v>263.39193787943253</v>
      </c>
      <c r="N450">
        <f t="shared" ca="1" si="129"/>
        <v>4.6000000000000227</v>
      </c>
      <c r="O450">
        <f t="shared" ca="1" si="130"/>
        <v>4.6000000000000227</v>
      </c>
      <c r="P450">
        <f t="shared" ca="1" si="131"/>
        <v>0</v>
      </c>
      <c r="Q450">
        <f t="shared" ca="1" si="135"/>
        <v>1.9055910745373537</v>
      </c>
      <c r="R450">
        <f t="shared" ca="1" si="136"/>
        <v>1.4620826780312222</v>
      </c>
      <c r="S450">
        <f t="shared" ca="1" si="133"/>
        <v>1.3033401620648026</v>
      </c>
      <c r="T450">
        <f t="shared" ca="1" si="134"/>
        <v>56.58478862698415</v>
      </c>
      <c r="U450">
        <f>70</f>
        <v>70</v>
      </c>
      <c r="V450">
        <f>30</f>
        <v>30</v>
      </c>
      <c r="W450">
        <f t="shared" ca="1" si="132"/>
        <v>281.07522765637998</v>
      </c>
      <c r="X450">
        <f t="shared" ca="1" si="142"/>
        <v>275.36666862241634</v>
      </c>
      <c r="Y450">
        <f t="shared" ca="1" si="141"/>
        <v>4.8784481813661955</v>
      </c>
      <c r="Z450">
        <f t="shared" ca="1" si="143"/>
        <v>6.9168528480446003</v>
      </c>
      <c r="AA450">
        <f t="shared" ca="1" si="144"/>
        <v>-2.0384046666784048</v>
      </c>
      <c r="AB450">
        <f t="shared" ca="1" si="145"/>
        <v>267.84580000000005</v>
      </c>
    </row>
    <row r="451" spans="1:28" x14ac:dyDescent="0.25">
      <c r="A451" s="20">
        <f t="shared" ref="A451:A514" ca="1" si="146">B451 - WEEKDAY(B451, 2) + 1</f>
        <v>45943</v>
      </c>
      <c r="B451" vm="1341">
        <f ca="1"/>
        <v>45946</v>
      </c>
      <c r="C451" vm="1342">
        <f ca="1"/>
        <v>275.97000000000003</v>
      </c>
      <c r="D451" vm="1343">
        <f ca="1"/>
        <v>2956923</v>
      </c>
      <c r="E451">
        <f t="shared" ref="E451:E514" ca="1" si="147">C451*D451</f>
        <v>816022040.31000006</v>
      </c>
      <c r="F451">
        <f ca="1">SUM($E$2:E451)/SUM($D$2:D451)</f>
        <v>222.9815401326625</v>
      </c>
      <c r="G451">
        <f ca="1">_xlfn.STDEV.P($C$2:C451)</f>
        <v>37.399361502446411</v>
      </c>
      <c r="H451">
        <f t="shared" ref="H451:H514" ca="1" si="148">F451 + G451</f>
        <v>260.3809016351089</v>
      </c>
      <c r="I451">
        <f t="shared" ref="I451:I514" ca="1" si="149">F451 - G451</f>
        <v>185.58217863021611</v>
      </c>
      <c r="J451">
        <f t="shared" ca="1" si="137"/>
        <v>280.78599999999994</v>
      </c>
      <c r="K451">
        <f t="shared" ca="1" si="138"/>
        <v>7.704867497750679</v>
      </c>
      <c r="L451">
        <f t="shared" ca="1" si="139"/>
        <v>296.19573499550131</v>
      </c>
      <c r="M451">
        <f t="shared" ca="1" si="140"/>
        <v>265.37626500449858</v>
      </c>
      <c r="N451">
        <f t="shared" ca="1" si="129"/>
        <v>-4.7799999999999727</v>
      </c>
      <c r="O451">
        <f t="shared" ca="1" si="130"/>
        <v>0</v>
      </c>
      <c r="P451">
        <f t="shared" ca="1" si="131"/>
        <v>4.7799999999999727</v>
      </c>
      <c r="Q451">
        <f t="shared" ca="1" si="135"/>
        <v>1.7694774263561139</v>
      </c>
      <c r="R451">
        <f t="shared" ca="1" si="136"/>
        <v>1.6990767724575615</v>
      </c>
      <c r="S451">
        <f t="shared" ca="1" si="133"/>
        <v>1.0414346514764745</v>
      </c>
      <c r="T451">
        <f t="shared" ca="1" si="134"/>
        <v>51.014841485288457</v>
      </c>
      <c r="U451">
        <f>70</f>
        <v>70</v>
      </c>
      <c r="V451">
        <f>30</f>
        <v>30</v>
      </c>
      <c r="W451">
        <f t="shared" ca="1" si="132"/>
        <v>280.28980801693689</v>
      </c>
      <c r="X451">
        <f t="shared" ca="1" si="142"/>
        <v>275.41135983557069</v>
      </c>
      <c r="Y451">
        <f t="shared" ca="1" si="141"/>
        <v>4.5960713232757371</v>
      </c>
      <c r="Z451">
        <f t="shared" ca="1" si="143"/>
        <v>6.4526965430908287</v>
      </c>
      <c r="AA451">
        <f t="shared" ca="1" si="144"/>
        <v>-1.8566252198150917</v>
      </c>
      <c r="AB451">
        <f t="shared" ca="1" si="145"/>
        <v>268.01920000000007</v>
      </c>
    </row>
    <row r="452" spans="1:28" x14ac:dyDescent="0.25">
      <c r="A452" s="20">
        <f t="shared" ca="1" si="146"/>
        <v>45943</v>
      </c>
      <c r="B452" vm="1344">
        <f ca="1"/>
        <v>45947</v>
      </c>
      <c r="C452" vm="1345">
        <f ca="1"/>
        <v>281.27999999999997</v>
      </c>
      <c r="D452" vm="1346">
        <f ca="1"/>
        <v>5309565</v>
      </c>
      <c r="E452">
        <f t="shared" ca="1" si="147"/>
        <v>1493474443.1999998</v>
      </c>
      <c r="F452">
        <f ca="1">SUM($E$2:E452)/SUM($D$2:D452)</f>
        <v>223.13613471213347</v>
      </c>
      <c r="G452">
        <f ca="1">_xlfn.STDEV.P($C$2:C452)</f>
        <v>37.463429957507223</v>
      </c>
      <c r="H452">
        <f t="shared" ca="1" si="148"/>
        <v>260.5995646696407</v>
      </c>
      <c r="I452">
        <f t="shared" ca="1" si="149"/>
        <v>185.67270475462624</v>
      </c>
      <c r="J452">
        <f t="shared" ca="1" si="137"/>
        <v>281.53000000000003</v>
      </c>
      <c r="K452">
        <f t="shared" ca="1" si="138"/>
        <v>6.9211765047950022</v>
      </c>
      <c r="L452">
        <f t="shared" ca="1" si="139"/>
        <v>295.37235300959003</v>
      </c>
      <c r="M452">
        <f t="shared" ca="1" si="140"/>
        <v>267.68764699041003</v>
      </c>
      <c r="N452">
        <f t="shared" ref="N452:N514" ca="1" si="150">C452-C451</f>
        <v>5.3099999999999454</v>
      </c>
      <c r="O452">
        <f t="shared" ref="O452:O514" ca="1" si="151">MAX(N452,0)</f>
        <v>5.3099999999999454</v>
      </c>
      <c r="P452">
        <f t="shared" ref="P452:P514" ca="1" si="152">MAX(-N452,0)</f>
        <v>0</v>
      </c>
      <c r="Q452">
        <f t="shared" ca="1" si="135"/>
        <v>2.022371895902102</v>
      </c>
      <c r="R452">
        <f t="shared" ca="1" si="136"/>
        <v>1.57771414585345</v>
      </c>
      <c r="S452">
        <f t="shared" ca="1" si="133"/>
        <v>1.281836701038209</v>
      </c>
      <c r="T452">
        <f t="shared" ca="1" si="134"/>
        <v>56.175654482855336</v>
      </c>
      <c r="U452">
        <f>70</f>
        <v>70</v>
      </c>
      <c r="V452">
        <f>30</f>
        <v>30</v>
      </c>
      <c r="W452">
        <f t="shared" ca="1" si="132"/>
        <v>280.44214524510045</v>
      </c>
      <c r="X452">
        <f t="shared" ca="1" si="142"/>
        <v>275.84607392182471</v>
      </c>
      <c r="Y452">
        <f t="shared" ca="1" si="141"/>
        <v>4.5115188410307496</v>
      </c>
      <c r="Z452">
        <f t="shared" ca="1" si="143"/>
        <v>6.0644610026788133</v>
      </c>
      <c r="AA452">
        <f t="shared" ca="1" si="144"/>
        <v>-1.5529421616480636</v>
      </c>
      <c r="AB452">
        <f t="shared" ca="1" si="145"/>
        <v>268.19970000000001</v>
      </c>
    </row>
    <row r="453" spans="1:28" x14ac:dyDescent="0.25">
      <c r="A453" s="20">
        <f t="shared" ca="1" si="146"/>
        <v>45950</v>
      </c>
      <c r="B453" vm="1347">
        <f ca="1"/>
        <v>45950</v>
      </c>
      <c r="C453" vm="1348">
        <f ca="1"/>
        <v>283.64999999999998</v>
      </c>
      <c r="D453" vm="1349">
        <f ca="1"/>
        <v>3494336</v>
      </c>
      <c r="E453">
        <f t="shared" ca="1" si="147"/>
        <v>991168406.39999998</v>
      </c>
      <c r="F453">
        <f ca="1">SUM($E$2:E453)/SUM($D$2:D453)</f>
        <v>223.24155896435681</v>
      </c>
      <c r="G453">
        <f ca="1">_xlfn.STDEV.P($C$2:C453)</f>
        <v>37.535117162087914</v>
      </c>
      <c r="H453">
        <f t="shared" ca="1" si="148"/>
        <v>260.77667612644473</v>
      </c>
      <c r="I453">
        <f t="shared" ca="1" si="149"/>
        <v>185.7064418022689</v>
      </c>
      <c r="J453">
        <f t="shared" ca="1" si="137"/>
        <v>282.14399999999995</v>
      </c>
      <c r="K453">
        <f t="shared" ca="1" si="138"/>
        <v>6.5045728044523488</v>
      </c>
      <c r="L453">
        <f t="shared" ca="1" si="139"/>
        <v>295.15314560890465</v>
      </c>
      <c r="M453">
        <f t="shared" ca="1" si="140"/>
        <v>269.13485439109525</v>
      </c>
      <c r="N453">
        <f t="shared" ca="1" si="150"/>
        <v>2.3700000000000045</v>
      </c>
      <c r="O453">
        <f t="shared" ca="1" si="151"/>
        <v>2.3700000000000045</v>
      </c>
      <c r="P453">
        <f t="shared" ca="1" si="152"/>
        <v>0</v>
      </c>
      <c r="Q453">
        <f t="shared" ca="1" si="135"/>
        <v>2.0472024747662378</v>
      </c>
      <c r="R453">
        <f t="shared" ca="1" si="136"/>
        <v>1.4650202782924893</v>
      </c>
      <c r="S453">
        <f t="shared" ca="1" si="133"/>
        <v>1.3973884901800087</v>
      </c>
      <c r="T453">
        <f t="shared" ca="1" si="134"/>
        <v>58.287945233068399</v>
      </c>
      <c r="U453">
        <f>70</f>
        <v>70</v>
      </c>
      <c r="V453">
        <f>30</f>
        <v>30</v>
      </c>
      <c r="W453">
        <f t="shared" ca="1" si="132"/>
        <v>280.93566136123883</v>
      </c>
      <c r="X453">
        <f t="shared" ca="1" si="142"/>
        <v>276.42414252020808</v>
      </c>
      <c r="Y453">
        <f t="shared" ca="1" si="141"/>
        <v>4.2662253709980291</v>
      </c>
      <c r="Z453">
        <f t="shared" ca="1" si="143"/>
        <v>5.7048138763426568</v>
      </c>
      <c r="AA453">
        <f t="shared" ca="1" si="144"/>
        <v>-1.4385885053446277</v>
      </c>
      <c r="AB453">
        <f t="shared" ca="1" si="145"/>
        <v>268.43380000000002</v>
      </c>
    </row>
    <row r="454" spans="1:28" x14ac:dyDescent="0.25">
      <c r="A454" s="20">
        <f t="shared" ca="1" si="146"/>
        <v>45950</v>
      </c>
      <c r="B454" vm="1350">
        <f ca="1"/>
        <v>45951</v>
      </c>
      <c r="C454" vm="1351">
        <f ca="1"/>
        <v>282.05</v>
      </c>
      <c r="D454" vm="1352">
        <f ca="1"/>
        <v>4080981</v>
      </c>
      <c r="E454">
        <f t="shared" ca="1" si="147"/>
        <v>1151040691.05</v>
      </c>
      <c r="F454">
        <f ca="1">SUM($E$2:E454)/SUM($D$2:D454)</f>
        <v>223.36096945453076</v>
      </c>
      <c r="G454">
        <f ca="1">_xlfn.STDEV.P($C$2:C454)</f>
        <v>37.600133827581459</v>
      </c>
      <c r="H454">
        <f t="shared" ca="1" si="148"/>
        <v>260.96110328211222</v>
      </c>
      <c r="I454">
        <f t="shared" ca="1" si="149"/>
        <v>185.7608356269493</v>
      </c>
      <c r="J454">
        <f t="shared" ca="1" si="137"/>
        <v>282.6345</v>
      </c>
      <c r="K454">
        <f t="shared" ca="1" si="138"/>
        <v>6.0740504781016078</v>
      </c>
      <c r="L454">
        <f t="shared" ca="1" si="139"/>
        <v>294.78260095620323</v>
      </c>
      <c r="M454">
        <f t="shared" ca="1" si="140"/>
        <v>270.48639904379678</v>
      </c>
      <c r="N454">
        <f t="shared" ca="1" si="150"/>
        <v>-1.5999999999999659</v>
      </c>
      <c r="O454">
        <f t="shared" ca="1" si="151"/>
        <v>0</v>
      </c>
      <c r="P454">
        <f t="shared" ca="1" si="152"/>
        <v>1.5999999999999659</v>
      </c>
      <c r="Q454">
        <f t="shared" ca="1" si="135"/>
        <v>1.9009737265686495</v>
      </c>
      <c r="R454">
        <f t="shared" ca="1" si="136"/>
        <v>1.4746616869858804</v>
      </c>
      <c r="S454">
        <f t="shared" ca="1" si="133"/>
        <v>1.2890914189641187</v>
      </c>
      <c r="T454">
        <f t="shared" ca="1" si="134"/>
        <v>56.314545076031543</v>
      </c>
      <c r="U454">
        <f>70</f>
        <v>70</v>
      </c>
      <c r="V454">
        <f>30</f>
        <v>30</v>
      </c>
      <c r="W454">
        <f t="shared" ca="1" si="132"/>
        <v>281.1070980748944</v>
      </c>
      <c r="X454">
        <f t="shared" ca="1" si="142"/>
        <v>276.84087270389637</v>
      </c>
      <c r="Y454">
        <f t="shared" ca="1" si="141"/>
        <v>4.4609814799923129</v>
      </c>
      <c r="Z454">
        <f t="shared" ca="1" si="143"/>
        <v>5.456047397072588</v>
      </c>
      <c r="AA454">
        <f t="shared" ca="1" si="144"/>
        <v>-0.99506591708027514</v>
      </c>
      <c r="AB454">
        <f t="shared" ca="1" si="145"/>
        <v>268.66740000000004</v>
      </c>
    </row>
    <row r="455" spans="1:28" x14ac:dyDescent="0.25">
      <c r="A455" s="20">
        <f t="shared" ca="1" si="146"/>
        <v>45950</v>
      </c>
      <c r="B455" vm="1353">
        <f ca="1"/>
        <v>45952</v>
      </c>
      <c r="C455" vm="1354">
        <f ca="1"/>
        <v>287.51</v>
      </c>
      <c r="D455" vm="1355">
        <f ca="1"/>
        <v>10538480</v>
      </c>
      <c r="E455">
        <f t="shared" ca="1" si="147"/>
        <v>3029918384.7999997</v>
      </c>
      <c r="F455">
        <f ca="1">SUM($E$2:E455)/SUM($D$2:D455)</f>
        <v>223.6955764893867</v>
      </c>
      <c r="G455">
        <f ca="1">_xlfn.STDEV.P($C$2:C455)</f>
        <v>37.684303321843721</v>
      </c>
      <c r="H455">
        <f t="shared" ca="1" si="148"/>
        <v>261.37987981123041</v>
      </c>
      <c r="I455">
        <f t="shared" ca="1" si="149"/>
        <v>186.01127316754298</v>
      </c>
      <c r="J455">
        <f t="shared" ca="1" si="137"/>
        <v>283.63350000000003</v>
      </c>
      <c r="K455">
        <f t="shared" ca="1" si="138"/>
        <v>5.0086885298921997</v>
      </c>
      <c r="L455">
        <f t="shared" ca="1" si="139"/>
        <v>293.65087705978442</v>
      </c>
      <c r="M455">
        <f t="shared" ca="1" si="140"/>
        <v>273.61612294021563</v>
      </c>
      <c r="N455">
        <f t="shared" ca="1" si="150"/>
        <v>5.4599999999999795</v>
      </c>
      <c r="O455">
        <f t="shared" ca="1" si="151"/>
        <v>5.4599999999999795</v>
      </c>
      <c r="P455">
        <f t="shared" ca="1" si="152"/>
        <v>0</v>
      </c>
      <c r="Q455">
        <f t="shared" ca="1" si="135"/>
        <v>2.1551898889566017</v>
      </c>
      <c r="R455">
        <f t="shared" ca="1" si="136"/>
        <v>1.3693287093440318</v>
      </c>
      <c r="S455">
        <f t="shared" ca="1" si="133"/>
        <v>1.5739025073015753</v>
      </c>
      <c r="T455">
        <f t="shared" ca="1" si="134"/>
        <v>61.148489612049111</v>
      </c>
      <c r="U455">
        <f>70</f>
        <v>70</v>
      </c>
      <c r="V455">
        <f>30</f>
        <v>30</v>
      </c>
      <c r="W455">
        <f t="shared" ca="1" si="132"/>
        <v>282.092159909526</v>
      </c>
      <c r="X455">
        <f t="shared" ca="1" si="142"/>
        <v>277.63117842953369</v>
      </c>
      <c r="Y455">
        <f t="shared" ca="1" si="141"/>
        <v>4.3625028590620332</v>
      </c>
      <c r="Z455">
        <f t="shared" ca="1" si="143"/>
        <v>5.2373384894704778</v>
      </c>
      <c r="AA455">
        <f t="shared" ca="1" si="144"/>
        <v>-0.87483563040844459</v>
      </c>
      <c r="AB455">
        <f t="shared" ca="1" si="145"/>
        <v>268.95190000000002</v>
      </c>
    </row>
    <row r="456" spans="1:28" x14ac:dyDescent="0.25">
      <c r="A456" s="20">
        <f t="shared" ca="1" si="146"/>
        <v>45950</v>
      </c>
      <c r="B456" vm="1356">
        <f ca="1"/>
        <v>45953</v>
      </c>
      <c r="C456" vm="1357">
        <f ca="1"/>
        <v>285</v>
      </c>
      <c r="D456" vm="1358">
        <f ca="1"/>
        <v>16676394</v>
      </c>
      <c r="E456">
        <f t="shared" ca="1" si="147"/>
        <v>4752772290</v>
      </c>
      <c r="F456">
        <f ca="1">SUM($E$2:E456)/SUM($D$2:D456)</f>
        <v>224.19744617345421</v>
      </c>
      <c r="G456">
        <f ca="1">_xlfn.STDEV.P($C$2:C456)</f>
        <v>37.75801339364827</v>
      </c>
      <c r="H456">
        <f t="shared" ca="1" si="148"/>
        <v>261.95545956710248</v>
      </c>
      <c r="I456">
        <f t="shared" ca="1" si="149"/>
        <v>186.43943277980594</v>
      </c>
      <c r="J456">
        <f t="shared" ca="1" si="137"/>
        <v>283.81149999999997</v>
      </c>
      <c r="K456">
        <f t="shared" ca="1" si="138"/>
        <v>4.9898552610587599</v>
      </c>
      <c r="L456">
        <f t="shared" ca="1" si="139"/>
        <v>293.79121052211747</v>
      </c>
      <c r="M456">
        <f t="shared" ca="1" si="140"/>
        <v>273.83178947788247</v>
      </c>
      <c r="N456">
        <f t="shared" ca="1" si="150"/>
        <v>-2.5099999999999909</v>
      </c>
      <c r="O456">
        <f t="shared" ca="1" si="151"/>
        <v>0</v>
      </c>
      <c r="P456">
        <f t="shared" ca="1" si="152"/>
        <v>2.5099999999999909</v>
      </c>
      <c r="Q456">
        <f t="shared" ca="1" si="135"/>
        <v>2.0012477540311302</v>
      </c>
      <c r="R456">
        <f t="shared" ca="1" si="136"/>
        <v>1.4508052301051717</v>
      </c>
      <c r="S456">
        <f t="shared" ca="1" si="133"/>
        <v>1.3794048384331064</v>
      </c>
      <c r="T456">
        <f t="shared" ca="1" si="134"/>
        <v>57.972683595174857</v>
      </c>
      <c r="U456">
        <f>70</f>
        <v>70</v>
      </c>
      <c r="V456">
        <f>30</f>
        <v>30</v>
      </c>
      <c r="W456">
        <f t="shared" ca="1" si="132"/>
        <v>282.53951992344508</v>
      </c>
      <c r="X456">
        <f t="shared" ca="1" si="142"/>
        <v>278.17701706438305</v>
      </c>
      <c r="Y456">
        <f t="shared" ca="1" si="141"/>
        <v>6.0273130237570172</v>
      </c>
      <c r="Z456">
        <f t="shared" ca="1" si="143"/>
        <v>5.3953333963277856</v>
      </c>
      <c r="AA456">
        <f t="shared" ca="1" si="144"/>
        <v>0.63197962742923153</v>
      </c>
      <c r="AB456">
        <f t="shared" ca="1" si="145"/>
        <v>269.16289999999998</v>
      </c>
    </row>
    <row r="457" spans="1:28" x14ac:dyDescent="0.25">
      <c r="A457" s="20">
        <f t="shared" ca="1" si="146"/>
        <v>45950</v>
      </c>
      <c r="B457" vm="1359">
        <f ca="1"/>
        <v>45954</v>
      </c>
      <c r="C457" vm="1360">
        <f ca="1"/>
        <v>307.45999999999998</v>
      </c>
      <c r="D457" vm="1361">
        <f ca="1"/>
        <v>16914243</v>
      </c>
      <c r="E457">
        <f t="shared" ca="1" si="147"/>
        <v>5200453152.7799997</v>
      </c>
      <c r="F457">
        <f ca="1">SUM($E$2:E457)/SUM($D$2:D457)</f>
        <v>224.88310507158161</v>
      </c>
      <c r="G457">
        <f ca="1">_xlfn.STDEV.P($C$2:C457)</f>
        <v>37.926783670827994</v>
      </c>
      <c r="H457">
        <f t="shared" ca="1" si="148"/>
        <v>262.80988874240961</v>
      </c>
      <c r="I457">
        <f t="shared" ca="1" si="149"/>
        <v>186.95632140075361</v>
      </c>
      <c r="J457">
        <f t="shared" ca="1" si="137"/>
        <v>284.96899999999999</v>
      </c>
      <c r="K457">
        <f t="shared" ca="1" si="138"/>
        <v>7.2738948518513391</v>
      </c>
      <c r="L457">
        <f t="shared" ca="1" si="139"/>
        <v>299.51678970370267</v>
      </c>
      <c r="M457">
        <f t="shared" ca="1" si="140"/>
        <v>270.42121029629732</v>
      </c>
      <c r="N457">
        <f t="shared" ca="1" si="150"/>
        <v>22.45999999999998</v>
      </c>
      <c r="O457">
        <f t="shared" ca="1" si="151"/>
        <v>22.45999999999998</v>
      </c>
      <c r="P457">
        <f t="shared" ca="1" si="152"/>
        <v>0</v>
      </c>
      <c r="Q457">
        <f t="shared" ca="1" si="135"/>
        <v>3.4625872001717619</v>
      </c>
      <c r="R457">
        <f t="shared" ca="1" si="136"/>
        <v>1.3471762850976596</v>
      </c>
      <c r="S457">
        <f t="shared" ca="1" si="133"/>
        <v>2.5702554583795632</v>
      </c>
      <c r="T457">
        <f t="shared" ca="1" si="134"/>
        <v>71.990799771681566</v>
      </c>
      <c r="U457">
        <f>70</f>
        <v>70</v>
      </c>
      <c r="V457">
        <f>30</f>
        <v>30</v>
      </c>
      <c r="W457">
        <f t="shared" ca="1" si="132"/>
        <v>286.37343993522279</v>
      </c>
      <c r="X457">
        <f t="shared" ca="1" si="142"/>
        <v>280.34612691146577</v>
      </c>
      <c r="Y457">
        <f t="shared" ca="1" si="141"/>
        <v>7.7120809530906058</v>
      </c>
      <c r="Z457">
        <f t="shared" ca="1" si="143"/>
        <v>5.8586829076803504</v>
      </c>
      <c r="AA457">
        <f t="shared" ca="1" si="144"/>
        <v>1.8533980454102554</v>
      </c>
      <c r="AB457">
        <f t="shared" ca="1" si="145"/>
        <v>269.58549999999997</v>
      </c>
    </row>
    <row r="458" spans="1:28" x14ac:dyDescent="0.25">
      <c r="A458" s="20">
        <f t="shared" ca="1" si="146"/>
        <v>45957</v>
      </c>
      <c r="B458" vm="1362">
        <f ca="1"/>
        <v>45957</v>
      </c>
      <c r="C458" vm="1363">
        <f ca="1"/>
        <v>313.08999999999997</v>
      </c>
      <c r="D458" vm="1364">
        <f ca="1"/>
        <v>9868151</v>
      </c>
      <c r="E458">
        <f t="shared" ca="1" si="147"/>
        <v>3089619396.5899997</v>
      </c>
      <c r="F458">
        <f ca="1">SUM($E$2:E458)/SUM($D$2:D458)</f>
        <v>225.3048623674643</v>
      </c>
      <c r="G458">
        <f ca="1">_xlfn.STDEV.P($C$2:C458)</f>
        <v>38.121506101688233</v>
      </c>
      <c r="H458">
        <f t="shared" ca="1" si="148"/>
        <v>263.42636846915252</v>
      </c>
      <c r="I458">
        <f t="shared" ca="1" si="149"/>
        <v>187.18335626577607</v>
      </c>
      <c r="J458">
        <f t="shared" ca="1" si="137"/>
        <v>286.63350000000003</v>
      </c>
      <c r="K458">
        <f t="shared" ca="1" si="138"/>
        <v>9.4977622156623323</v>
      </c>
      <c r="L458">
        <f t="shared" ca="1" si="139"/>
        <v>305.62902443132469</v>
      </c>
      <c r="M458">
        <f t="shared" ca="1" si="140"/>
        <v>267.63797556867536</v>
      </c>
      <c r="N458">
        <f t="shared" ca="1" si="150"/>
        <v>5.6299999999999955</v>
      </c>
      <c r="O458">
        <f t="shared" ca="1" si="151"/>
        <v>5.6299999999999955</v>
      </c>
      <c r="P458">
        <f t="shared" ca="1" si="152"/>
        <v>0</v>
      </c>
      <c r="Q458">
        <f t="shared" ca="1" si="135"/>
        <v>3.6174024001594929</v>
      </c>
      <c r="R458">
        <f t="shared" ca="1" si="136"/>
        <v>1.250949407590684</v>
      </c>
      <c r="S458">
        <f t="shared" ca="1" si="133"/>
        <v>2.8917255791555743</v>
      </c>
      <c r="T458">
        <f t="shared" ca="1" si="134"/>
        <v>74.304457504504214</v>
      </c>
      <c r="U458">
        <f>70</f>
        <v>70</v>
      </c>
      <c r="V458">
        <f>30</f>
        <v>30</v>
      </c>
      <c r="W458">
        <f t="shared" ca="1" si="132"/>
        <v>290.4836799451885</v>
      </c>
      <c r="X458">
        <f t="shared" ca="1" si="142"/>
        <v>282.77159899209789</v>
      </c>
      <c r="Y458">
        <f t="shared" ca="1" si="141"/>
        <v>8.9026873825902157</v>
      </c>
      <c r="Z458">
        <f t="shared" ca="1" si="143"/>
        <v>6.4674838026623238</v>
      </c>
      <c r="AA458">
        <f t="shared" ca="1" si="144"/>
        <v>2.4352035799278919</v>
      </c>
      <c r="AB458">
        <f t="shared" ca="1" si="145"/>
        <v>270.06119999999993</v>
      </c>
    </row>
    <row r="459" spans="1:28" x14ac:dyDescent="0.25">
      <c r="A459" s="20">
        <f t="shared" ca="1" si="146"/>
        <v>45957</v>
      </c>
      <c r="B459" vm="1365">
        <f ca="1"/>
        <v>45958</v>
      </c>
      <c r="C459" vm="1366">
        <f ca="1"/>
        <v>312.57</v>
      </c>
      <c r="D459" vm="1367">
        <f ca="1"/>
        <v>6044770</v>
      </c>
      <c r="E459">
        <f t="shared" ca="1" si="147"/>
        <v>1889413758.8999999</v>
      </c>
      <c r="F459">
        <f ca="1">SUM($E$2:E459)/SUM($D$2:D459)</f>
        <v>225.55970653452306</v>
      </c>
      <c r="G459">
        <f ca="1">_xlfn.STDEV.P($C$2:C459)</f>
        <v>38.310706032551224</v>
      </c>
      <c r="H459">
        <f t="shared" ca="1" si="148"/>
        <v>263.87041256707425</v>
      </c>
      <c r="I459">
        <f t="shared" ca="1" si="149"/>
        <v>187.24900050197184</v>
      </c>
      <c r="J459">
        <f t="shared" ca="1" si="137"/>
        <v>288.154</v>
      </c>
      <c r="K459">
        <f t="shared" ca="1" si="138"/>
        <v>11.051062535244952</v>
      </c>
      <c r="L459">
        <f t="shared" ca="1" si="139"/>
        <v>310.25612507048993</v>
      </c>
      <c r="M459">
        <f t="shared" ca="1" si="140"/>
        <v>266.05187492951006</v>
      </c>
      <c r="N459">
        <f t="shared" ca="1" si="150"/>
        <v>-0.51999999999998181</v>
      </c>
      <c r="O459">
        <f t="shared" ca="1" si="151"/>
        <v>0</v>
      </c>
      <c r="P459">
        <f t="shared" ca="1" si="152"/>
        <v>0.51999999999998181</v>
      </c>
      <c r="Q459">
        <f t="shared" ca="1" si="135"/>
        <v>3.3590165144338147</v>
      </c>
      <c r="R459">
        <f t="shared" ca="1" si="136"/>
        <v>1.1987387356199195</v>
      </c>
      <c r="S459">
        <f t="shared" ca="1" si="133"/>
        <v>2.8021256130483865</v>
      </c>
      <c r="T459">
        <f t="shared" ca="1" si="134"/>
        <v>73.698922608760384</v>
      </c>
      <c r="U459">
        <f>70</f>
        <v>70</v>
      </c>
      <c r="V459">
        <f>30</f>
        <v>30</v>
      </c>
      <c r="W459">
        <f t="shared" ca="1" si="132"/>
        <v>293.88157533823642</v>
      </c>
      <c r="X459">
        <f t="shared" ca="1" si="142"/>
        <v>284.9788879556462</v>
      </c>
      <c r="Y459">
        <f t="shared" ca="1" si="141"/>
        <v>9.3862372930803417</v>
      </c>
      <c r="Z459">
        <f t="shared" ca="1" si="143"/>
        <v>7.0512345007459274</v>
      </c>
      <c r="AA459">
        <f t="shared" ca="1" si="144"/>
        <v>2.3350027923344143</v>
      </c>
      <c r="AB459">
        <f t="shared" ca="1" si="145"/>
        <v>270.51829999999995</v>
      </c>
    </row>
    <row r="460" spans="1:28" x14ac:dyDescent="0.25">
      <c r="A460" s="20">
        <f t="shared" ca="1" si="146"/>
        <v>45957</v>
      </c>
      <c r="B460" vm="1368">
        <f ca="1"/>
        <v>45959</v>
      </c>
      <c r="C460" vm="1369">
        <f ca="1"/>
        <v>308.20999999999998</v>
      </c>
      <c r="D460" vm="1370">
        <f ca="1"/>
        <v>4135948</v>
      </c>
      <c r="E460">
        <f t="shared" ca="1" si="147"/>
        <v>1274740533.0799999</v>
      </c>
      <c r="F460">
        <f ca="1">SUM($E$2:E460)/SUM($D$2:D460)</f>
        <v>225.7245253113777</v>
      </c>
      <c r="G460">
        <f ca="1">_xlfn.STDEV.P($C$2:C460)</f>
        <v>38.475590743078932</v>
      </c>
      <c r="H460">
        <f t="shared" ca="1" si="148"/>
        <v>264.20011605445666</v>
      </c>
      <c r="I460">
        <f t="shared" ca="1" si="149"/>
        <v>187.24893456829878</v>
      </c>
      <c r="J460">
        <f t="shared" ca="1" si="137"/>
        <v>289.24</v>
      </c>
      <c r="K460">
        <f t="shared" ca="1" si="138"/>
        <v>11.912576282408871</v>
      </c>
      <c r="L460">
        <f t="shared" ca="1" si="139"/>
        <v>313.06515256481777</v>
      </c>
      <c r="M460">
        <f t="shared" ca="1" si="140"/>
        <v>265.41484743518225</v>
      </c>
      <c r="N460">
        <f t="shared" ca="1" si="150"/>
        <v>-4.3600000000000136</v>
      </c>
      <c r="O460">
        <f t="shared" ca="1" si="151"/>
        <v>0</v>
      </c>
      <c r="P460">
        <f t="shared" ca="1" si="152"/>
        <v>4.3600000000000136</v>
      </c>
      <c r="Q460">
        <f t="shared" ca="1" si="135"/>
        <v>3.1190867634028279</v>
      </c>
      <c r="R460">
        <f t="shared" ca="1" si="136"/>
        <v>1.424543111647069</v>
      </c>
      <c r="S460">
        <f t="shared" ca="1" si="133"/>
        <v>2.1895348325376496</v>
      </c>
      <c r="T460">
        <f t="shared" ca="1" si="134"/>
        <v>68.647465774675908</v>
      </c>
      <c r="U460">
        <f>70</f>
        <v>70</v>
      </c>
      <c r="V460">
        <f>30</f>
        <v>30</v>
      </c>
      <c r="W460">
        <f t="shared" ca="1" si="132"/>
        <v>296.08594836312312</v>
      </c>
      <c r="X460">
        <f t="shared" ca="1" si="142"/>
        <v>286.69971107004278</v>
      </c>
      <c r="Y460">
        <f t="shared" ca="1" si="141"/>
        <v>9.8056996184719765</v>
      </c>
      <c r="Z460">
        <f t="shared" ca="1" si="143"/>
        <v>7.6021275242911379</v>
      </c>
      <c r="AA460">
        <f t="shared" ca="1" si="144"/>
        <v>2.2035720941808385</v>
      </c>
      <c r="AB460">
        <f t="shared" ca="1" si="145"/>
        <v>270.91169999999994</v>
      </c>
    </row>
    <row r="461" spans="1:28" x14ac:dyDescent="0.25">
      <c r="A461" s="20">
        <f t="shared" ca="1" si="146"/>
        <v>45957</v>
      </c>
      <c r="B461" vm="1371">
        <f ca="1"/>
        <v>45960</v>
      </c>
      <c r="C461" vm="1372">
        <f ca="1"/>
        <v>310.06</v>
      </c>
      <c r="D461" vm="1373">
        <f ca="1"/>
        <v>4694275</v>
      </c>
      <c r="E461">
        <f t="shared" ca="1" si="147"/>
        <v>1455506906.5</v>
      </c>
      <c r="F461">
        <f ca="1">SUM($E$2:E461)/SUM($D$2:D461)</f>
        <v>225.91497671590395</v>
      </c>
      <c r="G461">
        <f ca="1">_xlfn.STDEV.P($C$2:C461)</f>
        <v>38.647115756451932</v>
      </c>
      <c r="H461">
        <f t="shared" ca="1" si="148"/>
        <v>264.56209247235586</v>
      </c>
      <c r="I461">
        <f t="shared" ca="1" si="149"/>
        <v>187.26786095945201</v>
      </c>
      <c r="J461">
        <f t="shared" ca="1" si="137"/>
        <v>290.40700000000004</v>
      </c>
      <c r="K461">
        <f t="shared" ca="1" si="138"/>
        <v>12.765422499038063</v>
      </c>
      <c r="L461">
        <f t="shared" ca="1" si="139"/>
        <v>315.93784499807617</v>
      </c>
      <c r="M461">
        <f t="shared" ca="1" si="140"/>
        <v>264.87615500192391</v>
      </c>
      <c r="N461">
        <f t="shared" ca="1" si="150"/>
        <v>1.8500000000000227</v>
      </c>
      <c r="O461">
        <f t="shared" ca="1" si="151"/>
        <v>1.8500000000000227</v>
      </c>
      <c r="P461">
        <f t="shared" ca="1" si="152"/>
        <v>0</v>
      </c>
      <c r="Q461">
        <f t="shared" ca="1" si="135"/>
        <v>3.0284377088740557</v>
      </c>
      <c r="R461">
        <f t="shared" ca="1" si="136"/>
        <v>1.3227900322437069</v>
      </c>
      <c r="S461">
        <f t="shared" ca="1" si="133"/>
        <v>2.2894319091120163</v>
      </c>
      <c r="T461">
        <f t="shared" ca="1" si="134"/>
        <v>69.59961392634662</v>
      </c>
      <c r="U461">
        <f>70</f>
        <v>70</v>
      </c>
      <c r="V461">
        <f>30</f>
        <v>30</v>
      </c>
      <c r="W461">
        <f t="shared" ca="1" si="132"/>
        <v>298.23580246110419</v>
      </c>
      <c r="X461">
        <f t="shared" ca="1" si="142"/>
        <v>288.43010284263221</v>
      </c>
      <c r="Y461">
        <f t="shared" ca="1" si="141"/>
        <v>9.8111963165027873</v>
      </c>
      <c r="Z461">
        <f t="shared" ca="1" si="143"/>
        <v>8.0439412827334671</v>
      </c>
      <c r="AA461">
        <f t="shared" ca="1" si="144"/>
        <v>1.7672550337693202</v>
      </c>
      <c r="AB461">
        <f t="shared" ca="1" si="145"/>
        <v>271.29149999999998</v>
      </c>
    </row>
    <row r="462" spans="1:28" x14ac:dyDescent="0.25">
      <c r="A462" s="20">
        <f t="shared" ca="1" si="146"/>
        <v>45957</v>
      </c>
      <c r="B462" vm="1374">
        <f ca="1"/>
        <v>45961</v>
      </c>
      <c r="C462" vm="1375">
        <f ca="1"/>
        <v>307.41000000000003</v>
      </c>
      <c r="D462" vm="1376">
        <f ca="1"/>
        <v>7697499</v>
      </c>
      <c r="E462">
        <f t="shared" ca="1" si="147"/>
        <v>2366288167.5900002</v>
      </c>
      <c r="F462">
        <f ca="1">SUM($E$2:E462)/SUM($D$2:D462)</f>
        <v>226.21564032102222</v>
      </c>
      <c r="G462">
        <f ca="1">_xlfn.STDEV.P($C$2:C462)</f>
        <v>38.803581184533485</v>
      </c>
      <c r="H462">
        <f t="shared" ca="1" si="148"/>
        <v>265.01922150555572</v>
      </c>
      <c r="I462">
        <f t="shared" ca="1" si="149"/>
        <v>187.41205913648872</v>
      </c>
      <c r="J462">
        <f t="shared" ca="1" si="137"/>
        <v>291.35900000000004</v>
      </c>
      <c r="K462">
        <f t="shared" ca="1" si="138"/>
        <v>13.304116458331309</v>
      </c>
      <c r="L462">
        <f t="shared" ca="1" si="139"/>
        <v>317.96723291666268</v>
      </c>
      <c r="M462">
        <f t="shared" ca="1" si="140"/>
        <v>264.75076708333739</v>
      </c>
      <c r="N462">
        <f t="shared" ca="1" si="150"/>
        <v>-2.6499999999999773</v>
      </c>
      <c r="O462">
        <f t="shared" ca="1" si="151"/>
        <v>0</v>
      </c>
      <c r="P462">
        <f t="shared" ca="1" si="152"/>
        <v>2.6499999999999773</v>
      </c>
      <c r="Q462">
        <f t="shared" ca="1" si="135"/>
        <v>2.812120729668766</v>
      </c>
      <c r="R462">
        <f t="shared" ca="1" si="136"/>
        <v>1.4175907442262976</v>
      </c>
      <c r="S462">
        <f t="shared" ca="1" si="133"/>
        <v>1.9837324285039577</v>
      </c>
      <c r="T462">
        <f t="shared" ca="1" si="134"/>
        <v>66.484930403045567</v>
      </c>
      <c r="U462">
        <f>70</f>
        <v>70</v>
      </c>
      <c r="V462">
        <f>30</f>
        <v>30</v>
      </c>
      <c r="W462">
        <f t="shared" ca="1" si="132"/>
        <v>299.64721746708818</v>
      </c>
      <c r="X462">
        <f t="shared" ca="1" si="142"/>
        <v>289.8360211505854</v>
      </c>
      <c r="Y462">
        <f t="shared" ca="1" si="141"/>
        <v>9.4899051674784687</v>
      </c>
      <c r="Z462">
        <f t="shared" ca="1" si="143"/>
        <v>8.3331340596824681</v>
      </c>
      <c r="AA462">
        <f t="shared" ca="1" si="144"/>
        <v>1.1567711077960006</v>
      </c>
      <c r="AB462">
        <f t="shared" ca="1" si="145"/>
        <v>271.60320000000002</v>
      </c>
    </row>
    <row r="463" spans="1:28" x14ac:dyDescent="0.25">
      <c r="A463" s="20">
        <f t="shared" ca="1" si="146"/>
        <v>45964</v>
      </c>
      <c r="B463" vm="1377">
        <f ca="1"/>
        <v>45964</v>
      </c>
      <c r="C463" vm="1378">
        <f ca="1"/>
        <v>304.73</v>
      </c>
      <c r="D463" vm="1379">
        <f ca="1"/>
        <v>4957958</v>
      </c>
      <c r="E463">
        <f t="shared" ca="1" si="147"/>
        <v>1510838541.3400002</v>
      </c>
      <c r="F463">
        <f ca="1">SUM($E$2:E463)/SUM($D$2:D463)</f>
        <v>226.40177241967896</v>
      </c>
      <c r="G463">
        <f ca="1">_xlfn.STDEV.P($C$2:C463)</f>
        <v>38.945602278613137</v>
      </c>
      <c r="H463">
        <f t="shared" ca="1" si="148"/>
        <v>265.34737469829213</v>
      </c>
      <c r="I463">
        <f t="shared" ca="1" si="149"/>
        <v>187.45617014106583</v>
      </c>
      <c r="J463">
        <f t="shared" ca="1" si="137"/>
        <v>292.12450000000001</v>
      </c>
      <c r="K463">
        <f t="shared" ca="1" si="138"/>
        <v>13.623306065632331</v>
      </c>
      <c r="L463">
        <f t="shared" ca="1" si="139"/>
        <v>319.37111213126468</v>
      </c>
      <c r="M463">
        <f t="shared" ca="1" si="140"/>
        <v>264.87788786873534</v>
      </c>
      <c r="N463">
        <f t="shared" ca="1" si="150"/>
        <v>-2.6800000000000068</v>
      </c>
      <c r="O463">
        <f t="shared" ca="1" si="151"/>
        <v>0</v>
      </c>
      <c r="P463">
        <f t="shared" ca="1" si="152"/>
        <v>2.6800000000000068</v>
      </c>
      <c r="Q463">
        <f t="shared" ca="1" si="135"/>
        <v>2.6112549632638542</v>
      </c>
      <c r="R463">
        <f t="shared" ca="1" si="136"/>
        <v>1.5077628339244196</v>
      </c>
      <c r="S463">
        <f t="shared" ca="1" si="133"/>
        <v>1.7318738096675688</v>
      </c>
      <c r="T463">
        <f t="shared" ca="1" si="134"/>
        <v>63.395088145682465</v>
      </c>
      <c r="U463">
        <f>70</f>
        <v>70</v>
      </c>
      <c r="V463">
        <f>30</f>
        <v>30</v>
      </c>
      <c r="W463">
        <f t="shared" ref="W463:W514" ca="1" si="153">C463*(2/(12+1)) + W462*(1-(2/(12+1)))</f>
        <v>300.42918401061308</v>
      </c>
      <c r="X463">
        <f t="shared" ca="1" si="142"/>
        <v>290.93927884313462</v>
      </c>
      <c r="Y463">
        <f t="shared" ca="1" si="141"/>
        <v>8.8205185958214543</v>
      </c>
      <c r="Z463">
        <f t="shared" ca="1" si="143"/>
        <v>8.4306109669102653</v>
      </c>
      <c r="AA463">
        <f t="shared" ca="1" si="144"/>
        <v>0.38990762891118891</v>
      </c>
      <c r="AB463">
        <f t="shared" ca="1" si="145"/>
        <v>271.83529999999996</v>
      </c>
    </row>
    <row r="464" spans="1:28" x14ac:dyDescent="0.25">
      <c r="A464" s="20">
        <f t="shared" ca="1" si="146"/>
        <v>45964</v>
      </c>
      <c r="B464" vm="1380">
        <f ca="1"/>
        <v>45965</v>
      </c>
      <c r="C464" vm="1381">
        <f ca="1"/>
        <v>300.85000000000002</v>
      </c>
      <c r="D464" vm="1382">
        <f ca="1"/>
        <v>5677330</v>
      </c>
      <c r="E464">
        <f t="shared" ca="1" si="147"/>
        <v>1708024730.5000002</v>
      </c>
      <c r="F464">
        <f ca="1">SUM($E$2:E464)/SUM($D$2:D464)</f>
        <v>226.60332598264509</v>
      </c>
      <c r="G464">
        <f ca="1">_xlfn.STDEV.P($C$2:C464)</f>
        <v>39.068748818384471</v>
      </c>
      <c r="H464">
        <f t="shared" ca="1" si="148"/>
        <v>265.67207480102957</v>
      </c>
      <c r="I464">
        <f t="shared" ca="1" si="149"/>
        <v>187.53457716426061</v>
      </c>
      <c r="J464">
        <f t="shared" ca="1" si="137"/>
        <v>292.47350000000006</v>
      </c>
      <c r="K464">
        <f t="shared" ca="1" si="138"/>
        <v>13.759105033242147</v>
      </c>
      <c r="L464">
        <f t="shared" ca="1" si="139"/>
        <v>319.99171006648436</v>
      </c>
      <c r="M464">
        <f t="shared" ca="1" si="140"/>
        <v>264.95528993351576</v>
      </c>
      <c r="N464">
        <f t="shared" ca="1" si="150"/>
        <v>-3.8799999999999955</v>
      </c>
      <c r="O464">
        <f t="shared" ca="1" si="151"/>
        <v>0</v>
      </c>
      <c r="P464">
        <f t="shared" ca="1" si="152"/>
        <v>3.8799999999999955</v>
      </c>
      <c r="Q464">
        <f t="shared" ca="1" si="135"/>
        <v>2.4247367516021505</v>
      </c>
      <c r="R464">
        <f t="shared" ca="1" si="136"/>
        <v>1.6772083457869607</v>
      </c>
      <c r="S464">
        <f t="shared" ref="S464:S514" ca="1" si="154">IF(R464=0,NA(),Q464/R464)</f>
        <v>1.4456980003068391</v>
      </c>
      <c r="T464">
        <f t="shared" ref="T464:T514" ca="1" si="155">100-(100/(1+S464))</f>
        <v>59.111877268798551</v>
      </c>
      <c r="U464">
        <f>70</f>
        <v>70</v>
      </c>
      <c r="V464">
        <f>30</f>
        <v>30</v>
      </c>
      <c r="W464">
        <f t="shared" ca="1" si="153"/>
        <v>300.49392493205721</v>
      </c>
      <c r="X464">
        <f t="shared" ca="1" si="142"/>
        <v>291.67340633623576</v>
      </c>
      <c r="Y464">
        <f t="shared" ca="1" si="141"/>
        <v>8.6678024089583232</v>
      </c>
      <c r="Z464">
        <f t="shared" ca="1" si="143"/>
        <v>8.4780492553198776</v>
      </c>
      <c r="AA464">
        <f t="shared" ca="1" si="144"/>
        <v>0.18975315363844558</v>
      </c>
      <c r="AB464">
        <f t="shared" ca="1" si="145"/>
        <v>272.0335</v>
      </c>
    </row>
    <row r="465" spans="1:28" x14ac:dyDescent="0.25">
      <c r="A465" s="20">
        <f t="shared" ca="1" si="146"/>
        <v>45964</v>
      </c>
      <c r="B465" vm="1383">
        <f ca="1"/>
        <v>45966</v>
      </c>
      <c r="C465" vm="1384">
        <f ca="1"/>
        <v>306.77</v>
      </c>
      <c r="D465" vm="1385">
        <f ca="1"/>
        <v>4650368</v>
      </c>
      <c r="E465">
        <f t="shared" ca="1" si="147"/>
        <v>1426593391.3599999</v>
      </c>
      <c r="F465">
        <f ca="1">SUM($E$2:E465)/SUM($D$2:D465)</f>
        <v>226.7807086368903</v>
      </c>
      <c r="G465">
        <f ca="1">_xlfn.STDEV.P($C$2:C465)</f>
        <v>39.216288352445169</v>
      </c>
      <c r="H465">
        <f t="shared" ca="1" si="148"/>
        <v>265.99699698933546</v>
      </c>
      <c r="I465">
        <f t="shared" ca="1" si="149"/>
        <v>187.56442028444513</v>
      </c>
      <c r="J465">
        <f t="shared" ca="1" si="137"/>
        <v>293.33900000000006</v>
      </c>
      <c r="K465">
        <f t="shared" ca="1" si="138"/>
        <v>14.099782342478308</v>
      </c>
      <c r="L465">
        <f t="shared" ca="1" si="139"/>
        <v>321.53856468495667</v>
      </c>
      <c r="M465">
        <f t="shared" ca="1" si="140"/>
        <v>265.13943531504344</v>
      </c>
      <c r="N465">
        <f t="shared" ca="1" si="150"/>
        <v>5.9199999999999591</v>
      </c>
      <c r="O465">
        <f t="shared" ca="1" si="151"/>
        <v>5.9199999999999591</v>
      </c>
      <c r="P465">
        <f t="shared" ca="1" si="152"/>
        <v>0</v>
      </c>
      <c r="Q465">
        <f t="shared" ref="Q465:Q514" ca="1" si="156">(Q464*13+O465)/14</f>
        <v>2.6743984122019944</v>
      </c>
      <c r="R465">
        <f t="shared" ref="R465:R514" ca="1" si="157">(R464*13+P465)/14</f>
        <v>1.5574077496593206</v>
      </c>
      <c r="S465">
        <f t="shared" ca="1" si="154"/>
        <v>1.7172114449713076</v>
      </c>
      <c r="T465">
        <f t="shared" ca="1" si="155"/>
        <v>63.197564111152218</v>
      </c>
      <c r="U465">
        <f>70</f>
        <v>70</v>
      </c>
      <c r="V465">
        <f>30</f>
        <v>30</v>
      </c>
      <c r="W465">
        <f t="shared" ca="1" si="153"/>
        <v>301.45947494250993</v>
      </c>
      <c r="X465">
        <f t="shared" ca="1" si="142"/>
        <v>292.7916725335516</v>
      </c>
      <c r="Y465">
        <f t="shared" ca="1" si="141"/>
        <v>8.9000868504876962</v>
      </c>
      <c r="Z465">
        <f t="shared" ca="1" si="143"/>
        <v>8.5624567743534428</v>
      </c>
      <c r="AA465">
        <f t="shared" ca="1" si="144"/>
        <v>0.33763007613425344</v>
      </c>
      <c r="AB465">
        <f t="shared" ca="1" si="145"/>
        <v>272.32900000000001</v>
      </c>
    </row>
    <row r="466" spans="1:28" x14ac:dyDescent="0.25">
      <c r="A466" s="20">
        <f t="shared" ca="1" si="146"/>
        <v>45964</v>
      </c>
      <c r="B466" vm="1386">
        <f ca="1"/>
        <v>45967</v>
      </c>
      <c r="C466" vm="1387">
        <f ca="1"/>
        <v>312.42</v>
      </c>
      <c r="D466" vm="1388">
        <f ca="1"/>
        <v>6818521</v>
      </c>
      <c r="E466">
        <f t="shared" ca="1" si="147"/>
        <v>2130242330.8200002</v>
      </c>
      <c r="F466">
        <f ca="1">SUM($E$2:E466)/SUM($D$2:D466)</f>
        <v>227.05764916181872</v>
      </c>
      <c r="G466">
        <f ca="1">_xlfn.STDEV.P($C$2:C466)</f>
        <v>39.388228386845768</v>
      </c>
      <c r="H466">
        <f t="shared" ca="1" si="148"/>
        <v>266.4458775486645</v>
      </c>
      <c r="I466">
        <f t="shared" ca="1" si="149"/>
        <v>187.66942077497293</v>
      </c>
      <c r="J466">
        <f t="shared" ca="1" si="137"/>
        <v>294.54850000000005</v>
      </c>
      <c r="K466">
        <f t="shared" ca="1" si="138"/>
        <v>14.66466977933162</v>
      </c>
      <c r="L466">
        <f t="shared" ca="1" si="139"/>
        <v>323.87783955866331</v>
      </c>
      <c r="M466">
        <f t="shared" ca="1" si="140"/>
        <v>265.21916044133678</v>
      </c>
      <c r="N466">
        <f t="shared" ca="1" si="150"/>
        <v>5.6500000000000341</v>
      </c>
      <c r="O466">
        <f t="shared" ca="1" si="151"/>
        <v>5.6500000000000341</v>
      </c>
      <c r="P466">
        <f t="shared" ca="1" si="152"/>
        <v>0</v>
      </c>
      <c r="Q466">
        <f t="shared" ca="1" si="156"/>
        <v>2.8869413827589971</v>
      </c>
      <c r="R466">
        <f t="shared" ca="1" si="157"/>
        <v>1.4461643389693692</v>
      </c>
      <c r="S466">
        <f t="shared" ca="1" si="154"/>
        <v>1.9962747697239025</v>
      </c>
      <c r="T466">
        <f t="shared" ca="1" si="155"/>
        <v>66.625223757694727</v>
      </c>
      <c r="U466">
        <f>70</f>
        <v>70</v>
      </c>
      <c r="V466">
        <f>30</f>
        <v>30</v>
      </c>
      <c r="W466">
        <f t="shared" ca="1" si="153"/>
        <v>303.14570956673919</v>
      </c>
      <c r="X466">
        <f t="shared" ca="1" si="142"/>
        <v>294.24562271625149</v>
      </c>
      <c r="Y466">
        <f t="shared" ca="1" si="141"/>
        <v>8.4988272323071214</v>
      </c>
      <c r="Z466">
        <f t="shared" ca="1" si="143"/>
        <v>8.5497308659441789</v>
      </c>
      <c r="AA466">
        <f t="shared" ca="1" si="144"/>
        <v>-5.0903633637057411E-2</v>
      </c>
      <c r="AB466">
        <f t="shared" ca="1" si="145"/>
        <v>272.63489999999996</v>
      </c>
    </row>
    <row r="467" spans="1:28" x14ac:dyDescent="0.25">
      <c r="A467" s="20">
        <f t="shared" ca="1" si="146"/>
        <v>45964</v>
      </c>
      <c r="B467" vm="1389">
        <f ca="1"/>
        <v>45968</v>
      </c>
      <c r="C467" vm="1390">
        <f ca="1"/>
        <v>306.38</v>
      </c>
      <c r="D467" vm="1391">
        <f ca="1"/>
        <v>5070773</v>
      </c>
      <c r="E467">
        <f t="shared" ca="1" si="147"/>
        <v>1553583431.74</v>
      </c>
      <c r="F467">
        <f ca="1">SUM($E$2:E467)/SUM($D$2:D467)</f>
        <v>227.2479539991306</v>
      </c>
      <c r="G467">
        <f ca="1">_xlfn.STDEV.P($C$2:C467)</f>
        <v>39.529868598951104</v>
      </c>
      <c r="H467">
        <f t="shared" ca="1" si="148"/>
        <v>266.77782259808168</v>
      </c>
      <c r="I467">
        <f t="shared" ca="1" si="149"/>
        <v>187.71808540017949</v>
      </c>
      <c r="J467">
        <f t="shared" ca="1" si="137"/>
        <v>295.9765000000001</v>
      </c>
      <c r="K467">
        <f t="shared" ca="1" si="138"/>
        <v>14.336842959753433</v>
      </c>
      <c r="L467">
        <f t="shared" ca="1" si="139"/>
        <v>324.65018591950695</v>
      </c>
      <c r="M467">
        <f t="shared" ca="1" si="140"/>
        <v>267.30281408049325</v>
      </c>
      <c r="N467">
        <f t="shared" ca="1" si="150"/>
        <v>-6.0400000000000205</v>
      </c>
      <c r="O467">
        <f t="shared" ca="1" si="151"/>
        <v>0</v>
      </c>
      <c r="P467">
        <f t="shared" ca="1" si="152"/>
        <v>6.0400000000000205</v>
      </c>
      <c r="Q467">
        <f t="shared" ca="1" si="156"/>
        <v>2.6807312839904971</v>
      </c>
      <c r="R467">
        <f t="shared" ca="1" si="157"/>
        <v>1.7742954576144159</v>
      </c>
      <c r="S467">
        <f t="shared" ca="1" si="154"/>
        <v>1.5108708487563884</v>
      </c>
      <c r="T467">
        <f t="shared" ca="1" si="155"/>
        <v>60.173180532352312</v>
      </c>
      <c r="U467">
        <f>70</f>
        <v>70</v>
      </c>
      <c r="V467">
        <f>30</f>
        <v>30</v>
      </c>
      <c r="W467">
        <f t="shared" ca="1" si="153"/>
        <v>303.64329271031778</v>
      </c>
      <c r="X467">
        <f t="shared" ca="1" si="142"/>
        <v>295.14446547801066</v>
      </c>
      <c r="Y467">
        <f t="shared" ca="1" si="141"/>
        <v>8.3069705259570128</v>
      </c>
      <c r="Z467">
        <f t="shared" ca="1" si="143"/>
        <v>8.5011787979467464</v>
      </c>
      <c r="AA467">
        <f t="shared" ca="1" si="144"/>
        <v>-0.19420827198973356</v>
      </c>
      <c r="AB467">
        <f t="shared" ca="1" si="145"/>
        <v>272.86819999999994</v>
      </c>
    </row>
    <row r="468" spans="1:28" x14ac:dyDescent="0.25">
      <c r="A468" s="20">
        <f t="shared" ca="1" si="146"/>
        <v>45971</v>
      </c>
      <c r="B468" vm="1392">
        <f ca="1"/>
        <v>45971</v>
      </c>
      <c r="C468" vm="1393">
        <f ca="1"/>
        <v>309.13</v>
      </c>
      <c r="D468" vm="1394">
        <f ca="1"/>
        <v>2975188</v>
      </c>
      <c r="E468">
        <f t="shared" ca="1" si="147"/>
        <v>919719866.43999994</v>
      </c>
      <c r="F468">
        <f ca="1">SUM($E$2:E468)/SUM($D$2:D468)</f>
        <v>227.36305319165621</v>
      </c>
      <c r="G468">
        <f ca="1">_xlfn.STDEV.P($C$2:C468)</f>
        <v>39.68198602462077</v>
      </c>
      <c r="H468">
        <f t="shared" ca="1" si="148"/>
        <v>267.04503921627696</v>
      </c>
      <c r="I468">
        <f t="shared" ca="1" si="149"/>
        <v>187.68106716703545</v>
      </c>
      <c r="J468">
        <f t="shared" ca="1" si="137"/>
        <v>297.57200000000012</v>
      </c>
      <c r="K468">
        <f t="shared" ca="1" si="138"/>
        <v>13.908823628791982</v>
      </c>
      <c r="L468">
        <f t="shared" ca="1" si="139"/>
        <v>325.3896472575841</v>
      </c>
      <c r="M468">
        <f t="shared" ca="1" si="140"/>
        <v>269.75435274241613</v>
      </c>
      <c r="N468">
        <f t="shared" ca="1" si="150"/>
        <v>2.75</v>
      </c>
      <c r="O468">
        <f t="shared" ca="1" si="151"/>
        <v>2.75</v>
      </c>
      <c r="P468">
        <f t="shared" ca="1" si="152"/>
        <v>0</v>
      </c>
      <c r="Q468">
        <f t="shared" ca="1" si="156"/>
        <v>2.6856790494197473</v>
      </c>
      <c r="R468">
        <f t="shared" ca="1" si="157"/>
        <v>1.6475600677848148</v>
      </c>
      <c r="S468">
        <f t="shared" ca="1" si="154"/>
        <v>1.6300947697953794</v>
      </c>
      <c r="T468">
        <f t="shared" ca="1" si="155"/>
        <v>61.978556381913194</v>
      </c>
      <c r="U468">
        <f>70</f>
        <v>70</v>
      </c>
      <c r="V468">
        <f>30</f>
        <v>30</v>
      </c>
      <c r="W468">
        <f t="shared" ca="1" si="153"/>
        <v>304.48740152411506</v>
      </c>
      <c r="X468">
        <f t="shared" ca="1" si="142"/>
        <v>296.18043099815804</v>
      </c>
      <c r="Y468">
        <f t="shared" ca="1" si="141"/>
        <v>8.4281429580079816</v>
      </c>
      <c r="Z468">
        <f t="shared" ca="1" si="143"/>
        <v>8.4865716299589948</v>
      </c>
      <c r="AA468">
        <f t="shared" ca="1" si="144"/>
        <v>-5.84286719510132E-2</v>
      </c>
      <c r="AB468">
        <f t="shared" ca="1" si="145"/>
        <v>273.12740000000002</v>
      </c>
    </row>
    <row r="469" spans="1:28" x14ac:dyDescent="0.25">
      <c r="A469" s="20">
        <f t="shared" ca="1" si="146"/>
        <v>45971</v>
      </c>
      <c r="B469" vm="1395">
        <f ca="1"/>
        <v>45972</v>
      </c>
      <c r="C469" vm="1396">
        <f ca="1"/>
        <v>313.72000000000003</v>
      </c>
      <c r="D469" vm="1397">
        <f ca="1"/>
        <v>4381913</v>
      </c>
      <c r="E469">
        <f t="shared" ca="1" si="147"/>
        <v>1374693746.3600001</v>
      </c>
      <c r="F469">
        <f ca="1">SUM($E$2:E469)/SUM($D$2:D469)</f>
        <v>227.54146845999608</v>
      </c>
      <c r="G469">
        <f ca="1">_xlfn.STDEV.P($C$2:C469)</f>
        <v>39.853421364556972</v>
      </c>
      <c r="H469">
        <f t="shared" ca="1" si="148"/>
        <v>267.39488982455305</v>
      </c>
      <c r="I469">
        <f t="shared" ca="1" si="149"/>
        <v>187.68804709543912</v>
      </c>
      <c r="J469">
        <f t="shared" ca="1" si="137"/>
        <v>299.45050000000003</v>
      </c>
      <c r="K469">
        <f t="shared" ca="1" si="138"/>
        <v>13.390752297957841</v>
      </c>
      <c r="L469">
        <f t="shared" ca="1" si="139"/>
        <v>326.23200459591573</v>
      </c>
      <c r="M469">
        <f t="shared" ca="1" si="140"/>
        <v>272.66899540408434</v>
      </c>
      <c r="N469">
        <f t="shared" ca="1" si="150"/>
        <v>4.5900000000000318</v>
      </c>
      <c r="O469">
        <f t="shared" ca="1" si="151"/>
        <v>4.5900000000000318</v>
      </c>
      <c r="P469">
        <f t="shared" ca="1" si="152"/>
        <v>0</v>
      </c>
      <c r="Q469">
        <f t="shared" ca="1" si="156"/>
        <v>2.8217019744611962</v>
      </c>
      <c r="R469">
        <f t="shared" ca="1" si="157"/>
        <v>1.529877205800185</v>
      </c>
      <c r="S469">
        <f t="shared" ca="1" si="154"/>
        <v>1.8443976835286835</v>
      </c>
      <c r="T469">
        <f t="shared" ca="1" si="155"/>
        <v>64.843172043389274</v>
      </c>
      <c r="U469">
        <f>70</f>
        <v>70</v>
      </c>
      <c r="V469">
        <f>30</f>
        <v>30</v>
      </c>
      <c r="W469">
        <f t="shared" ca="1" si="153"/>
        <v>305.90780128963581</v>
      </c>
      <c r="X469">
        <f t="shared" ca="1" si="142"/>
        <v>297.47965833162783</v>
      </c>
      <c r="Y469">
        <f t="shared" ca="1" si="141"/>
        <v>8.5275442314609222</v>
      </c>
      <c r="Z469">
        <f t="shared" ca="1" si="143"/>
        <v>8.4947661502593803</v>
      </c>
      <c r="AA469">
        <f t="shared" ca="1" si="144"/>
        <v>3.2778081201541909E-2</v>
      </c>
      <c r="AB469">
        <f t="shared" ca="1" si="145"/>
        <v>273.45490000000001</v>
      </c>
    </row>
    <row r="470" spans="1:28" x14ac:dyDescent="0.25">
      <c r="A470" s="20">
        <f t="shared" ca="1" si="146"/>
        <v>45971</v>
      </c>
      <c r="B470" vm="1398">
        <f ca="1"/>
        <v>45973</v>
      </c>
      <c r="C470" vm="1399">
        <f ca="1"/>
        <v>314.98</v>
      </c>
      <c r="D470" vm="1400">
        <f ca="1"/>
        <v>6042686</v>
      </c>
      <c r="E470">
        <f t="shared" ca="1" si="147"/>
        <v>1903325236.2800002</v>
      </c>
      <c r="F470">
        <f ca="1">SUM($E$2:E470)/SUM($D$2:D470)</f>
        <v>227.78987801688422</v>
      </c>
      <c r="G470">
        <f ca="1">_xlfn.STDEV.P($C$2:C470)</f>
        <v>40.028502291290316</v>
      </c>
      <c r="H470">
        <f t="shared" ca="1" si="148"/>
        <v>267.81838030817454</v>
      </c>
      <c r="I470">
        <f t="shared" ca="1" si="149"/>
        <v>187.76137572559389</v>
      </c>
      <c r="J470">
        <f t="shared" ref="J470:J514" ca="1" si="158">AVERAGE(C451:C470)</f>
        <v>301.16200000000009</v>
      </c>
      <c r="K470">
        <f t="shared" ref="K470:K514" ca="1" si="159">_xlfn.STDEV.S(C451:C470)</f>
        <v>13.058178965488905</v>
      </c>
      <c r="L470">
        <f t="shared" ref="L470:L514" ca="1" si="160">J470 + 2*K470</f>
        <v>327.2783579309779</v>
      </c>
      <c r="M470">
        <f t="shared" ref="M470:M514" ca="1" si="161">J470-2*K470</f>
        <v>275.04564206902228</v>
      </c>
      <c r="N470">
        <f t="shared" ca="1" si="150"/>
        <v>1.2599999999999909</v>
      </c>
      <c r="O470">
        <f t="shared" ca="1" si="151"/>
        <v>1.2599999999999909</v>
      </c>
      <c r="P470">
        <f t="shared" ca="1" si="152"/>
        <v>0</v>
      </c>
      <c r="Q470">
        <f t="shared" ca="1" si="156"/>
        <v>2.7101518334282528</v>
      </c>
      <c r="R470">
        <f t="shared" ca="1" si="157"/>
        <v>1.4206002625287433</v>
      </c>
      <c r="S470">
        <f t="shared" ca="1" si="154"/>
        <v>1.9077511844211825</v>
      </c>
      <c r="T470">
        <f t="shared" ca="1" si="155"/>
        <v>65.609161975148155</v>
      </c>
      <c r="U470">
        <f>70</f>
        <v>70</v>
      </c>
      <c r="V470">
        <f>30</f>
        <v>30</v>
      </c>
      <c r="W470">
        <f t="shared" ca="1" si="153"/>
        <v>307.30352416815339</v>
      </c>
      <c r="X470">
        <f t="shared" ca="1" si="142"/>
        <v>298.77597993669247</v>
      </c>
      <c r="Y470">
        <f t="shared" ca="1" si="141"/>
        <v>7.700949283522732</v>
      </c>
      <c r="Z470">
        <f t="shared" ca="1" si="143"/>
        <v>8.3360027769120517</v>
      </c>
      <c r="AA470">
        <f t="shared" ca="1" si="144"/>
        <v>-0.63505349338931971</v>
      </c>
      <c r="AB470">
        <f t="shared" ca="1" si="145"/>
        <v>273.71289999999999</v>
      </c>
    </row>
    <row r="471" spans="1:28" x14ac:dyDescent="0.25">
      <c r="A471" s="20">
        <f t="shared" ca="1" si="146"/>
        <v>45971</v>
      </c>
      <c r="B471" vm="1401">
        <f ca="1"/>
        <v>45974</v>
      </c>
      <c r="C471" vm="1402">
        <f ca="1"/>
        <v>304.86</v>
      </c>
      <c r="D471" vm="1403">
        <f ca="1"/>
        <v>5310150</v>
      </c>
      <c r="E471">
        <f t="shared" ca="1" si="147"/>
        <v>1618852329</v>
      </c>
      <c r="F471">
        <f ca="1">SUM($E$2:E471)/SUM($D$2:D471)</f>
        <v>227.98180912088222</v>
      </c>
      <c r="G471">
        <f ca="1">_xlfn.STDEV.P($C$2:C471)</f>
        <v>40.155650137019528</v>
      </c>
      <c r="H471">
        <f t="shared" ca="1" si="148"/>
        <v>268.13745925790175</v>
      </c>
      <c r="I471">
        <f t="shared" ca="1" si="149"/>
        <v>187.82615898386268</v>
      </c>
      <c r="J471">
        <f t="shared" ca="1" si="158"/>
        <v>302.60649999999998</v>
      </c>
      <c r="K471">
        <f t="shared" ca="1" si="159"/>
        <v>11.646348998720589</v>
      </c>
      <c r="L471">
        <f t="shared" ca="1" si="160"/>
        <v>325.89919799744115</v>
      </c>
      <c r="M471">
        <f t="shared" ca="1" si="161"/>
        <v>279.31380200255882</v>
      </c>
      <c r="N471">
        <f t="shared" ca="1" si="150"/>
        <v>-10.120000000000005</v>
      </c>
      <c r="O471">
        <f t="shared" ca="1" si="151"/>
        <v>0</v>
      </c>
      <c r="P471">
        <f t="shared" ca="1" si="152"/>
        <v>10.120000000000005</v>
      </c>
      <c r="Q471">
        <f t="shared" ca="1" si="156"/>
        <v>2.5165695596119488</v>
      </c>
      <c r="R471">
        <f t="shared" ca="1" si="157"/>
        <v>2.0419859580624049</v>
      </c>
      <c r="S471">
        <f t="shared" ca="1" si="154"/>
        <v>1.2324127644833884</v>
      </c>
      <c r="T471">
        <f t="shared" ca="1" si="155"/>
        <v>55.205416493333217</v>
      </c>
      <c r="U471">
        <f>70</f>
        <v>70</v>
      </c>
      <c r="V471">
        <f>30</f>
        <v>30</v>
      </c>
      <c r="W471">
        <f t="shared" ca="1" si="153"/>
        <v>306.92759737305283</v>
      </c>
      <c r="X471">
        <f t="shared" ca="1" si="142"/>
        <v>299.2266480895301</v>
      </c>
      <c r="Y471">
        <f t="shared" ca="1" si="141"/>
        <v>7.0317828794854904</v>
      </c>
      <c r="Z471">
        <f t="shared" ca="1" si="143"/>
        <v>8.0751587974267398</v>
      </c>
      <c r="AA471">
        <f t="shared" ca="1" si="144"/>
        <v>-1.0433759179412494</v>
      </c>
      <c r="AB471">
        <f t="shared" ca="1" si="145"/>
        <v>273.8236</v>
      </c>
    </row>
    <row r="472" spans="1:28" x14ac:dyDescent="0.25">
      <c r="A472" s="20">
        <f t="shared" ca="1" si="146"/>
        <v>45971</v>
      </c>
      <c r="B472" vm="1404">
        <f ca="1"/>
        <v>45975</v>
      </c>
      <c r="C472" vm="1405">
        <f ca="1"/>
        <v>305.69</v>
      </c>
      <c r="D472" vm="1406">
        <f ca="1"/>
        <v>3592455</v>
      </c>
      <c r="E472">
        <f t="shared" ca="1" si="147"/>
        <v>1098177568.95</v>
      </c>
      <c r="F472">
        <f ca="1">SUM($E$2:E472)/SUM($D$2:D472)</f>
        <v>228.11251032386104</v>
      </c>
      <c r="G472">
        <f ca="1">_xlfn.STDEV.P($C$2:C472)</f>
        <v>40.284648774743665</v>
      </c>
      <c r="H472">
        <f t="shared" ca="1" si="148"/>
        <v>268.39715909860473</v>
      </c>
      <c r="I472">
        <f t="shared" ca="1" si="149"/>
        <v>187.82786154911739</v>
      </c>
      <c r="J472">
        <f t="shared" ca="1" si="158"/>
        <v>303.82699999999994</v>
      </c>
      <c r="K472">
        <f t="shared" ca="1" si="159"/>
        <v>10.518173295476942</v>
      </c>
      <c r="L472">
        <f t="shared" ca="1" si="160"/>
        <v>324.86334659095382</v>
      </c>
      <c r="M472">
        <f t="shared" ca="1" si="161"/>
        <v>282.79065340904606</v>
      </c>
      <c r="N472">
        <f t="shared" ca="1" si="150"/>
        <v>0.82999999999998408</v>
      </c>
      <c r="O472">
        <f t="shared" ca="1" si="151"/>
        <v>0.82999999999998408</v>
      </c>
      <c r="P472">
        <f t="shared" ca="1" si="152"/>
        <v>0</v>
      </c>
      <c r="Q472">
        <f t="shared" ca="1" si="156"/>
        <v>2.3961003053539511</v>
      </c>
      <c r="R472">
        <f t="shared" ca="1" si="157"/>
        <v>1.8961298182008046</v>
      </c>
      <c r="S472">
        <f t="shared" ca="1" si="154"/>
        <v>1.2636794603164658</v>
      </c>
      <c r="T472">
        <f t="shared" ca="1" si="155"/>
        <v>55.824134223482396</v>
      </c>
      <c r="U472">
        <f>70</f>
        <v>70</v>
      </c>
      <c r="V472">
        <f>30</f>
        <v>30</v>
      </c>
      <c r="W472">
        <f t="shared" ca="1" si="153"/>
        <v>306.73719777719856</v>
      </c>
      <c r="X472">
        <f t="shared" ca="1" si="142"/>
        <v>299.70541489771307</v>
      </c>
      <c r="Y472">
        <f t="shared" ca="1" si="141"/>
        <v>5.7477148093198025</v>
      </c>
      <c r="Z472">
        <f t="shared" ca="1" si="143"/>
        <v>7.6096699998053525</v>
      </c>
      <c r="AA472">
        <f t="shared" ca="1" si="144"/>
        <v>-1.86195519048555</v>
      </c>
      <c r="AB472">
        <f t="shared" ca="1" si="145"/>
        <v>273.9699</v>
      </c>
    </row>
    <row r="473" spans="1:28" x14ac:dyDescent="0.25">
      <c r="A473" s="20">
        <f t="shared" ca="1" si="146"/>
        <v>45978</v>
      </c>
      <c r="B473" vm="1407">
        <f ca="1"/>
        <v>45978</v>
      </c>
      <c r="C473" vm="1408">
        <f ca="1"/>
        <v>297.17</v>
      </c>
      <c r="D473" vm="1409">
        <f ca="1"/>
        <v>3909741</v>
      </c>
      <c r="E473">
        <f t="shared" ca="1" si="147"/>
        <v>1161857732.97</v>
      </c>
      <c r="F473">
        <f ca="1">SUM($E$2:E473)/SUM($D$2:D473)</f>
        <v>228.23868900298996</v>
      </c>
      <c r="G473">
        <f ca="1">_xlfn.STDEV.P($C$2:C473)</f>
        <v>40.377957173472517</v>
      </c>
      <c r="H473">
        <f t="shared" ca="1" si="148"/>
        <v>268.6166461764625</v>
      </c>
      <c r="I473">
        <f t="shared" ca="1" si="149"/>
        <v>187.86073182951745</v>
      </c>
      <c r="J473">
        <f t="shared" ca="1" si="158"/>
        <v>304.50299999999999</v>
      </c>
      <c r="K473">
        <f t="shared" ca="1" si="159"/>
        <v>9.5423494293375661</v>
      </c>
      <c r="L473">
        <f t="shared" ca="1" si="160"/>
        <v>323.58769885867514</v>
      </c>
      <c r="M473">
        <f t="shared" ca="1" si="161"/>
        <v>285.41830114132483</v>
      </c>
      <c r="N473">
        <f t="shared" ca="1" si="150"/>
        <v>-8.5199999999999818</v>
      </c>
      <c r="O473">
        <f t="shared" ca="1" si="151"/>
        <v>0</v>
      </c>
      <c r="P473">
        <f t="shared" ca="1" si="152"/>
        <v>8.5199999999999818</v>
      </c>
      <c r="Q473">
        <f t="shared" ca="1" si="156"/>
        <v>2.2249502835429547</v>
      </c>
      <c r="R473">
        <f t="shared" ca="1" si="157"/>
        <v>2.3692634026150317</v>
      </c>
      <c r="S473">
        <f t="shared" ca="1" si="154"/>
        <v>0.93908945754499307</v>
      </c>
      <c r="T473">
        <f t="shared" ca="1" si="155"/>
        <v>48.429403496109884</v>
      </c>
      <c r="U473">
        <f>70</f>
        <v>70</v>
      </c>
      <c r="V473">
        <f>30</f>
        <v>30</v>
      </c>
      <c r="W473">
        <f t="shared" ca="1" si="153"/>
        <v>305.26532119609112</v>
      </c>
      <c r="X473">
        <f t="shared" ca="1" si="142"/>
        <v>299.51760638677132</v>
      </c>
      <c r="Y473">
        <f t="shared" ca="1" si="141"/>
        <v>4.1002231325879848</v>
      </c>
      <c r="Z473">
        <f t="shared" ca="1" si="143"/>
        <v>6.9077806263618795</v>
      </c>
      <c r="AA473">
        <f t="shared" ca="1" si="144"/>
        <v>-2.8075574937738947</v>
      </c>
      <c r="AB473">
        <f t="shared" ca="1" si="145"/>
        <v>274.02229999999997</v>
      </c>
    </row>
    <row r="474" spans="1:28" x14ac:dyDescent="0.25">
      <c r="A474" s="20">
        <f t="shared" ca="1" si="146"/>
        <v>45978</v>
      </c>
      <c r="B474" vm="1410">
        <f ca="1"/>
        <v>45979</v>
      </c>
      <c r="C474" vm="1411">
        <f ca="1"/>
        <v>289.95</v>
      </c>
      <c r="D474" vm="1412">
        <f ca="1"/>
        <v>4861928</v>
      </c>
      <c r="E474">
        <f t="shared" ca="1" si="147"/>
        <v>1409716023.5999999</v>
      </c>
      <c r="F474">
        <f ca="1">SUM($E$2:E474)/SUM($D$2:D474)</f>
        <v>228.37858807601626</v>
      </c>
      <c r="G474">
        <f ca="1">_xlfn.STDEV.P($C$2:C474)</f>
        <v>40.444388405817463</v>
      </c>
      <c r="H474">
        <f t="shared" ca="1" si="148"/>
        <v>268.82297648183373</v>
      </c>
      <c r="I474">
        <f t="shared" ca="1" si="149"/>
        <v>187.93419967019878</v>
      </c>
      <c r="J474">
        <f t="shared" ca="1" si="158"/>
        <v>304.89800000000002</v>
      </c>
      <c r="K474">
        <f t="shared" ca="1" si="159"/>
        <v>8.6893895370339926</v>
      </c>
      <c r="L474">
        <f t="shared" ca="1" si="160"/>
        <v>322.27677907406803</v>
      </c>
      <c r="M474">
        <f t="shared" ca="1" si="161"/>
        <v>287.51922092593202</v>
      </c>
      <c r="N474">
        <f t="shared" ca="1" si="150"/>
        <v>-7.2200000000000273</v>
      </c>
      <c r="O474">
        <f t="shared" ca="1" si="151"/>
        <v>0</v>
      </c>
      <c r="P474">
        <f t="shared" ca="1" si="152"/>
        <v>7.2200000000000273</v>
      </c>
      <c r="Q474">
        <f t="shared" ca="1" si="156"/>
        <v>2.0660252632898866</v>
      </c>
      <c r="R474">
        <f t="shared" ca="1" si="157"/>
        <v>2.7157445881425315</v>
      </c>
      <c r="S474">
        <f t="shared" ca="1" si="154"/>
        <v>0.76075831000844274</v>
      </c>
      <c r="T474">
        <f t="shared" ca="1" si="155"/>
        <v>43.206288204585839</v>
      </c>
      <c r="U474">
        <f>70</f>
        <v>70</v>
      </c>
      <c r="V474">
        <f>30</f>
        <v>30</v>
      </c>
      <c r="W474">
        <f t="shared" ca="1" si="153"/>
        <v>302.90911793515403</v>
      </c>
      <c r="X474">
        <f t="shared" ca="1" si="142"/>
        <v>298.80889480256604</v>
      </c>
      <c r="Y474">
        <f t="shared" ca="1" si="141"/>
        <v>2.6494507575691841</v>
      </c>
      <c r="Z474">
        <f t="shared" ca="1" si="143"/>
        <v>6.0561146526033411</v>
      </c>
      <c r="AA474">
        <f t="shared" ca="1" si="144"/>
        <v>-3.406663895034157</v>
      </c>
      <c r="AB474">
        <f t="shared" ca="1" si="145"/>
        <v>274.02479999999997</v>
      </c>
    </row>
    <row r="475" spans="1:28" x14ac:dyDescent="0.25">
      <c r="A475" s="20">
        <f t="shared" ca="1" si="146"/>
        <v>45978</v>
      </c>
      <c r="B475" vm="1413">
        <f ca="1"/>
        <v>45980</v>
      </c>
      <c r="C475" vm="1414">
        <f ca="1"/>
        <v>288.52999999999997</v>
      </c>
      <c r="D475" vm="1415">
        <f ca="1"/>
        <v>3595912</v>
      </c>
      <c r="E475">
        <f t="shared" ca="1" si="147"/>
        <v>1037528489.3599999</v>
      </c>
      <c r="F475">
        <f ca="1">SUM($E$2:E475)/SUM($D$2:D475)</f>
        <v>228.47927402279856</v>
      </c>
      <c r="G475">
        <f ca="1">_xlfn.STDEV.P($C$2:C475)</f>
        <v>40.505264713380491</v>
      </c>
      <c r="H475">
        <f t="shared" ca="1" si="148"/>
        <v>268.98453873617905</v>
      </c>
      <c r="I475">
        <f t="shared" ca="1" si="149"/>
        <v>187.97400930941808</v>
      </c>
      <c r="J475">
        <f t="shared" ca="1" si="158"/>
        <v>304.94899999999996</v>
      </c>
      <c r="K475">
        <f t="shared" ca="1" si="159"/>
        <v>8.5843222458766473</v>
      </c>
      <c r="L475">
        <f t="shared" ca="1" si="160"/>
        <v>322.11764449175325</v>
      </c>
      <c r="M475">
        <f t="shared" ca="1" si="161"/>
        <v>287.78035550824666</v>
      </c>
      <c r="N475">
        <f t="shared" ca="1" si="150"/>
        <v>-1.4200000000000159</v>
      </c>
      <c r="O475">
        <f t="shared" ca="1" si="151"/>
        <v>0</v>
      </c>
      <c r="P475">
        <f t="shared" ca="1" si="152"/>
        <v>1.4200000000000159</v>
      </c>
      <c r="Q475">
        <f t="shared" ca="1" si="156"/>
        <v>1.9184520301977519</v>
      </c>
      <c r="R475">
        <f t="shared" ca="1" si="157"/>
        <v>2.6231914032752086</v>
      </c>
      <c r="S475">
        <f t="shared" ca="1" si="154"/>
        <v>0.73134275592793263</v>
      </c>
      <c r="T475">
        <f t="shared" ca="1" si="155"/>
        <v>42.241361707489354</v>
      </c>
      <c r="U475">
        <f>70</f>
        <v>70</v>
      </c>
      <c r="V475">
        <f>30</f>
        <v>30</v>
      </c>
      <c r="W475">
        <f t="shared" ca="1" si="153"/>
        <v>300.69694594513032</v>
      </c>
      <c r="X475">
        <f t="shared" ca="1" si="142"/>
        <v>298.04749518756114</v>
      </c>
      <c r="Y475">
        <f t="shared" ca="1" si="141"/>
        <v>1.6317863525536609</v>
      </c>
      <c r="Z475">
        <f t="shared" ca="1" si="143"/>
        <v>5.1712489925934051</v>
      </c>
      <c r="AA475">
        <f t="shared" ca="1" si="144"/>
        <v>-3.5394626400397442</v>
      </c>
      <c r="AB475">
        <f t="shared" ca="1" si="145"/>
        <v>273.96229999999997</v>
      </c>
    </row>
    <row r="476" spans="1:28" x14ac:dyDescent="0.25">
      <c r="A476" s="20">
        <f t="shared" ca="1" si="146"/>
        <v>45978</v>
      </c>
      <c r="B476" vm="1416">
        <f ca="1"/>
        <v>45981</v>
      </c>
      <c r="C476" vm="1417">
        <f ca="1"/>
        <v>290.39999999999998</v>
      </c>
      <c r="D476" vm="1418">
        <f ca="1"/>
        <v>5597028</v>
      </c>
      <c r="E476">
        <f t="shared" ca="1" si="147"/>
        <v>1625376931.1999998</v>
      </c>
      <c r="F476">
        <f ca="1">SUM($E$2:E476)/SUM($D$2:D476)</f>
        <v>228.64018195899357</v>
      </c>
      <c r="G476">
        <f ca="1">_xlfn.STDEV.P($C$2:C476)</f>
        <v>40.571546849038441</v>
      </c>
      <c r="H476">
        <f t="shared" ca="1" si="148"/>
        <v>269.21172880803203</v>
      </c>
      <c r="I476">
        <f t="shared" ca="1" si="149"/>
        <v>188.06863510995512</v>
      </c>
      <c r="J476">
        <f t="shared" ca="1" si="158"/>
        <v>305.21899999999994</v>
      </c>
      <c r="K476">
        <f t="shared" ca="1" si="159"/>
        <v>7.9880633974765969</v>
      </c>
      <c r="L476">
        <f t="shared" ca="1" si="160"/>
        <v>321.19512679495313</v>
      </c>
      <c r="M476">
        <f t="shared" ca="1" si="161"/>
        <v>289.24287320504675</v>
      </c>
      <c r="N476">
        <f t="shared" ca="1" si="150"/>
        <v>1.8700000000000045</v>
      </c>
      <c r="O476">
        <f t="shared" ca="1" si="151"/>
        <v>1.8700000000000045</v>
      </c>
      <c r="P476">
        <f t="shared" ca="1" si="152"/>
        <v>0</v>
      </c>
      <c r="Q476">
        <f t="shared" ca="1" si="156"/>
        <v>1.9149911708979128</v>
      </c>
      <c r="R476">
        <f t="shared" ca="1" si="157"/>
        <v>2.4358205887555506</v>
      </c>
      <c r="S476">
        <f t="shared" ca="1" si="154"/>
        <v>0.78617907235781792</v>
      </c>
      <c r="T476">
        <f t="shared" ca="1" si="155"/>
        <v>44.014571916355202</v>
      </c>
      <c r="U476">
        <f>70</f>
        <v>70</v>
      </c>
      <c r="V476">
        <f>30</f>
        <v>30</v>
      </c>
      <c r="W476">
        <f t="shared" ca="1" si="153"/>
        <v>299.11280041511026</v>
      </c>
      <c r="X476">
        <f t="shared" ca="1" si="142"/>
        <v>297.4810140625566</v>
      </c>
      <c r="Y476">
        <f t="shared" ref="Y476:Y514" ca="1" si="162">W477-X477</f>
        <v>1.3774705212446179</v>
      </c>
      <c r="Z476">
        <f t="shared" ca="1" si="143"/>
        <v>4.412493298323648</v>
      </c>
      <c r="AA476">
        <f t="shared" ca="1" si="144"/>
        <v>-3.0350227770790301</v>
      </c>
      <c r="AB476">
        <f t="shared" ca="1" si="145"/>
        <v>273.95429999999999</v>
      </c>
    </row>
    <row r="477" spans="1:28" x14ac:dyDescent="0.25">
      <c r="A477" s="20">
        <f t="shared" ca="1" si="146"/>
        <v>45978</v>
      </c>
      <c r="B477" vm="1419">
        <f ca="1"/>
        <v>45982</v>
      </c>
      <c r="C477" vm="1420">
        <f ca="1"/>
        <v>297.44</v>
      </c>
      <c r="D477" vm="1421">
        <f ca="1"/>
        <v>5710903</v>
      </c>
      <c r="E477">
        <f t="shared" ca="1" si="147"/>
        <v>1698650988.3199999</v>
      </c>
      <c r="F477">
        <f ca="1">SUM($E$2:E477)/SUM($D$2:D477)</f>
        <v>228.8221210492203</v>
      </c>
      <c r="G477">
        <f ca="1">_xlfn.STDEV.P($C$2:C477)</f>
        <v>40.661752193968681</v>
      </c>
      <c r="H477">
        <f t="shared" ca="1" si="148"/>
        <v>269.48387324318901</v>
      </c>
      <c r="I477">
        <f t="shared" ca="1" si="149"/>
        <v>188.16036885525162</v>
      </c>
      <c r="J477">
        <f t="shared" ca="1" si="158"/>
        <v>304.71799999999996</v>
      </c>
      <c r="K477">
        <f t="shared" ca="1" si="159"/>
        <v>8.1526383201358499</v>
      </c>
      <c r="L477">
        <f t="shared" ca="1" si="160"/>
        <v>321.02327664027166</v>
      </c>
      <c r="M477">
        <f t="shared" ca="1" si="161"/>
        <v>288.41272335972826</v>
      </c>
      <c r="N477">
        <f t="shared" ca="1" si="150"/>
        <v>7.0400000000000205</v>
      </c>
      <c r="O477">
        <f t="shared" ca="1" si="151"/>
        <v>7.0400000000000205</v>
      </c>
      <c r="P477">
        <f t="shared" ca="1" si="152"/>
        <v>0</v>
      </c>
      <c r="Q477">
        <f t="shared" ca="1" si="156"/>
        <v>2.281063230119492</v>
      </c>
      <c r="R477">
        <f t="shared" ca="1" si="157"/>
        <v>2.2618334038444399</v>
      </c>
      <c r="S477">
        <f t="shared" ca="1" si="154"/>
        <v>1.0085018756210635</v>
      </c>
      <c r="T477">
        <f t="shared" ca="1" si="155"/>
        <v>50.211647191477844</v>
      </c>
      <c r="U477">
        <f>70</f>
        <v>70</v>
      </c>
      <c r="V477">
        <f>30</f>
        <v>30</v>
      </c>
      <c r="W477">
        <f t="shared" ca="1" si="153"/>
        <v>298.85544650509331</v>
      </c>
      <c r="X477">
        <f t="shared" ref="X477:X514" ca="1" si="163">C477*(2/(26+1)) + X476*(1-(2/(26+1)))</f>
        <v>297.47797598384869</v>
      </c>
      <c r="Y477">
        <f t="shared" ca="1" si="162"/>
        <v>1.6954000491791703</v>
      </c>
      <c r="Z477">
        <f t="shared" ca="1" si="143"/>
        <v>3.8690746484947525</v>
      </c>
      <c r="AA477">
        <f t="shared" ca="1" si="144"/>
        <v>-2.1736745993155822</v>
      </c>
      <c r="AB477">
        <f t="shared" ca="1" si="145"/>
        <v>274.05219999999991</v>
      </c>
    </row>
    <row r="478" spans="1:28" x14ac:dyDescent="0.25">
      <c r="A478" s="20">
        <f t="shared" ca="1" si="146"/>
        <v>45985</v>
      </c>
      <c r="B478" vm="1422">
        <f ca="1"/>
        <v>45985</v>
      </c>
      <c r="C478" vm="1423">
        <f ca="1"/>
        <v>304.12</v>
      </c>
      <c r="D478" vm="1424">
        <f ca="1"/>
        <v>6050640</v>
      </c>
      <c r="E478">
        <f t="shared" ca="1" si="147"/>
        <v>1840120636.8</v>
      </c>
      <c r="F478">
        <f ca="1">SUM($E$2:E478)/SUM($D$2:D478)</f>
        <v>229.03250029931672</v>
      </c>
      <c r="G478">
        <f ca="1">_xlfn.STDEV.P($C$2:C478)</f>
        <v>40.776510598219964</v>
      </c>
      <c r="H478">
        <f t="shared" ca="1" si="148"/>
        <v>269.80901089753667</v>
      </c>
      <c r="I478">
        <f t="shared" ca="1" si="149"/>
        <v>188.25598970109675</v>
      </c>
      <c r="J478">
        <f t="shared" ca="1" si="158"/>
        <v>304.26949999999994</v>
      </c>
      <c r="K478">
        <f t="shared" ca="1" si="159"/>
        <v>7.9109813583797362</v>
      </c>
      <c r="L478">
        <f t="shared" ca="1" si="160"/>
        <v>320.09146271675939</v>
      </c>
      <c r="M478">
        <f t="shared" ca="1" si="161"/>
        <v>288.44753728324048</v>
      </c>
      <c r="N478">
        <f t="shared" ca="1" si="150"/>
        <v>6.6800000000000068</v>
      </c>
      <c r="O478">
        <f t="shared" ca="1" si="151"/>
        <v>6.6800000000000068</v>
      </c>
      <c r="P478">
        <f t="shared" ca="1" si="152"/>
        <v>0</v>
      </c>
      <c r="Q478">
        <f t="shared" ca="1" si="156"/>
        <v>2.5952729993966721</v>
      </c>
      <c r="R478">
        <f t="shared" ca="1" si="157"/>
        <v>2.1002738749984085</v>
      </c>
      <c r="S478">
        <f t="shared" ca="1" si="154"/>
        <v>1.2356831317528238</v>
      </c>
      <c r="T478">
        <f t="shared" ca="1" si="155"/>
        <v>55.270942210134294</v>
      </c>
      <c r="U478">
        <f>70</f>
        <v>70</v>
      </c>
      <c r="V478">
        <f>30</f>
        <v>30</v>
      </c>
      <c r="W478">
        <f t="shared" ca="1" si="153"/>
        <v>299.66537781200202</v>
      </c>
      <c r="X478">
        <f t="shared" ca="1" si="163"/>
        <v>297.96997776282285</v>
      </c>
      <c r="Y478">
        <f t="shared" ca="1" si="162"/>
        <v>1.9538872856044236</v>
      </c>
      <c r="Z478">
        <f t="shared" ca="1" si="143"/>
        <v>3.4860371759166866</v>
      </c>
      <c r="AA478">
        <f t="shared" ca="1" si="144"/>
        <v>-1.532149890312263</v>
      </c>
      <c r="AB478">
        <f t="shared" ca="1" si="145"/>
        <v>274.17369999999994</v>
      </c>
    </row>
    <row r="479" spans="1:28" x14ac:dyDescent="0.25">
      <c r="A479" s="20">
        <f t="shared" ca="1" si="146"/>
        <v>45985</v>
      </c>
      <c r="B479" vm="1425">
        <f ca="1"/>
        <v>45986</v>
      </c>
      <c r="C479" vm="1426">
        <f ca="1"/>
        <v>304.48</v>
      </c>
      <c r="D479" vm="1427">
        <f ca="1"/>
        <v>2825322</v>
      </c>
      <c r="E479">
        <f t="shared" ca="1" si="147"/>
        <v>860254042.56000006</v>
      </c>
      <c r="F479">
        <f ca="1">SUM($E$2:E479)/SUM($D$2:D479)</f>
        <v>229.13080299456203</v>
      </c>
      <c r="G479">
        <f ca="1">_xlfn.STDEV.P($C$2:C479)</f>
        <v>40.891253315044914</v>
      </c>
      <c r="H479">
        <f t="shared" ca="1" si="148"/>
        <v>270.02205630960697</v>
      </c>
      <c r="I479">
        <f t="shared" ca="1" si="149"/>
        <v>188.23954967951713</v>
      </c>
      <c r="J479">
        <f t="shared" ca="1" si="158"/>
        <v>303.86499999999995</v>
      </c>
      <c r="K479">
        <f t="shared" ca="1" si="159"/>
        <v>7.6673006984205436</v>
      </c>
      <c r="L479">
        <f t="shared" ca="1" si="160"/>
        <v>319.19960139684105</v>
      </c>
      <c r="M479">
        <f t="shared" ca="1" si="161"/>
        <v>288.53039860315886</v>
      </c>
      <c r="N479">
        <f t="shared" ca="1" si="150"/>
        <v>0.36000000000001364</v>
      </c>
      <c r="O479">
        <f t="shared" ca="1" si="151"/>
        <v>0.36000000000001364</v>
      </c>
      <c r="P479">
        <f t="shared" ca="1" si="152"/>
        <v>0</v>
      </c>
      <c r="Q479">
        <f t="shared" ca="1" si="156"/>
        <v>2.4356106422969108</v>
      </c>
      <c r="R479">
        <f t="shared" ca="1" si="157"/>
        <v>1.9502543124985221</v>
      </c>
      <c r="S479">
        <f t="shared" ca="1" si="154"/>
        <v>1.2488682253836865</v>
      </c>
      <c r="T479">
        <f t="shared" ca="1" si="155"/>
        <v>55.533188262758848</v>
      </c>
      <c r="U479">
        <f>70</f>
        <v>70</v>
      </c>
      <c r="V479">
        <f>30</f>
        <v>30</v>
      </c>
      <c r="W479">
        <f t="shared" ca="1" si="153"/>
        <v>300.40608891784785</v>
      </c>
      <c r="X479">
        <f t="shared" ca="1" si="163"/>
        <v>298.45220163224343</v>
      </c>
      <c r="Y479">
        <f t="shared" ca="1" si="162"/>
        <v>2.0328287125974498</v>
      </c>
      <c r="Z479">
        <f t="shared" ca="1" si="143"/>
        <v>3.1953954832528395</v>
      </c>
      <c r="AA479">
        <f t="shared" ca="1" si="144"/>
        <v>-1.1625667706553897</v>
      </c>
      <c r="AB479">
        <f t="shared" ca="1" si="145"/>
        <v>274.29379999999992</v>
      </c>
    </row>
    <row r="480" spans="1:28" x14ac:dyDescent="0.25">
      <c r="A480" s="20">
        <f t="shared" ca="1" si="146"/>
        <v>45985</v>
      </c>
      <c r="B480" vm="1428">
        <f ca="1"/>
        <v>45987</v>
      </c>
      <c r="C480" vm="1429">
        <f ca="1"/>
        <v>303.20999999999998</v>
      </c>
      <c r="D480" vm="1430">
        <f ca="1"/>
        <v>2196446</v>
      </c>
      <c r="E480">
        <f t="shared" ca="1" si="147"/>
        <v>665984391.65999997</v>
      </c>
      <c r="F480">
        <f ca="1">SUM($E$2:E480)/SUM($D$2:D480)</f>
        <v>229.20576302217938</v>
      </c>
      <c r="G480">
        <f ca="1">_xlfn.STDEV.P($C$2:C480)</f>
        <v>40.999534126942081</v>
      </c>
      <c r="H480">
        <f t="shared" ca="1" si="148"/>
        <v>270.20529714912146</v>
      </c>
      <c r="I480">
        <f t="shared" ca="1" si="149"/>
        <v>188.2062288952373</v>
      </c>
      <c r="J480">
        <f t="shared" ca="1" si="158"/>
        <v>303.61500000000001</v>
      </c>
      <c r="K480">
        <f t="shared" ca="1" si="159"/>
        <v>7.5993853629577837</v>
      </c>
      <c r="L480">
        <f t="shared" ca="1" si="160"/>
        <v>318.81377072591556</v>
      </c>
      <c r="M480">
        <f t="shared" ca="1" si="161"/>
        <v>288.41622927408446</v>
      </c>
      <c r="N480">
        <f t="shared" ca="1" si="150"/>
        <v>-1.2700000000000387</v>
      </c>
      <c r="O480">
        <f t="shared" ca="1" si="151"/>
        <v>0</v>
      </c>
      <c r="P480">
        <f t="shared" ca="1" si="152"/>
        <v>1.2700000000000387</v>
      </c>
      <c r="Q480">
        <f t="shared" ca="1" si="156"/>
        <v>2.2616384535614169</v>
      </c>
      <c r="R480">
        <f t="shared" ca="1" si="157"/>
        <v>1.9016647187486304</v>
      </c>
      <c r="S480">
        <f t="shared" ca="1" si="154"/>
        <v>1.1892940071211202</v>
      </c>
      <c r="T480">
        <f t="shared" ca="1" si="155"/>
        <v>54.323174651403676</v>
      </c>
      <c r="U480">
        <f>70</f>
        <v>70</v>
      </c>
      <c r="V480">
        <f>30</f>
        <v>30</v>
      </c>
      <c r="W480">
        <f t="shared" ca="1" si="153"/>
        <v>300.83745985356359</v>
      </c>
      <c r="X480">
        <f t="shared" ca="1" si="163"/>
        <v>298.80463114096614</v>
      </c>
      <c r="Y480">
        <f t="shared" ca="1" si="162"/>
        <v>2.4998873381606472</v>
      </c>
      <c r="Z480">
        <f t="shared" ca="1" si="143"/>
        <v>3.0562938542344011</v>
      </c>
      <c r="AA480">
        <f t="shared" ca="1" si="144"/>
        <v>-0.55640651607375391</v>
      </c>
      <c r="AB480">
        <f t="shared" ca="1" si="145"/>
        <v>274.42169999999993</v>
      </c>
    </row>
    <row r="481" spans="1:28" x14ac:dyDescent="0.25">
      <c r="A481" s="20">
        <f t="shared" ca="1" si="146"/>
        <v>45985</v>
      </c>
      <c r="B481" vm="1431">
        <f ca="1"/>
        <v>45989</v>
      </c>
      <c r="C481" vm="1432">
        <f ca="1"/>
        <v>308.58</v>
      </c>
      <c r="D481" vm="1433">
        <f ca="1"/>
        <v>1689031</v>
      </c>
      <c r="E481">
        <f t="shared" ca="1" si="147"/>
        <v>521201185.97999996</v>
      </c>
      <c r="F481">
        <f ca="1">SUM($E$2:E481)/SUM($D$2:D481)</f>
        <v>229.26747824770646</v>
      </c>
      <c r="G481">
        <f ca="1">_xlfn.STDEV.P($C$2:C481)</f>
        <v>41.128052852488914</v>
      </c>
      <c r="H481">
        <f t="shared" ca="1" si="148"/>
        <v>270.3955311001954</v>
      </c>
      <c r="I481">
        <f t="shared" ca="1" si="149"/>
        <v>188.13942539521756</v>
      </c>
      <c r="J481">
        <f t="shared" ca="1" si="158"/>
        <v>303.54100000000005</v>
      </c>
      <c r="K481">
        <f t="shared" ca="1" si="159"/>
        <v>7.5402993797887268</v>
      </c>
      <c r="L481">
        <f t="shared" ca="1" si="160"/>
        <v>318.62159875957752</v>
      </c>
      <c r="M481">
        <f t="shared" ca="1" si="161"/>
        <v>288.46040124042258</v>
      </c>
      <c r="N481">
        <f t="shared" ca="1" si="150"/>
        <v>5.3700000000000045</v>
      </c>
      <c r="O481">
        <f t="shared" ca="1" si="151"/>
        <v>5.3700000000000045</v>
      </c>
      <c r="P481">
        <f t="shared" ca="1" si="152"/>
        <v>0</v>
      </c>
      <c r="Q481">
        <f t="shared" ca="1" si="156"/>
        <v>2.4836642783070304</v>
      </c>
      <c r="R481">
        <f t="shared" ca="1" si="157"/>
        <v>1.7658315245522995</v>
      </c>
      <c r="S481">
        <f t="shared" ca="1" si="154"/>
        <v>1.406512594080416</v>
      </c>
      <c r="T481">
        <f t="shared" ca="1" si="155"/>
        <v>58.446093219714768</v>
      </c>
      <c r="U481">
        <f>70</f>
        <v>70</v>
      </c>
      <c r="V481">
        <f>30</f>
        <v>30</v>
      </c>
      <c r="W481">
        <f t="shared" ca="1" si="153"/>
        <v>302.02861987609225</v>
      </c>
      <c r="X481">
        <f t="shared" ca="1" si="163"/>
        <v>299.5287325379316</v>
      </c>
      <c r="Y481">
        <f t="shared" ca="1" si="162"/>
        <v>2.6051909640217445</v>
      </c>
      <c r="Z481">
        <f t="shared" ca="1" si="143"/>
        <v>2.96607327619187</v>
      </c>
      <c r="AA481">
        <f t="shared" ca="1" si="144"/>
        <v>-0.36088231217012545</v>
      </c>
      <c r="AB481">
        <f t="shared" ca="1" si="145"/>
        <v>274.60609999999997</v>
      </c>
    </row>
    <row r="482" spans="1:28" x14ac:dyDescent="0.25">
      <c r="A482" s="20">
        <f t="shared" ca="1" si="146"/>
        <v>45992</v>
      </c>
      <c r="B482" vm="1434">
        <f ca="1"/>
        <v>45992</v>
      </c>
      <c r="C482" vm="1435">
        <f ca="1"/>
        <v>305.67</v>
      </c>
      <c r="D482" vm="1436">
        <f ca="1"/>
        <v>3166555</v>
      </c>
      <c r="E482">
        <f t="shared" ca="1" si="147"/>
        <v>967920866.85000002</v>
      </c>
      <c r="F482">
        <f ca="1">SUM($E$2:E482)/SUM($D$2:D482)</f>
        <v>229.37868656357341</v>
      </c>
      <c r="G482">
        <f ca="1">_xlfn.STDEV.P($C$2:C482)</f>
        <v>41.243135373464746</v>
      </c>
      <c r="H482">
        <f t="shared" ca="1" si="148"/>
        <v>270.62182193703813</v>
      </c>
      <c r="I482">
        <f t="shared" ca="1" si="149"/>
        <v>188.13555119010866</v>
      </c>
      <c r="J482">
        <f t="shared" ca="1" si="158"/>
        <v>303.45399999999995</v>
      </c>
      <c r="K482">
        <f t="shared" ca="1" si="159"/>
        <v>7.5032564158574111</v>
      </c>
      <c r="L482">
        <f t="shared" ca="1" si="160"/>
        <v>318.46051283171477</v>
      </c>
      <c r="M482">
        <f t="shared" ca="1" si="161"/>
        <v>288.44748716828514</v>
      </c>
      <c r="N482">
        <f t="shared" ca="1" si="150"/>
        <v>-2.9099999999999682</v>
      </c>
      <c r="O482">
        <f t="shared" ca="1" si="151"/>
        <v>0</v>
      </c>
      <c r="P482">
        <f t="shared" ca="1" si="152"/>
        <v>2.9099999999999682</v>
      </c>
      <c r="Q482">
        <f t="shared" ca="1" si="156"/>
        <v>2.3062596869993857</v>
      </c>
      <c r="R482">
        <f t="shared" ca="1" si="157"/>
        <v>1.847557844227133</v>
      </c>
      <c r="S482">
        <f t="shared" ca="1" si="154"/>
        <v>1.2482746855290672</v>
      </c>
      <c r="T482">
        <f t="shared" ca="1" si="155"/>
        <v>55.521449116673274</v>
      </c>
      <c r="U482">
        <f>70</f>
        <v>70</v>
      </c>
      <c r="V482">
        <f>30</f>
        <v>30</v>
      </c>
      <c r="W482">
        <f t="shared" ca="1" si="153"/>
        <v>302.5888322028473</v>
      </c>
      <c r="X482">
        <f t="shared" ca="1" si="163"/>
        <v>299.98364123882556</v>
      </c>
      <c r="Y482">
        <f t="shared" ca="1" si="162"/>
        <v>2.3476916285679295</v>
      </c>
      <c r="Z482">
        <f t="shared" ca="1" si="143"/>
        <v>2.842396946667082</v>
      </c>
      <c r="AA482">
        <f t="shared" ca="1" si="144"/>
        <v>-0.49470531809915252</v>
      </c>
      <c r="AB482">
        <f t="shared" ca="1" si="145"/>
        <v>274.78849999999994</v>
      </c>
    </row>
    <row r="483" spans="1:28" x14ac:dyDescent="0.25">
      <c r="A483" s="20">
        <f t="shared" ca="1" si="146"/>
        <v>45992</v>
      </c>
      <c r="B483" vm="1437">
        <f ca="1"/>
        <v>45993</v>
      </c>
      <c r="C483" vm="1438">
        <f ca="1"/>
        <v>301.77999999999997</v>
      </c>
      <c r="D483" vm="1439">
        <f ca="1"/>
        <v>4261100</v>
      </c>
      <c r="E483">
        <f t="shared" ca="1" si="147"/>
        <v>1285914758</v>
      </c>
      <c r="F483">
        <f ca="1">SUM($E$2:E483)/SUM($D$2:D483)</f>
        <v>229.52022060006601</v>
      </c>
      <c r="G483">
        <f ca="1">_xlfn.STDEV.P($C$2:C483)</f>
        <v>41.341766669065109</v>
      </c>
      <c r="H483">
        <f t="shared" ca="1" si="148"/>
        <v>270.86198726913113</v>
      </c>
      <c r="I483">
        <f t="shared" ca="1" si="149"/>
        <v>188.17845393100089</v>
      </c>
      <c r="J483">
        <f t="shared" ca="1" si="158"/>
        <v>303.30649999999997</v>
      </c>
      <c r="K483">
        <f t="shared" ca="1" si="159"/>
        <v>7.505847737808037</v>
      </c>
      <c r="L483">
        <f t="shared" ca="1" si="160"/>
        <v>318.31819547561605</v>
      </c>
      <c r="M483">
        <f t="shared" ca="1" si="161"/>
        <v>288.29480452438389</v>
      </c>
      <c r="N483">
        <f t="shared" ca="1" si="150"/>
        <v>-3.8900000000000432</v>
      </c>
      <c r="O483">
        <f t="shared" ca="1" si="151"/>
        <v>0</v>
      </c>
      <c r="P483">
        <f t="shared" ca="1" si="152"/>
        <v>3.8900000000000432</v>
      </c>
      <c r="Q483">
        <f t="shared" ca="1" si="156"/>
        <v>2.141526852213715</v>
      </c>
      <c r="R483">
        <f t="shared" ca="1" si="157"/>
        <v>1.9934465696394839</v>
      </c>
      <c r="S483">
        <f t="shared" ca="1" si="154"/>
        <v>1.0742835473142436</v>
      </c>
      <c r="T483">
        <f t="shared" ca="1" si="155"/>
        <v>51.790583245246893</v>
      </c>
      <c r="U483">
        <f>70</f>
        <v>70</v>
      </c>
      <c r="V483">
        <f>30</f>
        <v>30</v>
      </c>
      <c r="W483">
        <f t="shared" ca="1" si="153"/>
        <v>302.46439647933232</v>
      </c>
      <c r="X483">
        <f t="shared" ca="1" si="163"/>
        <v>300.11670485076439</v>
      </c>
      <c r="Y483">
        <f t="shared" ca="1" si="162"/>
        <v>2.1862013614338025</v>
      </c>
      <c r="Z483">
        <f t="shared" ca="1" si="143"/>
        <v>2.7111578296204266</v>
      </c>
      <c r="AA483">
        <f t="shared" ca="1" si="144"/>
        <v>-0.52495646818662411</v>
      </c>
      <c r="AB483">
        <f t="shared" ca="1" si="145"/>
        <v>274.97039999999998</v>
      </c>
    </row>
    <row r="484" spans="1:28" x14ac:dyDescent="0.25">
      <c r="A484" s="20">
        <f t="shared" ca="1" si="146"/>
        <v>45992</v>
      </c>
      <c r="B484" vm="1440">
        <f ca="1"/>
        <v>45994</v>
      </c>
      <c r="C484" vm="1441">
        <f ca="1"/>
        <v>302.62</v>
      </c>
      <c r="D484" vm="1442">
        <f ca="1"/>
        <v>3953390</v>
      </c>
      <c r="E484">
        <f t="shared" ca="1" si="147"/>
        <v>1196374881.8</v>
      </c>
      <c r="F484">
        <f ca="1">SUM($E$2:E484)/SUM($D$2:D484)</f>
        <v>229.65256070856725</v>
      </c>
      <c r="G484">
        <f ca="1">_xlfn.STDEV.P($C$2:C484)</f>
        <v>41.442330085312271</v>
      </c>
      <c r="H484">
        <f t="shared" ca="1" si="148"/>
        <v>271.09489079387953</v>
      </c>
      <c r="I484">
        <f t="shared" ca="1" si="149"/>
        <v>188.21023062325497</v>
      </c>
      <c r="J484">
        <f t="shared" ca="1" si="158"/>
        <v>303.39500000000004</v>
      </c>
      <c r="K484">
        <f t="shared" ca="1" si="159"/>
        <v>7.4857671969088058</v>
      </c>
      <c r="L484">
        <f t="shared" ca="1" si="160"/>
        <v>318.36653439381763</v>
      </c>
      <c r="M484">
        <f t="shared" ca="1" si="161"/>
        <v>288.42346560618245</v>
      </c>
      <c r="N484">
        <f t="shared" ca="1" si="150"/>
        <v>0.84000000000003183</v>
      </c>
      <c r="O484">
        <f t="shared" ca="1" si="151"/>
        <v>0.84000000000003183</v>
      </c>
      <c r="P484">
        <f t="shared" ca="1" si="152"/>
        <v>0</v>
      </c>
      <c r="Q484">
        <f t="shared" ca="1" si="156"/>
        <v>2.0485606484841661</v>
      </c>
      <c r="R484">
        <f t="shared" ca="1" si="157"/>
        <v>1.8510575289509494</v>
      </c>
      <c r="S484">
        <f t="shared" ca="1" si="154"/>
        <v>1.1066974507513809</v>
      </c>
      <c r="T484">
        <f t="shared" ca="1" si="155"/>
        <v>52.532339200233181</v>
      </c>
      <c r="U484">
        <f>70</f>
        <v>70</v>
      </c>
      <c r="V484">
        <f>30</f>
        <v>30</v>
      </c>
      <c r="W484">
        <f t="shared" ca="1" si="153"/>
        <v>302.48833548251196</v>
      </c>
      <c r="X484">
        <f t="shared" ca="1" si="163"/>
        <v>300.30213412107815</v>
      </c>
      <c r="Y484">
        <f t="shared" ca="1" si="162"/>
        <v>2.4631397406143378</v>
      </c>
      <c r="Z484">
        <f t="shared" ca="1" si="143"/>
        <v>2.661554211819209</v>
      </c>
      <c r="AA484">
        <f t="shared" ca="1" si="144"/>
        <v>-0.19841447120487121</v>
      </c>
      <c r="AB484">
        <f t="shared" ca="1" si="145"/>
        <v>275.15869999999995</v>
      </c>
    </row>
    <row r="485" spans="1:28" x14ac:dyDescent="0.25">
      <c r="A485" s="20">
        <f t="shared" ca="1" si="146"/>
        <v>45992</v>
      </c>
      <c r="B485" vm="1443">
        <f ca="1"/>
        <v>45995</v>
      </c>
      <c r="C485" vm="1444">
        <f ca="1"/>
        <v>307.99</v>
      </c>
      <c r="D485" vm="1445">
        <f ca="1"/>
        <v>2962463</v>
      </c>
      <c r="E485">
        <f t="shared" ca="1" si="147"/>
        <v>912408979.37</v>
      </c>
      <c r="F485">
        <f ca="1">SUM($E$2:E485)/SUM($D$2:D485)</f>
        <v>229.75869098433756</v>
      </c>
      <c r="G485">
        <f ca="1">_xlfn.STDEV.P($C$2:C485)</f>
        <v>41.562512437961473</v>
      </c>
      <c r="H485">
        <f t="shared" ca="1" si="148"/>
        <v>271.32120342229905</v>
      </c>
      <c r="I485">
        <f t="shared" ca="1" si="149"/>
        <v>188.19617854637607</v>
      </c>
      <c r="J485">
        <f t="shared" ca="1" si="158"/>
        <v>303.45600000000002</v>
      </c>
      <c r="K485">
        <f t="shared" ca="1" si="159"/>
        <v>7.5196111321628551</v>
      </c>
      <c r="L485">
        <f t="shared" ca="1" si="160"/>
        <v>318.49522226432572</v>
      </c>
      <c r="M485">
        <f t="shared" ca="1" si="161"/>
        <v>288.41677773567432</v>
      </c>
      <c r="N485">
        <f t="shared" ca="1" si="150"/>
        <v>5.3700000000000045</v>
      </c>
      <c r="O485">
        <f t="shared" ca="1" si="151"/>
        <v>5.3700000000000045</v>
      </c>
      <c r="P485">
        <f t="shared" ca="1" si="152"/>
        <v>0</v>
      </c>
      <c r="Q485">
        <f t="shared" ca="1" si="156"/>
        <v>2.2858063164495834</v>
      </c>
      <c r="R485">
        <f t="shared" ca="1" si="157"/>
        <v>1.7188391340258815</v>
      </c>
      <c r="S485">
        <f t="shared" ca="1" si="154"/>
        <v>1.3298547090301267</v>
      </c>
      <c r="T485">
        <f t="shared" ca="1" si="155"/>
        <v>57.078868646865942</v>
      </c>
      <c r="U485">
        <f>70</f>
        <v>70</v>
      </c>
      <c r="V485">
        <f>30</f>
        <v>30</v>
      </c>
      <c r="W485">
        <f t="shared" ca="1" si="153"/>
        <v>303.33474540827933</v>
      </c>
      <c r="X485">
        <f t="shared" ca="1" si="163"/>
        <v>300.87160566766499</v>
      </c>
      <c r="Y485">
        <f t="shared" ca="1" si="162"/>
        <v>2.648055681674748</v>
      </c>
      <c r="Z485">
        <f t="shared" ca="1" si="143"/>
        <v>2.658854505790317</v>
      </c>
      <c r="AA485">
        <f t="shared" ca="1" si="144"/>
        <v>-1.0798824115568983E-2</v>
      </c>
      <c r="AB485">
        <f t="shared" ca="1" si="145"/>
        <v>275.41159999999996</v>
      </c>
    </row>
    <row r="486" spans="1:28" x14ac:dyDescent="0.25">
      <c r="A486" s="20">
        <f t="shared" ca="1" si="146"/>
        <v>45992</v>
      </c>
      <c r="B486" vm="1446">
        <f ca="1"/>
        <v>45996</v>
      </c>
      <c r="C486" vm="1447">
        <f ca="1"/>
        <v>307.94</v>
      </c>
      <c r="D486" vm="1448">
        <f ca="1"/>
        <v>2344667</v>
      </c>
      <c r="E486">
        <f t="shared" ca="1" si="147"/>
        <v>722016755.98000002</v>
      </c>
      <c r="F486">
        <f ca="1">SUM($E$2:E486)/SUM($D$2:D486)</f>
        <v>229.84243150760787</v>
      </c>
      <c r="G486">
        <f ca="1">_xlfn.STDEV.P($C$2:C486)</f>
        <v>41.680987760580798</v>
      </c>
      <c r="H486">
        <f t="shared" ca="1" si="148"/>
        <v>271.52341926818866</v>
      </c>
      <c r="I486">
        <f t="shared" ca="1" si="149"/>
        <v>188.16144374702708</v>
      </c>
      <c r="J486">
        <f t="shared" ca="1" si="158"/>
        <v>303.23199999999991</v>
      </c>
      <c r="K486">
        <f t="shared" ca="1" si="159"/>
        <v>7.3021118790892938</v>
      </c>
      <c r="L486">
        <f t="shared" ca="1" si="160"/>
        <v>317.83622375817851</v>
      </c>
      <c r="M486">
        <f t="shared" ca="1" si="161"/>
        <v>288.62777624182132</v>
      </c>
      <c r="N486">
        <f t="shared" ca="1" si="150"/>
        <v>-5.0000000000011369E-2</v>
      </c>
      <c r="O486">
        <f t="shared" ca="1" si="151"/>
        <v>0</v>
      </c>
      <c r="P486">
        <f t="shared" ca="1" si="152"/>
        <v>5.0000000000011369E-2</v>
      </c>
      <c r="Q486">
        <f t="shared" ca="1" si="156"/>
        <v>2.1225344367031846</v>
      </c>
      <c r="R486">
        <f t="shared" ca="1" si="157"/>
        <v>1.5996363387383195</v>
      </c>
      <c r="S486">
        <f t="shared" ca="1" si="154"/>
        <v>1.3268856084985481</v>
      </c>
      <c r="T486">
        <f t="shared" ca="1" si="155"/>
        <v>57.024101384800673</v>
      </c>
      <c r="U486">
        <f>70</f>
        <v>70</v>
      </c>
      <c r="V486">
        <f>30</f>
        <v>30</v>
      </c>
      <c r="W486">
        <f t="shared" ca="1" si="153"/>
        <v>304.04324611469792</v>
      </c>
      <c r="X486">
        <f t="shared" ca="1" si="163"/>
        <v>301.39519043302317</v>
      </c>
      <c r="Y486">
        <f t="shared" ca="1" si="162"/>
        <v>2.8616729496658877</v>
      </c>
      <c r="Z486">
        <f t="shared" ref="Z486:Z514" ca="1" si="164">Y486*(2/(9+1)) + Z485*(1-(2/(9+1)))</f>
        <v>2.6994181945654314</v>
      </c>
      <c r="AA486">
        <f t="shared" ref="AA486:AA514" ca="1" si="165">Y486-Z486</f>
        <v>0.16225475510045628</v>
      </c>
      <c r="AB486">
        <f t="shared" ref="AB486:AB514" ca="1" si="166">AVERAGE(C387:C486)</f>
        <v>275.67179999999991</v>
      </c>
    </row>
    <row r="487" spans="1:28" x14ac:dyDescent="0.25">
      <c r="A487" s="20">
        <f t="shared" ca="1" si="146"/>
        <v>45999</v>
      </c>
      <c r="B487" vm="1449">
        <f ca="1"/>
        <v>45999</v>
      </c>
      <c r="C487" vm="1450">
        <f ca="1"/>
        <v>309.18</v>
      </c>
      <c r="D487" vm="1451">
        <f ca="1"/>
        <v>3630157</v>
      </c>
      <c r="E487">
        <f t="shared" ca="1" si="147"/>
        <v>1122371941.26</v>
      </c>
      <c r="F487">
        <f ca="1">SUM($E$2:E487)/SUM($D$2:D487)</f>
        <v>229.97378337126204</v>
      </c>
      <c r="G487">
        <f ca="1">_xlfn.STDEV.P($C$2:C487)</f>
        <v>41.802930006734449</v>
      </c>
      <c r="H487">
        <f t="shared" ca="1" si="148"/>
        <v>271.77671337799649</v>
      </c>
      <c r="I487">
        <f t="shared" ca="1" si="149"/>
        <v>188.1708533645276</v>
      </c>
      <c r="J487">
        <f t="shared" ca="1" si="158"/>
        <v>303.37199999999996</v>
      </c>
      <c r="K487">
        <f t="shared" ca="1" si="159"/>
        <v>7.3919327292450623</v>
      </c>
      <c r="L487">
        <f t="shared" ca="1" si="160"/>
        <v>318.1558654584901</v>
      </c>
      <c r="M487">
        <f t="shared" ca="1" si="161"/>
        <v>288.58813454150982</v>
      </c>
      <c r="N487">
        <f t="shared" ca="1" si="150"/>
        <v>1.2400000000000091</v>
      </c>
      <c r="O487">
        <f t="shared" ca="1" si="151"/>
        <v>1.2400000000000091</v>
      </c>
      <c r="P487">
        <f t="shared" ca="1" si="152"/>
        <v>0</v>
      </c>
      <c r="Q487">
        <f t="shared" ca="1" si="156"/>
        <v>2.0594962626529578</v>
      </c>
      <c r="R487">
        <f t="shared" ca="1" si="157"/>
        <v>1.485376600257011</v>
      </c>
      <c r="S487">
        <f t="shared" ca="1" si="154"/>
        <v>1.3865145460731025</v>
      </c>
      <c r="T487">
        <f t="shared" ca="1" si="155"/>
        <v>58.097887915853974</v>
      </c>
      <c r="U487">
        <f>70</f>
        <v>70</v>
      </c>
      <c r="V487">
        <f>30</f>
        <v>30</v>
      </c>
      <c r="W487">
        <f t="shared" ca="1" si="153"/>
        <v>304.8335159432059</v>
      </c>
      <c r="X487">
        <f t="shared" ca="1" si="163"/>
        <v>301.97184299354001</v>
      </c>
      <c r="Y487">
        <f t="shared" ca="1" si="162"/>
        <v>3.1001289522269531</v>
      </c>
      <c r="Z487">
        <f t="shared" ca="1" si="164"/>
        <v>2.7795603460977358</v>
      </c>
      <c r="AA487">
        <f t="shared" ca="1" si="165"/>
        <v>0.32056860612921723</v>
      </c>
      <c r="AB487">
        <f t="shared" ca="1" si="166"/>
        <v>275.94359999999995</v>
      </c>
    </row>
    <row r="488" spans="1:28" x14ac:dyDescent="0.25">
      <c r="A488" s="20">
        <f t="shared" ca="1" si="146"/>
        <v>45999</v>
      </c>
      <c r="B488" vm="1452">
        <f ca="1"/>
        <v>46000</v>
      </c>
      <c r="C488" vm="1453">
        <f ca="1"/>
        <v>310.48</v>
      </c>
      <c r="D488" vm="1454">
        <f ca="1"/>
        <v>2935669</v>
      </c>
      <c r="E488">
        <f t="shared" ca="1" si="147"/>
        <v>911466511.12</v>
      </c>
      <c r="F488">
        <f ca="1">SUM($E$2:E488)/SUM($D$2:D488)</f>
        <v>230.08142676292942</v>
      </c>
      <c r="G488">
        <f ca="1">_xlfn.STDEV.P($C$2:C488)</f>
        <v>41.928577593924885</v>
      </c>
      <c r="H488">
        <f t="shared" ca="1" si="148"/>
        <v>272.01000435685432</v>
      </c>
      <c r="I488">
        <f t="shared" ca="1" si="149"/>
        <v>188.15284916900453</v>
      </c>
      <c r="J488">
        <f t="shared" ca="1" si="158"/>
        <v>303.43949999999995</v>
      </c>
      <c r="K488">
        <f t="shared" ca="1" si="159"/>
        <v>7.4531896915983245</v>
      </c>
      <c r="L488">
        <f t="shared" ca="1" si="160"/>
        <v>318.34587938319657</v>
      </c>
      <c r="M488">
        <f t="shared" ca="1" si="161"/>
        <v>288.53312061680333</v>
      </c>
      <c r="N488">
        <f t="shared" ca="1" si="150"/>
        <v>1.3000000000000114</v>
      </c>
      <c r="O488">
        <f t="shared" ca="1" si="151"/>
        <v>1.3000000000000114</v>
      </c>
      <c r="P488">
        <f t="shared" ca="1" si="152"/>
        <v>0</v>
      </c>
      <c r="Q488">
        <f t="shared" ca="1" si="156"/>
        <v>2.0052465296063189</v>
      </c>
      <c r="R488">
        <f t="shared" ca="1" si="157"/>
        <v>1.3792782716672245</v>
      </c>
      <c r="S488">
        <f t="shared" ca="1" si="154"/>
        <v>1.4538375401088899</v>
      </c>
      <c r="T488">
        <f t="shared" ca="1" si="155"/>
        <v>59.247505849322664</v>
      </c>
      <c r="U488">
        <f>70</f>
        <v>70</v>
      </c>
      <c r="V488">
        <f>30</f>
        <v>30</v>
      </c>
      <c r="W488">
        <f t="shared" ca="1" si="153"/>
        <v>305.70220579809728</v>
      </c>
      <c r="X488">
        <f t="shared" ca="1" si="163"/>
        <v>302.60207684587033</v>
      </c>
      <c r="Y488">
        <f t="shared" ca="1" si="162"/>
        <v>3.4263252054901159</v>
      </c>
      <c r="Z488">
        <f t="shared" ca="1" si="164"/>
        <v>2.9089133179762117</v>
      </c>
      <c r="AA488">
        <f t="shared" ca="1" si="165"/>
        <v>0.51741188751390421</v>
      </c>
      <c r="AB488">
        <f t="shared" ca="1" si="166"/>
        <v>276.1896999999999</v>
      </c>
    </row>
    <row r="489" spans="1:28" x14ac:dyDescent="0.25">
      <c r="A489" s="20">
        <f t="shared" ca="1" si="146"/>
        <v>45999</v>
      </c>
      <c r="B489" vm="1455">
        <f ca="1"/>
        <v>46001</v>
      </c>
      <c r="C489" vm="1456">
        <f ca="1"/>
        <v>312.67</v>
      </c>
      <c r="D489" vm="1457">
        <f ca="1"/>
        <v>3411524</v>
      </c>
      <c r="E489">
        <f t="shared" ca="1" si="147"/>
        <v>1066681209.08</v>
      </c>
      <c r="F489">
        <f ca="1">SUM($E$2:E489)/SUM($D$2:D489)</f>
        <v>230.20955503629128</v>
      </c>
      <c r="G489">
        <f ca="1">_xlfn.STDEV.P($C$2:C489)</f>
        <v>42.061585406450483</v>
      </c>
      <c r="H489">
        <f t="shared" ca="1" si="148"/>
        <v>272.27114044274174</v>
      </c>
      <c r="I489">
        <f t="shared" ca="1" si="149"/>
        <v>188.14796962984079</v>
      </c>
      <c r="J489">
        <f t="shared" ca="1" si="158"/>
        <v>303.387</v>
      </c>
      <c r="K489">
        <f t="shared" ca="1" si="159"/>
        <v>7.3803045864973509</v>
      </c>
      <c r="L489">
        <f t="shared" ca="1" si="160"/>
        <v>318.14760917299469</v>
      </c>
      <c r="M489">
        <f t="shared" ca="1" si="161"/>
        <v>288.62639082700531</v>
      </c>
      <c r="N489">
        <f t="shared" ca="1" si="150"/>
        <v>2.1899999999999977</v>
      </c>
      <c r="O489">
        <f t="shared" ca="1" si="151"/>
        <v>2.1899999999999977</v>
      </c>
      <c r="P489">
        <f t="shared" ca="1" si="152"/>
        <v>0</v>
      </c>
      <c r="Q489">
        <f t="shared" ca="1" si="156"/>
        <v>2.0184432060630102</v>
      </c>
      <c r="R489">
        <f t="shared" ca="1" si="157"/>
        <v>1.2807583951195656</v>
      </c>
      <c r="S489">
        <f t="shared" ca="1" si="154"/>
        <v>1.5759749955607965</v>
      </c>
      <c r="T489">
        <f t="shared" ca="1" si="155"/>
        <v>61.179747407357986</v>
      </c>
      <c r="U489">
        <f>70</f>
        <v>70</v>
      </c>
      <c r="V489">
        <f>30</f>
        <v>30</v>
      </c>
      <c r="W489">
        <f t="shared" ca="1" si="153"/>
        <v>306.77417413685151</v>
      </c>
      <c r="X489">
        <f t="shared" ca="1" si="163"/>
        <v>303.3478489313614</v>
      </c>
      <c r="Y489">
        <f t="shared" ca="1" si="162"/>
        <v>3.4888855155340366</v>
      </c>
      <c r="Z489">
        <f t="shared" ca="1" si="164"/>
        <v>3.0249077574877767</v>
      </c>
      <c r="AA489">
        <f t="shared" ca="1" si="165"/>
        <v>0.46397775804625985</v>
      </c>
      <c r="AB489">
        <f t="shared" ca="1" si="166"/>
        <v>276.46929999999992</v>
      </c>
    </row>
    <row r="490" spans="1:28" x14ac:dyDescent="0.25">
      <c r="A490" s="20">
        <f t="shared" ca="1" si="146"/>
        <v>45999</v>
      </c>
      <c r="B490" vm="1458">
        <f ca="1"/>
        <v>46002</v>
      </c>
      <c r="C490" vm="1459">
        <f ca="1"/>
        <v>310.74</v>
      </c>
      <c r="D490" vm="1460">
        <f ca="1"/>
        <v>2755749</v>
      </c>
      <c r="E490">
        <f t="shared" ca="1" si="147"/>
        <v>856321444.25999999</v>
      </c>
      <c r="F490">
        <f ca="1">SUM($E$2:E490)/SUM($D$2:D490)</f>
        <v>230.31034851274561</v>
      </c>
      <c r="G490">
        <f ca="1">_xlfn.STDEV.P($C$2:C490)</f>
        <v>42.185089006396524</v>
      </c>
      <c r="H490">
        <f t="shared" ca="1" si="148"/>
        <v>272.49543751914211</v>
      </c>
      <c r="I490">
        <f t="shared" ca="1" si="149"/>
        <v>188.1252595063491</v>
      </c>
      <c r="J490">
        <f t="shared" ca="1" si="158"/>
        <v>303.17500000000001</v>
      </c>
      <c r="K490">
        <f t="shared" ca="1" si="159"/>
        <v>7.0847467733226281</v>
      </c>
      <c r="L490">
        <f t="shared" ca="1" si="160"/>
        <v>317.34449354664525</v>
      </c>
      <c r="M490">
        <f t="shared" ca="1" si="161"/>
        <v>289.00550645335477</v>
      </c>
      <c r="N490">
        <f t="shared" ca="1" si="150"/>
        <v>-1.9300000000000068</v>
      </c>
      <c r="O490">
        <f t="shared" ca="1" si="151"/>
        <v>0</v>
      </c>
      <c r="P490">
        <f t="shared" ca="1" si="152"/>
        <v>1.9300000000000068</v>
      </c>
      <c r="Q490">
        <f t="shared" ca="1" si="156"/>
        <v>1.8742686913442237</v>
      </c>
      <c r="R490">
        <f t="shared" ca="1" si="157"/>
        <v>1.3271327954681684</v>
      </c>
      <c r="S490">
        <f t="shared" ca="1" si="154"/>
        <v>1.4122691397156257</v>
      </c>
      <c r="T490">
        <f t="shared" ca="1" si="155"/>
        <v>58.545255853254979</v>
      </c>
      <c r="U490">
        <f>70</f>
        <v>70</v>
      </c>
      <c r="V490">
        <f>30</f>
        <v>30</v>
      </c>
      <c r="W490">
        <f t="shared" ca="1" si="153"/>
        <v>307.3843011927205</v>
      </c>
      <c r="X490">
        <f t="shared" ca="1" si="163"/>
        <v>303.89541567718646</v>
      </c>
      <c r="Y490">
        <f t="shared" ca="1" si="162"/>
        <v>3.3784825047076765</v>
      </c>
      <c r="Z490">
        <f t="shared" ca="1" si="164"/>
        <v>3.0956227069317568</v>
      </c>
      <c r="AA490">
        <f t="shared" ca="1" si="165"/>
        <v>0.28285979777591974</v>
      </c>
      <c r="AB490">
        <f t="shared" ca="1" si="166"/>
        <v>276.75709999999987</v>
      </c>
    </row>
    <row r="491" spans="1:28" x14ac:dyDescent="0.25">
      <c r="A491" s="20">
        <f t="shared" ca="1" si="146"/>
        <v>45999</v>
      </c>
      <c r="B491" vm="1461">
        <f ca="1"/>
        <v>46003</v>
      </c>
      <c r="C491" vm="1462">
        <f ca="1"/>
        <v>309.24</v>
      </c>
      <c r="D491" vm="1463">
        <f ca="1"/>
        <v>2953374</v>
      </c>
      <c r="E491">
        <f t="shared" ca="1" si="147"/>
        <v>913301375.75999999</v>
      </c>
      <c r="F491">
        <f ca="1">SUM($E$2:E491)/SUM($D$2:D491)</f>
        <v>230.41608116763388</v>
      </c>
      <c r="G491">
        <f ca="1">_xlfn.STDEV.P($C$2:C491)</f>
        <v>42.301135491912056</v>
      </c>
      <c r="H491">
        <f t="shared" ca="1" si="148"/>
        <v>272.71721665954595</v>
      </c>
      <c r="I491">
        <f t="shared" ca="1" si="149"/>
        <v>188.11494567572183</v>
      </c>
      <c r="J491">
        <f t="shared" ca="1" si="158"/>
        <v>303.39399999999995</v>
      </c>
      <c r="K491">
        <f t="shared" ca="1" si="159"/>
        <v>7.2062285924272427</v>
      </c>
      <c r="L491">
        <f t="shared" ca="1" si="160"/>
        <v>317.80645718485442</v>
      </c>
      <c r="M491">
        <f t="shared" ca="1" si="161"/>
        <v>288.98154281514547</v>
      </c>
      <c r="N491">
        <f t="shared" ca="1" si="150"/>
        <v>-1.5</v>
      </c>
      <c r="O491">
        <f t="shared" ca="1" si="151"/>
        <v>0</v>
      </c>
      <c r="P491">
        <f t="shared" ca="1" si="152"/>
        <v>1.5</v>
      </c>
      <c r="Q491">
        <f t="shared" ca="1" si="156"/>
        <v>1.7403923562482078</v>
      </c>
      <c r="R491">
        <f t="shared" ca="1" si="157"/>
        <v>1.3394804529347277</v>
      </c>
      <c r="S491">
        <f t="shared" ca="1" si="154"/>
        <v>1.2993040342134925</v>
      </c>
      <c r="T491">
        <f t="shared" ca="1" si="155"/>
        <v>56.508578895175852</v>
      </c>
      <c r="U491">
        <f>70</f>
        <v>70</v>
      </c>
      <c r="V491">
        <f>30</f>
        <v>30</v>
      </c>
      <c r="W491">
        <f t="shared" ca="1" si="153"/>
        <v>307.66979331691732</v>
      </c>
      <c r="X491">
        <f t="shared" ca="1" si="163"/>
        <v>304.29131081220964</v>
      </c>
      <c r="Y491">
        <f t="shared" ca="1" si="162"/>
        <v>3.2072153879096845</v>
      </c>
      <c r="Z491">
        <f t="shared" ca="1" si="164"/>
        <v>3.1179412431273428</v>
      </c>
      <c r="AA491">
        <f t="shared" ca="1" si="165"/>
        <v>8.9274144782341747E-2</v>
      </c>
      <c r="AB491">
        <f t="shared" ca="1" si="166"/>
        <v>277.0293999999999</v>
      </c>
    </row>
    <row r="492" spans="1:28" x14ac:dyDescent="0.25">
      <c r="A492" s="20">
        <f t="shared" ca="1" si="146"/>
        <v>46006</v>
      </c>
      <c r="B492" vm="1464">
        <f ca="1"/>
        <v>46006</v>
      </c>
      <c r="C492" vm="1465">
        <f ca="1"/>
        <v>308.66000000000003</v>
      </c>
      <c r="D492" vm="1466">
        <f ca="1"/>
        <v>3566732</v>
      </c>
      <c r="E492">
        <f t="shared" ca="1" si="147"/>
        <v>1100907499.1200001</v>
      </c>
      <c r="F492">
        <f ca="1">SUM($E$2:E492)/SUM($D$2:D492)</f>
        <v>230.54245860632093</v>
      </c>
      <c r="G492">
        <f ca="1">_xlfn.STDEV.P($C$2:C492)</f>
        <v>42.413505078889592</v>
      </c>
      <c r="H492">
        <f t="shared" ca="1" si="148"/>
        <v>272.95596368521052</v>
      </c>
      <c r="I492">
        <f t="shared" ca="1" si="149"/>
        <v>188.12895352743135</v>
      </c>
      <c r="J492">
        <f t="shared" ca="1" si="158"/>
        <v>303.5424999999999</v>
      </c>
      <c r="K492">
        <f t="shared" ca="1" si="159"/>
        <v>7.2861908862984848</v>
      </c>
      <c r="L492">
        <f t="shared" ca="1" si="160"/>
        <v>318.11488177259685</v>
      </c>
      <c r="M492">
        <f t="shared" ca="1" si="161"/>
        <v>288.97011822740296</v>
      </c>
      <c r="N492">
        <f t="shared" ca="1" si="150"/>
        <v>-0.57999999999998408</v>
      </c>
      <c r="O492">
        <f t="shared" ca="1" si="151"/>
        <v>0</v>
      </c>
      <c r="P492">
        <f t="shared" ca="1" si="152"/>
        <v>0.57999999999998408</v>
      </c>
      <c r="Q492">
        <f t="shared" ca="1" si="156"/>
        <v>1.6160786165161929</v>
      </c>
      <c r="R492">
        <f t="shared" ca="1" si="157"/>
        <v>1.2852318491536747</v>
      </c>
      <c r="S492">
        <f t="shared" ca="1" si="154"/>
        <v>1.2574218555044219</v>
      </c>
      <c r="T492">
        <f t="shared" ca="1" si="155"/>
        <v>55.701678108518642</v>
      </c>
      <c r="U492">
        <f>70</f>
        <v>70</v>
      </c>
      <c r="V492">
        <f>30</f>
        <v>30</v>
      </c>
      <c r="W492">
        <f t="shared" ca="1" si="153"/>
        <v>307.82213280662234</v>
      </c>
      <c r="X492">
        <f t="shared" ca="1" si="163"/>
        <v>304.61491741871265</v>
      </c>
      <c r="Y492">
        <f t="shared" ca="1" si="162"/>
        <v>2.599331289131726</v>
      </c>
      <c r="Z492">
        <f t="shared" ca="1" si="164"/>
        <v>3.0142192523282194</v>
      </c>
      <c r="AA492">
        <f t="shared" ca="1" si="165"/>
        <v>-0.41488796319649346</v>
      </c>
      <c r="AB492">
        <f t="shared" ca="1" si="166"/>
        <v>277.51089999999988</v>
      </c>
    </row>
    <row r="493" spans="1:28" x14ac:dyDescent="0.25">
      <c r="A493" s="20">
        <f t="shared" ca="1" si="146"/>
        <v>46006</v>
      </c>
      <c r="B493" vm="1467">
        <f ca="1"/>
        <v>46007</v>
      </c>
      <c r="C493" vm="1468">
        <f ca="1"/>
        <v>303.18</v>
      </c>
      <c r="D493" vm="1469">
        <f ca="1"/>
        <v>3366878</v>
      </c>
      <c r="E493">
        <f t="shared" ca="1" si="147"/>
        <v>1020770072.0400001</v>
      </c>
      <c r="F493">
        <f ca="1">SUM($E$2:E493)/SUM($D$2:D493)</f>
        <v>230.65303828952747</v>
      </c>
      <c r="G493">
        <f ca="1">_xlfn.STDEV.P($C$2:C493)</f>
        <v>42.504212974263808</v>
      </c>
      <c r="H493">
        <f t="shared" ca="1" si="148"/>
        <v>273.1572512637913</v>
      </c>
      <c r="I493">
        <f t="shared" ca="1" si="149"/>
        <v>188.14882531526365</v>
      </c>
      <c r="J493">
        <f t="shared" ca="1" si="158"/>
        <v>303.84299999999996</v>
      </c>
      <c r="K493">
        <f t="shared" ca="1" si="159"/>
        <v>7.1318397272188454</v>
      </c>
      <c r="L493">
        <f t="shared" ca="1" si="160"/>
        <v>318.10667945443765</v>
      </c>
      <c r="M493">
        <f t="shared" ca="1" si="161"/>
        <v>289.57932054556227</v>
      </c>
      <c r="N493">
        <f t="shared" ca="1" si="150"/>
        <v>-5.4800000000000182</v>
      </c>
      <c r="O493">
        <f t="shared" ca="1" si="151"/>
        <v>0</v>
      </c>
      <c r="P493">
        <f t="shared" ca="1" si="152"/>
        <v>5.4800000000000182</v>
      </c>
      <c r="Q493">
        <f t="shared" ca="1" si="156"/>
        <v>1.500644429622179</v>
      </c>
      <c r="R493">
        <f t="shared" ca="1" si="157"/>
        <v>1.5848581456426991</v>
      </c>
      <c r="S493">
        <f t="shared" ca="1" si="154"/>
        <v>0.94686356236231517</v>
      </c>
      <c r="T493">
        <f t="shared" ca="1" si="155"/>
        <v>48.635332268142889</v>
      </c>
      <c r="U493">
        <f>70</f>
        <v>70</v>
      </c>
      <c r="V493">
        <f>30</f>
        <v>30</v>
      </c>
      <c r="W493">
        <f t="shared" ca="1" si="153"/>
        <v>307.10795852868046</v>
      </c>
      <c r="X493">
        <f t="shared" ca="1" si="163"/>
        <v>304.50862723954873</v>
      </c>
      <c r="Y493">
        <f t="shared" ca="1" si="162"/>
        <v>2.1046149007543136</v>
      </c>
      <c r="Z493">
        <f t="shared" ca="1" si="164"/>
        <v>2.8322983820134384</v>
      </c>
      <c r="AA493">
        <f t="shared" ca="1" si="165"/>
        <v>-0.72768348125912485</v>
      </c>
      <c r="AB493">
        <f t="shared" ca="1" si="166"/>
        <v>277.94549999999992</v>
      </c>
    </row>
    <row r="494" spans="1:28" x14ac:dyDescent="0.25">
      <c r="A494" s="20">
        <f t="shared" ca="1" si="146"/>
        <v>46006</v>
      </c>
      <c r="B494" vm="1470">
        <f ca="1"/>
        <v>46008</v>
      </c>
      <c r="C494" vm="1471">
        <f ca="1"/>
        <v>303.32</v>
      </c>
      <c r="D494" vm="1472">
        <f ca="1"/>
        <v>3130954</v>
      </c>
      <c r="E494">
        <f t="shared" ca="1" si="147"/>
        <v>949680967.27999997</v>
      </c>
      <c r="F494">
        <f ca="1">SUM($E$2:E494)/SUM($D$2:D494)</f>
        <v>230.75576565013677</v>
      </c>
      <c r="G494">
        <f ca="1">_xlfn.STDEV.P($C$2:C494)</f>
        <v>42.594318411164267</v>
      </c>
      <c r="H494">
        <f t="shared" ca="1" si="148"/>
        <v>273.350084061301</v>
      </c>
      <c r="I494">
        <f t="shared" ca="1" si="149"/>
        <v>188.1614472389725</v>
      </c>
      <c r="J494">
        <f t="shared" ca="1" si="158"/>
        <v>304.51149999999996</v>
      </c>
      <c r="K494">
        <f t="shared" ca="1" si="159"/>
        <v>6.344163729054662</v>
      </c>
      <c r="L494">
        <f t="shared" ca="1" si="160"/>
        <v>317.19982745810927</v>
      </c>
      <c r="M494">
        <f t="shared" ca="1" si="161"/>
        <v>291.82317254189064</v>
      </c>
      <c r="N494">
        <f t="shared" ca="1" si="150"/>
        <v>0.13999999999998636</v>
      </c>
      <c r="O494">
        <f t="shared" ca="1" si="151"/>
        <v>0.13999999999998636</v>
      </c>
      <c r="P494">
        <f t="shared" ca="1" si="152"/>
        <v>0</v>
      </c>
      <c r="Q494">
        <f t="shared" ca="1" si="156"/>
        <v>1.4034555417920223</v>
      </c>
      <c r="R494">
        <f t="shared" ca="1" si="157"/>
        <v>1.4716539923825063</v>
      </c>
      <c r="S494">
        <f t="shared" ca="1" si="154"/>
        <v>0.95365863787039007</v>
      </c>
      <c r="T494">
        <f t="shared" ca="1" si="155"/>
        <v>48.813985175523683</v>
      </c>
      <c r="U494">
        <f>70</f>
        <v>70</v>
      </c>
      <c r="V494">
        <f>30</f>
        <v>30</v>
      </c>
      <c r="W494">
        <f t="shared" ca="1" si="153"/>
        <v>306.52519567811424</v>
      </c>
      <c r="X494">
        <f t="shared" ca="1" si="163"/>
        <v>304.42058077735993</v>
      </c>
      <c r="Y494">
        <f t="shared" ca="1" si="162"/>
        <v>1.4640865064329205</v>
      </c>
      <c r="Z494">
        <f t="shared" ca="1" si="164"/>
        <v>2.5586560068973347</v>
      </c>
      <c r="AA494">
        <f t="shared" ca="1" si="165"/>
        <v>-1.0945695004644143</v>
      </c>
      <c r="AB494">
        <f t="shared" ca="1" si="166"/>
        <v>278.34659999999991</v>
      </c>
    </row>
    <row r="495" spans="1:28" x14ac:dyDescent="0.25">
      <c r="A495" s="20">
        <f t="shared" ca="1" si="146"/>
        <v>46006</v>
      </c>
      <c r="B495" vm="1473">
        <f ca="1"/>
        <v>46009</v>
      </c>
      <c r="C495" vm="1474">
        <f ca="1"/>
        <v>300.45</v>
      </c>
      <c r="D495" vm="1475">
        <f ca="1"/>
        <v>5411669</v>
      </c>
      <c r="E495">
        <f t="shared" ca="1" si="147"/>
        <v>1625935951.05</v>
      </c>
      <c r="F495">
        <f ca="1">SUM($E$2:E495)/SUM($D$2:D495)</f>
        <v>230.92564501730126</v>
      </c>
      <c r="G495">
        <f ca="1">_xlfn.STDEV.P($C$2:C495)</f>
        <v>42.673384567535329</v>
      </c>
      <c r="H495">
        <f t="shared" ca="1" si="148"/>
        <v>273.59902958483661</v>
      </c>
      <c r="I495">
        <f t="shared" ca="1" si="149"/>
        <v>188.25226044976594</v>
      </c>
      <c r="J495">
        <f t="shared" ca="1" si="158"/>
        <v>305.10749999999996</v>
      </c>
      <c r="K495">
        <f t="shared" ca="1" si="159"/>
        <v>5.2249551748266176</v>
      </c>
      <c r="L495">
        <f t="shared" ca="1" si="160"/>
        <v>315.5574103496532</v>
      </c>
      <c r="M495">
        <f t="shared" ca="1" si="161"/>
        <v>294.65758965034672</v>
      </c>
      <c r="N495">
        <f t="shared" ca="1" si="150"/>
        <v>-2.8700000000000045</v>
      </c>
      <c r="O495">
        <f t="shared" ca="1" si="151"/>
        <v>0</v>
      </c>
      <c r="P495">
        <f t="shared" ca="1" si="152"/>
        <v>2.8700000000000045</v>
      </c>
      <c r="Q495">
        <f t="shared" ca="1" si="156"/>
        <v>1.3032087173783062</v>
      </c>
      <c r="R495">
        <f t="shared" ca="1" si="157"/>
        <v>1.5715358500694703</v>
      </c>
      <c r="S495">
        <f t="shared" ca="1" si="154"/>
        <v>0.82925802635727175</v>
      </c>
      <c r="T495">
        <f t="shared" ca="1" si="155"/>
        <v>45.333026528172773</v>
      </c>
      <c r="U495">
        <f>70</f>
        <v>70</v>
      </c>
      <c r="V495">
        <f>30</f>
        <v>30</v>
      </c>
      <c r="W495">
        <f t="shared" ca="1" si="153"/>
        <v>305.5905501891736</v>
      </c>
      <c r="X495">
        <f t="shared" ca="1" si="163"/>
        <v>304.12646368274068</v>
      </c>
      <c r="Y495">
        <f t="shared" ca="1" si="162"/>
        <v>0.98784247662064217</v>
      </c>
      <c r="Z495">
        <f t="shared" ca="1" si="164"/>
        <v>2.2444933008419961</v>
      </c>
      <c r="AA495">
        <f t="shared" ca="1" si="165"/>
        <v>-1.2566508242213539</v>
      </c>
      <c r="AB495">
        <f t="shared" ca="1" si="166"/>
        <v>278.72699999999992</v>
      </c>
    </row>
    <row r="496" spans="1:28" x14ac:dyDescent="0.25">
      <c r="A496" s="20">
        <f t="shared" ca="1" si="146"/>
        <v>46006</v>
      </c>
      <c r="B496" vm="1476">
        <f ca="1"/>
        <v>46010</v>
      </c>
      <c r="C496" vm="1477">
        <f ca="1"/>
        <v>300.98</v>
      </c>
      <c r="D496" vm="1478">
        <f ca="1"/>
        <v>11031341</v>
      </c>
      <c r="E496">
        <f t="shared" ca="1" si="147"/>
        <v>3320213014.1800003</v>
      </c>
      <c r="F496">
        <f ca="1">SUM($E$2:E496)/SUM($D$2:D496)</f>
        <v>231.27200162682379</v>
      </c>
      <c r="G496">
        <f ca="1">_xlfn.STDEV.P($C$2:C496)</f>
        <v>42.753292322179583</v>
      </c>
      <c r="H496">
        <f t="shared" ca="1" si="148"/>
        <v>274.02529394900336</v>
      </c>
      <c r="I496">
        <f t="shared" ca="1" si="149"/>
        <v>188.5187093046442</v>
      </c>
      <c r="J496">
        <f t="shared" ca="1" si="158"/>
        <v>305.63649999999996</v>
      </c>
      <c r="K496">
        <f t="shared" ca="1" si="159"/>
        <v>4.0641685561294851</v>
      </c>
      <c r="L496">
        <f t="shared" ca="1" si="160"/>
        <v>313.76483711225893</v>
      </c>
      <c r="M496">
        <f t="shared" ca="1" si="161"/>
        <v>297.50816288774098</v>
      </c>
      <c r="N496">
        <f t="shared" ca="1" si="150"/>
        <v>0.53000000000002956</v>
      </c>
      <c r="O496">
        <f t="shared" ca="1" si="151"/>
        <v>0.53000000000002956</v>
      </c>
      <c r="P496">
        <f t="shared" ca="1" si="152"/>
        <v>0</v>
      </c>
      <c r="Q496">
        <f t="shared" ca="1" si="156"/>
        <v>1.2479795232798578</v>
      </c>
      <c r="R496">
        <f t="shared" ca="1" si="157"/>
        <v>1.4592832893502226</v>
      </c>
      <c r="S496">
        <f t="shared" ca="1" si="154"/>
        <v>0.85520031126755913</v>
      </c>
      <c r="T496">
        <f t="shared" ca="1" si="155"/>
        <v>46.097464843742216</v>
      </c>
      <c r="U496">
        <f>70</f>
        <v>70</v>
      </c>
      <c r="V496">
        <f>30</f>
        <v>30</v>
      </c>
      <c r="W496">
        <f t="shared" ca="1" si="153"/>
        <v>304.88123477545457</v>
      </c>
      <c r="X496">
        <f t="shared" ca="1" si="163"/>
        <v>303.89339229883393</v>
      </c>
      <c r="Y496">
        <f t="shared" ca="1" si="162"/>
        <v>0.74784681250423546</v>
      </c>
      <c r="Z496">
        <f t="shared" ca="1" si="164"/>
        <v>1.9451640031744442</v>
      </c>
      <c r="AA496">
        <f t="shared" ca="1" si="165"/>
        <v>-1.1973171906702087</v>
      </c>
      <c r="AB496">
        <f t="shared" ca="1" si="166"/>
        <v>279.13419999999991</v>
      </c>
    </row>
    <row r="497" spans="1:28" x14ac:dyDescent="0.25">
      <c r="A497" s="20">
        <f t="shared" ca="1" si="146"/>
        <v>46013</v>
      </c>
      <c r="B497" vm="1479">
        <f ca="1"/>
        <v>46013</v>
      </c>
      <c r="C497" vm="1480">
        <f ca="1"/>
        <v>302.79000000000002</v>
      </c>
      <c r="D497" vm="1481">
        <f ca="1"/>
        <v>2612100</v>
      </c>
      <c r="E497">
        <f t="shared" ca="1" si="147"/>
        <v>790917759</v>
      </c>
      <c r="F497">
        <f ca="1">SUM($E$2:E497)/SUM($D$2:D497)</f>
        <v>231.35563065411367</v>
      </c>
      <c r="G497">
        <f ca="1">_xlfn.STDEV.P($C$2:C497)</f>
        <v>42.838437810211055</v>
      </c>
      <c r="H497">
        <f t="shared" ca="1" si="148"/>
        <v>274.19406846432474</v>
      </c>
      <c r="I497">
        <f t="shared" ca="1" si="149"/>
        <v>188.51719284390262</v>
      </c>
      <c r="J497">
        <f t="shared" ca="1" si="158"/>
        <v>305.90399999999994</v>
      </c>
      <c r="K497">
        <f t="shared" ca="1" si="159"/>
        <v>3.6513925245611554</v>
      </c>
      <c r="L497">
        <f t="shared" ca="1" si="160"/>
        <v>313.20678504912223</v>
      </c>
      <c r="M497">
        <f t="shared" ca="1" si="161"/>
        <v>298.60121495087765</v>
      </c>
      <c r="N497">
        <f t="shared" ca="1" si="150"/>
        <v>1.8100000000000023</v>
      </c>
      <c r="O497">
        <f t="shared" ca="1" si="151"/>
        <v>1.8100000000000023</v>
      </c>
      <c r="P497">
        <f t="shared" ca="1" si="152"/>
        <v>0</v>
      </c>
      <c r="Q497">
        <f t="shared" ca="1" si="156"/>
        <v>1.2881238430455824</v>
      </c>
      <c r="R497">
        <f t="shared" ca="1" si="157"/>
        <v>1.3550487686823496</v>
      </c>
      <c r="S497">
        <f t="shared" ca="1" si="154"/>
        <v>0.95061068857186215</v>
      </c>
      <c r="T497">
        <f t="shared" ca="1" si="155"/>
        <v>48.734003875875963</v>
      </c>
      <c r="U497">
        <f>70</f>
        <v>70</v>
      </c>
      <c r="V497">
        <f>30</f>
        <v>30</v>
      </c>
      <c r="W497">
        <f t="shared" ca="1" si="153"/>
        <v>304.55950634846158</v>
      </c>
      <c r="X497">
        <f t="shared" ca="1" si="163"/>
        <v>303.81165953595735</v>
      </c>
      <c r="Y497">
        <f t="shared" ca="1" si="162"/>
        <v>0.63026790970639013</v>
      </c>
      <c r="Z497">
        <f t="shared" ca="1" si="164"/>
        <v>1.6821847844808335</v>
      </c>
      <c r="AA497">
        <f t="shared" ca="1" si="165"/>
        <v>-1.0519168747744434</v>
      </c>
      <c r="AB497">
        <f t="shared" ca="1" si="166"/>
        <v>279.6305999999999</v>
      </c>
    </row>
    <row r="498" spans="1:28" x14ac:dyDescent="0.25">
      <c r="A498" s="20">
        <f t="shared" ca="1" si="146"/>
        <v>46013</v>
      </c>
      <c r="B498" vm="1482">
        <f ca="1"/>
        <v>46014</v>
      </c>
      <c r="C498" vm="1483">
        <f ca="1"/>
        <v>303.77999999999997</v>
      </c>
      <c r="D498" vm="1484">
        <f ca="1"/>
        <v>2923037</v>
      </c>
      <c r="E498">
        <f t="shared" ca="1" si="147"/>
        <v>887960179.8599999</v>
      </c>
      <c r="F498">
        <f ca="1">SUM($E$2:E498)/SUM($D$2:D498)</f>
        <v>231.45027681684448</v>
      </c>
      <c r="G498">
        <f ca="1">_xlfn.STDEV.P($C$2:C498)</f>
        <v>42.925995589299575</v>
      </c>
      <c r="H498">
        <f t="shared" ca="1" si="148"/>
        <v>274.37627240614404</v>
      </c>
      <c r="I498">
        <f t="shared" ca="1" si="149"/>
        <v>188.52428122754492</v>
      </c>
      <c r="J498">
        <f t="shared" ca="1" si="158"/>
        <v>305.887</v>
      </c>
      <c r="K498">
        <f t="shared" ca="1" si="159"/>
        <v>3.6609146110601554</v>
      </c>
      <c r="L498">
        <f t="shared" ca="1" si="160"/>
        <v>313.2088292221203</v>
      </c>
      <c r="M498">
        <f t="shared" ca="1" si="161"/>
        <v>298.5651707778797</v>
      </c>
      <c r="N498">
        <f t="shared" ca="1" si="150"/>
        <v>0.98999999999995225</v>
      </c>
      <c r="O498">
        <f t="shared" ca="1" si="151"/>
        <v>0.98999999999995225</v>
      </c>
      <c r="P498">
        <f t="shared" ca="1" si="152"/>
        <v>0</v>
      </c>
      <c r="Q498">
        <f t="shared" ca="1" si="156"/>
        <v>1.2668292828280374</v>
      </c>
      <c r="R498">
        <f t="shared" ca="1" si="157"/>
        <v>1.2582595709193247</v>
      </c>
      <c r="S498">
        <f t="shared" ca="1" si="154"/>
        <v>1.0068107663210155</v>
      </c>
      <c r="T498">
        <f t="shared" ca="1" si="155"/>
        <v>50.1696912941498</v>
      </c>
      <c r="U498">
        <f>70</f>
        <v>70</v>
      </c>
      <c r="V498">
        <f>30</f>
        <v>30</v>
      </c>
      <c r="W498">
        <f t="shared" ca="1" si="153"/>
        <v>304.43958229485207</v>
      </c>
      <c r="X498">
        <f t="shared" ca="1" si="163"/>
        <v>303.80931438514568</v>
      </c>
      <c r="Y498">
        <f t="shared" ca="1" si="162"/>
        <v>0.59318736865731125</v>
      </c>
      <c r="Z498">
        <f t="shared" ca="1" si="164"/>
        <v>1.464385301316129</v>
      </c>
      <c r="AA498">
        <f t="shared" ca="1" si="165"/>
        <v>-0.87119793265881773</v>
      </c>
      <c r="AB498">
        <f t="shared" ca="1" si="166"/>
        <v>280.16789999999992</v>
      </c>
    </row>
    <row r="499" spans="1:28" x14ac:dyDescent="0.25">
      <c r="A499" s="20">
        <f t="shared" ca="1" si="146"/>
        <v>46013</v>
      </c>
      <c r="B499" vm="1485">
        <f ca="1"/>
        <v>46015</v>
      </c>
      <c r="C499" vm="1486">
        <f ca="1"/>
        <v>304.56</v>
      </c>
      <c r="D499" vm="1487">
        <f ca="1"/>
        <v>1210642</v>
      </c>
      <c r="E499">
        <f t="shared" ca="1" si="147"/>
        <v>368713127.51999998</v>
      </c>
      <c r="F499">
        <f ca="1">SUM($E$2:E499)/SUM($D$2:D499)</f>
        <v>231.48982621261698</v>
      </c>
      <c r="G499">
        <f ca="1">_xlfn.STDEV.P($C$2:C499)</f>
        <v>43.015225586351612</v>
      </c>
      <c r="H499">
        <f t="shared" ca="1" si="148"/>
        <v>274.50505179896857</v>
      </c>
      <c r="I499">
        <f t="shared" ca="1" si="149"/>
        <v>188.47460062626536</v>
      </c>
      <c r="J499">
        <f t="shared" ca="1" si="158"/>
        <v>305.89099999999996</v>
      </c>
      <c r="K499">
        <f t="shared" ca="1" si="159"/>
        <v>3.6593397448749001</v>
      </c>
      <c r="L499">
        <f t="shared" ca="1" si="160"/>
        <v>313.20967948974976</v>
      </c>
      <c r="M499">
        <f t="shared" ca="1" si="161"/>
        <v>298.57232051025017</v>
      </c>
      <c r="N499">
        <f t="shared" ca="1" si="150"/>
        <v>0.78000000000002956</v>
      </c>
      <c r="O499">
        <f t="shared" ca="1" si="151"/>
        <v>0.78000000000002956</v>
      </c>
      <c r="P499">
        <f t="shared" ca="1" si="152"/>
        <v>0</v>
      </c>
      <c r="Q499">
        <f t="shared" ca="1" si="156"/>
        <v>1.2320557626260367</v>
      </c>
      <c r="R499">
        <f t="shared" ca="1" si="157"/>
        <v>1.1683838872822301</v>
      </c>
      <c r="S499">
        <f t="shared" ca="1" si="154"/>
        <v>1.0544956807748465</v>
      </c>
      <c r="T499">
        <f t="shared" ca="1" si="155"/>
        <v>51.326254449809639</v>
      </c>
      <c r="U499">
        <f>70</f>
        <v>70</v>
      </c>
      <c r="V499">
        <f>30</f>
        <v>30</v>
      </c>
      <c r="W499">
        <f t="shared" ca="1" si="153"/>
        <v>304.45810809564404</v>
      </c>
      <c r="X499">
        <f t="shared" ca="1" si="163"/>
        <v>303.86492072698672</v>
      </c>
      <c r="Y499">
        <f t="shared" ca="1" si="162"/>
        <v>0.59965489497318458</v>
      </c>
      <c r="Z499">
        <f t="shared" ca="1" si="164"/>
        <v>1.2914392200475402</v>
      </c>
      <c r="AA499">
        <f t="shared" ca="1" si="165"/>
        <v>-0.69178432507435561</v>
      </c>
      <c r="AB499">
        <f t="shared" ca="1" si="166"/>
        <v>280.69369999999992</v>
      </c>
    </row>
    <row r="500" spans="1:28" x14ac:dyDescent="0.25">
      <c r="A500" s="20">
        <f t="shared" ca="1" si="146"/>
        <v>46013</v>
      </c>
      <c r="B500" vm="1488">
        <f ca="1"/>
        <v>46017</v>
      </c>
      <c r="C500" vm="1489">
        <f ca="1"/>
        <v>305.08999999999997</v>
      </c>
      <c r="D500" vm="1490">
        <f ca="1"/>
        <v>2814732</v>
      </c>
      <c r="E500">
        <f t="shared" ca="1" si="147"/>
        <v>858746585.87999988</v>
      </c>
      <c r="F500">
        <f ca="1">SUM($E$2:E500)/SUM($D$2:D500)</f>
        <v>231.58227878233515</v>
      </c>
      <c r="G500">
        <f ca="1">_xlfn.STDEV.P($C$2:C500)</f>
        <v>43.105241841556349</v>
      </c>
      <c r="H500">
        <f t="shared" ca="1" si="148"/>
        <v>274.68752062389149</v>
      </c>
      <c r="I500">
        <f t="shared" ca="1" si="149"/>
        <v>188.47703694077882</v>
      </c>
      <c r="J500">
        <f t="shared" ca="1" si="158"/>
        <v>305.98500000000001</v>
      </c>
      <c r="K500">
        <f t="shared" ca="1" si="159"/>
        <v>3.6106691317465538</v>
      </c>
      <c r="L500">
        <f t="shared" ca="1" si="160"/>
        <v>313.20633826349314</v>
      </c>
      <c r="M500">
        <f t="shared" ca="1" si="161"/>
        <v>298.76366173650689</v>
      </c>
      <c r="N500">
        <f t="shared" ca="1" si="150"/>
        <v>0.52999999999997272</v>
      </c>
      <c r="O500">
        <f t="shared" ca="1" si="151"/>
        <v>0.52999999999997272</v>
      </c>
      <c r="P500">
        <f t="shared" ca="1" si="152"/>
        <v>0</v>
      </c>
      <c r="Q500">
        <f t="shared" ca="1" si="156"/>
        <v>1.1819089224384605</v>
      </c>
      <c r="R500">
        <f t="shared" ca="1" si="157"/>
        <v>1.0849278953334993</v>
      </c>
      <c r="S500">
        <f t="shared" ca="1" si="154"/>
        <v>1.0893893755724198</v>
      </c>
      <c r="T500">
        <f t="shared" ca="1" si="155"/>
        <v>52.139126785497567</v>
      </c>
      <c r="U500">
        <f>70</f>
        <v>70</v>
      </c>
      <c r="V500">
        <f>30</f>
        <v>30</v>
      </c>
      <c r="W500">
        <f t="shared" ca="1" si="153"/>
        <v>304.5553222347757</v>
      </c>
      <c r="X500">
        <f t="shared" ca="1" si="163"/>
        <v>303.95566733980252</v>
      </c>
      <c r="Y500">
        <f t="shared" ca="1" si="162"/>
        <v>0.64974022305574408</v>
      </c>
      <c r="Z500">
        <f t="shared" ca="1" si="164"/>
        <v>1.1630994206491809</v>
      </c>
      <c r="AA500">
        <f t="shared" ca="1" si="165"/>
        <v>-0.51335919759343684</v>
      </c>
      <c r="AB500">
        <f t="shared" ca="1" si="166"/>
        <v>281.23789999999991</v>
      </c>
    </row>
    <row r="501" spans="1:28" x14ac:dyDescent="0.25">
      <c r="A501" s="20">
        <f t="shared" ca="1" si="146"/>
        <v>46020</v>
      </c>
      <c r="B501" vm="1491">
        <f ca="1"/>
        <v>46020</v>
      </c>
      <c r="C501" vm="1492">
        <f ca="1"/>
        <v>305.74</v>
      </c>
      <c r="D501" vm="1493">
        <f ca="1"/>
        <v>4664711</v>
      </c>
      <c r="E501">
        <f t="shared" ca="1" si="147"/>
        <v>1426188741.1400001</v>
      </c>
      <c r="F501">
        <f ca="1">SUM($E$2:E501)/SUM($D$2:D501)</f>
        <v>231.73633565008342</v>
      </c>
      <c r="G501">
        <f ca="1">_xlfn.STDEV.P($C$2:C501)</f>
        <v>43.196460829707782</v>
      </c>
      <c r="H501">
        <f t="shared" ca="1" si="148"/>
        <v>274.93279647979119</v>
      </c>
      <c r="I501">
        <f t="shared" ca="1" si="149"/>
        <v>188.53987482037564</v>
      </c>
      <c r="J501">
        <f t="shared" ca="1" si="158"/>
        <v>305.84299999999996</v>
      </c>
      <c r="K501">
        <f t="shared" ca="1" si="159"/>
        <v>3.5587136942854487</v>
      </c>
      <c r="L501">
        <f t="shared" ca="1" si="160"/>
        <v>312.96042738857085</v>
      </c>
      <c r="M501">
        <f t="shared" ca="1" si="161"/>
        <v>298.72557261142907</v>
      </c>
      <c r="N501">
        <f t="shared" ca="1" si="150"/>
        <v>0.65000000000003411</v>
      </c>
      <c r="O501">
        <f t="shared" ca="1" si="151"/>
        <v>0.65000000000003411</v>
      </c>
      <c r="P501">
        <f t="shared" ca="1" si="152"/>
        <v>0</v>
      </c>
      <c r="Q501">
        <f t="shared" ca="1" si="156"/>
        <v>1.1439154279785728</v>
      </c>
      <c r="R501">
        <f t="shared" ca="1" si="157"/>
        <v>1.0074330456668208</v>
      </c>
      <c r="S501">
        <f t="shared" ca="1" si="154"/>
        <v>1.1354753875692198</v>
      </c>
      <c r="T501">
        <f t="shared" ca="1" si="155"/>
        <v>53.172019409772489</v>
      </c>
      <c r="U501">
        <f>70</f>
        <v>70</v>
      </c>
      <c r="V501">
        <f>30</f>
        <v>30</v>
      </c>
      <c r="W501">
        <f t="shared" ca="1" si="153"/>
        <v>304.7375803525025</v>
      </c>
      <c r="X501">
        <f t="shared" ca="1" si="163"/>
        <v>304.08784012944676</v>
      </c>
      <c r="Y501">
        <f t="shared" ca="1" si="162"/>
        <v>0.38721744337050268</v>
      </c>
      <c r="Z501">
        <f t="shared" ca="1" si="164"/>
        <v>1.0079230251934452</v>
      </c>
      <c r="AA501">
        <f t="shared" ca="1" si="165"/>
        <v>-0.62070558182294255</v>
      </c>
      <c r="AB501">
        <f t="shared" ca="1" si="166"/>
        <v>281.77249999999992</v>
      </c>
    </row>
    <row r="502" spans="1:28" x14ac:dyDescent="0.25">
      <c r="A502" s="20">
        <f t="shared" ca="1" si="146"/>
        <v>46020</v>
      </c>
      <c r="B502" vm="1494">
        <f ca="1"/>
        <v>46021</v>
      </c>
      <c r="C502" vm="1495">
        <f ca="1"/>
        <v>302.05</v>
      </c>
      <c r="D502" vm="1496">
        <f ca="1"/>
        <v>1883651</v>
      </c>
      <c r="E502">
        <f t="shared" ca="1" si="147"/>
        <v>568956784.55000007</v>
      </c>
      <c r="F502">
        <f ca="1">SUM($E$2:E502)/SUM($D$2:D502)</f>
        <v>231.79527101114746</v>
      </c>
      <c r="G502">
        <f ca="1">_xlfn.STDEV.P($C$2:C502)</f>
        <v>43.27398965634022</v>
      </c>
      <c r="H502">
        <f t="shared" ca="1" si="148"/>
        <v>275.0692606674877</v>
      </c>
      <c r="I502">
        <f t="shared" ca="1" si="149"/>
        <v>188.52128135480723</v>
      </c>
      <c r="J502">
        <f t="shared" ca="1" si="158"/>
        <v>305.66199999999998</v>
      </c>
      <c r="K502">
        <f t="shared" ca="1" si="159"/>
        <v>3.6586316107471029</v>
      </c>
      <c r="L502">
        <f t="shared" ca="1" si="160"/>
        <v>312.97926322149419</v>
      </c>
      <c r="M502">
        <f t="shared" ca="1" si="161"/>
        <v>298.34473677850576</v>
      </c>
      <c r="N502">
        <f t="shared" ca="1" si="150"/>
        <v>-3.6899999999999977</v>
      </c>
      <c r="O502">
        <f t="shared" ca="1" si="151"/>
        <v>0</v>
      </c>
      <c r="P502">
        <f t="shared" ca="1" si="152"/>
        <v>3.6899999999999977</v>
      </c>
      <c r="Q502">
        <f t="shared" ca="1" si="156"/>
        <v>1.0622071831229605</v>
      </c>
      <c r="R502">
        <f t="shared" ca="1" si="157"/>
        <v>1.1990449709763333</v>
      </c>
      <c r="S502">
        <f t="shared" ca="1" si="154"/>
        <v>0.88587768501964403</v>
      </c>
      <c r="T502">
        <f t="shared" ca="1" si="155"/>
        <v>46.974291708129329</v>
      </c>
      <c r="U502">
        <f>70</f>
        <v>70</v>
      </c>
      <c r="V502">
        <f>30</f>
        <v>30</v>
      </c>
      <c r="W502">
        <f t="shared" ca="1" si="153"/>
        <v>304.32410645211752</v>
      </c>
      <c r="X502">
        <f t="shared" ca="1" si="163"/>
        <v>303.93688900874702</v>
      </c>
      <c r="Y502">
        <f t="shared" ca="1" si="162"/>
        <v>-0.28874447738996878</v>
      </c>
      <c r="Z502">
        <f t="shared" ca="1" si="164"/>
        <v>0.74858952467676243</v>
      </c>
      <c r="AA502">
        <f t="shared" ca="1" si="165"/>
        <v>-1.0373340020667312</v>
      </c>
      <c r="AB502">
        <f t="shared" ca="1" si="166"/>
        <v>282.2913999999999</v>
      </c>
    </row>
    <row r="503" spans="1:28" x14ac:dyDescent="0.25">
      <c r="A503" s="20">
        <f t="shared" ca="1" si="146"/>
        <v>46020</v>
      </c>
      <c r="B503" vm="1497">
        <f ca="1"/>
        <v>46022</v>
      </c>
      <c r="C503" vm="1498">
        <f ca="1"/>
        <v>296.20999999999998</v>
      </c>
      <c r="D503" vm="1499">
        <f ca="1"/>
        <v>3430133</v>
      </c>
      <c r="E503">
        <f t="shared" ca="1" si="147"/>
        <v>1016039695.9299999</v>
      </c>
      <c r="F503">
        <f ca="1">SUM($E$2:E503)/SUM($D$2:D503)</f>
        <v>231.89343892262625</v>
      </c>
      <c r="G503">
        <f ca="1">_xlfn.STDEV.P($C$2:C503)</f>
        <v>43.332032277960721</v>
      </c>
      <c r="H503">
        <f t="shared" ca="1" si="148"/>
        <v>275.22547120058698</v>
      </c>
      <c r="I503">
        <f t="shared" ca="1" si="149"/>
        <v>188.56140664466551</v>
      </c>
      <c r="J503">
        <f t="shared" ca="1" si="158"/>
        <v>305.38350000000003</v>
      </c>
      <c r="K503">
        <f t="shared" ca="1" si="159"/>
        <v>4.14884419542296</v>
      </c>
      <c r="L503">
        <f t="shared" ca="1" si="160"/>
        <v>313.68118839084593</v>
      </c>
      <c r="M503">
        <f t="shared" ca="1" si="161"/>
        <v>297.08581160915412</v>
      </c>
      <c r="N503">
        <f t="shared" ca="1" si="150"/>
        <v>-5.8400000000000318</v>
      </c>
      <c r="O503">
        <f t="shared" ca="1" si="151"/>
        <v>0</v>
      </c>
      <c r="P503">
        <f t="shared" ca="1" si="152"/>
        <v>5.8400000000000318</v>
      </c>
      <c r="Q503">
        <f t="shared" ca="1" si="156"/>
        <v>0.98633524147132046</v>
      </c>
      <c r="R503">
        <f t="shared" ca="1" si="157"/>
        <v>1.5305417587637404</v>
      </c>
      <c r="S503">
        <f t="shared" ca="1" si="154"/>
        <v>0.64443536794971856</v>
      </c>
      <c r="T503">
        <f t="shared" ca="1" si="155"/>
        <v>39.188853542672241</v>
      </c>
      <c r="U503">
        <f>70</f>
        <v>70</v>
      </c>
      <c r="V503">
        <f>30</f>
        <v>30</v>
      </c>
      <c r="W503">
        <f t="shared" ca="1" si="153"/>
        <v>303.07578238256099</v>
      </c>
      <c r="X503">
        <f t="shared" ca="1" si="163"/>
        <v>303.36452685995096</v>
      </c>
      <c r="Y503">
        <f t="shared" ca="1" si="162"/>
        <v>-1.1907802332291908</v>
      </c>
      <c r="Z503">
        <f t="shared" ca="1" si="164"/>
        <v>0.36071557309557184</v>
      </c>
      <c r="AA503">
        <f t="shared" ca="1" si="165"/>
        <v>-1.5514958063247626</v>
      </c>
      <c r="AB503">
        <f t="shared" ca="1" si="166"/>
        <v>282.8307999999999</v>
      </c>
    </row>
    <row r="504" spans="1:28" x14ac:dyDescent="0.25">
      <c r="A504" s="20">
        <f t="shared" ca="1" si="146"/>
        <v>46020</v>
      </c>
      <c r="B504" vm="1500">
        <f ca="1"/>
        <v>46024</v>
      </c>
      <c r="C504" vm="1501">
        <f ca="1"/>
        <v>291.5</v>
      </c>
      <c r="D504" vm="1502">
        <f ca="1"/>
        <v>4662804</v>
      </c>
      <c r="E504">
        <f t="shared" ca="1" si="147"/>
        <v>1359207366</v>
      </c>
      <c r="F504">
        <f ca="1">SUM($E$2:E504)/SUM($D$2:D504)</f>
        <v>232.01666875296328</v>
      </c>
      <c r="G504">
        <f ca="1">_xlfn.STDEV.P($C$2:C504)</f>
        <v>43.375605372807051</v>
      </c>
      <c r="H504">
        <f t="shared" ca="1" si="148"/>
        <v>275.39227412577031</v>
      </c>
      <c r="I504">
        <f t="shared" ca="1" si="149"/>
        <v>188.64106338015623</v>
      </c>
      <c r="J504">
        <f t="shared" ca="1" si="158"/>
        <v>304.82749999999999</v>
      </c>
      <c r="K504">
        <f t="shared" ca="1" si="159"/>
        <v>5.1604629280306824</v>
      </c>
      <c r="L504">
        <f t="shared" ca="1" si="160"/>
        <v>315.14842585606135</v>
      </c>
      <c r="M504">
        <f t="shared" ca="1" si="161"/>
        <v>294.50657414393862</v>
      </c>
      <c r="N504">
        <f t="shared" ca="1" si="150"/>
        <v>-4.7099999999999795</v>
      </c>
      <c r="O504">
        <f t="shared" ca="1" si="151"/>
        <v>0</v>
      </c>
      <c r="P504">
        <f t="shared" ca="1" si="152"/>
        <v>4.7099999999999795</v>
      </c>
      <c r="Q504">
        <f t="shared" ca="1" si="156"/>
        <v>0.91588272422336903</v>
      </c>
      <c r="R504">
        <f t="shared" ca="1" si="157"/>
        <v>1.7576459188520432</v>
      </c>
      <c r="S504">
        <f t="shared" ca="1" si="154"/>
        <v>0.52108488655186702</v>
      </c>
      <c r="T504">
        <f t="shared" ca="1" si="155"/>
        <v>34.257449479569118</v>
      </c>
      <c r="U504">
        <f>70</f>
        <v>70</v>
      </c>
      <c r="V504">
        <f>30</f>
        <v>30</v>
      </c>
      <c r="W504">
        <f t="shared" ca="1" si="153"/>
        <v>301.29489278524392</v>
      </c>
      <c r="X504">
        <f t="shared" ca="1" si="163"/>
        <v>302.48567301847311</v>
      </c>
      <c r="Y504">
        <f t="shared" ca="1" si="162"/>
        <v>-1.607124141841382</v>
      </c>
      <c r="Z504">
        <f t="shared" ca="1" si="164"/>
        <v>-3.2852369891818944E-2</v>
      </c>
      <c r="AA504">
        <f t="shared" ca="1" si="165"/>
        <v>-1.5742717719495629</v>
      </c>
      <c r="AB504">
        <f t="shared" ca="1" si="166"/>
        <v>283.38279999999986</v>
      </c>
    </row>
    <row r="505" spans="1:28" x14ac:dyDescent="0.25">
      <c r="A505" s="20">
        <f t="shared" ca="1" si="146"/>
        <v>46027</v>
      </c>
      <c r="B505" vm="1503">
        <f ca="1"/>
        <v>46027</v>
      </c>
      <c r="C505" vm="1504">
        <f ca="1"/>
        <v>294.97000000000003</v>
      </c>
      <c r="D505" vm="1505">
        <f ca="1"/>
        <v>4189960</v>
      </c>
      <c r="E505">
        <f t="shared" ca="1" si="147"/>
        <v>1235912501.2</v>
      </c>
      <c r="F505">
        <f ca="1">SUM($E$2:E505)/SUM($D$2:D505)</f>
        <v>232.13340269722553</v>
      </c>
      <c r="G505">
        <f ca="1">_xlfn.STDEV.P($C$2:C505)</f>
        <v>43.428610641658956</v>
      </c>
      <c r="H505">
        <f t="shared" ca="1" si="148"/>
        <v>275.56201333888447</v>
      </c>
      <c r="I505">
        <f t="shared" ca="1" si="149"/>
        <v>188.70479205556657</v>
      </c>
      <c r="J505">
        <f t="shared" ca="1" si="158"/>
        <v>304.17650000000003</v>
      </c>
      <c r="K505">
        <f t="shared" ca="1" si="159"/>
        <v>5.5472613204981398</v>
      </c>
      <c r="L505">
        <f t="shared" ca="1" si="160"/>
        <v>315.27102264099631</v>
      </c>
      <c r="M505">
        <f t="shared" ca="1" si="161"/>
        <v>293.08197735900376</v>
      </c>
      <c r="N505">
        <f t="shared" ca="1" si="150"/>
        <v>3.4700000000000273</v>
      </c>
      <c r="O505">
        <f t="shared" ca="1" si="151"/>
        <v>3.4700000000000273</v>
      </c>
      <c r="P505">
        <f t="shared" ca="1" si="152"/>
        <v>0</v>
      </c>
      <c r="Q505">
        <f t="shared" ca="1" si="156"/>
        <v>1.0983196724931303</v>
      </c>
      <c r="R505">
        <f t="shared" ca="1" si="157"/>
        <v>1.6320997817911831</v>
      </c>
      <c r="S505">
        <f t="shared" ca="1" si="154"/>
        <v>0.67294885076680533</v>
      </c>
      <c r="T505">
        <f t="shared" ca="1" si="155"/>
        <v>40.22530936665251</v>
      </c>
      <c r="U505">
        <f>70</f>
        <v>70</v>
      </c>
      <c r="V505">
        <f>30</f>
        <v>30</v>
      </c>
      <c r="W505">
        <f t="shared" ca="1" si="153"/>
        <v>300.32183235674484</v>
      </c>
      <c r="X505">
        <f t="shared" ca="1" si="163"/>
        <v>301.92895649858622</v>
      </c>
      <c r="Y505">
        <f t="shared" ca="1" si="162"/>
        <v>-1.3167141085108369</v>
      </c>
      <c r="Z505">
        <f t="shared" ca="1" si="164"/>
        <v>-0.28962471761562253</v>
      </c>
      <c r="AA505">
        <f t="shared" ca="1" si="165"/>
        <v>-1.0270893908952143</v>
      </c>
      <c r="AB505">
        <f t="shared" ca="1" si="166"/>
        <v>283.98479999999995</v>
      </c>
    </row>
    <row r="506" spans="1:28" x14ac:dyDescent="0.25">
      <c r="A506" s="20">
        <f t="shared" ca="1" si="146"/>
        <v>46027</v>
      </c>
      <c r="B506" vm="1506">
        <f ca="1"/>
        <v>46028</v>
      </c>
      <c r="C506" vm="1507">
        <f ca="1"/>
        <v>302.47000000000003</v>
      </c>
      <c r="D506" vm="1508">
        <f ca="1"/>
        <v>4147315</v>
      </c>
      <c r="E506">
        <f t="shared" ca="1" si="147"/>
        <v>1254438368.0500002</v>
      </c>
      <c r="F506">
        <f ca="1">SUM($E$2:E506)/SUM($D$2:D506)</f>
        <v>232.26226341951224</v>
      </c>
      <c r="G506">
        <f ca="1">_xlfn.STDEV.P($C$2:C506)</f>
        <v>43.504306085378211</v>
      </c>
      <c r="H506">
        <f t="shared" ca="1" si="148"/>
        <v>275.76656950489047</v>
      </c>
      <c r="I506">
        <f t="shared" ca="1" si="149"/>
        <v>188.75795733413403</v>
      </c>
      <c r="J506">
        <f t="shared" ca="1" si="158"/>
        <v>303.90300000000002</v>
      </c>
      <c r="K506">
        <f t="shared" ca="1" si="159"/>
        <v>5.4864532690695773</v>
      </c>
      <c r="L506">
        <f t="shared" ca="1" si="160"/>
        <v>314.87590653813919</v>
      </c>
      <c r="M506">
        <f t="shared" ca="1" si="161"/>
        <v>292.93009346186085</v>
      </c>
      <c r="N506">
        <f t="shared" ca="1" si="150"/>
        <v>7.5</v>
      </c>
      <c r="O506">
        <f t="shared" ca="1" si="151"/>
        <v>7.5</v>
      </c>
      <c r="P506">
        <f t="shared" ca="1" si="152"/>
        <v>0</v>
      </c>
      <c r="Q506">
        <f t="shared" ca="1" si="156"/>
        <v>1.5555825530293355</v>
      </c>
      <c r="R506">
        <f t="shared" ca="1" si="157"/>
        <v>1.5155212259489557</v>
      </c>
      <c r="S506">
        <f t="shared" ca="1" si="154"/>
        <v>1.0264340257295275</v>
      </c>
      <c r="T506">
        <f t="shared" ca="1" si="155"/>
        <v>50.652230109490269</v>
      </c>
      <c r="U506">
        <f>70</f>
        <v>70</v>
      </c>
      <c r="V506">
        <f>30</f>
        <v>30</v>
      </c>
      <c r="W506">
        <f t="shared" ca="1" si="153"/>
        <v>300.6523196864764</v>
      </c>
      <c r="X506">
        <f t="shared" ca="1" si="163"/>
        <v>301.96903379498724</v>
      </c>
      <c r="Y506">
        <f t="shared" ca="1" si="162"/>
        <v>-1.5320713290238928</v>
      </c>
      <c r="Z506">
        <f t="shared" ca="1" si="164"/>
        <v>-0.53811403989727657</v>
      </c>
      <c r="AA506">
        <f t="shared" ca="1" si="165"/>
        <v>-0.99395728912661618</v>
      </c>
      <c r="AB506">
        <f t="shared" ca="1" si="166"/>
        <v>284.60879999999992</v>
      </c>
    </row>
    <row r="507" spans="1:28" x14ac:dyDescent="0.25">
      <c r="A507" s="20">
        <f t="shared" ca="1" si="146"/>
        <v>46027</v>
      </c>
      <c r="B507" vm="1509">
        <f ca="1"/>
        <v>46029</v>
      </c>
      <c r="C507" vm="1510">
        <f ca="1"/>
        <v>296.73</v>
      </c>
      <c r="D507" vm="1511">
        <f ca="1"/>
        <v>2833274</v>
      </c>
      <c r="E507">
        <f t="shared" ca="1" si="147"/>
        <v>840717394.0200001</v>
      </c>
      <c r="F507">
        <f ca="1">SUM($E$2:E507)/SUM($D$2:D507)</f>
        <v>232.34284948755842</v>
      </c>
      <c r="G507">
        <f ca="1">_xlfn.STDEV.P($C$2:C507)</f>
        <v>43.561114958985449</v>
      </c>
      <c r="H507">
        <f t="shared" ca="1" si="148"/>
        <v>275.90396444654385</v>
      </c>
      <c r="I507">
        <f t="shared" ca="1" si="149"/>
        <v>188.78173452857297</v>
      </c>
      <c r="J507">
        <f t="shared" ca="1" si="158"/>
        <v>303.28050000000002</v>
      </c>
      <c r="K507">
        <f t="shared" ca="1" si="159"/>
        <v>5.5619822999775161</v>
      </c>
      <c r="L507">
        <f t="shared" ca="1" si="160"/>
        <v>314.40446459995508</v>
      </c>
      <c r="M507">
        <f t="shared" ca="1" si="161"/>
        <v>292.15653540004496</v>
      </c>
      <c r="N507">
        <f t="shared" ca="1" si="150"/>
        <v>-5.7400000000000091</v>
      </c>
      <c r="O507">
        <f t="shared" ca="1" si="151"/>
        <v>0</v>
      </c>
      <c r="P507">
        <f t="shared" ca="1" si="152"/>
        <v>5.7400000000000091</v>
      </c>
      <c r="Q507">
        <f t="shared" ca="1" si="156"/>
        <v>1.4444695135272401</v>
      </c>
      <c r="R507">
        <f t="shared" ca="1" si="157"/>
        <v>1.8172697098097452</v>
      </c>
      <c r="S507">
        <f t="shared" ca="1" si="154"/>
        <v>0.79485698007835359</v>
      </c>
      <c r="T507">
        <f t="shared" ca="1" si="155"/>
        <v>44.285254418636434</v>
      </c>
      <c r="U507">
        <f>70</f>
        <v>70</v>
      </c>
      <c r="V507">
        <f>30</f>
        <v>30</v>
      </c>
      <c r="W507">
        <f t="shared" ca="1" si="153"/>
        <v>300.04888588855692</v>
      </c>
      <c r="X507">
        <f t="shared" ca="1" si="163"/>
        <v>301.58095721758082</v>
      </c>
      <c r="Y507">
        <f t="shared" ca="1" si="162"/>
        <v>-1.2055042359327217</v>
      </c>
      <c r="Z507">
        <f t="shared" ca="1" si="164"/>
        <v>-0.67159207910436569</v>
      </c>
      <c r="AA507">
        <f t="shared" ca="1" si="165"/>
        <v>-0.53391215682835602</v>
      </c>
      <c r="AB507">
        <f t="shared" ca="1" si="166"/>
        <v>285.20499999999998</v>
      </c>
    </row>
    <row r="508" spans="1:28" x14ac:dyDescent="0.25">
      <c r="A508" s="20">
        <f t="shared" ca="1" si="146"/>
        <v>46027</v>
      </c>
      <c r="B508" vm="1512">
        <f ca="1"/>
        <v>46030</v>
      </c>
      <c r="C508" vm="1513">
        <f ca="1"/>
        <v>302.72000000000003</v>
      </c>
      <c r="D508" vm="1514">
        <f ca="1"/>
        <v>3343273</v>
      </c>
      <c r="E508">
        <f t="shared" ca="1" si="147"/>
        <v>1012075602.5600001</v>
      </c>
      <c r="F508">
        <f ca="1">SUM($E$2:E508)/SUM($D$2:D508)</f>
        <v>232.446504990146</v>
      </c>
      <c r="G508">
        <f ca="1">_xlfn.STDEV.P($C$2:C508)</f>
        <v>43.635944627740962</v>
      </c>
      <c r="H508">
        <f t="shared" ca="1" si="148"/>
        <v>276.08244961788694</v>
      </c>
      <c r="I508">
        <f t="shared" ca="1" si="149"/>
        <v>188.81056036240503</v>
      </c>
      <c r="J508">
        <f t="shared" ca="1" si="158"/>
        <v>302.89250000000004</v>
      </c>
      <c r="K508">
        <f t="shared" ca="1" si="159"/>
        <v>5.2977044432868343</v>
      </c>
      <c r="L508">
        <f t="shared" ca="1" si="160"/>
        <v>313.48790888657373</v>
      </c>
      <c r="M508">
        <f t="shared" ca="1" si="161"/>
        <v>292.29709111342635</v>
      </c>
      <c r="N508">
        <f t="shared" ca="1" si="150"/>
        <v>5.9900000000000091</v>
      </c>
      <c r="O508">
        <f t="shared" ca="1" si="151"/>
        <v>5.9900000000000091</v>
      </c>
      <c r="P508">
        <f t="shared" ca="1" si="152"/>
        <v>0</v>
      </c>
      <c r="Q508">
        <f t="shared" ca="1" si="156"/>
        <v>1.7691502625610092</v>
      </c>
      <c r="R508">
        <f t="shared" ca="1" si="157"/>
        <v>1.6874647305376205</v>
      </c>
      <c r="S508">
        <f t="shared" ca="1" si="154"/>
        <v>1.0484072529310666</v>
      </c>
      <c r="T508">
        <f t="shared" ca="1" si="155"/>
        <v>51.181582736094114</v>
      </c>
      <c r="U508">
        <f>70</f>
        <v>70</v>
      </c>
      <c r="V508">
        <f>30</f>
        <v>30</v>
      </c>
      <c r="W508">
        <f t="shared" ca="1" si="153"/>
        <v>300.4598265210866</v>
      </c>
      <c r="X508">
        <f t="shared" ca="1" si="163"/>
        <v>301.66533075701932</v>
      </c>
      <c r="Y508">
        <f t="shared" ca="1" si="162"/>
        <v>-0.81625076714686884</v>
      </c>
      <c r="Z508">
        <f t="shared" ca="1" si="164"/>
        <v>-0.70052381671286634</v>
      </c>
      <c r="AA508">
        <f t="shared" ca="1" si="165"/>
        <v>-0.1157269504340025</v>
      </c>
      <c r="AB508">
        <f t="shared" ca="1" si="166"/>
        <v>285.83499999999992</v>
      </c>
    </row>
    <row r="509" spans="1:28" x14ac:dyDescent="0.25">
      <c r="A509" s="20">
        <f t="shared" ca="1" si="146"/>
        <v>46027</v>
      </c>
      <c r="B509" vm="1515">
        <f ca="1"/>
        <v>46031</v>
      </c>
      <c r="C509" vm="1516">
        <f ca="1"/>
        <v>304.22000000000003</v>
      </c>
      <c r="D509" vm="1517">
        <f ca="1"/>
        <v>2718828</v>
      </c>
      <c r="E509">
        <f t="shared" ca="1" si="147"/>
        <v>827121854.16000009</v>
      </c>
      <c r="F509">
        <f ca="1">SUM($E$2:E509)/SUM($D$2:D509)</f>
        <v>232.53236971850026</v>
      </c>
      <c r="G509">
        <f ca="1">_xlfn.STDEV.P($C$2:C509)</f>
        <v>43.714800764899856</v>
      </c>
      <c r="H509">
        <f t="shared" ca="1" si="148"/>
        <v>276.24717048340011</v>
      </c>
      <c r="I509">
        <f t="shared" ca="1" si="149"/>
        <v>188.81756895360041</v>
      </c>
      <c r="J509">
        <f t="shared" ca="1" si="158"/>
        <v>302.47000000000008</v>
      </c>
      <c r="K509">
        <f t="shared" ca="1" si="159"/>
        <v>4.7894643146235714</v>
      </c>
      <c r="L509">
        <f t="shared" ca="1" si="160"/>
        <v>312.0489286292472</v>
      </c>
      <c r="M509">
        <f t="shared" ca="1" si="161"/>
        <v>292.89107137075297</v>
      </c>
      <c r="N509">
        <f t="shared" ca="1" si="150"/>
        <v>1.5</v>
      </c>
      <c r="O509">
        <f t="shared" ca="1" si="151"/>
        <v>1.5</v>
      </c>
      <c r="P509">
        <f t="shared" ca="1" si="152"/>
        <v>0</v>
      </c>
      <c r="Q509">
        <f t="shared" ca="1" si="156"/>
        <v>1.7499252438066513</v>
      </c>
      <c r="R509">
        <f t="shared" ca="1" si="157"/>
        <v>1.566931535499219</v>
      </c>
      <c r="S509">
        <f t="shared" ca="1" si="154"/>
        <v>1.116784750425698</v>
      </c>
      <c r="T509">
        <f t="shared" ca="1" si="155"/>
        <v>52.758540999556331</v>
      </c>
      <c r="U509">
        <f>70</f>
        <v>70</v>
      </c>
      <c r="V509">
        <f>30</f>
        <v>30</v>
      </c>
      <c r="W509">
        <f t="shared" ca="1" si="153"/>
        <v>301.03831474861175</v>
      </c>
      <c r="X509">
        <f t="shared" ca="1" si="163"/>
        <v>301.85456551575862</v>
      </c>
      <c r="Y509">
        <f t="shared" ca="1" si="162"/>
        <v>0.13300765731094089</v>
      </c>
      <c r="Z509">
        <f t="shared" ca="1" si="164"/>
        <v>-0.53381752190810494</v>
      </c>
      <c r="AA509">
        <f t="shared" ca="1" si="165"/>
        <v>0.66682517921904583</v>
      </c>
      <c r="AB509">
        <f t="shared" ca="1" si="166"/>
        <v>286.48269999999991</v>
      </c>
    </row>
    <row r="510" spans="1:28" x14ac:dyDescent="0.25">
      <c r="A510" s="20">
        <f t="shared" ca="1" si="146"/>
        <v>46034</v>
      </c>
      <c r="B510" vm="1518">
        <f ca="1"/>
        <v>46034</v>
      </c>
      <c r="C510" vm="1519">
        <f ca="1"/>
        <v>312.18</v>
      </c>
      <c r="D510" vm="1520">
        <f ca="1"/>
        <v>3895197</v>
      </c>
      <c r="E510">
        <f t="shared" ca="1" si="147"/>
        <v>1216002599.46</v>
      </c>
      <c r="F510">
        <f ca="1">SUM($E$2:E510)/SUM($D$2:D510)</f>
        <v>232.66864827835633</v>
      </c>
      <c r="G510">
        <f ca="1">_xlfn.STDEV.P($C$2:C510)</f>
        <v>43.820311629721353</v>
      </c>
      <c r="H510">
        <f t="shared" ca="1" si="148"/>
        <v>276.48895990807767</v>
      </c>
      <c r="I510">
        <f t="shared" ca="1" si="149"/>
        <v>188.84833664863498</v>
      </c>
      <c r="J510">
        <f t="shared" ca="1" si="158"/>
        <v>302.54200000000009</v>
      </c>
      <c r="K510">
        <f t="shared" ca="1" si="159"/>
        <v>4.9291182087458081</v>
      </c>
      <c r="L510">
        <f t="shared" ca="1" si="160"/>
        <v>312.40023641749173</v>
      </c>
      <c r="M510">
        <f t="shared" ca="1" si="161"/>
        <v>292.68376358250845</v>
      </c>
      <c r="N510">
        <f t="shared" ca="1" si="150"/>
        <v>7.9599999999999795</v>
      </c>
      <c r="O510">
        <f t="shared" ca="1" si="151"/>
        <v>7.9599999999999795</v>
      </c>
      <c r="P510">
        <f t="shared" ca="1" si="152"/>
        <v>0</v>
      </c>
      <c r="Q510">
        <f t="shared" ca="1" si="156"/>
        <v>2.1935020121061748</v>
      </c>
      <c r="R510">
        <f t="shared" ca="1" si="157"/>
        <v>1.4550078543921321</v>
      </c>
      <c r="S510">
        <f t="shared" ca="1" si="154"/>
        <v>1.5075533822616842</v>
      </c>
      <c r="T510">
        <f t="shared" ca="1" si="155"/>
        <v>60.120490073154436</v>
      </c>
      <c r="U510">
        <f>70</f>
        <v>70</v>
      </c>
      <c r="V510">
        <f>30</f>
        <v>30</v>
      </c>
      <c r="W510">
        <f t="shared" ca="1" si="153"/>
        <v>302.75242017190226</v>
      </c>
      <c r="X510">
        <f t="shared" ca="1" si="163"/>
        <v>302.61941251459132</v>
      </c>
      <c r="Y510">
        <f t="shared" ca="1" si="162"/>
        <v>0.15566872881140625</v>
      </c>
      <c r="Z510">
        <f t="shared" ca="1" si="164"/>
        <v>-0.39592027176420275</v>
      </c>
      <c r="AA510">
        <f t="shared" ca="1" si="165"/>
        <v>0.551589000575609</v>
      </c>
      <c r="AB510">
        <f t="shared" ca="1" si="166"/>
        <v>287.19169999999997</v>
      </c>
    </row>
    <row r="511" spans="1:28" x14ac:dyDescent="0.25">
      <c r="A511" s="20">
        <f t="shared" ca="1" si="146"/>
        <v>46034</v>
      </c>
      <c r="B511" vm="1521">
        <f ca="1"/>
        <v>46035</v>
      </c>
      <c r="C511" vm="1522">
        <f ca="1"/>
        <v>303.16000000000003</v>
      </c>
      <c r="D511" vm="1523">
        <f ca="1"/>
        <v>4507760</v>
      </c>
      <c r="E511">
        <f t="shared" ca="1" si="147"/>
        <v>1366572521.6000001</v>
      </c>
      <c r="F511">
        <f ca="1">SUM($E$2:E511)/SUM($D$2:D511)</f>
        <v>232.80795201930229</v>
      </c>
      <c r="G511">
        <f ca="1">_xlfn.STDEV.P($C$2:C511)</f>
        <v>43.893734517119519</v>
      </c>
      <c r="H511">
        <f t="shared" ca="1" si="148"/>
        <v>276.70168653642179</v>
      </c>
      <c r="I511">
        <f t="shared" ca="1" si="149"/>
        <v>188.91421750218277</v>
      </c>
      <c r="J511">
        <f t="shared" ca="1" si="158"/>
        <v>302.23800000000011</v>
      </c>
      <c r="K511">
        <f t="shared" ca="1" si="159"/>
        <v>4.6752332899855897</v>
      </c>
      <c r="L511">
        <f t="shared" ca="1" si="160"/>
        <v>311.58846657997128</v>
      </c>
      <c r="M511">
        <f t="shared" ca="1" si="161"/>
        <v>292.88753342002894</v>
      </c>
      <c r="N511">
        <f t="shared" ca="1" si="150"/>
        <v>-9.0199999999999818</v>
      </c>
      <c r="O511">
        <f t="shared" ca="1" si="151"/>
        <v>0</v>
      </c>
      <c r="P511">
        <f t="shared" ca="1" si="152"/>
        <v>9.0199999999999818</v>
      </c>
      <c r="Q511">
        <f t="shared" ca="1" si="156"/>
        <v>2.0368232969557338</v>
      </c>
      <c r="R511">
        <f t="shared" ca="1" si="157"/>
        <v>1.9953644362212641</v>
      </c>
      <c r="S511">
        <f t="shared" ca="1" si="154"/>
        <v>1.0207775882850667</v>
      </c>
      <c r="T511">
        <f t="shared" ca="1" si="155"/>
        <v>50.51409884010787</v>
      </c>
      <c r="U511">
        <f>70</f>
        <v>70</v>
      </c>
      <c r="V511">
        <f>30</f>
        <v>30</v>
      </c>
      <c r="W511">
        <f t="shared" ca="1" si="153"/>
        <v>302.81512476084038</v>
      </c>
      <c r="X511">
        <f t="shared" ca="1" si="163"/>
        <v>302.65945603202897</v>
      </c>
      <c r="Y511">
        <f t="shared" ca="1" si="162"/>
        <v>0.63991123521412874</v>
      </c>
      <c r="Z511">
        <f t="shared" ca="1" si="164"/>
        <v>-0.18875397036853644</v>
      </c>
      <c r="AA511">
        <f t="shared" ca="1" si="165"/>
        <v>0.82866520558266521</v>
      </c>
      <c r="AB511">
        <f t="shared" ca="1" si="166"/>
        <v>287.79779999999994</v>
      </c>
    </row>
    <row r="512" spans="1:28" x14ac:dyDescent="0.25">
      <c r="A512" s="20">
        <f t="shared" ca="1" si="146"/>
        <v>46034</v>
      </c>
      <c r="B512" vm="1524">
        <f ca="1"/>
        <v>46036</v>
      </c>
      <c r="C512" vm="1525">
        <f ca="1"/>
        <v>309.02999999999997</v>
      </c>
      <c r="D512" vm="1526">
        <f ca="1"/>
        <v>3779045</v>
      </c>
      <c r="E512">
        <f t="shared" ca="1" si="147"/>
        <v>1167838276.3499999</v>
      </c>
      <c r="F512">
        <f ca="1">SUM($E$2:E512)/SUM($D$2:D512)</f>
        <v>232.9340214886291</v>
      </c>
      <c r="G512">
        <f ca="1">_xlfn.STDEV.P($C$2:C512)</f>
        <v>43.985849796315946</v>
      </c>
      <c r="H512">
        <f t="shared" ca="1" si="148"/>
        <v>276.91987128494503</v>
      </c>
      <c r="I512">
        <f t="shared" ca="1" si="149"/>
        <v>188.94817169231317</v>
      </c>
      <c r="J512">
        <f t="shared" ca="1" si="158"/>
        <v>302.25650000000007</v>
      </c>
      <c r="K512">
        <f t="shared" ca="1" si="159"/>
        <v>4.7026345079954321</v>
      </c>
      <c r="L512">
        <f t="shared" ca="1" si="160"/>
        <v>311.66176901599096</v>
      </c>
      <c r="M512">
        <f t="shared" ca="1" si="161"/>
        <v>292.85123098400919</v>
      </c>
      <c r="N512">
        <f t="shared" ca="1" si="150"/>
        <v>5.8699999999999477</v>
      </c>
      <c r="O512">
        <f t="shared" ca="1" si="151"/>
        <v>5.8699999999999477</v>
      </c>
      <c r="P512">
        <f t="shared" ca="1" si="152"/>
        <v>0</v>
      </c>
      <c r="Q512">
        <f t="shared" ca="1" si="156"/>
        <v>2.3106216328874636</v>
      </c>
      <c r="R512">
        <f t="shared" ca="1" si="157"/>
        <v>1.8528384050626023</v>
      </c>
      <c r="S512">
        <f t="shared" ca="1" si="154"/>
        <v>1.2470713185640137</v>
      </c>
      <c r="T512">
        <f t="shared" ca="1" si="155"/>
        <v>55.497629659611867</v>
      </c>
      <c r="U512">
        <f>70</f>
        <v>70</v>
      </c>
      <c r="V512">
        <f>30</f>
        <v>30</v>
      </c>
      <c r="W512">
        <f t="shared" ca="1" si="153"/>
        <v>303.77125941301875</v>
      </c>
      <c r="X512">
        <f t="shared" ca="1" si="163"/>
        <v>303.13134817780463</v>
      </c>
      <c r="Y512">
        <f t="shared" ca="1" si="162"/>
        <v>0.12813643270675357</v>
      </c>
      <c r="Z512">
        <f t="shared" ca="1" si="164"/>
        <v>-0.12537588975347846</v>
      </c>
      <c r="AA512">
        <f t="shared" ca="1" si="165"/>
        <v>0.25351232246023203</v>
      </c>
      <c r="AB512">
        <f t="shared" ca="1" si="166"/>
        <v>288.49409999999989</v>
      </c>
    </row>
    <row r="513" spans="1:28" x14ac:dyDescent="0.25">
      <c r="A513" s="20">
        <f t="shared" ca="1" si="146"/>
        <v>46034</v>
      </c>
      <c r="B513" vm="1527">
        <f ca="1"/>
        <v>46037</v>
      </c>
      <c r="C513" vm="1528">
        <f ca="1"/>
        <v>297.95</v>
      </c>
      <c r="D513" vm="1529">
        <f ca="1"/>
        <v>4932480</v>
      </c>
      <c r="E513">
        <f t="shared" ca="1" si="147"/>
        <v>1469632416</v>
      </c>
      <c r="F513">
        <f ca="1">SUM($E$2:E513)/SUM($D$2:D513)</f>
        <v>233.07407568930449</v>
      </c>
      <c r="G513">
        <f ca="1">_xlfn.STDEV.P($C$2:C513)</f>
        <v>44.041471014099663</v>
      </c>
      <c r="H513">
        <f t="shared" ca="1" si="148"/>
        <v>277.11554670340416</v>
      </c>
      <c r="I513">
        <f t="shared" ca="1" si="149"/>
        <v>189.03260467520482</v>
      </c>
      <c r="J513">
        <f t="shared" ca="1" si="158"/>
        <v>301.99500000000006</v>
      </c>
      <c r="K513">
        <f t="shared" ca="1" si="159"/>
        <v>4.7931206184653723</v>
      </c>
      <c r="L513">
        <f t="shared" ca="1" si="160"/>
        <v>311.58124123693079</v>
      </c>
      <c r="M513">
        <f t="shared" ca="1" si="161"/>
        <v>292.40875876306933</v>
      </c>
      <c r="N513">
        <f t="shared" ca="1" si="150"/>
        <v>-11.079999999999984</v>
      </c>
      <c r="O513">
        <f t="shared" ca="1" si="151"/>
        <v>0</v>
      </c>
      <c r="P513">
        <f t="shared" ca="1" si="152"/>
        <v>11.079999999999984</v>
      </c>
      <c r="Q513">
        <f t="shared" ca="1" si="156"/>
        <v>2.1455772305383589</v>
      </c>
      <c r="R513">
        <f t="shared" ca="1" si="157"/>
        <v>2.5119213761295578</v>
      </c>
      <c r="S513">
        <f t="shared" ca="1" si="154"/>
        <v>0.85415779766336764</v>
      </c>
      <c r="T513">
        <f t="shared" ca="1" si="155"/>
        <v>46.067157754306983</v>
      </c>
      <c r="U513">
        <f>70</f>
        <v>70</v>
      </c>
      <c r="V513">
        <f>30</f>
        <v>30</v>
      </c>
      <c r="W513">
        <f t="shared" ca="1" si="153"/>
        <v>302.87568104178513</v>
      </c>
      <c r="X513">
        <f t="shared" ca="1" si="163"/>
        <v>302.74754460907837</v>
      </c>
      <c r="Y513">
        <f t="shared" ca="1" si="162"/>
        <v>0.3415534799422062</v>
      </c>
      <c r="Z513">
        <f t="shared" ca="1" si="164"/>
        <v>-3.1990015814341535E-2</v>
      </c>
      <c r="AA513">
        <f t="shared" ca="1" si="165"/>
        <v>0.37354349575654772</v>
      </c>
      <c r="AB513">
        <f t="shared" ca="1" si="166"/>
        <v>289.05269999999996</v>
      </c>
    </row>
    <row r="514" spans="1:28" x14ac:dyDescent="0.25">
      <c r="A514" s="20">
        <f t="shared" ca="1" si="146"/>
        <v>46034</v>
      </c>
      <c r="B514" vm="1530">
        <f ca="1"/>
        <v>46038</v>
      </c>
      <c r="C514" vm="1435">
        <f ca="1"/>
        <v>305.67</v>
      </c>
      <c r="D514" vm="1531">
        <f ca="1"/>
        <v>6199635</v>
      </c>
      <c r="E514">
        <f t="shared" ca="1" si="147"/>
        <v>1895042430.45</v>
      </c>
      <c r="F514">
        <f ca="1">SUM($E$2:E514)/SUM($D$2:D514)</f>
        <v>233.27010218566369</v>
      </c>
      <c r="G514">
        <f ca="1">_xlfn.STDEV.P($C$2:C514)</f>
        <v>44.120408571552332</v>
      </c>
      <c r="H514">
        <f t="shared" ca="1" si="148"/>
        <v>277.39051075721602</v>
      </c>
      <c r="I514">
        <f t="shared" ca="1" si="149"/>
        <v>189.14969361411136</v>
      </c>
      <c r="J514">
        <f t="shared" ca="1" si="158"/>
        <v>302.11250000000001</v>
      </c>
      <c r="K514">
        <f t="shared" ca="1" si="159"/>
        <v>4.855707303890199</v>
      </c>
      <c r="L514">
        <f t="shared" ca="1" si="160"/>
        <v>311.82391460778041</v>
      </c>
      <c r="M514">
        <f t="shared" ca="1" si="161"/>
        <v>292.40108539221961</v>
      </c>
      <c r="N514">
        <f t="shared" ca="1" si="150"/>
        <v>7.7200000000000273</v>
      </c>
      <c r="O514">
        <f t="shared" ca="1" si="151"/>
        <v>7.7200000000000273</v>
      </c>
      <c r="P514">
        <f t="shared" ca="1" si="152"/>
        <v>0</v>
      </c>
      <c r="Q514">
        <f t="shared" ca="1" si="156"/>
        <v>2.543750285499907</v>
      </c>
      <c r="R514">
        <f t="shared" ca="1" si="157"/>
        <v>2.3324984206917323</v>
      </c>
      <c r="S514">
        <f t="shared" ca="1" si="154"/>
        <v>1.0905689208336207</v>
      </c>
      <c r="T514">
        <f t="shared" ca="1" si="155"/>
        <v>52.16613094959591</v>
      </c>
      <c r="U514">
        <f>70</f>
        <v>70</v>
      </c>
      <c r="V514">
        <f>30</f>
        <v>30</v>
      </c>
      <c r="W514">
        <f t="shared" ca="1" si="153"/>
        <v>303.30557626612591</v>
      </c>
      <c r="X514">
        <f t="shared" ca="1" si="163"/>
        <v>302.9640227861837</v>
      </c>
      <c r="Y514">
        <f t="shared" ca="1" si="162"/>
        <v>-0.63746796145392182</v>
      </c>
      <c r="Z514">
        <f t="shared" ca="1" si="164"/>
        <v>-0.15308560494225759</v>
      </c>
      <c r="AA514">
        <f t="shared" ca="1" si="165"/>
        <v>-0.48438235651166422</v>
      </c>
      <c r="AB514">
        <f t="shared" ca="1" si="166"/>
        <v>289.71509999999989</v>
      </c>
    </row>
    <row r="515" spans="1:28" x14ac:dyDescent="0.25">
      <c r="A515" s="20">
        <f t="shared" ref="A515:A529" ca="1" si="167">B515 - WEEKDAY(B515, 2) + 1</f>
        <v>46041</v>
      </c>
      <c r="B515" vm="1532">
        <f ca="1"/>
        <v>46042</v>
      </c>
      <c r="C515" vm="1533">
        <f ca="1"/>
        <v>291.35000000000002</v>
      </c>
      <c r="D515" vm="1534">
        <f ca="1"/>
        <v>7275490</v>
      </c>
      <c r="E515">
        <f t="shared" ref="E515:E523" ca="1" si="168">C515*D515</f>
        <v>2119714011.5000002</v>
      </c>
      <c r="F515">
        <f ca="1">SUM($E$2:E515)/SUM($D$2:D515)</f>
        <v>233.4535660260558</v>
      </c>
      <c r="G515">
        <f ca="1">_xlfn.STDEV.P($C$2:C515)</f>
        <v>44.156259315297355</v>
      </c>
      <c r="H515">
        <f t="shared" ref="H515:H523" ca="1" si="169">F515 + G515</f>
        <v>277.60982534135314</v>
      </c>
      <c r="I515">
        <f t="shared" ref="I515:I523" ca="1" si="170">F515 - G515</f>
        <v>189.29730671075845</v>
      </c>
      <c r="J515">
        <f t="shared" ref="J515:J523" ca="1" si="171">AVERAGE(C496:C515)</f>
        <v>301.65750000000003</v>
      </c>
      <c r="K515">
        <f t="shared" ref="K515:K523" ca="1" si="172">_xlfn.STDEV.S(C496:C515)</f>
        <v>5.4139535850478619</v>
      </c>
      <c r="L515">
        <f t="shared" ref="L515:L523" ca="1" si="173">J515 + 2*K515</f>
        <v>312.48540717009575</v>
      </c>
      <c r="M515">
        <f t="shared" ref="M515:M523" ca="1" si="174">J515-2*K515</f>
        <v>290.8295928299043</v>
      </c>
      <c r="N515">
        <f t="shared" ref="N515:N523" ca="1" si="175">C515-C514</f>
        <v>-14.319999999999993</v>
      </c>
      <c r="O515">
        <f t="shared" ref="O515:O523" ca="1" si="176">MAX(N515,0)</f>
        <v>0</v>
      </c>
      <c r="P515">
        <f t="shared" ref="P515:P523" ca="1" si="177">MAX(-N515,0)</f>
        <v>14.319999999999993</v>
      </c>
      <c r="Q515">
        <f t="shared" ref="Q515:Q523" ca="1" si="178">(Q514*13+O515)/14</f>
        <v>2.3620538365356283</v>
      </c>
      <c r="R515">
        <f t="shared" ref="R515:R523" ca="1" si="179">(R514*13+P515)/14</f>
        <v>3.188748533499465</v>
      </c>
      <c r="S515">
        <f t="shared" ref="S515:S523" ca="1" si="180">IF(R515=0,NA(),Q515/R515)</f>
        <v>0.74074634977359355</v>
      </c>
      <c r="T515">
        <f t="shared" ref="T515:T523" ca="1" si="181">100-(100/(1+S515))</f>
        <v>42.553376594466918</v>
      </c>
      <c r="U515">
        <f>70</f>
        <v>70</v>
      </c>
      <c r="V515">
        <f>30</f>
        <v>30</v>
      </c>
      <c r="W515">
        <f t="shared" ref="W515:W523" ca="1" si="182">C515*(2/(12+1)) + W514*(1-(2/(12+1)))</f>
        <v>301.46625684056806</v>
      </c>
      <c r="X515">
        <f t="shared" ref="X515:X523" ca="1" si="183">C515*(2/(26+1)) + X514*(1-(2/(26+1)))</f>
        <v>302.10372480202199</v>
      </c>
      <c r="Y515">
        <f t="shared" ref="Y515:Y523" ca="1" si="184">W516-X516</f>
        <v>-0.90345378634879125</v>
      </c>
      <c r="Z515">
        <f t="shared" ref="Z515:Z523" ca="1" si="185">Y515*(2/(9+1)) + Z514*(1-(2/(9+1)))</f>
        <v>-0.3031592412235643</v>
      </c>
      <c r="AA515">
        <f t="shared" ref="AA515:AA523" ca="1" si="186">Y515-Z515</f>
        <v>-0.60029454512522695</v>
      </c>
      <c r="AB515">
        <f t="shared" ref="AB515:AB523" ca="1" si="187">AVERAGE(C416:C515)</f>
        <v>290.20229999999992</v>
      </c>
    </row>
    <row r="516" spans="1:28" x14ac:dyDescent="0.25">
      <c r="A516" s="20">
        <f t="shared" ca="1" si="167"/>
        <v>46041</v>
      </c>
      <c r="B516" vm="1535">
        <f ca="1"/>
        <v>46043</v>
      </c>
      <c r="C516" vm="1536">
        <f ca="1"/>
        <v>297.54000000000002</v>
      </c>
      <c r="D516" vm="1537">
        <f ca="1"/>
        <v>5185023</v>
      </c>
      <c r="E516">
        <f t="shared" ca="1" si="168"/>
        <v>1542751743.4200001</v>
      </c>
      <c r="F516">
        <f ca="1">SUM($E$2:E516)/SUM($D$2:D516)</f>
        <v>233.59751301983863</v>
      </c>
      <c r="G516">
        <f ca="1">_xlfn.STDEV.P($C$2:C516)</f>
        <v>44.208684985043348</v>
      </c>
      <c r="H516">
        <f t="shared" ca="1" si="169"/>
        <v>277.80619800488199</v>
      </c>
      <c r="I516">
        <f t="shared" ca="1" si="170"/>
        <v>189.38882803479527</v>
      </c>
      <c r="J516">
        <f t="shared" ca="1" si="171"/>
        <v>301.4855</v>
      </c>
      <c r="K516">
        <f t="shared" ca="1" si="172"/>
        <v>5.4907103125954535</v>
      </c>
      <c r="L516">
        <f t="shared" ca="1" si="173"/>
        <v>312.46692062519094</v>
      </c>
      <c r="M516">
        <f t="shared" ca="1" si="174"/>
        <v>290.50407937480907</v>
      </c>
      <c r="N516">
        <f t="shared" ca="1" si="175"/>
        <v>6.1899999999999977</v>
      </c>
      <c r="O516">
        <f t="shared" ca="1" si="176"/>
        <v>6.1899999999999977</v>
      </c>
      <c r="P516">
        <f t="shared" ca="1" si="177"/>
        <v>0</v>
      </c>
      <c r="Q516">
        <f t="shared" ca="1" si="178"/>
        <v>2.6354785624973687</v>
      </c>
      <c r="R516">
        <f t="shared" ca="1" si="179"/>
        <v>2.9609807811066458</v>
      </c>
      <c r="S516">
        <f t="shared" ca="1" si="180"/>
        <v>0.89006945918520186</v>
      </c>
      <c r="T516">
        <f t="shared" ca="1" si="181"/>
        <v>47.091891510109143</v>
      </c>
      <c r="U516">
        <f>70</f>
        <v>70</v>
      </c>
      <c r="V516">
        <f>30</f>
        <v>30</v>
      </c>
      <c r="W516">
        <f t="shared" ca="1" si="182"/>
        <v>300.86221732663455</v>
      </c>
      <c r="X516">
        <f t="shared" ca="1" si="183"/>
        <v>301.76567111298334</v>
      </c>
      <c r="Y516">
        <f t="shared" ca="1" si="184"/>
        <v>-1.3304973382026333</v>
      </c>
      <c r="Z516">
        <f t="shared" ca="1" si="185"/>
        <v>-0.50862686061937812</v>
      </c>
      <c r="AA516">
        <f t="shared" ca="1" si="186"/>
        <v>-0.82187047758325515</v>
      </c>
      <c r="AB516">
        <f t="shared" ca="1" si="187"/>
        <v>290.72929999999991</v>
      </c>
    </row>
    <row r="517" spans="1:28" x14ac:dyDescent="0.25">
      <c r="A517" s="20">
        <f t="shared" ca="1" si="167"/>
        <v>46041</v>
      </c>
      <c r="B517" vm="1538">
        <f ca="1"/>
        <v>46044</v>
      </c>
      <c r="C517" vm="1539">
        <f ca="1"/>
        <v>294.67</v>
      </c>
      <c r="D517" vm="1540">
        <f ca="1"/>
        <v>3670152</v>
      </c>
      <c r="E517">
        <f t="shared" ca="1" si="168"/>
        <v>1081483689.8400002</v>
      </c>
      <c r="F517">
        <f ca="1">SUM($E$2:E517)/SUM($D$2:D517)</f>
        <v>233.69445804460031</v>
      </c>
      <c r="G517">
        <f ca="1">_xlfn.STDEV.P($C$2:C517)</f>
        <v>44.252406680751925</v>
      </c>
      <c r="H517">
        <f t="shared" ca="1" si="169"/>
        <v>277.94686472535221</v>
      </c>
      <c r="I517">
        <f t="shared" ca="1" si="170"/>
        <v>189.44205136384838</v>
      </c>
      <c r="J517">
        <f t="shared" ca="1" si="171"/>
        <v>301.0795</v>
      </c>
      <c r="K517">
        <f t="shared" ca="1" si="172"/>
        <v>5.6859137811187157</v>
      </c>
      <c r="L517">
        <f t="shared" ca="1" si="173"/>
        <v>312.45132756223745</v>
      </c>
      <c r="M517">
        <f t="shared" ca="1" si="174"/>
        <v>289.70767243776254</v>
      </c>
      <c r="N517">
        <f t="shared" ca="1" si="175"/>
        <v>-2.8700000000000045</v>
      </c>
      <c r="O517">
        <f t="shared" ca="1" si="176"/>
        <v>0</v>
      </c>
      <c r="P517">
        <f t="shared" ca="1" si="177"/>
        <v>2.8700000000000045</v>
      </c>
      <c r="Q517">
        <f t="shared" ca="1" si="178"/>
        <v>2.4472300937475566</v>
      </c>
      <c r="R517">
        <f t="shared" ca="1" si="179"/>
        <v>2.9544821538847428</v>
      </c>
      <c r="S517">
        <f t="shared" ca="1" si="180"/>
        <v>0.82831100892918963</v>
      </c>
      <c r="T517">
        <f t="shared" ca="1" si="181"/>
        <v>45.30471046139558</v>
      </c>
      <c r="U517">
        <f>70</f>
        <v>70</v>
      </c>
      <c r="V517">
        <f>30</f>
        <v>30</v>
      </c>
      <c r="W517">
        <f t="shared" ca="1" si="182"/>
        <v>299.9095685071523</v>
      </c>
      <c r="X517">
        <f t="shared" ca="1" si="183"/>
        <v>301.24006584535493</v>
      </c>
      <c r="Y517">
        <f t="shared" ca="1" si="184"/>
        <v>-1.8278049946327997</v>
      </c>
      <c r="Z517">
        <f t="shared" ca="1" si="185"/>
        <v>-0.77246248742206247</v>
      </c>
      <c r="AA517">
        <f t="shared" ca="1" si="186"/>
        <v>-1.0553425072107372</v>
      </c>
      <c r="AB517">
        <f t="shared" ca="1" si="187"/>
        <v>291.2186999999999</v>
      </c>
    </row>
    <row r="518" spans="1:28" x14ac:dyDescent="0.25">
      <c r="A518" s="20">
        <f t="shared" ca="1" si="167"/>
        <v>46041</v>
      </c>
      <c r="B518" vm="1541">
        <f ca="1"/>
        <v>46045</v>
      </c>
      <c r="C518" vm="1542">
        <f ca="1"/>
        <v>292.44</v>
      </c>
      <c r="D518" vm="1543">
        <f ca="1"/>
        <v>3298424</v>
      </c>
      <c r="E518">
        <f t="shared" ca="1" si="168"/>
        <v>964591114.55999994</v>
      </c>
      <c r="F518">
        <f ca="1">SUM($E$2:E518)/SUM($D$2:D518)</f>
        <v>233.77814507216718</v>
      </c>
      <c r="G518">
        <f ca="1">_xlfn.STDEV.P($C$2:C518)</f>
        <v>44.289588310806025</v>
      </c>
      <c r="H518">
        <f t="shared" ca="1" si="169"/>
        <v>278.06773338297319</v>
      </c>
      <c r="I518">
        <f t="shared" ca="1" si="170"/>
        <v>189.48855676136117</v>
      </c>
      <c r="J518">
        <f t="shared" ca="1" si="171"/>
        <v>300.51249999999999</v>
      </c>
      <c r="K518">
        <f t="shared" ca="1" si="172"/>
        <v>5.9611954602906154</v>
      </c>
      <c r="L518">
        <f t="shared" ca="1" si="173"/>
        <v>312.43489092058121</v>
      </c>
      <c r="M518">
        <f t="shared" ca="1" si="174"/>
        <v>288.59010907941877</v>
      </c>
      <c r="N518">
        <f t="shared" ca="1" si="175"/>
        <v>-2.2300000000000182</v>
      </c>
      <c r="O518">
        <f t="shared" ca="1" si="176"/>
        <v>0</v>
      </c>
      <c r="P518">
        <f t="shared" ca="1" si="177"/>
        <v>2.2300000000000182</v>
      </c>
      <c r="Q518">
        <f t="shared" ca="1" si="178"/>
        <v>2.2724279441941597</v>
      </c>
      <c r="R518">
        <f t="shared" ca="1" si="179"/>
        <v>2.9027334286072626</v>
      </c>
      <c r="S518">
        <f t="shared" ca="1" si="180"/>
        <v>0.78285795099155053</v>
      </c>
      <c r="T518">
        <f t="shared" ca="1" si="181"/>
        <v>43.910281834632869</v>
      </c>
      <c r="U518">
        <f>70</f>
        <v>70</v>
      </c>
      <c r="V518">
        <f>30</f>
        <v>30</v>
      </c>
      <c r="W518">
        <f t="shared" ca="1" si="182"/>
        <v>298.76040412143658</v>
      </c>
      <c r="X518">
        <f t="shared" ca="1" si="183"/>
        <v>300.58820911606938</v>
      </c>
      <c r="Y518">
        <f t="shared" ca="1" si="184"/>
        <v>-1.8862904235210749</v>
      </c>
      <c r="Z518">
        <f t="shared" ca="1" si="185"/>
        <v>-0.99522807464186513</v>
      </c>
      <c r="AA518">
        <f t="shared" ca="1" si="186"/>
        <v>-0.89106234887920976</v>
      </c>
      <c r="AB518">
        <f t="shared" ca="1" si="187"/>
        <v>291.70819999999992</v>
      </c>
    </row>
    <row r="519" spans="1:28" x14ac:dyDescent="0.25">
      <c r="A519" s="20">
        <f t="shared" ca="1" si="167"/>
        <v>46048</v>
      </c>
      <c r="B519" vm="1544">
        <f ca="1"/>
        <v>46048</v>
      </c>
      <c r="C519" vm="1545">
        <f ca="1"/>
        <v>296.33</v>
      </c>
      <c r="D519" vm="1546">
        <f ca="1"/>
        <v>3726890</v>
      </c>
      <c r="E519">
        <f t="shared" ca="1" si="168"/>
        <v>1104389313.7</v>
      </c>
      <c r="F519">
        <f ca="1">SUM($E$2:E519)/SUM($D$2:D519)</f>
        <v>233.87866797621936</v>
      </c>
      <c r="G519">
        <f ca="1">_xlfn.STDEV.P($C$2:C519)</f>
        <v>44.33683541393016</v>
      </c>
      <c r="H519">
        <f t="shared" ca="1" si="169"/>
        <v>278.21550339014954</v>
      </c>
      <c r="I519">
        <f t="shared" ca="1" si="170"/>
        <v>189.54183256228919</v>
      </c>
      <c r="J519">
        <f t="shared" ca="1" si="171"/>
        <v>300.101</v>
      </c>
      <c r="K519">
        <f t="shared" ca="1" si="172"/>
        <v>5.9511413323743803</v>
      </c>
      <c r="L519">
        <f t="shared" ca="1" si="173"/>
        <v>312.00328266474878</v>
      </c>
      <c r="M519">
        <f t="shared" ca="1" si="174"/>
        <v>288.19871733525122</v>
      </c>
      <c r="N519">
        <f t="shared" ca="1" si="175"/>
        <v>3.8899999999999864</v>
      </c>
      <c r="O519">
        <f t="shared" ca="1" si="176"/>
        <v>3.8899999999999864</v>
      </c>
      <c r="P519">
        <f t="shared" ca="1" si="177"/>
        <v>0</v>
      </c>
      <c r="Q519">
        <f t="shared" ca="1" si="178"/>
        <v>2.3879688053231476</v>
      </c>
      <c r="R519">
        <f t="shared" ca="1" si="179"/>
        <v>2.6953953265638866</v>
      </c>
      <c r="S519">
        <f t="shared" ca="1" si="180"/>
        <v>0.88594381009310086</v>
      </c>
      <c r="T519">
        <f t="shared" ca="1" si="181"/>
        <v>46.976150898650879</v>
      </c>
      <c r="U519">
        <f>70</f>
        <v>70</v>
      </c>
      <c r="V519">
        <f>30</f>
        <v>30</v>
      </c>
      <c r="W519">
        <f t="shared" ca="1" si="182"/>
        <v>298.38649579506171</v>
      </c>
      <c r="X519">
        <f t="shared" ca="1" si="183"/>
        <v>300.27278621858278</v>
      </c>
      <c r="Y519">
        <f t="shared" ca="1" si="184"/>
        <v>-2.107653190615622</v>
      </c>
      <c r="Z519">
        <f t="shared" ca="1" si="185"/>
        <v>-1.2177130978366164</v>
      </c>
      <c r="AA519">
        <f t="shared" ca="1" si="186"/>
        <v>-0.88994009277900554</v>
      </c>
      <c r="AB519">
        <f t="shared" ca="1" si="187"/>
        <v>292.25649999999996</v>
      </c>
    </row>
    <row r="520" spans="1:28" x14ac:dyDescent="0.25">
      <c r="A520" s="20">
        <f t="shared" ca="1" si="167"/>
        <v>46048</v>
      </c>
      <c r="B520" vm="1547">
        <f ca="1"/>
        <v>46049</v>
      </c>
      <c r="C520" vm="1548">
        <f ca="1"/>
        <v>293.86</v>
      </c>
      <c r="D520" vm="1549">
        <f ca="1"/>
        <v>2954936</v>
      </c>
      <c r="E520">
        <f t="shared" ca="1" si="168"/>
        <v>868337492.96000004</v>
      </c>
      <c r="F520">
        <f ca="1">SUM($E$2:E520)/SUM($D$2:D520)</f>
        <v>233.95499695163605</v>
      </c>
      <c r="G520">
        <f ca="1">_xlfn.STDEV.P($C$2:C520)</f>
        <v>44.376764994818778</v>
      </c>
      <c r="H520">
        <f t="shared" ca="1" si="169"/>
        <v>278.33176194645483</v>
      </c>
      <c r="I520">
        <f t="shared" ca="1" si="170"/>
        <v>189.57823195681726</v>
      </c>
      <c r="J520">
        <f t="shared" ca="1" si="171"/>
        <v>299.53949999999998</v>
      </c>
      <c r="K520">
        <f t="shared" ca="1" si="172"/>
        <v>5.9853324886759642</v>
      </c>
      <c r="L520">
        <f t="shared" ca="1" si="173"/>
        <v>311.51016497735191</v>
      </c>
      <c r="M520">
        <f t="shared" ca="1" si="174"/>
        <v>287.56883502264805</v>
      </c>
      <c r="N520">
        <f t="shared" ca="1" si="175"/>
        <v>-2.4699999999999704</v>
      </c>
      <c r="O520">
        <f t="shared" ca="1" si="176"/>
        <v>0</v>
      </c>
      <c r="P520">
        <f t="shared" ca="1" si="177"/>
        <v>2.4699999999999704</v>
      </c>
      <c r="Q520">
        <f t="shared" ca="1" si="178"/>
        <v>2.2173996049429228</v>
      </c>
      <c r="R520">
        <f t="shared" ca="1" si="179"/>
        <v>2.6792956603807494</v>
      </c>
      <c r="S520">
        <f t="shared" ca="1" si="180"/>
        <v>0.82760541799549381</v>
      </c>
      <c r="T520">
        <f t="shared" ca="1" si="181"/>
        <v>45.283594032195765</v>
      </c>
      <c r="U520">
        <f>70</f>
        <v>70</v>
      </c>
      <c r="V520">
        <f>30</f>
        <v>30</v>
      </c>
      <c r="W520">
        <f t="shared" ca="1" si="182"/>
        <v>297.69011182659068</v>
      </c>
      <c r="X520">
        <f t="shared" ca="1" si="183"/>
        <v>299.7977650172063</v>
      </c>
      <c r="Y520">
        <f t="shared" ca="1" si="184"/>
        <v>-2.2331350942866948</v>
      </c>
      <c r="Z520">
        <f t="shared" ca="1" si="185"/>
        <v>-1.4207974971266322</v>
      </c>
      <c r="AA520">
        <f t="shared" ca="1" si="186"/>
        <v>-0.8123375971600626</v>
      </c>
      <c r="AB520">
        <f t="shared" ca="1" si="187"/>
        <v>292.75409999999994</v>
      </c>
    </row>
    <row r="521" spans="1:28" x14ac:dyDescent="0.25">
      <c r="A521" s="20">
        <f t="shared" ca="1" si="167"/>
        <v>46048</v>
      </c>
      <c r="B521" vm="1550">
        <f ca="1"/>
        <v>46050</v>
      </c>
      <c r="C521" vm="1551">
        <f ca="1"/>
        <v>294.16000000000003</v>
      </c>
      <c r="D521" vm="1552">
        <f ca="1"/>
        <v>5790347</v>
      </c>
      <c r="E521">
        <f t="shared" ca="1" si="168"/>
        <v>1703288473.5200002</v>
      </c>
      <c r="F521">
        <f ca="1">SUM($E$2:E521)/SUM($D$2:D521)</f>
        <v>234.10475176998563</v>
      </c>
      <c r="G521">
        <f ca="1">_xlfn.STDEV.P($C$2:C521)</f>
        <v>44.416989329325837</v>
      </c>
      <c r="H521">
        <f t="shared" ca="1" si="169"/>
        <v>278.52174109931144</v>
      </c>
      <c r="I521">
        <f t="shared" ca="1" si="170"/>
        <v>189.68776244065978</v>
      </c>
      <c r="J521">
        <f t="shared" ca="1" si="171"/>
        <v>298.96049999999997</v>
      </c>
      <c r="K521">
        <f t="shared" ca="1" si="172"/>
        <v>5.9136234105753855</v>
      </c>
      <c r="L521">
        <f t="shared" ca="1" si="173"/>
        <v>310.78774682115073</v>
      </c>
      <c r="M521">
        <f t="shared" ca="1" si="174"/>
        <v>287.1332531788492</v>
      </c>
      <c r="N521">
        <f t="shared" ca="1" si="175"/>
        <v>0.30000000000001137</v>
      </c>
      <c r="O521">
        <f t="shared" ca="1" si="176"/>
        <v>0.30000000000001137</v>
      </c>
      <c r="P521">
        <f t="shared" ca="1" si="177"/>
        <v>0</v>
      </c>
      <c r="Q521">
        <f t="shared" ca="1" si="178"/>
        <v>2.0804424903041432</v>
      </c>
      <c r="R521">
        <f t="shared" ca="1" si="179"/>
        <v>2.4879173989249814</v>
      </c>
      <c r="S521">
        <f t="shared" ca="1" si="180"/>
        <v>0.83621847381391901</v>
      </c>
      <c r="T521">
        <f t="shared" ca="1" si="181"/>
        <v>45.540249471352432</v>
      </c>
      <c r="U521">
        <f>70</f>
        <v>70</v>
      </c>
      <c r="V521">
        <f>30</f>
        <v>30</v>
      </c>
      <c r="W521">
        <f t="shared" ca="1" si="182"/>
        <v>297.14701769942286</v>
      </c>
      <c r="X521">
        <f t="shared" ca="1" si="183"/>
        <v>299.38015279370956</v>
      </c>
      <c r="Y521">
        <f t="shared" ca="1" si="184"/>
        <v>-1.1030353311311387</v>
      </c>
      <c r="Z521">
        <f t="shared" ca="1" si="185"/>
        <v>-1.3572450639275335</v>
      </c>
      <c r="AA521">
        <f t="shared" ca="1" si="186"/>
        <v>0.25420973279639481</v>
      </c>
      <c r="AB521">
        <f t="shared" ca="1" si="187"/>
        <v>293.22390000000001</v>
      </c>
    </row>
    <row r="522" spans="1:28" x14ac:dyDescent="0.25">
      <c r="A522" s="20">
        <f t="shared" ca="1" si="167"/>
        <v>46048</v>
      </c>
      <c r="B522" vm="1553">
        <f ca="1"/>
        <v>46051</v>
      </c>
      <c r="C522" vm="1462">
        <f ca="1"/>
        <v>309.24</v>
      </c>
      <c r="D522" vm="1554">
        <f ca="1"/>
        <v>10124929</v>
      </c>
      <c r="E522">
        <f t="shared" ca="1" si="168"/>
        <v>3131033043.96</v>
      </c>
      <c r="F522">
        <f ca="1">SUM($E$2:E522)/SUM($D$2:D522)</f>
        <v>234.43013449484567</v>
      </c>
      <c r="G522">
        <f ca="1">_xlfn.STDEV.P($C$2:C522)</f>
        <v>44.501741384745969</v>
      </c>
      <c r="H522">
        <f t="shared" ca="1" si="169"/>
        <v>278.93187587959164</v>
      </c>
      <c r="I522">
        <f t="shared" ca="1" si="170"/>
        <v>189.92839311009971</v>
      </c>
      <c r="J522">
        <f t="shared" ca="1" si="171"/>
        <v>299.31999999999994</v>
      </c>
      <c r="K522">
        <f t="shared" ca="1" si="172"/>
        <v>6.3161705586783974</v>
      </c>
      <c r="L522">
        <f t="shared" ca="1" si="173"/>
        <v>311.95234111735675</v>
      </c>
      <c r="M522">
        <f t="shared" ca="1" si="174"/>
        <v>286.68765888264312</v>
      </c>
      <c r="N522">
        <f t="shared" ca="1" si="175"/>
        <v>15.079999999999984</v>
      </c>
      <c r="O522">
        <f t="shared" ca="1" si="176"/>
        <v>15.079999999999984</v>
      </c>
      <c r="P522">
        <f t="shared" ca="1" si="177"/>
        <v>0</v>
      </c>
      <c r="Q522">
        <f t="shared" ca="1" si="178"/>
        <v>3.0089823124252746</v>
      </c>
      <c r="R522">
        <f t="shared" ca="1" si="179"/>
        <v>2.3102090132874826</v>
      </c>
      <c r="S522">
        <f t="shared" ca="1" si="180"/>
        <v>1.3024718954513215</v>
      </c>
      <c r="T522">
        <f t="shared" ca="1" si="181"/>
        <v>56.568416666645831</v>
      </c>
      <c r="U522">
        <f>70</f>
        <v>70</v>
      </c>
      <c r="V522">
        <f>30</f>
        <v>30</v>
      </c>
      <c r="W522">
        <f t="shared" ca="1" si="182"/>
        <v>299.00747651489627</v>
      </c>
      <c r="X522">
        <f t="shared" ca="1" si="183"/>
        <v>300.11051184602741</v>
      </c>
      <c r="Y522">
        <f t="shared" ca="1" si="184"/>
        <v>-0.40768041320433213</v>
      </c>
      <c r="Z522">
        <f t="shared" ca="1" si="185"/>
        <v>-1.1673321337828932</v>
      </c>
      <c r="AA522">
        <f t="shared" ca="1" si="186"/>
        <v>0.75965172057856112</v>
      </c>
      <c r="AB522">
        <f t="shared" ca="1" si="187"/>
        <v>293.83100000000002</v>
      </c>
    </row>
    <row r="523" spans="1:28" x14ac:dyDescent="0.25">
      <c r="A523" s="20">
        <f t="shared" ca="1" si="167"/>
        <v>46048</v>
      </c>
      <c r="B523" vm="1555">
        <f ca="1"/>
        <v>46052</v>
      </c>
      <c r="C523" vm="1556">
        <f ca="1"/>
        <v>306.7</v>
      </c>
      <c r="D523" vm="1557">
        <f ca="1"/>
        <v>5940669</v>
      </c>
      <c r="E523">
        <f t="shared" ca="1" si="168"/>
        <v>1822003182.3</v>
      </c>
      <c r="F523">
        <f ca="1">SUM($E$2:E523)/SUM($D$2:D523)</f>
        <v>234.61330235233788</v>
      </c>
      <c r="G523">
        <f ca="1">_xlfn.STDEV.P($C$2:C523)</f>
        <v>44.577302327050106</v>
      </c>
      <c r="H523">
        <f t="shared" ca="1" si="169"/>
        <v>279.190604679388</v>
      </c>
      <c r="I523">
        <f t="shared" ca="1" si="170"/>
        <v>190.03600002528776</v>
      </c>
      <c r="J523">
        <f t="shared" ca="1" si="171"/>
        <v>299.84449999999987</v>
      </c>
      <c r="K523">
        <f t="shared" ca="1" si="172"/>
        <v>6.4778021573272557</v>
      </c>
      <c r="L523">
        <f t="shared" ca="1" si="173"/>
        <v>312.80010431465439</v>
      </c>
      <c r="M523">
        <f t="shared" ca="1" si="174"/>
        <v>286.88889568534535</v>
      </c>
      <c r="N523">
        <f t="shared" ca="1" si="175"/>
        <v>-2.5400000000000205</v>
      </c>
      <c r="O523">
        <f t="shared" ca="1" si="176"/>
        <v>0</v>
      </c>
      <c r="P523">
        <f t="shared" ca="1" si="177"/>
        <v>2.5400000000000205</v>
      </c>
      <c r="Q523">
        <f t="shared" ca="1" si="178"/>
        <v>2.794055004394898</v>
      </c>
      <c r="R523">
        <f t="shared" ca="1" si="179"/>
        <v>2.3266226551955214</v>
      </c>
      <c r="S523">
        <f t="shared" ca="1" si="180"/>
        <v>1.2009059561745286</v>
      </c>
      <c r="T523">
        <f t="shared" ca="1" si="181"/>
        <v>54.564164943324755</v>
      </c>
      <c r="U523">
        <f>70</f>
        <v>70</v>
      </c>
      <c r="V523">
        <f>30</f>
        <v>30</v>
      </c>
      <c r="W523">
        <f t="shared" ca="1" si="182"/>
        <v>300.19094166645067</v>
      </c>
      <c r="X523">
        <f t="shared" ca="1" si="183"/>
        <v>300.598622079655</v>
      </c>
      <c r="Y523">
        <f t="shared" ca="1" si="184"/>
        <v>0.78232905711672629</v>
      </c>
      <c r="Z523">
        <f t="shared" ca="1" si="185"/>
        <v>-0.7773998956029694</v>
      </c>
      <c r="AA523">
        <f t="shared" ca="1" si="186"/>
        <v>1.5597289527196958</v>
      </c>
      <c r="AB523">
        <f t="shared" ca="1" si="187"/>
        <v>294.33710000000002</v>
      </c>
    </row>
    <row r="524" spans="1:28" x14ac:dyDescent="0.25">
      <c r="A524" s="20">
        <f t="shared" ca="1" si="167"/>
        <v>46055</v>
      </c>
      <c r="B524" vm="1558">
        <f ca="1"/>
        <v>46055</v>
      </c>
      <c r="C524" vm="1559">
        <f ca="1"/>
        <v>314.73</v>
      </c>
      <c r="D524" vm="1560">
        <f ca="1"/>
        <v>4581189</v>
      </c>
      <c r="E524">
        <f t="shared" ref="E524:E529" ca="1" si="188">C524*D524</f>
        <v>1441837613.97</v>
      </c>
      <c r="F524">
        <f ca="1">SUM($E$2:E524)/SUM($D$2:D524)</f>
        <v>234.76958469556286</v>
      </c>
      <c r="G524">
        <f ca="1">_xlfn.STDEV.P($C$2:C524)</f>
        <v>44.678780916789371</v>
      </c>
      <c r="H524">
        <f t="shared" ref="H524:H529" ca="1" si="189">F524 + G524</f>
        <v>279.44836561235223</v>
      </c>
      <c r="I524">
        <f t="shared" ref="I524:I529" ca="1" si="190">F524 - G524</f>
        <v>190.09080377877348</v>
      </c>
      <c r="J524">
        <f t="shared" ref="J524:J529" ca="1" si="191">AVERAGE(C505:C524)</f>
        <v>301.00599999999997</v>
      </c>
      <c r="K524">
        <f t="shared" ref="K524:K529" ca="1" si="192">_xlfn.STDEV.S(C505:C524)</f>
        <v>6.9669984475684377</v>
      </c>
      <c r="L524">
        <f t="shared" ref="L524:L529" ca="1" si="193">J524 + 2*K524</f>
        <v>314.93999689513686</v>
      </c>
      <c r="M524">
        <f t="shared" ref="M524:M529" ca="1" si="194">J524-2*K524</f>
        <v>287.07200310486309</v>
      </c>
      <c r="N524">
        <f t="shared" ref="N524:N529" ca="1" si="195">C524-C523</f>
        <v>8.0300000000000296</v>
      </c>
      <c r="O524">
        <f t="shared" ref="O524:O529" ca="1" si="196">MAX(N524,0)</f>
        <v>8.0300000000000296</v>
      </c>
      <c r="P524">
        <f t="shared" ref="P524:P529" ca="1" si="197">MAX(-N524,0)</f>
        <v>0</v>
      </c>
      <c r="Q524">
        <f t="shared" ref="Q524:Q529" ca="1" si="198">(Q523*13+O524)/14</f>
        <v>3.1680510755095499</v>
      </c>
      <c r="R524">
        <f t="shared" ref="R524:R529" ca="1" si="199">(R523*13+P524)/14</f>
        <v>2.1604353226815554</v>
      </c>
      <c r="S524">
        <f t="shared" ref="S524:S529" ca="1" si="200">IF(R524=0,NA(),Q524/R524)</f>
        <v>1.466394778056735</v>
      </c>
      <c r="T524">
        <f t="shared" ref="T524:T529" ca="1" si="201">100-(100/(1+S524))</f>
        <v>59.454990381227731</v>
      </c>
      <c r="U524">
        <f>70</f>
        <v>70</v>
      </c>
      <c r="V524">
        <f>30</f>
        <v>30</v>
      </c>
      <c r="W524">
        <f t="shared" ref="W524:W529" ca="1" si="202">C524*(2/(12+1)) + W523*(1-(2/(12+1)))</f>
        <v>302.42771987161211</v>
      </c>
      <c r="X524">
        <f t="shared" ref="X524:X529" ca="1" si="203">C524*(2/(26+1)) + X523*(1-(2/(26+1)))</f>
        <v>301.64539081449539</v>
      </c>
      <c r="Y524">
        <f t="shared" ref="Y524:Y528" ca="1" si="204">W525-X525</f>
        <v>7.6811359423857084E-2</v>
      </c>
      <c r="Z524">
        <f t="shared" ref="Z524:Z529" ca="1" si="205">Y524*(2/(9+1)) + Z523*(1-(2/(9+1)))</f>
        <v>-0.60655764459760408</v>
      </c>
      <c r="AA524">
        <f t="shared" ref="AA524:AA529" ca="1" si="206">Y524-Z524</f>
        <v>0.68336900402146117</v>
      </c>
      <c r="AB524">
        <f t="shared" ref="AB524:AB529" ca="1" si="207">AVERAGE(C425:C524)</f>
        <v>294.89329999999995</v>
      </c>
    </row>
    <row r="525" spans="1:28" x14ac:dyDescent="0.25">
      <c r="A525" s="20">
        <f t="shared" ca="1" si="167"/>
        <v>46055</v>
      </c>
      <c r="B525" vm="1561">
        <f ca="1"/>
        <v>46056</v>
      </c>
      <c r="C525" vm="1562">
        <f ca="1"/>
        <v>294.31</v>
      </c>
      <c r="D525" vm="1563">
        <f ca="1"/>
        <v>11466529</v>
      </c>
      <c r="E525">
        <f t="shared" ca="1" si="188"/>
        <v>3374714149.9900002</v>
      </c>
      <c r="F525">
        <f ca="1">SUM($E$2:E525)/SUM($D$2:D525)</f>
        <v>235.05887722809138</v>
      </c>
      <c r="G525">
        <f ca="1">_xlfn.STDEV.P($C$2:C525)</f>
        <v>44.716763298499494</v>
      </c>
      <c r="H525">
        <f t="shared" ca="1" si="189"/>
        <v>279.77564052659085</v>
      </c>
      <c r="I525">
        <f t="shared" ca="1" si="190"/>
        <v>190.34211392959187</v>
      </c>
      <c r="J525">
        <f t="shared" ca="1" si="191"/>
        <v>300.97300000000001</v>
      </c>
      <c r="K525">
        <f t="shared" ca="1" si="192"/>
        <v>6.998584894556596</v>
      </c>
      <c r="L525">
        <f t="shared" ca="1" si="193"/>
        <v>314.97016978911319</v>
      </c>
      <c r="M525">
        <f t="shared" ca="1" si="194"/>
        <v>286.97583021088684</v>
      </c>
      <c r="N525">
        <f t="shared" ca="1" si="195"/>
        <v>-20.420000000000016</v>
      </c>
      <c r="O525">
        <f t="shared" ca="1" si="196"/>
        <v>0</v>
      </c>
      <c r="P525">
        <f t="shared" ca="1" si="197"/>
        <v>20.420000000000016</v>
      </c>
      <c r="Q525">
        <f t="shared" ca="1" si="198"/>
        <v>2.9417617129731535</v>
      </c>
      <c r="R525">
        <f t="shared" ca="1" si="199"/>
        <v>3.464689942490017</v>
      </c>
      <c r="S525">
        <f t="shared" ca="1" si="200"/>
        <v>0.84906925635572361</v>
      </c>
      <c r="T525">
        <f t="shared" ca="1" si="201"/>
        <v>45.918737410037814</v>
      </c>
      <c r="U525">
        <f>70</f>
        <v>70</v>
      </c>
      <c r="V525">
        <f>30</f>
        <v>30</v>
      </c>
      <c r="W525">
        <f t="shared" ca="1" si="202"/>
        <v>301.17883989136408</v>
      </c>
      <c r="X525">
        <f t="shared" ca="1" si="203"/>
        <v>301.10202853194022</v>
      </c>
      <c r="Y525">
        <f t="shared" ca="1" si="204"/>
        <v>-0.89642115426045166</v>
      </c>
      <c r="Z525">
        <f t="shared" ca="1" si="205"/>
        <v>-0.66453034653017362</v>
      </c>
      <c r="AA525">
        <f t="shared" ca="1" si="206"/>
        <v>-0.23189080773027804</v>
      </c>
      <c r="AB525">
        <f t="shared" ca="1" si="207"/>
        <v>295.26760000000002</v>
      </c>
    </row>
    <row r="526" spans="1:28" x14ac:dyDescent="0.25">
      <c r="A526" s="20">
        <f t="shared" ca="1" si="167"/>
        <v>46055</v>
      </c>
      <c r="B526" vm="1564">
        <f ca="1"/>
        <v>46057</v>
      </c>
      <c r="C526" vm="1565">
        <f ca="1"/>
        <v>289.05</v>
      </c>
      <c r="D526" vm="1566">
        <f ca="1"/>
        <v>8708033</v>
      </c>
      <c r="E526">
        <f t="shared" ca="1" si="188"/>
        <v>2517056938.6500001</v>
      </c>
      <c r="F526">
        <f ca="1">SUM($E$2:E526)/SUM($D$2:D526)</f>
        <v>235.25736614659505</v>
      </c>
      <c r="G526">
        <f ca="1">_xlfn.STDEV.P($C$2:C526)</f>
        <v>44.741132473221803</v>
      </c>
      <c r="H526">
        <f t="shared" ca="1" si="189"/>
        <v>279.99849861981687</v>
      </c>
      <c r="I526">
        <f t="shared" ca="1" si="190"/>
        <v>190.51623367337325</v>
      </c>
      <c r="J526">
        <f t="shared" ca="1" si="191"/>
        <v>300.30200000000002</v>
      </c>
      <c r="K526">
        <f t="shared" ca="1" si="192"/>
        <v>7.4746438746358708</v>
      </c>
      <c r="L526">
        <f t="shared" ca="1" si="193"/>
        <v>315.25128774927174</v>
      </c>
      <c r="M526">
        <f t="shared" ca="1" si="194"/>
        <v>285.3527122507283</v>
      </c>
      <c r="N526">
        <f t="shared" ca="1" si="195"/>
        <v>-5.2599999999999909</v>
      </c>
      <c r="O526">
        <f t="shared" ca="1" si="196"/>
        <v>0</v>
      </c>
      <c r="P526">
        <f t="shared" ca="1" si="197"/>
        <v>5.2599999999999909</v>
      </c>
      <c r="Q526">
        <f t="shared" ca="1" si="198"/>
        <v>2.7316358763322137</v>
      </c>
      <c r="R526">
        <f t="shared" ca="1" si="199"/>
        <v>3.5929263751693012</v>
      </c>
      <c r="S526">
        <f t="shared" ca="1" si="200"/>
        <v>0.76028161757238821</v>
      </c>
      <c r="T526">
        <f t="shared" ca="1" si="201"/>
        <v>43.190908203705263</v>
      </c>
      <c r="U526">
        <f>70</f>
        <v>70</v>
      </c>
      <c r="V526">
        <f>30</f>
        <v>30</v>
      </c>
      <c r="W526">
        <f t="shared" ca="1" si="202"/>
        <v>299.31286452346194</v>
      </c>
      <c r="X526">
        <f t="shared" ca="1" si="203"/>
        <v>300.20928567772239</v>
      </c>
      <c r="Y526">
        <f t="shared" ca="1" si="204"/>
        <v>-1.5817010877253779</v>
      </c>
      <c r="Z526">
        <f t="shared" ca="1" si="205"/>
        <v>-0.84796449476921454</v>
      </c>
      <c r="AA526">
        <f t="shared" ca="1" si="206"/>
        <v>-0.73373659295616334</v>
      </c>
      <c r="AB526">
        <f t="shared" ca="1" si="207"/>
        <v>295.58800000000002</v>
      </c>
    </row>
    <row r="527" spans="1:28" x14ac:dyDescent="0.25">
      <c r="A527" s="20">
        <f t="shared" ca="1" si="167"/>
        <v>46055</v>
      </c>
      <c r="B527" vm="1567">
        <f ca="1"/>
        <v>46058</v>
      </c>
      <c r="C527" vm="1568">
        <f ca="1"/>
        <v>289.89</v>
      </c>
      <c r="D527" vm="1569">
        <f ca="1"/>
        <v>5532797</v>
      </c>
      <c r="E527">
        <f t="shared" ca="1" si="188"/>
        <v>1603902522.3299999</v>
      </c>
      <c r="F527">
        <f ca="1">SUM($E$2:E527)/SUM($D$2:D527)</f>
        <v>235.38468052849851</v>
      </c>
      <c r="G527">
        <f ca="1">_xlfn.STDEV.P($C$2:C527)</f>
        <v>44.767151479286973</v>
      </c>
      <c r="H527">
        <f t="shared" ca="1" si="189"/>
        <v>280.15183200778546</v>
      </c>
      <c r="I527">
        <f t="shared" ca="1" si="190"/>
        <v>190.61752904921153</v>
      </c>
      <c r="J527">
        <f t="shared" ca="1" si="191"/>
        <v>299.96000000000009</v>
      </c>
      <c r="K527">
        <f t="shared" ca="1" si="192"/>
        <v>7.7962440349588595</v>
      </c>
      <c r="L527">
        <f t="shared" ca="1" si="193"/>
        <v>315.55248806991779</v>
      </c>
      <c r="M527">
        <f t="shared" ca="1" si="194"/>
        <v>284.3675119300824</v>
      </c>
      <c r="N527">
        <f t="shared" ca="1" si="195"/>
        <v>0.83999999999997499</v>
      </c>
      <c r="O527">
        <f t="shared" ca="1" si="196"/>
        <v>0.83999999999997499</v>
      </c>
      <c r="P527">
        <f t="shared" ca="1" si="197"/>
        <v>0</v>
      </c>
      <c r="Q527">
        <f t="shared" ca="1" si="198"/>
        <v>2.5965190280227683</v>
      </c>
      <c r="R527">
        <f t="shared" ca="1" si="199"/>
        <v>3.3362887769429226</v>
      </c>
      <c r="S527">
        <f t="shared" ca="1" si="200"/>
        <v>0.77826567231448918</v>
      </c>
      <c r="T527">
        <f t="shared" ca="1" si="201"/>
        <v>43.765433052618228</v>
      </c>
      <c r="U527">
        <f>70</f>
        <v>70</v>
      </c>
      <c r="V527">
        <f>30</f>
        <v>30</v>
      </c>
      <c r="W527">
        <f t="shared" ca="1" si="202"/>
        <v>297.86319305831393</v>
      </c>
      <c r="X527">
        <f t="shared" ca="1" si="203"/>
        <v>299.4448941460393</v>
      </c>
      <c r="Y527">
        <f t="shared" ca="1" si="204"/>
        <v>-1.3794366357365675</v>
      </c>
      <c r="Z527">
        <f t="shared" ca="1" si="205"/>
        <v>-0.95425892296268522</v>
      </c>
      <c r="AA527">
        <f t="shared" ca="1" si="206"/>
        <v>-0.42517771277388228</v>
      </c>
      <c r="AB527">
        <f t="shared" ca="1" si="207"/>
        <v>295.95250000000004</v>
      </c>
    </row>
    <row r="528" spans="1:28" x14ac:dyDescent="0.25">
      <c r="A528" s="20">
        <f t="shared" ca="1" si="167"/>
        <v>46055</v>
      </c>
      <c r="B528" vm="1570">
        <f ca="1"/>
        <v>46059</v>
      </c>
      <c r="C528" vm="1571">
        <f ca="1"/>
        <v>298.93</v>
      </c>
      <c r="D528" vm="1572">
        <f ca="1"/>
        <v>3744313</v>
      </c>
      <c r="E528">
        <f t="shared" ca="1" si="188"/>
        <v>1119287485.0899999</v>
      </c>
      <c r="F528">
        <f ca="1">SUM($E$2:E528)/SUM($D$2:D528)</f>
        <v>235.48473855400266</v>
      </c>
      <c r="G528">
        <f ca="1">_xlfn.STDEV.P($C$2:C528)</f>
        <v>44.816210720972627</v>
      </c>
      <c r="H528">
        <f t="shared" ca="1" si="189"/>
        <v>280.30094927497527</v>
      </c>
      <c r="I528">
        <f t="shared" ca="1" si="190"/>
        <v>190.66852783303003</v>
      </c>
      <c r="J528">
        <f t="shared" ca="1" si="191"/>
        <v>299.77050000000003</v>
      </c>
      <c r="K528">
        <f t="shared" ca="1" si="192"/>
        <v>7.7716492017968397</v>
      </c>
      <c r="L528">
        <f t="shared" ca="1" si="193"/>
        <v>315.31379840359369</v>
      </c>
      <c r="M528">
        <f t="shared" ca="1" si="194"/>
        <v>284.22720159640636</v>
      </c>
      <c r="N528">
        <f t="shared" ca="1" si="195"/>
        <v>9.0400000000000205</v>
      </c>
      <c r="O528">
        <f t="shared" ca="1" si="196"/>
        <v>9.0400000000000205</v>
      </c>
      <c r="P528">
        <f t="shared" ca="1" si="197"/>
        <v>0</v>
      </c>
      <c r="Q528">
        <f t="shared" ca="1" si="198"/>
        <v>3.0567676688782863</v>
      </c>
      <c r="R528">
        <f t="shared" ca="1" si="199"/>
        <v>3.0979824357327139</v>
      </c>
      <c r="S528">
        <f t="shared" ca="1" si="200"/>
        <v>0.98669625547935691</v>
      </c>
      <c r="T528">
        <f t="shared" ca="1" si="201"/>
        <v>49.665179201804229</v>
      </c>
      <c r="U528">
        <f>70</f>
        <v>70</v>
      </c>
      <c r="V528">
        <f>30</f>
        <v>30</v>
      </c>
      <c r="W528">
        <f t="shared" ca="1" si="202"/>
        <v>298.02731720318872</v>
      </c>
      <c r="X528">
        <f t="shared" ca="1" si="203"/>
        <v>299.40675383892528</v>
      </c>
      <c r="Y528">
        <f t="shared" ca="1" si="204"/>
        <v>-1.4118569467340762</v>
      </c>
      <c r="Z528">
        <f t="shared" ca="1" si="205"/>
        <v>-1.0457785277169633</v>
      </c>
      <c r="AA528">
        <f t="shared" ca="1" si="206"/>
        <v>-0.36607841901711291</v>
      </c>
      <c r="AB528">
        <f t="shared" ca="1" si="207"/>
        <v>296.37940000000003</v>
      </c>
    </row>
    <row r="529" spans="1:28" x14ac:dyDescent="0.25">
      <c r="A529" s="20">
        <f t="shared" ca="1" si="167"/>
        <v>46062</v>
      </c>
      <c r="B529" vm="1573">
        <f ca="1"/>
        <v>46062</v>
      </c>
      <c r="C529" vm="1574">
        <f ca="1"/>
        <v>296.33999999999997</v>
      </c>
      <c r="D529" vm="1575">
        <f ca="1"/>
        <v>4627815</v>
      </c>
      <c r="E529">
        <f t="shared" ca="1" si="188"/>
        <v>1371406697.0999999</v>
      </c>
      <c r="F529">
        <f ca="1">SUM($E$2:E529)/SUM($D$2:D529)</f>
        <v>235.60294086413447</v>
      </c>
      <c r="G529">
        <f ca="1">_xlfn.STDEV.P($C$2:C529)</f>
        <v>44.857660141398227</v>
      </c>
      <c r="H529">
        <f t="shared" ca="1" si="189"/>
        <v>280.46060100553268</v>
      </c>
      <c r="I529">
        <f t="shared" ca="1" si="190"/>
        <v>190.74528072273625</v>
      </c>
      <c r="J529">
        <f t="shared" ca="1" si="191"/>
        <v>299.37650000000008</v>
      </c>
      <c r="K529">
        <f t="shared" ca="1" si="192"/>
        <v>7.7338546765435634</v>
      </c>
      <c r="L529">
        <f t="shared" ca="1" si="193"/>
        <v>314.84420935308719</v>
      </c>
      <c r="M529">
        <f t="shared" ca="1" si="194"/>
        <v>283.90879064691296</v>
      </c>
      <c r="N529">
        <f t="shared" ca="1" si="195"/>
        <v>-2.5900000000000318</v>
      </c>
      <c r="O529">
        <f t="shared" ca="1" si="196"/>
        <v>0</v>
      </c>
      <c r="P529">
        <f t="shared" ca="1" si="197"/>
        <v>2.5900000000000318</v>
      </c>
      <c r="Q529">
        <f t="shared" ca="1" si="198"/>
        <v>2.8384271211012657</v>
      </c>
      <c r="R529">
        <f t="shared" ca="1" si="199"/>
        <v>3.0616979760375225</v>
      </c>
      <c r="S529">
        <f t="shared" ca="1" si="200"/>
        <v>0.92707613334702077</v>
      </c>
      <c r="T529">
        <f t="shared" ca="1" si="201"/>
        <v>48.107914228424328</v>
      </c>
      <c r="U529">
        <f>70</f>
        <v>70</v>
      </c>
      <c r="V529">
        <f>30</f>
        <v>30</v>
      </c>
      <c r="W529">
        <f t="shared" ca="1" si="202"/>
        <v>297.7677299411597</v>
      </c>
      <c r="X529">
        <f t="shared" ca="1" si="203"/>
        <v>299.17958688789378</v>
      </c>
      <c r="Y529">
        <v>-1.4118569467340762</v>
      </c>
      <c r="Z529">
        <f t="shared" ca="1" si="205"/>
        <v>-1.1189942115203859</v>
      </c>
      <c r="AA529">
        <f t="shared" ca="1" si="206"/>
        <v>-0.29286273521369033</v>
      </c>
      <c r="AB529">
        <f t="shared" ca="1" si="207"/>
        <v>296.76760000000007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0CC4-69A5-427B-B094-3B4D54F3BC8B}">
  <dimension ref="A1:D122"/>
  <sheetViews>
    <sheetView workbookViewId="0">
      <selection activeCell="O14" sqref="O14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4" x14ac:dyDescent="0.25">
      <c r="A1" t="s">
        <v>45</v>
      </c>
      <c r="B1" t="s">
        <v>48</v>
      </c>
      <c r="C1" t="s">
        <v>49</v>
      </c>
      <c r="D1" t="s">
        <v>50</v>
      </c>
    </row>
    <row r="2" spans="1:4" x14ac:dyDescent="0.25">
      <c r="A2" s="23">
        <v>45292</v>
      </c>
      <c r="B2">
        <v>160.405</v>
      </c>
    </row>
    <row r="3" spans="1:4" x14ac:dyDescent="0.25">
      <c r="A3" s="23">
        <v>45299</v>
      </c>
      <c r="B3">
        <v>162.08199999999999</v>
      </c>
    </row>
    <row r="4" spans="1:4" x14ac:dyDescent="0.25">
      <c r="A4" s="23">
        <v>45306</v>
      </c>
      <c r="B4">
        <v>167.84</v>
      </c>
    </row>
    <row r="5" spans="1:4" x14ac:dyDescent="0.25">
      <c r="A5" s="23">
        <v>45313</v>
      </c>
      <c r="B5">
        <v>179.71</v>
      </c>
    </row>
    <row r="6" spans="1:4" x14ac:dyDescent="0.25">
      <c r="A6" s="23">
        <v>45320</v>
      </c>
      <c r="B6">
        <v>186.27199999999999</v>
      </c>
    </row>
    <row r="7" spans="1:4" x14ac:dyDescent="0.25">
      <c r="A7" s="23">
        <v>45327</v>
      </c>
      <c r="B7">
        <v>184.25399999999999</v>
      </c>
    </row>
    <row r="8" spans="1:4" x14ac:dyDescent="0.25">
      <c r="A8" s="23">
        <v>45334</v>
      </c>
      <c r="B8">
        <v>185.58799999999999</v>
      </c>
    </row>
    <row r="9" spans="1:4" x14ac:dyDescent="0.25">
      <c r="A9" s="23">
        <v>45341</v>
      </c>
      <c r="B9">
        <v>183.26749999999998</v>
      </c>
    </row>
    <row r="10" spans="1:4" x14ac:dyDescent="0.25">
      <c r="A10" s="23">
        <v>45348</v>
      </c>
      <c r="B10">
        <v>185.506</v>
      </c>
    </row>
    <row r="11" spans="1:4" x14ac:dyDescent="0.25">
      <c r="A11" s="23">
        <v>45355</v>
      </c>
      <c r="B11">
        <v>194.732</v>
      </c>
    </row>
    <row r="12" spans="1:4" x14ac:dyDescent="0.25">
      <c r="A12" s="23">
        <v>45362</v>
      </c>
      <c r="B12">
        <v>194.142</v>
      </c>
    </row>
    <row r="13" spans="1:4" x14ac:dyDescent="0.25">
      <c r="A13" s="23">
        <v>45369</v>
      </c>
      <c r="B13">
        <v>192.346</v>
      </c>
    </row>
    <row r="14" spans="1:4" x14ac:dyDescent="0.25">
      <c r="A14" s="23">
        <v>45376</v>
      </c>
      <c r="B14">
        <v>189.76249999999999</v>
      </c>
    </row>
    <row r="15" spans="1:4" x14ac:dyDescent="0.25">
      <c r="A15" s="23">
        <v>45383</v>
      </c>
      <c r="B15">
        <v>189.33799999999999</v>
      </c>
    </row>
    <row r="16" spans="1:4" x14ac:dyDescent="0.25">
      <c r="A16" s="23">
        <v>45390</v>
      </c>
      <c r="B16">
        <v>186.66800000000001</v>
      </c>
    </row>
    <row r="17" spans="1:2" x14ac:dyDescent="0.25">
      <c r="A17" s="23">
        <v>45397</v>
      </c>
      <c r="B17">
        <v>182.23</v>
      </c>
    </row>
    <row r="18" spans="1:2" x14ac:dyDescent="0.25">
      <c r="A18" s="23">
        <v>45404</v>
      </c>
      <c r="B18">
        <v>176.846</v>
      </c>
    </row>
    <row r="19" spans="1:2" x14ac:dyDescent="0.25">
      <c r="A19" s="23">
        <v>45411</v>
      </c>
      <c r="B19">
        <v>165.69200000000001</v>
      </c>
    </row>
    <row r="20" spans="1:2" x14ac:dyDescent="0.25">
      <c r="A20" s="23">
        <v>45418</v>
      </c>
      <c r="B20">
        <v>168.06200000000001</v>
      </c>
    </row>
    <row r="21" spans="1:2" x14ac:dyDescent="0.25">
      <c r="A21" s="23">
        <v>45425</v>
      </c>
      <c r="B21">
        <v>168.23599999999999</v>
      </c>
    </row>
    <row r="22" spans="1:2" x14ac:dyDescent="0.25">
      <c r="A22" s="23">
        <v>45432</v>
      </c>
      <c r="B22">
        <v>171.72799999999998</v>
      </c>
    </row>
    <row r="23" spans="1:2" x14ac:dyDescent="0.25">
      <c r="A23" s="23">
        <v>45439</v>
      </c>
      <c r="B23">
        <v>167.29750000000001</v>
      </c>
    </row>
    <row r="24" spans="1:2" x14ac:dyDescent="0.25">
      <c r="A24" s="23">
        <v>45446</v>
      </c>
      <c r="B24">
        <v>167.33599999999998</v>
      </c>
    </row>
    <row r="25" spans="1:2" x14ac:dyDescent="0.25">
      <c r="A25" s="23">
        <v>45453</v>
      </c>
      <c r="B25">
        <v>169.40600000000001</v>
      </c>
    </row>
    <row r="26" spans="1:2" x14ac:dyDescent="0.25">
      <c r="A26" s="23">
        <v>45460</v>
      </c>
      <c r="B26">
        <v>171.60750000000002</v>
      </c>
    </row>
    <row r="27" spans="1:2" x14ac:dyDescent="0.25">
      <c r="A27" s="23">
        <v>45467</v>
      </c>
      <c r="B27">
        <v>172.65600000000001</v>
      </c>
    </row>
    <row r="28" spans="1:2" x14ac:dyDescent="0.25">
      <c r="A28" s="23">
        <v>45474</v>
      </c>
      <c r="B28">
        <v>176.03749999999999</v>
      </c>
    </row>
    <row r="29" spans="1:2" x14ac:dyDescent="0.25">
      <c r="A29" s="23">
        <v>45481</v>
      </c>
      <c r="B29">
        <v>178.62</v>
      </c>
    </row>
    <row r="30" spans="1:2" x14ac:dyDescent="0.25">
      <c r="A30" s="23">
        <v>45488</v>
      </c>
      <c r="B30">
        <v>184.922</v>
      </c>
    </row>
    <row r="31" spans="1:2" x14ac:dyDescent="0.25">
      <c r="A31" s="23">
        <v>45495</v>
      </c>
      <c r="B31">
        <v>187.2</v>
      </c>
    </row>
    <row r="32" spans="1:2" x14ac:dyDescent="0.25">
      <c r="A32" s="23">
        <v>45502</v>
      </c>
      <c r="B32">
        <v>190.69200000000001</v>
      </c>
    </row>
    <row r="33" spans="1:2" x14ac:dyDescent="0.25">
      <c r="A33" s="23">
        <v>45509</v>
      </c>
      <c r="B33">
        <v>188.19400000000002</v>
      </c>
    </row>
    <row r="34" spans="1:2" x14ac:dyDescent="0.25">
      <c r="A34" s="23">
        <v>45516</v>
      </c>
      <c r="B34">
        <v>192.10399999999998</v>
      </c>
    </row>
    <row r="35" spans="1:2" x14ac:dyDescent="0.25">
      <c r="A35" s="23">
        <v>45523</v>
      </c>
      <c r="B35">
        <v>196.006</v>
      </c>
    </row>
    <row r="36" spans="1:2" x14ac:dyDescent="0.25">
      <c r="A36" s="23">
        <v>45530</v>
      </c>
      <c r="B36">
        <v>199.24</v>
      </c>
    </row>
    <row r="37" spans="1:2" x14ac:dyDescent="0.25">
      <c r="A37" s="23">
        <v>45537</v>
      </c>
      <c r="B37">
        <v>202.18</v>
      </c>
    </row>
    <row r="38" spans="1:2" x14ac:dyDescent="0.25">
      <c r="A38" s="23">
        <v>45544</v>
      </c>
      <c r="B38">
        <v>209.02799999999999</v>
      </c>
    </row>
    <row r="39" spans="1:2" x14ac:dyDescent="0.25">
      <c r="A39" s="23">
        <v>45551</v>
      </c>
      <c r="B39">
        <v>215.56399999999999</v>
      </c>
    </row>
    <row r="40" spans="1:2" x14ac:dyDescent="0.25">
      <c r="A40" s="23">
        <v>45558</v>
      </c>
      <c r="B40">
        <v>221.39400000000001</v>
      </c>
    </row>
    <row r="41" spans="1:2" x14ac:dyDescent="0.25">
      <c r="A41" s="23">
        <v>45565</v>
      </c>
      <c r="B41">
        <v>221.77600000000001</v>
      </c>
    </row>
    <row r="42" spans="1:2" x14ac:dyDescent="0.25">
      <c r="A42" s="23">
        <v>45572</v>
      </c>
      <c r="B42">
        <v>231.26400000000001</v>
      </c>
    </row>
    <row r="43" spans="1:2" x14ac:dyDescent="0.25">
      <c r="A43" s="23">
        <v>45579</v>
      </c>
      <c r="B43">
        <v>233.39400000000001</v>
      </c>
    </row>
    <row r="44" spans="1:2" x14ac:dyDescent="0.25">
      <c r="A44" s="23">
        <v>45586</v>
      </c>
      <c r="B44">
        <v>225.96199999999999</v>
      </c>
    </row>
    <row r="45" spans="1:2" x14ac:dyDescent="0.25">
      <c r="A45" s="23">
        <v>45593</v>
      </c>
      <c r="B45">
        <v>208.642</v>
      </c>
    </row>
    <row r="46" spans="1:2" x14ac:dyDescent="0.25">
      <c r="A46" s="23">
        <v>45600</v>
      </c>
      <c r="B46">
        <v>210.98</v>
      </c>
    </row>
    <row r="47" spans="1:2" x14ac:dyDescent="0.25">
      <c r="A47" s="23">
        <v>45607</v>
      </c>
      <c r="B47">
        <v>209.86600000000001</v>
      </c>
    </row>
    <row r="48" spans="1:2" x14ac:dyDescent="0.25">
      <c r="A48" s="23">
        <v>45614</v>
      </c>
      <c r="B48">
        <v>215.66200000000001</v>
      </c>
    </row>
    <row r="49" spans="1:2" x14ac:dyDescent="0.25">
      <c r="A49" s="23">
        <v>45621</v>
      </c>
      <c r="B49">
        <v>227.32249999999999</v>
      </c>
    </row>
    <row r="50" spans="1:2" x14ac:dyDescent="0.25">
      <c r="A50" s="23">
        <v>45628</v>
      </c>
      <c r="B50">
        <v>232.53399999999999</v>
      </c>
    </row>
    <row r="51" spans="1:2" x14ac:dyDescent="0.25">
      <c r="A51" s="23">
        <v>45635</v>
      </c>
      <c r="B51">
        <v>230.98400000000001</v>
      </c>
    </row>
    <row r="52" spans="1:2" x14ac:dyDescent="0.25">
      <c r="A52" s="23">
        <v>45642</v>
      </c>
      <c r="B52">
        <v>225.15</v>
      </c>
    </row>
    <row r="53" spans="1:2" x14ac:dyDescent="0.25">
      <c r="A53" s="23">
        <v>45649</v>
      </c>
      <c r="B53">
        <v>223.5025</v>
      </c>
    </row>
    <row r="54" spans="1:2" x14ac:dyDescent="0.25">
      <c r="A54" s="23">
        <v>45656</v>
      </c>
      <c r="B54">
        <v>220.66750000000002</v>
      </c>
    </row>
    <row r="55" spans="1:2" x14ac:dyDescent="0.25">
      <c r="A55" s="23">
        <v>45663</v>
      </c>
      <c r="B55">
        <v>222.39</v>
      </c>
    </row>
    <row r="56" spans="1:2" x14ac:dyDescent="0.25">
      <c r="A56" s="23">
        <v>45670</v>
      </c>
      <c r="B56">
        <v>220.52600000000001</v>
      </c>
    </row>
    <row r="57" spans="1:2" x14ac:dyDescent="0.25">
      <c r="A57" s="23">
        <v>45677</v>
      </c>
      <c r="B57">
        <v>224.59</v>
      </c>
    </row>
    <row r="58" spans="1:2" x14ac:dyDescent="0.25">
      <c r="A58" s="23">
        <v>45684</v>
      </c>
      <c r="B58">
        <v>238.47799999999998</v>
      </c>
    </row>
    <row r="59" spans="1:2" x14ac:dyDescent="0.25">
      <c r="A59" s="23">
        <v>45691</v>
      </c>
      <c r="B59">
        <v>258.85399999999998</v>
      </c>
    </row>
    <row r="60" spans="1:2" x14ac:dyDescent="0.25">
      <c r="A60" s="23">
        <v>45698</v>
      </c>
      <c r="B60">
        <v>256.05</v>
      </c>
    </row>
    <row r="61" spans="1:2" x14ac:dyDescent="0.25">
      <c r="A61" s="23">
        <v>45705</v>
      </c>
      <c r="B61">
        <v>263.40250000000003</v>
      </c>
    </row>
    <row r="62" spans="1:2" x14ac:dyDescent="0.25">
      <c r="A62" s="23">
        <v>45712</v>
      </c>
      <c r="B62">
        <v>256.226</v>
      </c>
    </row>
    <row r="63" spans="1:2" x14ac:dyDescent="0.25">
      <c r="A63" s="23">
        <v>45719</v>
      </c>
      <c r="B63">
        <v>252.99600000000001</v>
      </c>
    </row>
    <row r="64" spans="1:2" x14ac:dyDescent="0.25">
      <c r="A64" s="23">
        <v>45726</v>
      </c>
      <c r="B64">
        <v>249.92599999999999</v>
      </c>
    </row>
    <row r="65" spans="1:2" x14ac:dyDescent="0.25">
      <c r="A65" s="23">
        <v>45733</v>
      </c>
      <c r="B65">
        <v>247.88</v>
      </c>
    </row>
    <row r="66" spans="1:2" x14ac:dyDescent="0.25">
      <c r="A66" s="23">
        <v>45740</v>
      </c>
      <c r="B66">
        <v>247.78</v>
      </c>
    </row>
    <row r="67" spans="1:2" x14ac:dyDescent="0.25">
      <c r="A67" s="23">
        <v>45747</v>
      </c>
      <c r="B67">
        <v>243.99</v>
      </c>
    </row>
    <row r="68" spans="1:2" x14ac:dyDescent="0.25">
      <c r="A68" s="23">
        <v>45754</v>
      </c>
      <c r="B68">
        <v>229.43</v>
      </c>
    </row>
    <row r="69" spans="1:2" x14ac:dyDescent="0.25">
      <c r="A69" s="23">
        <v>45761</v>
      </c>
      <c r="B69">
        <v>239.285</v>
      </c>
    </row>
    <row r="70" spans="1:2" x14ac:dyDescent="0.25">
      <c r="A70" s="23">
        <v>45768</v>
      </c>
      <c r="B70">
        <v>236.86799999999999</v>
      </c>
    </row>
    <row r="71" spans="1:2" x14ac:dyDescent="0.25">
      <c r="A71" s="23">
        <v>45775</v>
      </c>
      <c r="B71">
        <v>240.51599999999999</v>
      </c>
    </row>
    <row r="72" spans="1:2" x14ac:dyDescent="0.25">
      <c r="A72" s="23">
        <v>45782</v>
      </c>
      <c r="B72">
        <v>251.00200000000001</v>
      </c>
    </row>
    <row r="73" spans="1:2" x14ac:dyDescent="0.25">
      <c r="A73" s="23">
        <v>45789</v>
      </c>
      <c r="B73">
        <v>260.70799999999997</v>
      </c>
    </row>
    <row r="74" spans="1:2" x14ac:dyDescent="0.25">
      <c r="A74" s="23">
        <v>45796</v>
      </c>
      <c r="B74">
        <v>262.64600000000002</v>
      </c>
    </row>
    <row r="75" spans="1:2" x14ac:dyDescent="0.25">
      <c r="A75" s="23">
        <v>45803</v>
      </c>
      <c r="B75">
        <v>260.30500000000001</v>
      </c>
    </row>
    <row r="76" spans="1:2" x14ac:dyDescent="0.25">
      <c r="A76" s="23">
        <v>45810</v>
      </c>
      <c r="B76">
        <v>266.07</v>
      </c>
    </row>
    <row r="77" spans="1:2" x14ac:dyDescent="0.25">
      <c r="A77" s="23">
        <v>45817</v>
      </c>
      <c r="B77">
        <v>277.61799999999999</v>
      </c>
    </row>
    <row r="78" spans="1:2" x14ac:dyDescent="0.25">
      <c r="A78" s="23">
        <v>45824</v>
      </c>
      <c r="B78">
        <v>282.26499999999999</v>
      </c>
    </row>
    <row r="79" spans="1:2" x14ac:dyDescent="0.25">
      <c r="A79" s="23">
        <v>45831</v>
      </c>
      <c r="B79">
        <v>291.13200000000001</v>
      </c>
    </row>
    <row r="80" spans="1:2" x14ac:dyDescent="0.25">
      <c r="A80" s="23">
        <v>45838</v>
      </c>
      <c r="B80">
        <v>291.39999999999998</v>
      </c>
    </row>
    <row r="81" spans="1:2" x14ac:dyDescent="0.25">
      <c r="A81" s="23">
        <v>45845</v>
      </c>
      <c r="B81">
        <v>288.81</v>
      </c>
    </row>
    <row r="82" spans="1:2" x14ac:dyDescent="0.25">
      <c r="A82" s="23">
        <v>45852</v>
      </c>
      <c r="B82">
        <v>283.25600000000003</v>
      </c>
    </row>
    <row r="83" spans="1:2" x14ac:dyDescent="0.25">
      <c r="A83" s="23">
        <v>45859</v>
      </c>
      <c r="B83">
        <v>273.78199999999998</v>
      </c>
    </row>
    <row r="84" spans="1:2" x14ac:dyDescent="0.25">
      <c r="A84" s="23">
        <v>45866</v>
      </c>
      <c r="B84">
        <v>257.81600000000003</v>
      </c>
    </row>
    <row r="85" spans="1:2" x14ac:dyDescent="0.25">
      <c r="A85" s="23">
        <v>45873</v>
      </c>
      <c r="B85">
        <v>249.47200000000001</v>
      </c>
    </row>
    <row r="86" spans="1:2" x14ac:dyDescent="0.25">
      <c r="A86" s="23">
        <v>45880</v>
      </c>
      <c r="B86">
        <v>237.59399999999999</v>
      </c>
    </row>
    <row r="87" spans="1:2" x14ac:dyDescent="0.25">
      <c r="A87" s="23">
        <v>45887</v>
      </c>
      <c r="B87">
        <v>240.95400000000001</v>
      </c>
    </row>
    <row r="88" spans="1:2" x14ac:dyDescent="0.25">
      <c r="A88" s="23">
        <v>45894</v>
      </c>
      <c r="B88">
        <v>243.22399999999999</v>
      </c>
    </row>
    <row r="89" spans="1:2" x14ac:dyDescent="0.25">
      <c r="A89" s="23">
        <v>45901</v>
      </c>
      <c r="B89">
        <v>245.32749999999999</v>
      </c>
    </row>
    <row r="90" spans="1:2" x14ac:dyDescent="0.25">
      <c r="A90" s="23">
        <v>45908</v>
      </c>
      <c r="B90">
        <v>256.50599999999997</v>
      </c>
    </row>
    <row r="91" spans="1:2" x14ac:dyDescent="0.25">
      <c r="A91" s="23">
        <v>45915</v>
      </c>
      <c r="B91">
        <v>260.84800000000001</v>
      </c>
    </row>
    <row r="92" spans="1:2" x14ac:dyDescent="0.25">
      <c r="A92" s="23">
        <v>45922</v>
      </c>
      <c r="B92">
        <v>275.37799999999999</v>
      </c>
    </row>
    <row r="93" spans="1:2" x14ac:dyDescent="0.25">
      <c r="A93" s="23">
        <v>45929</v>
      </c>
      <c r="B93">
        <v>284.70800000000003</v>
      </c>
    </row>
    <row r="94" spans="1:2" x14ac:dyDescent="0.25">
      <c r="A94" s="23">
        <v>45936</v>
      </c>
      <c r="B94">
        <v>287.76</v>
      </c>
    </row>
    <row r="95" spans="1:2" x14ac:dyDescent="0.25">
      <c r="A95" s="23">
        <v>45943</v>
      </c>
      <c r="B95">
        <v>278.274</v>
      </c>
    </row>
    <row r="96" spans="1:2" x14ac:dyDescent="0.25">
      <c r="A96" s="23">
        <v>45950</v>
      </c>
      <c r="B96">
        <v>289.13400000000001</v>
      </c>
    </row>
    <row r="97" spans="1:4" x14ac:dyDescent="0.25">
      <c r="A97" s="23">
        <v>45957</v>
      </c>
      <c r="B97">
        <v>310.26799999999997</v>
      </c>
    </row>
    <row r="98" spans="1:4" x14ac:dyDescent="0.25">
      <c r="A98" s="23">
        <v>45964</v>
      </c>
      <c r="B98">
        <v>306.23</v>
      </c>
    </row>
    <row r="99" spans="1:4" x14ac:dyDescent="0.25">
      <c r="A99" s="23">
        <v>45971</v>
      </c>
      <c r="B99">
        <v>309.67599999999999</v>
      </c>
    </row>
    <row r="100" spans="1:4" x14ac:dyDescent="0.25">
      <c r="A100" s="23">
        <v>45978</v>
      </c>
      <c r="B100">
        <v>292.69799999999998</v>
      </c>
    </row>
    <row r="101" spans="1:4" x14ac:dyDescent="0.25">
      <c r="A101" s="23">
        <v>45985</v>
      </c>
      <c r="B101">
        <v>305.09749999999997</v>
      </c>
    </row>
    <row r="102" spans="1:4" x14ac:dyDescent="0.25">
      <c r="A102" s="23">
        <v>45992</v>
      </c>
      <c r="B102">
        <v>305.2</v>
      </c>
    </row>
    <row r="103" spans="1:4" x14ac:dyDescent="0.25">
      <c r="A103" s="23">
        <v>45999</v>
      </c>
      <c r="B103">
        <v>310.46199999999999</v>
      </c>
    </row>
    <row r="104" spans="1:4" x14ac:dyDescent="0.25">
      <c r="A104" s="23">
        <v>46006</v>
      </c>
      <c r="B104">
        <v>303.31799999999998</v>
      </c>
    </row>
    <row r="105" spans="1:4" x14ac:dyDescent="0.25">
      <c r="A105" s="23">
        <v>46013</v>
      </c>
      <c r="B105">
        <v>304.05500000000001</v>
      </c>
    </row>
    <row r="106" spans="1:4" x14ac:dyDescent="0.25">
      <c r="A106" s="23">
        <v>46020</v>
      </c>
      <c r="B106">
        <v>298.875</v>
      </c>
    </row>
    <row r="107" spans="1:4" x14ac:dyDescent="0.25">
      <c r="A107" s="23">
        <v>46027</v>
      </c>
      <c r="B107">
        <v>300.22200000000004</v>
      </c>
    </row>
    <row r="108" spans="1:4" x14ac:dyDescent="0.25">
      <c r="A108" s="23">
        <v>46034</v>
      </c>
      <c r="B108">
        <v>305.59800000000001</v>
      </c>
    </row>
    <row r="109" spans="1:4" x14ac:dyDescent="0.25">
      <c r="A109" s="23">
        <v>46041</v>
      </c>
      <c r="B109">
        <v>294</v>
      </c>
    </row>
    <row r="110" spans="1:4" x14ac:dyDescent="0.25">
      <c r="A110" s="23">
        <v>46048</v>
      </c>
      <c r="B110">
        <v>300.05799999999999</v>
      </c>
    </row>
    <row r="111" spans="1:4" x14ac:dyDescent="0.25">
      <c r="A111" s="23">
        <v>46055</v>
      </c>
      <c r="B111">
        <v>297.38200000000001</v>
      </c>
    </row>
    <row r="112" spans="1:4" x14ac:dyDescent="0.25">
      <c r="A112" s="23">
        <v>46062</v>
      </c>
      <c r="B112">
        <v>296.33999999999997</v>
      </c>
      <c r="C112">
        <f>_xlfn.FORECAST.ETS(Weekly[[#This Row],[Week]],B2:B111,A2:A111,1,1,1)</f>
        <v>291.23768497848266</v>
      </c>
      <c r="D112">
        <v>298.63866972477098</v>
      </c>
    </row>
    <row r="113" spans="1:4" x14ac:dyDescent="0.25">
      <c r="A113" s="23">
        <v>46069</v>
      </c>
      <c r="C113">
        <f>_xlfn.FORECAST.ETS(Weekly[[#This Row],[Week]],B3:B112,A3:A112,1,1,1)</f>
        <v>298.39317918652642</v>
      </c>
      <c r="D113">
        <v>299.89533944954098</v>
      </c>
    </row>
    <row r="114" spans="1:4" x14ac:dyDescent="0.25">
      <c r="A114" s="23">
        <v>46076</v>
      </c>
      <c r="C114">
        <f>_xlfn.FORECAST.ETS(Weekly[[#This Row],[Week]],B4:B113,A4:A113,1,1,1)</f>
        <v>300.65770737133647</v>
      </c>
      <c r="D114">
        <v>301.15200917431201</v>
      </c>
    </row>
    <row r="115" spans="1:4" x14ac:dyDescent="0.25">
      <c r="A115" s="23">
        <v>46083</v>
      </c>
      <c r="C115">
        <f>_xlfn.FORECAST.ETS(Weekly[[#This Row],[Week]],B5:B114,A5:A114,1,1,1)</f>
        <v>305.25054970767405</v>
      </c>
      <c r="D115">
        <v>302.40867889908299</v>
      </c>
    </row>
    <row r="116" spans="1:4" x14ac:dyDescent="0.25">
      <c r="A116" s="23">
        <v>46090</v>
      </c>
      <c r="C116">
        <f>_xlfn.FORECAST.ETS(Weekly[[#This Row],[Week]],B6:B115,A6:A115,1,1,1)</f>
        <v>309.78088127830443</v>
      </c>
      <c r="D116">
        <v>303.66534862385299</v>
      </c>
    </row>
    <row r="117" spans="1:4" x14ac:dyDescent="0.25">
      <c r="A117" s="23">
        <v>46097</v>
      </c>
      <c r="C117">
        <f>_xlfn.FORECAST.ETS(Weekly[[#This Row],[Week]],B7:B116,A7:A116,1,1,1)</f>
        <v>307.5039225187424</v>
      </c>
      <c r="D117">
        <v>304.92201834862402</v>
      </c>
    </row>
    <row r="118" spans="1:4" x14ac:dyDescent="0.25">
      <c r="A118" s="23">
        <v>46104</v>
      </c>
      <c r="C118">
        <f>_xlfn.FORECAST.ETS(Weekly[[#This Row],[Week]],B8:B117,A8:A117,1,1,1)</f>
        <v>311.37200023875977</v>
      </c>
      <c r="D118">
        <v>306.17868807339499</v>
      </c>
    </row>
    <row r="119" spans="1:4" x14ac:dyDescent="0.25">
      <c r="A119" s="23">
        <v>46111</v>
      </c>
      <c r="C119">
        <f>_xlfn.FORECAST.ETS(Weekly[[#This Row],[Week]],B9:B118,A9:A118,1,1,1)</f>
        <v>316.1200232068843</v>
      </c>
      <c r="D119">
        <v>307.435357798165</v>
      </c>
    </row>
    <row r="120" spans="1:4" x14ac:dyDescent="0.25">
      <c r="A120" s="23">
        <v>46118</v>
      </c>
      <c r="C120">
        <f>_xlfn.FORECAST.ETS(Weekly[[#This Row],[Week]],B10:B119,A10:A119,1,1,1)</f>
        <v>320.24440470794116</v>
      </c>
      <c r="D120">
        <v>308.69202752293597</v>
      </c>
    </row>
    <row r="121" spans="1:4" x14ac:dyDescent="0.25">
      <c r="A121" s="23"/>
    </row>
    <row r="122" spans="1:4" x14ac:dyDescent="0.25">
      <c r="A122" s="2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E5F7-0882-4256-A946-ABE807B776C8}">
  <dimension ref="A1:B106"/>
  <sheetViews>
    <sheetView workbookViewId="0">
      <selection activeCell="E6" sqref="E6"/>
    </sheetView>
  </sheetViews>
  <sheetFormatPr defaultRowHeight="15" x14ac:dyDescent="0.25"/>
  <cols>
    <col min="1" max="1" width="20.7109375" style="22" customWidth="1"/>
    <col min="2" max="2" width="10.140625" bestFit="1" customWidth="1"/>
  </cols>
  <sheetData>
    <row r="1" spans="1:2" ht="15.75" thickBot="1" x14ac:dyDescent="0.3">
      <c r="A1" s="24" t="s">
        <v>46</v>
      </c>
      <c r="B1" s="24" t="s">
        <v>47</v>
      </c>
    </row>
    <row r="2" spans="1:2" ht="15.75" thickBot="1" x14ac:dyDescent="0.3">
      <c r="A2" s="25">
        <v>36564</v>
      </c>
      <c r="B2" s="26">
        <v>0.11</v>
      </c>
    </row>
    <row r="3" spans="1:2" ht="15.75" thickBot="1" x14ac:dyDescent="0.3">
      <c r="A3" s="25">
        <v>36654</v>
      </c>
      <c r="B3" s="26">
        <v>0.12</v>
      </c>
    </row>
    <row r="4" spans="1:2" ht="15.75" thickBot="1" x14ac:dyDescent="0.3">
      <c r="A4" s="25">
        <v>36746</v>
      </c>
      <c r="B4" s="26">
        <v>0.12</v>
      </c>
    </row>
    <row r="5" spans="1:2" ht="15.75" thickBot="1" x14ac:dyDescent="0.3">
      <c r="A5" s="25">
        <v>36838</v>
      </c>
      <c r="B5" s="26">
        <v>0.12</v>
      </c>
    </row>
    <row r="6" spans="1:2" ht="15.75" thickBot="1" x14ac:dyDescent="0.3">
      <c r="A6" s="25">
        <v>36929</v>
      </c>
      <c r="B6" s="26">
        <v>0.12</v>
      </c>
    </row>
    <row r="7" spans="1:2" ht="15.75" thickBot="1" x14ac:dyDescent="0.3">
      <c r="A7" s="25">
        <v>37019</v>
      </c>
      <c r="B7" s="26">
        <v>0.13</v>
      </c>
    </row>
    <row r="8" spans="1:2" ht="15.75" thickBot="1" x14ac:dyDescent="0.3">
      <c r="A8" s="25">
        <v>37111</v>
      </c>
      <c r="B8" s="26">
        <v>0.13</v>
      </c>
    </row>
    <row r="9" spans="1:2" ht="15.75" thickBot="1" x14ac:dyDescent="0.3">
      <c r="A9" s="25">
        <v>37202</v>
      </c>
      <c r="B9" s="26">
        <v>0.13</v>
      </c>
    </row>
    <row r="10" spans="1:2" ht="15.75" thickBot="1" x14ac:dyDescent="0.3">
      <c r="A10" s="25">
        <v>37293</v>
      </c>
      <c r="B10" s="26">
        <v>0.13</v>
      </c>
    </row>
    <row r="11" spans="1:2" ht="15.75" thickBot="1" x14ac:dyDescent="0.3">
      <c r="A11" s="25">
        <v>37384</v>
      </c>
      <c r="B11" s="26">
        <v>0.14000000000000001</v>
      </c>
    </row>
    <row r="12" spans="1:2" ht="15.75" thickBot="1" x14ac:dyDescent="0.3">
      <c r="A12" s="25">
        <v>37475</v>
      </c>
      <c r="B12" s="26">
        <v>0.14000000000000001</v>
      </c>
    </row>
    <row r="13" spans="1:2" ht="15.75" thickBot="1" x14ac:dyDescent="0.3">
      <c r="A13" s="25">
        <v>37566</v>
      </c>
      <c r="B13" s="26">
        <v>0.14000000000000001</v>
      </c>
    </row>
    <row r="14" spans="1:2" ht="15.75" thickBot="1" x14ac:dyDescent="0.3">
      <c r="A14" s="25">
        <v>37658</v>
      </c>
      <c r="B14" s="26">
        <v>0.14000000000000001</v>
      </c>
    </row>
    <row r="15" spans="1:2" ht="15.75" thickBot="1" x14ac:dyDescent="0.3">
      <c r="A15" s="25">
        <v>37748</v>
      </c>
      <c r="B15" s="26">
        <v>0.15</v>
      </c>
    </row>
    <row r="16" spans="1:2" ht="15.75" thickBot="1" x14ac:dyDescent="0.3">
      <c r="A16" s="25">
        <v>37839</v>
      </c>
      <c r="B16" s="26">
        <v>0.15</v>
      </c>
    </row>
    <row r="17" spans="1:2" ht="15.75" thickBot="1" x14ac:dyDescent="0.3">
      <c r="A17" s="25">
        <v>37931</v>
      </c>
      <c r="B17" s="26">
        <v>0.15</v>
      </c>
    </row>
    <row r="18" spans="1:2" ht="15.75" thickBot="1" x14ac:dyDescent="0.3">
      <c r="A18" s="25">
        <v>38023</v>
      </c>
      <c r="B18" s="26">
        <v>0.15</v>
      </c>
    </row>
    <row r="19" spans="1:2" ht="15.75" thickBot="1" x14ac:dyDescent="0.3">
      <c r="A19" s="25">
        <v>38113</v>
      </c>
      <c r="B19" s="26">
        <v>0.17</v>
      </c>
    </row>
    <row r="20" spans="1:2" ht="15.75" thickBot="1" x14ac:dyDescent="0.3">
      <c r="A20" s="25">
        <v>38205</v>
      </c>
      <c r="B20" s="26">
        <v>0.17</v>
      </c>
    </row>
    <row r="21" spans="1:2" ht="15.75" thickBot="1" x14ac:dyDescent="0.3">
      <c r="A21" s="25">
        <v>38299</v>
      </c>
      <c r="B21" s="26">
        <v>0.17</v>
      </c>
    </row>
    <row r="22" spans="1:2" ht="15.75" thickBot="1" x14ac:dyDescent="0.3">
      <c r="A22" s="25">
        <v>38391</v>
      </c>
      <c r="B22" s="26">
        <v>0.17</v>
      </c>
    </row>
    <row r="23" spans="1:2" ht="15.75" thickBot="1" x14ac:dyDescent="0.3">
      <c r="A23" s="25">
        <v>38478</v>
      </c>
      <c r="B23" s="26">
        <v>0.19</v>
      </c>
    </row>
    <row r="24" spans="1:2" ht="15.75" thickBot="1" x14ac:dyDescent="0.3">
      <c r="A24" s="25">
        <v>38572</v>
      </c>
      <c r="B24" s="26">
        <v>0.19</v>
      </c>
    </row>
    <row r="25" spans="1:2" ht="15.75" thickBot="1" x14ac:dyDescent="0.3">
      <c r="A25" s="25">
        <v>38664</v>
      </c>
      <c r="B25" s="26">
        <v>0.19</v>
      </c>
    </row>
    <row r="26" spans="1:2" ht="15.75" thickBot="1" x14ac:dyDescent="0.3">
      <c r="A26" s="25">
        <v>38756</v>
      </c>
      <c r="B26" s="26">
        <v>0.19</v>
      </c>
    </row>
    <row r="27" spans="1:2" ht="15.75" thickBot="1" x14ac:dyDescent="0.3">
      <c r="A27" s="25">
        <v>38845</v>
      </c>
      <c r="B27" s="26">
        <v>0.28999999999999998</v>
      </c>
    </row>
    <row r="28" spans="1:2" ht="15.75" thickBot="1" x14ac:dyDescent="0.3">
      <c r="A28" s="25">
        <v>38937</v>
      </c>
      <c r="B28" s="26">
        <v>0.28999999999999998</v>
      </c>
    </row>
    <row r="29" spans="1:2" ht="15.75" thickBot="1" x14ac:dyDescent="0.3">
      <c r="A29" s="25">
        <v>39029</v>
      </c>
      <c r="B29" s="26">
        <v>0.28999999999999998</v>
      </c>
    </row>
    <row r="30" spans="1:2" ht="15.75" thickBot="1" x14ac:dyDescent="0.3">
      <c r="A30" s="25">
        <v>39120</v>
      </c>
      <c r="B30" s="26">
        <v>0.28999999999999998</v>
      </c>
    </row>
    <row r="31" spans="1:2" ht="15.75" thickBot="1" x14ac:dyDescent="0.3">
      <c r="A31" s="25">
        <v>39210</v>
      </c>
      <c r="B31" s="26">
        <v>0.38</v>
      </c>
    </row>
    <row r="32" spans="1:2" ht="15.75" thickBot="1" x14ac:dyDescent="0.3">
      <c r="A32" s="25">
        <v>39302</v>
      </c>
      <c r="B32" s="26">
        <v>0.38</v>
      </c>
    </row>
    <row r="33" spans="1:2" ht="15.75" thickBot="1" x14ac:dyDescent="0.3">
      <c r="A33" s="25">
        <v>39393</v>
      </c>
      <c r="B33" s="26">
        <v>0.38</v>
      </c>
    </row>
    <row r="34" spans="1:2" ht="15.75" thickBot="1" x14ac:dyDescent="0.3">
      <c r="A34" s="25">
        <v>39484</v>
      </c>
      <c r="B34" s="26">
        <v>0.38</v>
      </c>
    </row>
    <row r="35" spans="1:2" ht="15.75" thickBot="1" x14ac:dyDescent="0.3">
      <c r="A35" s="25">
        <v>39575</v>
      </c>
      <c r="B35" s="26">
        <v>0.48</v>
      </c>
    </row>
    <row r="36" spans="1:2" ht="15.75" thickBot="1" x14ac:dyDescent="0.3">
      <c r="A36" s="25">
        <v>39666</v>
      </c>
      <c r="B36" s="26">
        <v>0.48</v>
      </c>
    </row>
    <row r="37" spans="1:2" ht="15.75" thickBot="1" x14ac:dyDescent="0.3">
      <c r="A37" s="25">
        <v>39758</v>
      </c>
      <c r="B37" s="26">
        <v>0.48</v>
      </c>
    </row>
    <row r="38" spans="1:2" ht="15.75" thickBot="1" x14ac:dyDescent="0.3">
      <c r="A38" s="25">
        <v>39850</v>
      </c>
      <c r="B38" s="26">
        <v>0.48</v>
      </c>
    </row>
    <row r="39" spans="1:2" ht="15.75" thickBot="1" x14ac:dyDescent="0.3">
      <c r="A39" s="25">
        <v>39939</v>
      </c>
      <c r="B39" s="26">
        <v>0.53</v>
      </c>
    </row>
    <row r="40" spans="1:2" ht="15.75" thickBot="1" x14ac:dyDescent="0.3">
      <c r="A40" s="25">
        <v>40031</v>
      </c>
      <c r="B40" s="26">
        <v>0.53</v>
      </c>
    </row>
    <row r="41" spans="1:2" ht="15.75" thickBot="1" x14ac:dyDescent="0.3">
      <c r="A41" s="25">
        <v>40123</v>
      </c>
      <c r="B41" s="26">
        <v>0.53</v>
      </c>
    </row>
    <row r="42" spans="1:2" ht="15.75" thickBot="1" x14ac:dyDescent="0.3">
      <c r="A42" s="25">
        <v>40217</v>
      </c>
      <c r="B42" s="26">
        <v>0.53</v>
      </c>
    </row>
    <row r="43" spans="1:2" ht="15.75" thickBot="1" x14ac:dyDescent="0.3">
      <c r="A43" s="25">
        <v>40304</v>
      </c>
      <c r="B43" s="26">
        <v>0.62</v>
      </c>
    </row>
    <row r="44" spans="1:2" ht="15.75" thickBot="1" x14ac:dyDescent="0.3">
      <c r="A44" s="25">
        <v>40396</v>
      </c>
      <c r="B44" s="26">
        <v>0.62</v>
      </c>
    </row>
    <row r="45" spans="1:2" ht="15.75" thickBot="1" x14ac:dyDescent="0.3">
      <c r="A45" s="25">
        <v>40490</v>
      </c>
      <c r="B45" s="26">
        <v>0.62</v>
      </c>
    </row>
    <row r="46" spans="1:2" ht="15.75" thickBot="1" x14ac:dyDescent="0.3">
      <c r="A46" s="25">
        <v>40582</v>
      </c>
      <c r="B46" s="26">
        <v>0.62</v>
      </c>
    </row>
    <row r="47" spans="1:2" ht="15.75" thickBot="1" x14ac:dyDescent="0.3">
      <c r="A47" s="25">
        <v>40669</v>
      </c>
      <c r="B47" s="26">
        <v>0.72</v>
      </c>
    </row>
    <row r="48" spans="1:2" ht="15.75" thickBot="1" x14ac:dyDescent="0.3">
      <c r="A48" s="25">
        <v>40763</v>
      </c>
      <c r="B48" s="26">
        <v>0.72</v>
      </c>
    </row>
    <row r="49" spans="1:2" ht="15.75" thickBot="1" x14ac:dyDescent="0.3">
      <c r="A49" s="25">
        <v>40855</v>
      </c>
      <c r="B49" s="26">
        <v>0.72</v>
      </c>
    </row>
    <row r="50" spans="1:2" ht="15.75" thickBot="1" x14ac:dyDescent="0.3">
      <c r="A50" s="25">
        <v>40947</v>
      </c>
      <c r="B50" s="26">
        <v>0.72</v>
      </c>
    </row>
    <row r="51" spans="1:2" ht="15.75" thickBot="1" x14ac:dyDescent="0.3">
      <c r="A51" s="25">
        <v>41037</v>
      </c>
      <c r="B51" s="26">
        <v>0.81</v>
      </c>
    </row>
    <row r="52" spans="1:2" ht="15.75" thickBot="1" x14ac:dyDescent="0.3">
      <c r="A52" s="25">
        <v>41129</v>
      </c>
      <c r="B52" s="26">
        <v>0.81</v>
      </c>
    </row>
    <row r="53" spans="1:2" ht="15.75" thickBot="1" x14ac:dyDescent="0.3">
      <c r="A53" s="25">
        <v>41220</v>
      </c>
      <c r="B53" s="26">
        <v>0.81</v>
      </c>
    </row>
    <row r="54" spans="1:2" ht="15.75" thickBot="1" x14ac:dyDescent="0.3">
      <c r="A54" s="25">
        <v>41311</v>
      </c>
      <c r="B54" s="26">
        <v>0.81</v>
      </c>
    </row>
    <row r="55" spans="1:2" ht="15.75" thickBot="1" x14ac:dyDescent="0.3">
      <c r="A55" s="25">
        <v>41402</v>
      </c>
      <c r="B55" s="26">
        <v>0.91</v>
      </c>
    </row>
    <row r="56" spans="1:2" ht="15.75" thickBot="1" x14ac:dyDescent="0.3">
      <c r="A56" s="25">
        <v>41493</v>
      </c>
      <c r="B56" s="26">
        <v>0.91</v>
      </c>
    </row>
    <row r="57" spans="1:2" ht="15.75" thickBot="1" x14ac:dyDescent="0.3">
      <c r="A57" s="25">
        <v>41584</v>
      </c>
      <c r="B57" s="26">
        <v>0.91</v>
      </c>
    </row>
    <row r="58" spans="1:2" ht="15.75" thickBot="1" x14ac:dyDescent="0.3">
      <c r="A58" s="25">
        <v>41676</v>
      </c>
      <c r="B58" s="26">
        <v>0.91</v>
      </c>
    </row>
    <row r="59" spans="1:2" ht="15.75" thickBot="1" x14ac:dyDescent="0.3">
      <c r="A59" s="25">
        <v>41766</v>
      </c>
      <c r="B59" s="26">
        <v>1.05</v>
      </c>
    </row>
    <row r="60" spans="1:2" ht="15.75" thickBot="1" x14ac:dyDescent="0.3">
      <c r="A60" s="25">
        <v>41857</v>
      </c>
      <c r="B60" s="26">
        <v>1.05</v>
      </c>
    </row>
    <row r="61" spans="1:2" ht="15.75" thickBot="1" x14ac:dyDescent="0.3">
      <c r="A61" s="25">
        <v>41949</v>
      </c>
      <c r="B61" s="26">
        <v>1.05</v>
      </c>
    </row>
    <row r="62" spans="1:2" ht="15.75" thickBot="1" x14ac:dyDescent="0.3">
      <c r="A62" s="25">
        <v>42041</v>
      </c>
      <c r="B62" s="26">
        <v>1.05</v>
      </c>
    </row>
    <row r="63" spans="1:2" ht="15.75" thickBot="1" x14ac:dyDescent="0.3">
      <c r="A63" s="25">
        <v>42130</v>
      </c>
      <c r="B63" s="26">
        <v>1.24</v>
      </c>
    </row>
    <row r="64" spans="1:2" ht="15.75" thickBot="1" x14ac:dyDescent="0.3">
      <c r="A64" s="25">
        <v>42222</v>
      </c>
      <c r="B64" s="26">
        <v>1.24</v>
      </c>
    </row>
    <row r="65" spans="1:2" ht="15.75" thickBot="1" x14ac:dyDescent="0.3">
      <c r="A65" s="25">
        <v>42314</v>
      </c>
      <c r="B65" s="26">
        <v>1.24</v>
      </c>
    </row>
    <row r="66" spans="1:2" ht="15.75" thickBot="1" x14ac:dyDescent="0.3">
      <c r="A66" s="25">
        <v>42408</v>
      </c>
      <c r="B66" s="26">
        <v>1.24</v>
      </c>
    </row>
    <row r="67" spans="1:2" ht="15.75" thickBot="1" x14ac:dyDescent="0.3">
      <c r="A67" s="25">
        <v>42496</v>
      </c>
      <c r="B67" s="26">
        <v>1.34</v>
      </c>
    </row>
    <row r="68" spans="1:2" ht="15.75" thickBot="1" x14ac:dyDescent="0.3">
      <c r="A68" s="25">
        <v>42590</v>
      </c>
      <c r="B68" s="26">
        <v>1.34</v>
      </c>
    </row>
    <row r="69" spans="1:2" ht="15.75" thickBot="1" x14ac:dyDescent="0.3">
      <c r="A69" s="25">
        <v>42682</v>
      </c>
      <c r="B69" s="26">
        <v>1.34</v>
      </c>
    </row>
    <row r="70" spans="1:2" ht="15.75" thickBot="1" x14ac:dyDescent="0.3">
      <c r="A70" s="25">
        <v>42774</v>
      </c>
      <c r="B70" s="26">
        <v>1.34</v>
      </c>
    </row>
    <row r="71" spans="1:2" ht="15.75" thickBot="1" x14ac:dyDescent="0.3">
      <c r="A71" s="25">
        <v>42863</v>
      </c>
      <c r="B71" s="26">
        <v>1.43</v>
      </c>
    </row>
    <row r="72" spans="1:2" ht="15.75" thickBot="1" x14ac:dyDescent="0.3">
      <c r="A72" s="25">
        <v>42955</v>
      </c>
      <c r="B72" s="26">
        <v>1.43</v>
      </c>
    </row>
    <row r="73" spans="1:2" ht="15.75" thickBot="1" x14ac:dyDescent="0.3">
      <c r="A73" s="25">
        <v>43048</v>
      </c>
      <c r="B73" s="26">
        <v>1.43</v>
      </c>
    </row>
    <row r="74" spans="1:2" ht="15.75" thickBot="1" x14ac:dyDescent="0.3">
      <c r="A74" s="25">
        <v>43139</v>
      </c>
      <c r="B74" s="26">
        <v>1.43</v>
      </c>
    </row>
    <row r="75" spans="1:2" ht="15.75" thickBot="1" x14ac:dyDescent="0.3">
      <c r="A75" s="25">
        <v>43229</v>
      </c>
      <c r="B75" s="26">
        <v>1.5</v>
      </c>
    </row>
    <row r="76" spans="1:2" ht="15.75" thickBot="1" x14ac:dyDescent="0.3">
      <c r="A76" s="25">
        <v>43321</v>
      </c>
      <c r="B76" s="26">
        <v>1.5</v>
      </c>
    </row>
    <row r="77" spans="1:2" ht="15.75" thickBot="1" x14ac:dyDescent="0.3">
      <c r="A77" s="25">
        <v>43412</v>
      </c>
      <c r="B77" s="26">
        <v>1.5</v>
      </c>
    </row>
    <row r="78" spans="1:2" ht="15.75" thickBot="1" x14ac:dyDescent="0.3">
      <c r="A78" s="25">
        <v>43503</v>
      </c>
      <c r="B78" s="26">
        <v>1.5</v>
      </c>
    </row>
    <row r="79" spans="1:2" ht="15.75" thickBot="1" x14ac:dyDescent="0.3">
      <c r="A79" s="25">
        <v>43594</v>
      </c>
      <c r="B79" s="26">
        <v>1.55</v>
      </c>
    </row>
    <row r="80" spans="1:2" ht="15.75" thickBot="1" x14ac:dyDescent="0.3">
      <c r="A80" s="25">
        <v>43685</v>
      </c>
      <c r="B80" s="26">
        <v>1.55</v>
      </c>
    </row>
    <row r="81" spans="1:2" ht="15.75" thickBot="1" x14ac:dyDescent="0.3">
      <c r="A81" s="25">
        <v>43776</v>
      </c>
      <c r="B81" s="26">
        <v>1.55</v>
      </c>
    </row>
    <row r="82" spans="1:2" ht="15.75" thickBot="1" x14ac:dyDescent="0.3">
      <c r="A82" s="25">
        <v>43868</v>
      </c>
      <c r="B82" s="26">
        <v>1.55</v>
      </c>
    </row>
    <row r="83" spans="1:2" ht="15.75" thickBot="1" x14ac:dyDescent="0.3">
      <c r="A83" s="25">
        <v>43958</v>
      </c>
      <c r="B83" s="26">
        <v>1.56</v>
      </c>
    </row>
    <row r="84" spans="1:2" ht="15.75" thickBot="1" x14ac:dyDescent="0.3">
      <c r="A84" s="25">
        <v>44050</v>
      </c>
      <c r="B84" s="26">
        <v>1.56</v>
      </c>
    </row>
    <row r="85" spans="1:2" ht="15.75" thickBot="1" x14ac:dyDescent="0.3">
      <c r="A85" s="25">
        <v>44144</v>
      </c>
      <c r="B85" s="26">
        <v>1.56</v>
      </c>
    </row>
    <row r="86" spans="1:2" ht="15.75" thickBot="1" x14ac:dyDescent="0.3">
      <c r="A86" s="25">
        <v>44236</v>
      </c>
      <c r="B86" s="26">
        <v>1.56</v>
      </c>
    </row>
    <row r="87" spans="1:2" ht="15.75" thickBot="1" x14ac:dyDescent="0.3">
      <c r="A87" s="25">
        <v>44323</v>
      </c>
      <c r="B87" s="26">
        <v>1.57</v>
      </c>
    </row>
    <row r="88" spans="1:2" ht="15.75" thickBot="1" x14ac:dyDescent="0.3">
      <c r="A88" s="25">
        <v>44417</v>
      </c>
      <c r="B88" s="26">
        <v>1.57</v>
      </c>
    </row>
    <row r="89" spans="1:2" ht="15.75" thickBot="1" x14ac:dyDescent="0.3">
      <c r="A89" s="25">
        <v>44509</v>
      </c>
      <c r="B89" s="26">
        <v>1.64</v>
      </c>
    </row>
    <row r="90" spans="1:2" ht="15.75" thickBot="1" x14ac:dyDescent="0.3">
      <c r="A90" s="25">
        <v>44602</v>
      </c>
      <c r="B90" s="26">
        <v>1.64</v>
      </c>
    </row>
    <row r="91" spans="1:2" ht="15.75" thickBot="1" x14ac:dyDescent="0.3">
      <c r="A91" s="25">
        <v>44690</v>
      </c>
      <c r="B91" s="26">
        <v>1.65</v>
      </c>
    </row>
    <row r="92" spans="1:2" ht="15.75" thickBot="1" x14ac:dyDescent="0.3">
      <c r="A92" s="25">
        <v>44782</v>
      </c>
      <c r="B92" s="26">
        <v>1.65</v>
      </c>
    </row>
    <row r="93" spans="1:2" ht="15.75" thickBot="1" x14ac:dyDescent="0.3">
      <c r="A93" s="25">
        <v>44874</v>
      </c>
      <c r="B93" s="26">
        <v>1.65</v>
      </c>
    </row>
    <row r="94" spans="1:2" ht="15.75" thickBot="1" x14ac:dyDescent="0.3">
      <c r="A94" s="25">
        <v>44966</v>
      </c>
      <c r="B94" s="26">
        <v>1.65</v>
      </c>
    </row>
    <row r="95" spans="1:2" ht="15.75" thickBot="1" x14ac:dyDescent="0.3">
      <c r="A95" s="25">
        <v>45055</v>
      </c>
      <c r="B95" s="26">
        <v>1.66</v>
      </c>
    </row>
    <row r="96" spans="1:2" ht="15.75" thickBot="1" x14ac:dyDescent="0.3">
      <c r="A96" s="25">
        <v>45147</v>
      </c>
      <c r="B96" s="26">
        <v>1.66</v>
      </c>
    </row>
    <row r="97" spans="1:2" ht="15.75" thickBot="1" x14ac:dyDescent="0.3">
      <c r="A97" s="25">
        <v>45239</v>
      </c>
      <c r="B97" s="26">
        <v>1.66</v>
      </c>
    </row>
    <row r="98" spans="1:2" ht="15.75" thickBot="1" x14ac:dyDescent="0.3">
      <c r="A98" s="25">
        <v>45330</v>
      </c>
      <c r="B98" s="26">
        <v>1.66</v>
      </c>
    </row>
    <row r="99" spans="1:2" ht="15.75" thickBot="1" x14ac:dyDescent="0.3">
      <c r="A99" s="25">
        <v>45421</v>
      </c>
      <c r="B99" s="26">
        <v>1.67</v>
      </c>
    </row>
    <row r="100" spans="1:2" ht="15.75" thickBot="1" x14ac:dyDescent="0.3">
      <c r="A100" s="25">
        <v>45513</v>
      </c>
      <c r="B100" s="26">
        <v>1.67</v>
      </c>
    </row>
    <row r="101" spans="1:2" ht="15.75" thickBot="1" x14ac:dyDescent="0.3">
      <c r="A101" s="25">
        <v>45608</v>
      </c>
      <c r="B101" s="26">
        <v>1.67</v>
      </c>
    </row>
    <row r="102" spans="1:2" ht="15.75" thickBot="1" x14ac:dyDescent="0.3">
      <c r="A102" s="25">
        <v>45698</v>
      </c>
      <c r="B102" s="26">
        <v>1.67</v>
      </c>
    </row>
    <row r="103" spans="1:2" ht="15.75" thickBot="1" x14ac:dyDescent="0.3">
      <c r="A103" s="25">
        <v>45786</v>
      </c>
      <c r="B103" s="26">
        <v>1.68</v>
      </c>
    </row>
    <row r="104" spans="1:2" ht="15.75" thickBot="1" x14ac:dyDescent="0.3">
      <c r="A104" s="25">
        <v>45877</v>
      </c>
      <c r="B104" s="26">
        <v>1.68</v>
      </c>
    </row>
    <row r="105" spans="1:2" ht="15.75" thickBot="1" x14ac:dyDescent="0.3">
      <c r="A105" s="25">
        <v>45971</v>
      </c>
      <c r="B105" s="26">
        <v>1.68</v>
      </c>
    </row>
    <row r="106" spans="1:2" x14ac:dyDescent="0.25">
      <c r="A106" s="22">
        <v>45975</v>
      </c>
      <c r="B106">
        <v>1.03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Intro</vt:lpstr>
      <vt:lpstr>Data</vt:lpstr>
      <vt:lpstr>Forecast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2026-02-11T01:42:37Z</dcterms:modified>
</cp:coreProperties>
</file>