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7B8CF4B9-5E09-4C15-84B9-D1957D813FC4}" xr6:coauthVersionLast="47" xr6:coauthVersionMax="47" xr10:uidLastSave="{00000000-0000-0000-0000-000000000000}"/>
  <bookViews>
    <workbookView xWindow="-120" yWindow="-120" windowWidth="20730" windowHeight="11040" firstSheet="1" activeTab="1" xr2:uid="{92AFEA67-FCE1-458C-9A7E-ADF426D7B024}"/>
  </bookViews>
  <sheets>
    <sheet name="Intro" sheetId="10" r:id="rId1"/>
    <sheet name="Dashboard" sheetId="7" r:id="rId2"/>
    <sheet name="Data" sheetId="1" r:id="rId3"/>
    <sheet name="Forecast" sheetId="30" r:id="rId4"/>
    <sheet name="Weekly" sheetId="29" r:id="rId5"/>
    <sheet name="Dividends" sheetId="18" r:id="rId6"/>
  </sheets>
  <definedNames>
    <definedName name="data">Data!$1:$1048576</definedName>
    <definedName name="ExternalData_1" localSheetId="3" hidden="1">Forecast!$A$1:$B$62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2" i="1" l="1"/>
  <c r="C56" i="30"/>
  <c r="C57" i="30"/>
  <c r="C58" i="30"/>
  <c r="C59" i="30"/>
  <c r="C60" i="30"/>
  <c r="C62" i="30"/>
  <c r="C61" i="30"/>
  <c r="C55" i="30"/>
  <c r="B1" i="1" a="1"/>
  <c r="E3" i="1" l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185" i="1"/>
  <c r="E217" i="1"/>
  <c r="E34" i="1"/>
  <c r="E82" i="1"/>
  <c r="E130" i="1"/>
  <c r="E186" i="1"/>
  <c r="E226" i="1"/>
  <c r="E4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169" i="1"/>
  <c r="E241" i="1"/>
  <c r="E50" i="1"/>
  <c r="E106" i="1"/>
  <c r="E178" i="1"/>
  <c r="E234" i="1"/>
  <c r="E5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136" i="1"/>
  <c r="E176" i="1"/>
  <c r="E200" i="1"/>
  <c r="E224" i="1"/>
  <c r="E240" i="1"/>
  <c r="E97" i="1"/>
  <c r="E129" i="1"/>
  <c r="E153" i="1"/>
  <c r="E193" i="1"/>
  <c r="E249" i="1"/>
  <c r="E18" i="1"/>
  <c r="E58" i="1"/>
  <c r="E90" i="1"/>
  <c r="E138" i="1"/>
  <c r="E162" i="1"/>
  <c r="E210" i="1"/>
  <c r="E6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128" i="1"/>
  <c r="E168" i="1"/>
  <c r="E192" i="1"/>
  <c r="E208" i="1"/>
  <c r="E232" i="1"/>
  <c r="E89" i="1"/>
  <c r="E137" i="1"/>
  <c r="E177" i="1"/>
  <c r="E209" i="1"/>
  <c r="E10" i="1"/>
  <c r="E66" i="1"/>
  <c r="E98" i="1"/>
  <c r="E146" i="1"/>
  <c r="E194" i="1"/>
  <c r="E218" i="1"/>
  <c r="E7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120" i="1"/>
  <c r="E8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44" i="1"/>
  <c r="E152" i="1"/>
  <c r="E160" i="1"/>
  <c r="E184" i="1"/>
  <c r="E216" i="1"/>
  <c r="E248" i="1"/>
  <c r="E113" i="1"/>
  <c r="E145" i="1"/>
  <c r="E201" i="1"/>
  <c r="E233" i="1"/>
  <c r="E26" i="1"/>
  <c r="E74" i="1"/>
  <c r="E122" i="1"/>
  <c r="E154" i="1"/>
  <c r="E202" i="1"/>
  <c r="E242" i="1"/>
  <c r="E9" i="1"/>
  <c r="E17" i="1"/>
  <c r="E25" i="1"/>
  <c r="E33" i="1"/>
  <c r="E41" i="1"/>
  <c r="E49" i="1"/>
  <c r="E57" i="1"/>
  <c r="E65" i="1"/>
  <c r="E73" i="1"/>
  <c r="E81" i="1"/>
  <c r="E105" i="1"/>
  <c r="E121" i="1"/>
  <c r="E161" i="1"/>
  <c r="E225" i="1"/>
  <c r="E42" i="1"/>
  <c r="E114" i="1"/>
  <c r="E170" i="1"/>
  <c r="E250" i="1"/>
  <c r="G3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0" i="1"/>
  <c r="G60" i="1"/>
  <c r="G76" i="1"/>
  <c r="G92" i="1"/>
  <c r="G100" i="1"/>
  <c r="G108" i="1"/>
  <c r="G116" i="1"/>
  <c r="G124" i="1"/>
  <c r="G132" i="1"/>
  <c r="G140" i="1"/>
  <c r="G156" i="1"/>
  <c r="G164" i="1"/>
  <c r="G180" i="1"/>
  <c r="G196" i="1"/>
  <c r="G228" i="1"/>
  <c r="G133" i="1"/>
  <c r="G173" i="1"/>
  <c r="G221" i="1"/>
  <c r="G4" i="1"/>
  <c r="G12" i="1"/>
  <c r="G28" i="1"/>
  <c r="G36" i="1"/>
  <c r="G44" i="1"/>
  <c r="G52" i="1"/>
  <c r="G68" i="1"/>
  <c r="G84" i="1"/>
  <c r="G148" i="1"/>
  <c r="G172" i="1"/>
  <c r="G188" i="1"/>
  <c r="G236" i="1"/>
  <c r="G149" i="1"/>
  <c r="G197" i="1"/>
  <c r="G5" i="1"/>
  <c r="G13" i="1"/>
  <c r="G21" i="1"/>
  <c r="G29" i="1"/>
  <c r="G37" i="1"/>
  <c r="G45" i="1"/>
  <c r="G53" i="1"/>
  <c r="G61" i="1"/>
  <c r="G69" i="1"/>
  <c r="G77" i="1"/>
  <c r="G85" i="1"/>
  <c r="G93" i="1"/>
  <c r="G101" i="1"/>
  <c r="G109" i="1"/>
  <c r="G141" i="1"/>
  <c r="G189" i="1"/>
  <c r="G6" i="1"/>
  <c r="G14" i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4" i="1"/>
  <c r="G182" i="1"/>
  <c r="G190" i="1"/>
  <c r="G198" i="1"/>
  <c r="G206" i="1"/>
  <c r="G214" i="1"/>
  <c r="G222" i="1"/>
  <c r="G230" i="1"/>
  <c r="G238" i="1"/>
  <c r="G246" i="1"/>
  <c r="G125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6" i="1"/>
  <c r="G42" i="1"/>
  <c r="G66" i="1"/>
  <c r="G90" i="1"/>
  <c r="G114" i="1"/>
  <c r="G138" i="1"/>
  <c r="G170" i="1"/>
  <c r="G202" i="1"/>
  <c r="G226" i="1"/>
  <c r="G250" i="1"/>
  <c r="G220" i="1"/>
  <c r="G117" i="1"/>
  <c r="G181" i="1"/>
  <c r="G229" i="1"/>
  <c r="G8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G216" i="1"/>
  <c r="G224" i="1"/>
  <c r="G232" i="1"/>
  <c r="G240" i="1"/>
  <c r="G248" i="1"/>
  <c r="G18" i="1"/>
  <c r="G34" i="1"/>
  <c r="G58" i="1"/>
  <c r="G82" i="1"/>
  <c r="G106" i="1"/>
  <c r="G130" i="1"/>
  <c r="G154" i="1"/>
  <c r="G178" i="1"/>
  <c r="G194" i="1"/>
  <c r="G218" i="1"/>
  <c r="G242" i="1"/>
  <c r="G212" i="1"/>
  <c r="G244" i="1"/>
  <c r="G157" i="1"/>
  <c r="G213" i="1"/>
  <c r="G245" i="1"/>
  <c r="G9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129" i="1"/>
  <c r="G137" i="1"/>
  <c r="G145" i="1"/>
  <c r="G153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10" i="1"/>
  <c r="G50" i="1"/>
  <c r="G74" i="1"/>
  <c r="G98" i="1"/>
  <c r="G122" i="1"/>
  <c r="G146" i="1"/>
  <c r="G162" i="1"/>
  <c r="G186" i="1"/>
  <c r="G210" i="1"/>
  <c r="G234" i="1"/>
  <c r="G204" i="1"/>
  <c r="G252" i="1"/>
  <c r="G165" i="1"/>
  <c r="G205" i="1"/>
  <c r="G237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3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34" i="1"/>
  <c r="J250" i="1"/>
  <c r="J83" i="1"/>
  <c r="J99" i="1"/>
  <c r="J123" i="1"/>
  <c r="J139" i="1"/>
  <c r="J163" i="1"/>
  <c r="J187" i="1"/>
  <c r="J203" i="1"/>
  <c r="J219" i="1"/>
  <c r="J235" i="1"/>
  <c r="J164" i="1"/>
  <c r="J204" i="1"/>
  <c r="J244" i="1"/>
  <c r="J37" i="1"/>
  <c r="J61" i="1"/>
  <c r="J77" i="1"/>
  <c r="J101" i="1"/>
  <c r="J133" i="1"/>
  <c r="J165" i="1"/>
  <c r="J197" i="1"/>
  <c r="J221" i="1"/>
  <c r="J245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42" i="1"/>
  <c r="J67" i="1"/>
  <c r="J91" i="1"/>
  <c r="J107" i="1"/>
  <c r="J131" i="1"/>
  <c r="J147" i="1"/>
  <c r="J171" i="1"/>
  <c r="J179" i="1"/>
  <c r="J195" i="1"/>
  <c r="J227" i="1"/>
  <c r="J251" i="1"/>
  <c r="J180" i="1"/>
  <c r="J196" i="1"/>
  <c r="J228" i="1"/>
  <c r="J252" i="1"/>
  <c r="J53" i="1"/>
  <c r="J85" i="1"/>
  <c r="J109" i="1"/>
  <c r="J141" i="1"/>
  <c r="J157" i="1"/>
  <c r="J181" i="1"/>
  <c r="J213" i="1"/>
  <c r="J27" i="1"/>
  <c r="J35" i="1"/>
  <c r="J43" i="1"/>
  <c r="J51" i="1"/>
  <c r="J59" i="1"/>
  <c r="J75" i="1"/>
  <c r="J115" i="1"/>
  <c r="J155" i="1"/>
  <c r="J211" i="1"/>
  <c r="J243" i="1"/>
  <c r="J172" i="1"/>
  <c r="J212" i="1"/>
  <c r="J236" i="1"/>
  <c r="J45" i="1"/>
  <c r="J93" i="1"/>
  <c r="J125" i="1"/>
  <c r="J189" i="1"/>
  <c r="J229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88" i="1"/>
  <c r="J220" i="1"/>
  <c r="J29" i="1"/>
  <c r="J69" i="1"/>
  <c r="J117" i="1"/>
  <c r="J149" i="1"/>
  <c r="J173" i="1"/>
  <c r="J205" i="1"/>
  <c r="J237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112" i="1"/>
  <c r="K144" i="1"/>
  <c r="K184" i="1"/>
  <c r="K224" i="1"/>
  <c r="K248" i="1"/>
  <c r="K195" i="1"/>
  <c r="K243" i="1"/>
  <c r="K68" i="1"/>
  <c r="K92" i="1"/>
  <c r="K148" i="1"/>
  <c r="K196" i="1"/>
  <c r="K252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128" i="1"/>
  <c r="K160" i="1"/>
  <c r="K176" i="1"/>
  <c r="K200" i="1"/>
  <c r="K232" i="1"/>
  <c r="K155" i="1"/>
  <c r="K219" i="1"/>
  <c r="K60" i="1"/>
  <c r="K84" i="1"/>
  <c r="K140" i="1"/>
  <c r="K188" i="1"/>
  <c r="K228" i="1"/>
  <c r="K244" i="1"/>
  <c r="K24" i="1"/>
  <c r="K32" i="1"/>
  <c r="K40" i="1"/>
  <c r="K48" i="1"/>
  <c r="K56" i="1"/>
  <c r="K64" i="1"/>
  <c r="K72" i="1"/>
  <c r="K80" i="1"/>
  <c r="K88" i="1"/>
  <c r="K96" i="1"/>
  <c r="K104" i="1"/>
  <c r="K120" i="1"/>
  <c r="K152" i="1"/>
  <c r="K208" i="1"/>
  <c r="K187" i="1"/>
  <c r="K28" i="1"/>
  <c r="K100" i="1"/>
  <c r="K172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123" i="1"/>
  <c r="K171" i="1"/>
  <c r="K227" i="1"/>
  <c r="K52" i="1"/>
  <c r="K108" i="1"/>
  <c r="K156" i="1"/>
  <c r="K212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75" i="1"/>
  <c r="K99" i="1"/>
  <c r="K115" i="1"/>
  <c r="K131" i="1"/>
  <c r="K147" i="1"/>
  <c r="K163" i="1"/>
  <c r="K203" i="1"/>
  <c r="K251" i="1"/>
  <c r="K36" i="1"/>
  <c r="K116" i="1"/>
  <c r="K164" i="1"/>
  <c r="K220" i="1"/>
  <c r="K27" i="1"/>
  <c r="K35" i="1"/>
  <c r="K43" i="1"/>
  <c r="K51" i="1"/>
  <c r="K59" i="1"/>
  <c r="K67" i="1"/>
  <c r="K83" i="1"/>
  <c r="K91" i="1"/>
  <c r="K107" i="1"/>
  <c r="K139" i="1"/>
  <c r="K211" i="1"/>
  <c r="K76" i="1"/>
  <c r="K132" i="1"/>
  <c r="K204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46" i="1"/>
  <c r="K136" i="1"/>
  <c r="K168" i="1"/>
  <c r="K192" i="1"/>
  <c r="K216" i="1"/>
  <c r="K240" i="1"/>
  <c r="K179" i="1"/>
  <c r="K235" i="1"/>
  <c r="K44" i="1"/>
  <c r="K124" i="1"/>
  <c r="K180" i="1"/>
  <c r="K236" i="1"/>
  <c r="N4" i="1"/>
  <c r="N12" i="1"/>
  <c r="N20" i="1"/>
  <c r="N28" i="1"/>
  <c r="N36" i="1"/>
  <c r="N44" i="1"/>
  <c r="N52" i="1"/>
  <c r="N60" i="1"/>
  <c r="N68" i="1"/>
  <c r="N76" i="1"/>
  <c r="N84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188" i="1"/>
  <c r="N204" i="1"/>
  <c r="N212" i="1"/>
  <c r="N228" i="1"/>
  <c r="N252" i="1"/>
  <c r="N221" i="1"/>
  <c r="N46" i="1"/>
  <c r="N94" i="1"/>
  <c r="N142" i="1"/>
  <c r="N114" i="1"/>
  <c r="N170" i="1"/>
  <c r="N226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37" i="1"/>
  <c r="N70" i="1"/>
  <c r="N118" i="1"/>
  <c r="N150" i="1"/>
  <c r="N106" i="1"/>
  <c r="N202" i="1"/>
  <c r="N250" i="1"/>
  <c r="N6" i="1"/>
  <c r="N14" i="1"/>
  <c r="N22" i="1"/>
  <c r="N30" i="1"/>
  <c r="N38" i="1"/>
  <c r="N62" i="1"/>
  <c r="N78" i="1"/>
  <c r="N86" i="1"/>
  <c r="N110" i="1"/>
  <c r="N134" i="1"/>
  <c r="N166" i="1"/>
  <c r="N190" i="1"/>
  <c r="N214" i="1"/>
  <c r="N230" i="1"/>
  <c r="N34" i="1"/>
  <c r="N74" i="1"/>
  <c r="N138" i="1"/>
  <c r="N186" i="1"/>
  <c r="N234" i="1"/>
  <c r="N7" i="1"/>
  <c r="N15" i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N239" i="1"/>
  <c r="N247" i="1"/>
  <c r="N25" i="1"/>
  <c r="N33" i="1"/>
  <c r="N49" i="1"/>
  <c r="N65" i="1"/>
  <c r="N81" i="1"/>
  <c r="N97" i="1"/>
  <c r="N113" i="1"/>
  <c r="N121" i="1"/>
  <c r="N137" i="1"/>
  <c r="N153" i="1"/>
  <c r="N169" i="1"/>
  <c r="N185" i="1"/>
  <c r="N201" i="1"/>
  <c r="N217" i="1"/>
  <c r="N233" i="1"/>
  <c r="N249" i="1"/>
  <c r="N18" i="1"/>
  <c r="N82" i="1"/>
  <c r="N146" i="1"/>
  <c r="N210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N240" i="1"/>
  <c r="N248" i="1"/>
  <c r="N17" i="1"/>
  <c r="N41" i="1"/>
  <c r="N57" i="1"/>
  <c r="N73" i="1"/>
  <c r="N89" i="1"/>
  <c r="N105" i="1"/>
  <c r="N129" i="1"/>
  <c r="N145" i="1"/>
  <c r="N161" i="1"/>
  <c r="N177" i="1"/>
  <c r="N193" i="1"/>
  <c r="N209" i="1"/>
  <c r="N225" i="1"/>
  <c r="N241" i="1"/>
  <c r="N10" i="1"/>
  <c r="N50" i="1"/>
  <c r="N66" i="1"/>
  <c r="N90" i="1"/>
  <c r="N122" i="1"/>
  <c r="N154" i="1"/>
  <c r="N178" i="1"/>
  <c r="N218" i="1"/>
  <c r="N9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N243" i="1"/>
  <c r="N251" i="1"/>
  <c r="N196" i="1"/>
  <c r="N220" i="1"/>
  <c r="N236" i="1"/>
  <c r="N244" i="1"/>
  <c r="N213" i="1"/>
  <c r="N229" i="1"/>
  <c r="N245" i="1"/>
  <c r="N54" i="1"/>
  <c r="N102" i="1"/>
  <c r="N126" i="1"/>
  <c r="N158" i="1"/>
  <c r="N174" i="1"/>
  <c r="N182" i="1"/>
  <c r="N198" i="1"/>
  <c r="N206" i="1"/>
  <c r="N222" i="1"/>
  <c r="N238" i="1"/>
  <c r="N246" i="1"/>
  <c r="N26" i="1"/>
  <c r="N42" i="1"/>
  <c r="N58" i="1"/>
  <c r="N98" i="1"/>
  <c r="N130" i="1"/>
  <c r="N162" i="1"/>
  <c r="N194" i="1"/>
  <c r="N242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111" i="1"/>
  <c r="AB119" i="1"/>
  <c r="AB127" i="1"/>
  <c r="AB159" i="1"/>
  <c r="AB199" i="1"/>
  <c r="AB239" i="1"/>
  <c r="AB225" i="1"/>
  <c r="AB103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105" i="1"/>
  <c r="AB113" i="1"/>
  <c r="AB121" i="1"/>
  <c r="AB129" i="1"/>
  <c r="AB137" i="1"/>
  <c r="AB153" i="1"/>
  <c r="AB161" i="1"/>
  <c r="AB169" i="1"/>
  <c r="AB177" i="1"/>
  <c r="AB201" i="1"/>
  <c r="AB145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AB202" i="1"/>
  <c r="AB210" i="1"/>
  <c r="AB218" i="1"/>
  <c r="AB226" i="1"/>
  <c r="AB234" i="1"/>
  <c r="AB242" i="1"/>
  <c r="AB250" i="1"/>
  <c r="AB109" i="1"/>
  <c r="AB133" i="1"/>
  <c r="AB157" i="1"/>
  <c r="AB181" i="1"/>
  <c r="AB205" i="1"/>
  <c r="AB229" i="1"/>
  <c r="AB151" i="1"/>
  <c r="AB183" i="1"/>
  <c r="AB215" i="1"/>
  <c r="AB247" i="1"/>
  <c r="AB217" i="1"/>
  <c r="AB241" i="1"/>
  <c r="AB107" i="1"/>
  <c r="AB115" i="1"/>
  <c r="AB123" i="1"/>
  <c r="AB131" i="1"/>
  <c r="AB139" i="1"/>
  <c r="AB147" i="1"/>
  <c r="AB155" i="1"/>
  <c r="AB163" i="1"/>
  <c r="AB171" i="1"/>
  <c r="AB179" i="1"/>
  <c r="AB187" i="1"/>
  <c r="AB195" i="1"/>
  <c r="AB203" i="1"/>
  <c r="AB211" i="1"/>
  <c r="AB219" i="1"/>
  <c r="AB227" i="1"/>
  <c r="AB235" i="1"/>
  <c r="AB243" i="1"/>
  <c r="AB251" i="1"/>
  <c r="AB252" i="1"/>
  <c r="AB125" i="1"/>
  <c r="AB141" i="1"/>
  <c r="AB173" i="1"/>
  <c r="AB197" i="1"/>
  <c r="AB213" i="1"/>
  <c r="AB237" i="1"/>
  <c r="AB143" i="1"/>
  <c r="AB175" i="1"/>
  <c r="AB191" i="1"/>
  <c r="AB223" i="1"/>
  <c r="AB185" i="1"/>
  <c r="AB209" i="1"/>
  <c r="AB249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117" i="1"/>
  <c r="AB149" i="1"/>
  <c r="AB165" i="1"/>
  <c r="AB189" i="1"/>
  <c r="AB221" i="1"/>
  <c r="AB245" i="1"/>
  <c r="AB135" i="1"/>
  <c r="AB167" i="1"/>
  <c r="AB207" i="1"/>
  <c r="AB231" i="1"/>
  <c r="AB193" i="1"/>
  <c r="AB233" i="1"/>
  <c r="B1" i="1"/>
  <c r="A227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91" i="1"/>
  <c r="A199" i="1"/>
  <c r="A207" i="1"/>
  <c r="A215" i="1"/>
  <c r="A223" i="1"/>
  <c r="A231" i="1"/>
  <c r="A239" i="1"/>
  <c r="A247" i="1"/>
  <c r="A156" i="1"/>
  <c r="A196" i="1"/>
  <c r="A228" i="1"/>
  <c r="A5" i="1"/>
  <c r="A77" i="1"/>
  <c r="A183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33" i="1"/>
  <c r="A10" i="1"/>
  <c r="A34" i="1"/>
  <c r="A50" i="1"/>
  <c r="A66" i="1"/>
  <c r="A74" i="1"/>
  <c r="A90" i="1"/>
  <c r="A106" i="1"/>
  <c r="A122" i="1"/>
  <c r="A130" i="1"/>
  <c r="A154" i="1"/>
  <c r="A162" i="1"/>
  <c r="A178" i="1"/>
  <c r="A194" i="1"/>
  <c r="A218" i="1"/>
  <c r="A234" i="1"/>
  <c r="A250" i="1"/>
  <c r="A11" i="1"/>
  <c r="A19" i="1"/>
  <c r="A43" i="1"/>
  <c r="A59" i="1"/>
  <c r="A75" i="1"/>
  <c r="A91" i="1"/>
  <c r="A99" i="1"/>
  <c r="A115" i="1"/>
  <c r="A131" i="1"/>
  <c r="A147" i="1"/>
  <c r="A163" i="1"/>
  <c r="A179" i="1"/>
  <c r="A195" i="1"/>
  <c r="A211" i="1"/>
  <c r="A243" i="1"/>
  <c r="A4" i="1"/>
  <c r="A20" i="1"/>
  <c r="A28" i="1"/>
  <c r="A44" i="1"/>
  <c r="A52" i="1"/>
  <c r="A60" i="1"/>
  <c r="A76" i="1"/>
  <c r="A92" i="1"/>
  <c r="A108" i="1"/>
  <c r="A124" i="1"/>
  <c r="A140" i="1"/>
  <c r="A164" i="1"/>
  <c r="A180" i="1"/>
  <c r="A204" i="1"/>
  <c r="A220" i="1"/>
  <c r="A244" i="1"/>
  <c r="A252" i="1"/>
  <c r="A21" i="1"/>
  <c r="A29" i="1"/>
  <c r="A45" i="1"/>
  <c r="A61" i="1"/>
  <c r="A85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41" i="1"/>
  <c r="A249" i="1"/>
  <c r="A18" i="1"/>
  <c r="A26" i="1"/>
  <c r="A42" i="1"/>
  <c r="A58" i="1"/>
  <c r="A82" i="1"/>
  <c r="A98" i="1"/>
  <c r="A114" i="1"/>
  <c r="A138" i="1"/>
  <c r="A146" i="1"/>
  <c r="A170" i="1"/>
  <c r="A186" i="1"/>
  <c r="A202" i="1"/>
  <c r="A210" i="1"/>
  <c r="A226" i="1"/>
  <c r="A242" i="1"/>
  <c r="A3" i="1"/>
  <c r="A27" i="1"/>
  <c r="A35" i="1"/>
  <c r="A51" i="1"/>
  <c r="A67" i="1"/>
  <c r="A83" i="1"/>
  <c r="A107" i="1"/>
  <c r="A123" i="1"/>
  <c r="A139" i="1"/>
  <c r="A155" i="1"/>
  <c r="A171" i="1"/>
  <c r="A187" i="1"/>
  <c r="A203" i="1"/>
  <c r="A219" i="1"/>
  <c r="A235" i="1"/>
  <c r="A251" i="1"/>
  <c r="A12" i="1"/>
  <c r="A36" i="1"/>
  <c r="A68" i="1"/>
  <c r="A84" i="1"/>
  <c r="A100" i="1"/>
  <c r="A116" i="1"/>
  <c r="A132" i="1"/>
  <c r="A148" i="1"/>
  <c r="A172" i="1"/>
  <c r="A188" i="1"/>
  <c r="A212" i="1"/>
  <c r="A236" i="1"/>
  <c r="A13" i="1"/>
  <c r="A37" i="1"/>
  <c r="A53" i="1"/>
  <c r="A69" i="1"/>
  <c r="A93" i="1"/>
  <c r="A109" i="1"/>
  <c r="A117" i="1"/>
  <c r="A125" i="1"/>
  <c r="A189" i="1"/>
  <c r="A141" i="1"/>
  <c r="A205" i="1"/>
  <c r="A213" i="1"/>
  <c r="A221" i="1"/>
  <c r="A165" i="1"/>
  <c r="A173" i="1"/>
  <c r="A101" i="1"/>
  <c r="A245" i="1"/>
  <c r="A133" i="1"/>
  <c r="A197" i="1"/>
  <c r="A149" i="1"/>
  <c r="A157" i="1"/>
  <c r="A229" i="1"/>
  <c r="A237" i="1"/>
  <c r="A181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15" i="1"/>
  <c r="A2" i="1" l="1"/>
  <c r="AE5" i="1"/>
  <c r="AE4" i="1"/>
  <c r="AE3" i="1"/>
  <c r="AE2" i="1"/>
  <c r="AD5" i="1"/>
  <c r="AD4" i="1"/>
  <c r="AD3" i="1"/>
  <c r="AD2" i="1"/>
  <c r="AB101" i="1"/>
  <c r="L150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W13" i="1"/>
  <c r="W14" i="1" s="1"/>
  <c r="L188" i="1"/>
  <c r="L48" i="1"/>
  <c r="L103" i="1"/>
  <c r="L54" i="1"/>
  <c r="L206" i="1"/>
  <c r="K21" i="1"/>
  <c r="L210" i="1"/>
  <c r="L59" i="1"/>
  <c r="L220" i="1"/>
  <c r="L51" i="1"/>
  <c r="L235" i="1"/>
  <c r="L43" i="1"/>
  <c r="J21" i="1"/>
  <c r="N3" i="1"/>
  <c r="E2" i="1"/>
  <c r="G2" i="1"/>
  <c r="F3" i="1" l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125" i="1"/>
  <c r="F189" i="1"/>
  <c r="F221" i="1"/>
  <c r="F245" i="1"/>
  <c r="F142" i="1"/>
  <c r="F174" i="1"/>
  <c r="F214" i="1"/>
  <c r="F246" i="1"/>
  <c r="F224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244" i="1"/>
  <c r="F252" i="1"/>
  <c r="F13" i="1"/>
  <c r="F21" i="1"/>
  <c r="F37" i="1"/>
  <c r="F45" i="1"/>
  <c r="F61" i="1"/>
  <c r="F69" i="1"/>
  <c r="F85" i="1"/>
  <c r="F101" i="1"/>
  <c r="F109" i="1"/>
  <c r="F133" i="1"/>
  <c r="F149" i="1"/>
  <c r="F165" i="1"/>
  <c r="F181" i="1"/>
  <c r="F197" i="1"/>
  <c r="F213" i="1"/>
  <c r="F237" i="1"/>
  <c r="F118" i="1"/>
  <c r="F158" i="1"/>
  <c r="F182" i="1"/>
  <c r="F206" i="1"/>
  <c r="F230" i="1"/>
  <c r="F200" i="1"/>
  <c r="F248" i="1"/>
  <c r="F5" i="1"/>
  <c r="F29" i="1"/>
  <c r="F53" i="1"/>
  <c r="F77" i="1"/>
  <c r="F93" i="1"/>
  <c r="F117" i="1"/>
  <c r="F141" i="1"/>
  <c r="F157" i="1"/>
  <c r="F173" i="1"/>
  <c r="F205" i="1"/>
  <c r="F229" i="1"/>
  <c r="F134" i="1"/>
  <c r="F190" i="1"/>
  <c r="F222" i="1"/>
  <c r="F192" i="1"/>
  <c r="F240" i="1"/>
  <c r="F6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126" i="1"/>
  <c r="F150" i="1"/>
  <c r="F166" i="1"/>
  <c r="F198" i="1"/>
  <c r="F238" i="1"/>
  <c r="F232" i="1"/>
  <c r="F7" i="1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56" i="1"/>
  <c r="F104" i="1"/>
  <c r="F120" i="1"/>
  <c r="F136" i="1"/>
  <c r="F152" i="1"/>
  <c r="F168" i="1"/>
  <c r="F184" i="1"/>
  <c r="F216" i="1"/>
  <c r="F8" i="1"/>
  <c r="F16" i="1"/>
  <c r="F24" i="1"/>
  <c r="F32" i="1"/>
  <c r="F40" i="1"/>
  <c r="F48" i="1"/>
  <c r="F64" i="1"/>
  <c r="F72" i="1"/>
  <c r="F80" i="1"/>
  <c r="F88" i="1"/>
  <c r="F96" i="1"/>
  <c r="F112" i="1"/>
  <c r="F128" i="1"/>
  <c r="F144" i="1"/>
  <c r="F160" i="1"/>
  <c r="F176" i="1"/>
  <c r="F208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M223" i="1"/>
  <c r="L223" i="1"/>
  <c r="L155" i="1"/>
  <c r="L240" i="1"/>
  <c r="M191" i="1"/>
  <c r="L191" i="1"/>
  <c r="M100" i="1"/>
  <c r="L100" i="1"/>
  <c r="M55" i="1"/>
  <c r="L55" i="1"/>
  <c r="L136" i="1"/>
  <c r="M83" i="1"/>
  <c r="L83" i="1"/>
  <c r="L60" i="1"/>
  <c r="L209" i="1"/>
  <c r="L225" i="1"/>
  <c r="L58" i="1"/>
  <c r="L72" i="1"/>
  <c r="L86" i="1"/>
  <c r="M37" i="1"/>
  <c r="L37" i="1"/>
  <c r="L75" i="1"/>
  <c r="M250" i="1"/>
  <c r="L250" i="1"/>
  <c r="L38" i="1"/>
  <c r="M201" i="1"/>
  <c r="L201" i="1"/>
  <c r="L166" i="1"/>
  <c r="L73" i="1"/>
  <c r="L47" i="1"/>
  <c r="L41" i="1"/>
  <c r="L207" i="1"/>
  <c r="M135" i="1"/>
  <c r="L135" i="1"/>
  <c r="M184" i="1"/>
  <c r="L184" i="1"/>
  <c r="L246" i="1"/>
  <c r="L57" i="1"/>
  <c r="L238" i="1"/>
  <c r="L28" i="1"/>
  <c r="L82" i="1"/>
  <c r="L112" i="1"/>
  <c r="M99" i="1"/>
  <c r="L99" i="1"/>
  <c r="M114" i="1"/>
  <c r="L114" i="1"/>
  <c r="M152" i="1"/>
  <c r="L152" i="1"/>
  <c r="M162" i="1"/>
  <c r="L162" i="1"/>
  <c r="M23" i="1"/>
  <c r="L23" i="1"/>
  <c r="M146" i="1"/>
  <c r="L146" i="1"/>
  <c r="M228" i="1"/>
  <c r="L228" i="1"/>
  <c r="M149" i="1"/>
  <c r="L149" i="1"/>
  <c r="M144" i="1"/>
  <c r="L144" i="1"/>
  <c r="L106" i="1"/>
  <c r="M122" i="1"/>
  <c r="L122" i="1"/>
  <c r="M180" i="1"/>
  <c r="L180" i="1"/>
  <c r="M61" i="1"/>
  <c r="L61" i="1"/>
  <c r="M211" i="1"/>
  <c r="L211" i="1"/>
  <c r="M108" i="1"/>
  <c r="L108" i="1"/>
  <c r="M249" i="1"/>
  <c r="L249" i="1"/>
  <c r="M66" i="1"/>
  <c r="L66" i="1"/>
  <c r="M219" i="1"/>
  <c r="L219" i="1"/>
  <c r="M186" i="1"/>
  <c r="L186" i="1"/>
  <c r="M181" i="1"/>
  <c r="L181" i="1"/>
  <c r="M120" i="1"/>
  <c r="L120" i="1"/>
  <c r="M242" i="1"/>
  <c r="L242" i="1"/>
  <c r="M116" i="1"/>
  <c r="L116" i="1"/>
  <c r="M128" i="1"/>
  <c r="L128" i="1"/>
  <c r="M46" i="1"/>
  <c r="L46" i="1"/>
  <c r="M117" i="1"/>
  <c r="L117" i="1"/>
  <c r="M212" i="1"/>
  <c r="L212" i="1"/>
  <c r="M182" i="1"/>
  <c r="L182" i="1"/>
  <c r="M31" i="1"/>
  <c r="L31" i="1"/>
  <c r="M221" i="1"/>
  <c r="L221" i="1"/>
  <c r="M137" i="1"/>
  <c r="L137" i="1"/>
  <c r="M87" i="1"/>
  <c r="L87" i="1"/>
  <c r="M156" i="1"/>
  <c r="L156" i="1"/>
  <c r="M107" i="1"/>
  <c r="L107" i="1"/>
  <c r="L233" i="1"/>
  <c r="M145" i="1"/>
  <c r="L145" i="1"/>
  <c r="M77" i="1"/>
  <c r="L77" i="1"/>
  <c r="M178" i="1"/>
  <c r="L178" i="1"/>
  <c r="L204" i="1"/>
  <c r="M141" i="1"/>
  <c r="L141" i="1"/>
  <c r="M130" i="1"/>
  <c r="L130" i="1"/>
  <c r="M27" i="1"/>
  <c r="L27" i="1"/>
  <c r="L39" i="1"/>
  <c r="M129" i="1"/>
  <c r="L129" i="1"/>
  <c r="M89" i="1"/>
  <c r="L89" i="1"/>
  <c r="L193" i="1"/>
  <c r="M163" i="1"/>
  <c r="L163" i="1"/>
  <c r="M63" i="1"/>
  <c r="L63" i="1"/>
  <c r="M65" i="1"/>
  <c r="L65" i="1"/>
  <c r="M44" i="1"/>
  <c r="L44" i="1"/>
  <c r="M64" i="1"/>
  <c r="L64" i="1"/>
  <c r="L109" i="1"/>
  <c r="L198" i="1"/>
  <c r="L50" i="1"/>
  <c r="M154" i="1"/>
  <c r="L154" i="1"/>
  <c r="M159" i="1"/>
  <c r="L159" i="1"/>
  <c r="L71" i="1"/>
  <c r="L138" i="1"/>
  <c r="L93" i="1"/>
  <c r="L105" i="1"/>
  <c r="M22" i="1"/>
  <c r="L22" i="1"/>
  <c r="L244" i="1"/>
  <c r="M121" i="1"/>
  <c r="L121" i="1"/>
  <c r="M200" i="1"/>
  <c r="L200" i="1"/>
  <c r="M142" i="1"/>
  <c r="L142" i="1"/>
  <c r="M85" i="1"/>
  <c r="L85" i="1"/>
  <c r="M96" i="1"/>
  <c r="L96" i="1"/>
  <c r="M88" i="1"/>
  <c r="L88" i="1"/>
  <c r="M40" i="1"/>
  <c r="L40" i="1"/>
  <c r="M125" i="1"/>
  <c r="L125" i="1"/>
  <c r="M140" i="1"/>
  <c r="L140" i="1"/>
  <c r="M102" i="1"/>
  <c r="L102" i="1"/>
  <c r="M133" i="1"/>
  <c r="L133" i="1"/>
  <c r="L35" i="1"/>
  <c r="M171" i="1"/>
  <c r="L171" i="1"/>
  <c r="L111" i="1"/>
  <c r="M97" i="1"/>
  <c r="L97" i="1"/>
  <c r="L230" i="1"/>
  <c r="M226" i="1"/>
  <c r="L226" i="1"/>
  <c r="M80" i="1"/>
  <c r="L80" i="1"/>
  <c r="M139" i="1"/>
  <c r="L139" i="1"/>
  <c r="M164" i="1"/>
  <c r="L164" i="1"/>
  <c r="M205" i="1"/>
  <c r="L205" i="1"/>
  <c r="M158" i="1"/>
  <c r="L158" i="1"/>
  <c r="L95" i="1"/>
  <c r="M127" i="1"/>
  <c r="L127" i="1"/>
  <c r="M176" i="1"/>
  <c r="L176" i="1"/>
  <c r="M173" i="1"/>
  <c r="L173" i="1"/>
  <c r="M29" i="1"/>
  <c r="L29" i="1"/>
  <c r="M192" i="1"/>
  <c r="L192" i="1"/>
  <c r="M217" i="1"/>
  <c r="L217" i="1"/>
  <c r="M215" i="1"/>
  <c r="L215" i="1"/>
  <c r="M227" i="1"/>
  <c r="L227" i="1"/>
  <c r="M175" i="1"/>
  <c r="L175" i="1"/>
  <c r="M237" i="1"/>
  <c r="L237" i="1"/>
  <c r="M91" i="1"/>
  <c r="L91" i="1"/>
  <c r="M26" i="1"/>
  <c r="L26" i="1"/>
  <c r="L190" i="1"/>
  <c r="L202" i="1"/>
  <c r="M147" i="1"/>
  <c r="L147" i="1"/>
  <c r="M113" i="1"/>
  <c r="L113" i="1"/>
  <c r="M132" i="1"/>
  <c r="L132" i="1"/>
  <c r="M32" i="1"/>
  <c r="L32" i="1"/>
  <c r="M170" i="1"/>
  <c r="L170" i="1"/>
  <c r="L67" i="1"/>
  <c r="L36" i="1"/>
  <c r="M213" i="1"/>
  <c r="L213" i="1"/>
  <c r="M187" i="1"/>
  <c r="L187" i="1"/>
  <c r="M160" i="1"/>
  <c r="L160" i="1"/>
  <c r="M34" i="1"/>
  <c r="L34" i="1"/>
  <c r="L104" i="1"/>
  <c r="M179" i="1"/>
  <c r="L179" i="1"/>
  <c r="L151" i="1"/>
  <c r="L189" i="1"/>
  <c r="L165" i="1"/>
  <c r="L90" i="1"/>
  <c r="L218" i="1"/>
  <c r="M153" i="1"/>
  <c r="L153" i="1"/>
  <c r="L251" i="1"/>
  <c r="L148" i="1"/>
  <c r="L196" i="1"/>
  <c r="L252" i="1"/>
  <c r="L236" i="1"/>
  <c r="L134" i="1"/>
  <c r="L229" i="1"/>
  <c r="M216" i="1"/>
  <c r="L216" i="1"/>
  <c r="L183" i="1"/>
  <c r="L234" i="1"/>
  <c r="L56" i="1"/>
  <c r="L199" i="1"/>
  <c r="L161" i="1"/>
  <c r="L248" i="1"/>
  <c r="L197" i="1"/>
  <c r="M94" i="1"/>
  <c r="L94" i="1"/>
  <c r="L110" i="1"/>
  <c r="M42" i="1"/>
  <c r="L42" i="1"/>
  <c r="M208" i="1"/>
  <c r="L208" i="1"/>
  <c r="L231" i="1"/>
  <c r="M81" i="1"/>
  <c r="L81" i="1"/>
  <c r="M45" i="1"/>
  <c r="L45" i="1"/>
  <c r="M185" i="1"/>
  <c r="L185" i="1"/>
  <c r="M25" i="1"/>
  <c r="L25" i="1"/>
  <c r="M69" i="1"/>
  <c r="L69" i="1"/>
  <c r="M224" i="1"/>
  <c r="L224" i="1"/>
  <c r="M33" i="1"/>
  <c r="L33" i="1"/>
  <c r="L232" i="1"/>
  <c r="L241" i="1"/>
  <c r="L243" i="1"/>
  <c r="M119" i="1"/>
  <c r="L119" i="1"/>
  <c r="M118" i="1"/>
  <c r="L118" i="1"/>
  <c r="L169" i="1"/>
  <c r="L131" i="1"/>
  <c r="M52" i="1"/>
  <c r="L52" i="1"/>
  <c r="M62" i="1"/>
  <c r="L62" i="1"/>
  <c r="M98" i="1"/>
  <c r="L98" i="1"/>
  <c r="M157" i="1"/>
  <c r="L157" i="1"/>
  <c r="L174" i="1"/>
  <c r="M195" i="1"/>
  <c r="L195" i="1"/>
  <c r="M101" i="1"/>
  <c r="L101" i="1"/>
  <c r="M53" i="1"/>
  <c r="L53" i="1"/>
  <c r="L76" i="1"/>
  <c r="M247" i="1"/>
  <c r="L247" i="1"/>
  <c r="M143" i="1"/>
  <c r="L143" i="1"/>
  <c r="M49" i="1"/>
  <c r="L49" i="1"/>
  <c r="L194" i="1"/>
  <c r="M24" i="1"/>
  <c r="L24" i="1"/>
  <c r="M70" i="1"/>
  <c r="L70" i="1"/>
  <c r="M239" i="1"/>
  <c r="L239" i="1"/>
  <c r="M30" i="1"/>
  <c r="L30" i="1"/>
  <c r="L124" i="1"/>
  <c r="L74" i="1"/>
  <c r="M126" i="1"/>
  <c r="L126" i="1"/>
  <c r="M92" i="1"/>
  <c r="L92" i="1"/>
  <c r="L79" i="1"/>
  <c r="M123" i="1"/>
  <c r="L123" i="1"/>
  <c r="M84" i="1"/>
  <c r="L84" i="1"/>
  <c r="L115" i="1"/>
  <c r="L172" i="1"/>
  <c r="L167" i="1"/>
  <c r="L203" i="1"/>
  <c r="M222" i="1"/>
  <c r="L222" i="1"/>
  <c r="L168" i="1"/>
  <c r="L245" i="1"/>
  <c r="L68" i="1"/>
  <c r="L78" i="1"/>
  <c r="L177" i="1"/>
  <c r="M214" i="1"/>
  <c r="L214" i="1"/>
  <c r="M169" i="1"/>
  <c r="M202" i="1"/>
  <c r="M111" i="1"/>
  <c r="M76" i="1"/>
  <c r="M194" i="1"/>
  <c r="M112" i="1"/>
  <c r="M43" i="1"/>
  <c r="M235" i="1"/>
  <c r="M155" i="1"/>
  <c r="M220" i="1"/>
  <c r="M59" i="1"/>
  <c r="M210" i="1"/>
  <c r="M206" i="1"/>
  <c r="M54" i="1"/>
  <c r="M231" i="1"/>
  <c r="M103" i="1"/>
  <c r="M48" i="1"/>
  <c r="M188" i="1"/>
  <c r="M150" i="1"/>
  <c r="M240" i="1"/>
  <c r="M136" i="1"/>
  <c r="M60" i="1"/>
  <c r="M209" i="1"/>
  <c r="M225" i="1"/>
  <c r="M58" i="1"/>
  <c r="M72" i="1"/>
  <c r="M86" i="1"/>
  <c r="M75" i="1"/>
  <c r="M38" i="1"/>
  <c r="M166" i="1"/>
  <c r="M73" i="1"/>
  <c r="M47" i="1"/>
  <c r="M41" i="1"/>
  <c r="M207" i="1"/>
  <c r="M246" i="1"/>
  <c r="M57" i="1"/>
  <c r="M238" i="1"/>
  <c r="M28" i="1"/>
  <c r="M82" i="1"/>
  <c r="M106" i="1"/>
  <c r="M243" i="1"/>
  <c r="M233" i="1"/>
  <c r="M204" i="1"/>
  <c r="M39" i="1"/>
  <c r="M193" i="1"/>
  <c r="M109" i="1"/>
  <c r="M198" i="1"/>
  <c r="M50" i="1"/>
  <c r="M71" i="1"/>
  <c r="M138" i="1"/>
  <c r="M93" i="1"/>
  <c r="M105" i="1"/>
  <c r="M244" i="1"/>
  <c r="M131" i="1"/>
  <c r="M230" i="1"/>
  <c r="M174" i="1"/>
  <c r="M51" i="1"/>
  <c r="M95" i="1"/>
  <c r="M232" i="1"/>
  <c r="M241" i="1"/>
  <c r="M35" i="1"/>
  <c r="M67" i="1"/>
  <c r="M36" i="1"/>
  <c r="M104" i="1"/>
  <c r="M151" i="1"/>
  <c r="M189" i="1"/>
  <c r="M165" i="1"/>
  <c r="M90" i="1"/>
  <c r="M218" i="1"/>
  <c r="M251" i="1"/>
  <c r="M148" i="1"/>
  <c r="M196" i="1"/>
  <c r="M252" i="1"/>
  <c r="M236" i="1"/>
  <c r="M134" i="1"/>
  <c r="M229" i="1"/>
  <c r="M183" i="1"/>
  <c r="M234" i="1"/>
  <c r="M56" i="1"/>
  <c r="M199" i="1"/>
  <c r="M161" i="1"/>
  <c r="M248" i="1"/>
  <c r="M197" i="1"/>
  <c r="M110" i="1"/>
  <c r="M190" i="1"/>
  <c r="M124" i="1"/>
  <c r="M74" i="1"/>
  <c r="M79" i="1"/>
  <c r="M115" i="1"/>
  <c r="M172" i="1"/>
  <c r="M167" i="1"/>
  <c r="M203" i="1"/>
  <c r="M168" i="1"/>
  <c r="M245" i="1"/>
  <c r="M68" i="1"/>
  <c r="M78" i="1"/>
  <c r="M177" i="1"/>
  <c r="P156" i="1"/>
  <c r="O156" i="1"/>
  <c r="P204" i="1"/>
  <c r="O204" i="1"/>
  <c r="P227" i="1"/>
  <c r="O227" i="1"/>
  <c r="P16" i="1"/>
  <c r="O16" i="1"/>
  <c r="P71" i="1"/>
  <c r="O71" i="1"/>
  <c r="P9" i="1"/>
  <c r="O9" i="1"/>
  <c r="P43" i="1"/>
  <c r="O43" i="1"/>
  <c r="P189" i="1"/>
  <c r="O189" i="1"/>
  <c r="P252" i="1"/>
  <c r="O252" i="1"/>
  <c r="P22" i="1"/>
  <c r="O22" i="1"/>
  <c r="P31" i="1"/>
  <c r="O31" i="1"/>
  <c r="P101" i="1"/>
  <c r="O101" i="1"/>
  <c r="P159" i="1"/>
  <c r="O159" i="1"/>
  <c r="P94" i="1"/>
  <c r="O94" i="1"/>
  <c r="P39" i="1"/>
  <c r="O39" i="1"/>
  <c r="P193" i="1"/>
  <c r="O193" i="1"/>
  <c r="P146" i="1"/>
  <c r="O146" i="1"/>
  <c r="P20" i="1"/>
  <c r="O20" i="1"/>
  <c r="P164" i="1"/>
  <c r="O164" i="1"/>
  <c r="P30" i="1"/>
  <c r="O30" i="1"/>
  <c r="P188" i="1"/>
  <c r="O188" i="1"/>
  <c r="P89" i="1"/>
  <c r="O89" i="1"/>
  <c r="P249" i="1"/>
  <c r="O249" i="1"/>
  <c r="P127" i="1"/>
  <c r="O127" i="1"/>
  <c r="P38" i="1"/>
  <c r="O38" i="1"/>
  <c r="P160" i="1"/>
  <c r="O160" i="1"/>
  <c r="P230" i="1"/>
  <c r="O230" i="1"/>
  <c r="P107" i="1"/>
  <c r="O107" i="1"/>
  <c r="P78" i="1"/>
  <c r="O78" i="1"/>
  <c r="P220" i="1"/>
  <c r="O220" i="1"/>
  <c r="P182" i="1"/>
  <c r="O182" i="1"/>
  <c r="P175" i="1"/>
  <c r="O175" i="1"/>
  <c r="P126" i="1"/>
  <c r="O126" i="1"/>
  <c r="P53" i="1"/>
  <c r="O53" i="1"/>
  <c r="P167" i="1"/>
  <c r="O167" i="1"/>
  <c r="P142" i="1"/>
  <c r="O142" i="1"/>
  <c r="P133" i="1"/>
  <c r="O133" i="1"/>
  <c r="P231" i="1"/>
  <c r="O231" i="1"/>
  <c r="P14" i="1"/>
  <c r="O14" i="1"/>
  <c r="P15" i="1"/>
  <c r="O15" i="1"/>
  <c r="P171" i="1"/>
  <c r="O171" i="1"/>
  <c r="P212" i="1"/>
  <c r="O212" i="1"/>
  <c r="P82" i="1"/>
  <c r="O82" i="1"/>
  <c r="P244" i="1"/>
  <c r="O244" i="1"/>
  <c r="P235" i="1"/>
  <c r="O235" i="1"/>
  <c r="P97" i="1"/>
  <c r="O97" i="1"/>
  <c r="P120" i="1"/>
  <c r="O120" i="1"/>
  <c r="P67" i="1"/>
  <c r="O67" i="1"/>
  <c r="P73" i="1"/>
  <c r="O73" i="1"/>
  <c r="P41" i="1"/>
  <c r="O41" i="1"/>
  <c r="P110" i="1"/>
  <c r="O110" i="1"/>
  <c r="P28" i="1"/>
  <c r="O28" i="1"/>
  <c r="P117" i="1"/>
  <c r="O117" i="1"/>
  <c r="P33" i="1"/>
  <c r="O33" i="1"/>
  <c r="P103" i="1"/>
  <c r="O103" i="1"/>
  <c r="P214" i="1"/>
  <c r="O214" i="1"/>
  <c r="P17" i="1"/>
  <c r="O17" i="1"/>
  <c r="P6" i="1"/>
  <c r="O6" i="1"/>
  <c r="P100" i="1"/>
  <c r="O100" i="1"/>
  <c r="P90" i="1"/>
  <c r="O90" i="1"/>
  <c r="P150" i="1"/>
  <c r="O150" i="1"/>
  <c r="P121" i="1"/>
  <c r="O121" i="1"/>
  <c r="P108" i="1"/>
  <c r="O108" i="1"/>
  <c r="P25" i="1"/>
  <c r="O25" i="1"/>
  <c r="P232" i="1"/>
  <c r="O232" i="1"/>
  <c r="P181" i="1"/>
  <c r="O181" i="1"/>
  <c r="P111" i="1"/>
  <c r="O111" i="1"/>
  <c r="P240" i="1"/>
  <c r="O240" i="1"/>
  <c r="P86" i="1"/>
  <c r="O86" i="1"/>
  <c r="P173" i="1"/>
  <c r="O173" i="1"/>
  <c r="P92" i="1"/>
  <c r="O92" i="1"/>
  <c r="P119" i="1"/>
  <c r="O119" i="1"/>
  <c r="P184" i="1"/>
  <c r="O184" i="1"/>
  <c r="P49" i="1"/>
  <c r="O49" i="1"/>
  <c r="P236" i="1"/>
  <c r="O236" i="1"/>
  <c r="P209" i="1"/>
  <c r="O209" i="1"/>
  <c r="P79" i="1"/>
  <c r="O79" i="1"/>
  <c r="P69" i="1"/>
  <c r="O69" i="1"/>
  <c r="P7" i="1"/>
  <c r="O7" i="1"/>
  <c r="P203" i="1"/>
  <c r="O203" i="1"/>
  <c r="P162" i="1"/>
  <c r="O162" i="1"/>
  <c r="P29" i="1"/>
  <c r="O29" i="1"/>
  <c r="P68" i="1"/>
  <c r="O68" i="1"/>
  <c r="P35" i="1"/>
  <c r="O35" i="1"/>
  <c r="P51" i="1"/>
  <c r="O51" i="1"/>
  <c r="P132" i="1"/>
  <c r="O132" i="1"/>
  <c r="P34" i="1"/>
  <c r="O34" i="1"/>
  <c r="P225" i="1"/>
  <c r="O225" i="1"/>
  <c r="P226" i="1"/>
  <c r="O226" i="1"/>
  <c r="P138" i="1"/>
  <c r="O138" i="1"/>
  <c r="P134" i="1"/>
  <c r="O134" i="1"/>
  <c r="P88" i="1"/>
  <c r="O88" i="1"/>
  <c r="P54" i="1"/>
  <c r="O54" i="1"/>
  <c r="P155" i="1"/>
  <c r="O155" i="1"/>
  <c r="P19" i="1"/>
  <c r="O19" i="1"/>
  <c r="P63" i="1"/>
  <c r="O63" i="1"/>
  <c r="P40" i="1"/>
  <c r="O40" i="1"/>
  <c r="P46" i="1"/>
  <c r="O46" i="1"/>
  <c r="P170" i="1"/>
  <c r="O170" i="1"/>
  <c r="P197" i="1"/>
  <c r="O197" i="1"/>
  <c r="P141" i="1"/>
  <c r="O141" i="1"/>
  <c r="P210" i="1"/>
  <c r="O210" i="1"/>
  <c r="P246" i="1"/>
  <c r="O246" i="1"/>
  <c r="P36" i="1"/>
  <c r="O36" i="1"/>
  <c r="P147" i="1"/>
  <c r="O147" i="1"/>
  <c r="P185" i="1"/>
  <c r="O185" i="1"/>
  <c r="P105" i="1"/>
  <c r="O105" i="1"/>
  <c r="P21" i="1"/>
  <c r="O21" i="1"/>
  <c r="P140" i="1"/>
  <c r="O140" i="1"/>
  <c r="P198" i="1"/>
  <c r="O198" i="1"/>
  <c r="P84" i="1"/>
  <c r="O84" i="1"/>
  <c r="P93" i="1"/>
  <c r="O93" i="1"/>
  <c r="P206" i="1"/>
  <c r="O206" i="1"/>
  <c r="P98" i="1"/>
  <c r="O98" i="1"/>
  <c r="P207" i="1"/>
  <c r="O207" i="1"/>
  <c r="P115" i="1"/>
  <c r="O115" i="1"/>
  <c r="P222" i="1"/>
  <c r="O222" i="1"/>
  <c r="P196" i="1"/>
  <c r="O196" i="1"/>
  <c r="P123" i="1"/>
  <c r="O123" i="1"/>
  <c r="P238" i="1"/>
  <c r="O238" i="1"/>
  <c r="P217" i="1"/>
  <c r="O217" i="1"/>
  <c r="P165" i="1"/>
  <c r="O165" i="1"/>
  <c r="P168" i="1"/>
  <c r="O168" i="1"/>
  <c r="P114" i="1"/>
  <c r="O114" i="1"/>
  <c r="P233" i="1"/>
  <c r="O233" i="1"/>
  <c r="P251" i="1"/>
  <c r="O251" i="1"/>
  <c r="P137" i="1"/>
  <c r="O137" i="1"/>
  <c r="P152" i="1"/>
  <c r="O152" i="1"/>
  <c r="P186" i="1"/>
  <c r="O186" i="1"/>
  <c r="P32" i="1"/>
  <c r="O32" i="1"/>
  <c r="P218" i="1"/>
  <c r="O218" i="1"/>
  <c r="P179" i="1"/>
  <c r="O179" i="1"/>
  <c r="P112" i="1"/>
  <c r="O112" i="1"/>
  <c r="P81" i="1"/>
  <c r="O81" i="1"/>
  <c r="P131" i="1"/>
  <c r="O131" i="1"/>
  <c r="P223" i="1"/>
  <c r="O223" i="1"/>
  <c r="P57" i="1"/>
  <c r="O57" i="1"/>
  <c r="P48" i="1"/>
  <c r="O48" i="1"/>
  <c r="P166" i="1"/>
  <c r="O166" i="1"/>
  <c r="P191" i="1"/>
  <c r="O191" i="1"/>
  <c r="P199" i="1"/>
  <c r="O199" i="1"/>
  <c r="P4" i="1"/>
  <c r="O4" i="1"/>
  <c r="P205" i="1"/>
  <c r="O205" i="1"/>
  <c r="P228" i="1"/>
  <c r="O228" i="1"/>
  <c r="P58" i="1"/>
  <c r="O58" i="1"/>
  <c r="P47" i="1"/>
  <c r="O47" i="1"/>
  <c r="P116" i="1"/>
  <c r="O116" i="1"/>
  <c r="P178" i="1"/>
  <c r="O178" i="1"/>
  <c r="P216" i="1"/>
  <c r="O216" i="1"/>
  <c r="P61" i="1"/>
  <c r="O61" i="1"/>
  <c r="P213" i="1"/>
  <c r="O213" i="1"/>
  <c r="P208" i="1"/>
  <c r="O208" i="1"/>
  <c r="P50" i="1"/>
  <c r="O50" i="1"/>
  <c r="P194" i="1"/>
  <c r="O194" i="1"/>
  <c r="P157" i="1"/>
  <c r="O157" i="1"/>
  <c r="P128" i="1"/>
  <c r="O128" i="1"/>
  <c r="P85" i="1"/>
  <c r="O85" i="1"/>
  <c r="P144" i="1"/>
  <c r="O144" i="1"/>
  <c r="P27" i="1"/>
  <c r="O27" i="1"/>
  <c r="P242" i="1"/>
  <c r="O242" i="1"/>
  <c r="P202" i="1"/>
  <c r="O202" i="1"/>
  <c r="P234" i="1"/>
  <c r="O234" i="1"/>
  <c r="P104" i="1"/>
  <c r="O104" i="1"/>
  <c r="P163" i="1"/>
  <c r="O163" i="1"/>
  <c r="P45" i="1"/>
  <c r="O45" i="1"/>
  <c r="P91" i="1"/>
  <c r="O91" i="1"/>
  <c r="P74" i="1"/>
  <c r="O74" i="1"/>
  <c r="P219" i="1"/>
  <c r="O219" i="1"/>
  <c r="P143" i="1"/>
  <c r="O143" i="1"/>
  <c r="P77" i="1"/>
  <c r="O77" i="1"/>
  <c r="P145" i="1"/>
  <c r="O145" i="1"/>
  <c r="P192" i="1"/>
  <c r="O192" i="1"/>
  <c r="P60" i="1"/>
  <c r="O60" i="1"/>
  <c r="P113" i="1"/>
  <c r="O113" i="1"/>
  <c r="P172" i="1"/>
  <c r="O172" i="1"/>
  <c r="P190" i="1"/>
  <c r="O190" i="1"/>
  <c r="P65" i="1"/>
  <c r="O65" i="1"/>
  <c r="P52" i="1"/>
  <c r="O52" i="1"/>
  <c r="P149" i="1"/>
  <c r="O149" i="1"/>
  <c r="P13" i="1"/>
  <c r="O13" i="1"/>
  <c r="P201" i="1"/>
  <c r="O201" i="1"/>
  <c r="P12" i="1"/>
  <c r="O12" i="1"/>
  <c r="P23" i="1"/>
  <c r="O23" i="1"/>
  <c r="P239" i="1"/>
  <c r="O239" i="1"/>
  <c r="P183" i="1"/>
  <c r="O183" i="1"/>
  <c r="P247" i="1"/>
  <c r="O247" i="1"/>
  <c r="P154" i="1"/>
  <c r="O154" i="1"/>
  <c r="P161" i="1"/>
  <c r="O161" i="1"/>
  <c r="P44" i="1"/>
  <c r="O44" i="1"/>
  <c r="P215" i="1"/>
  <c r="O215" i="1"/>
  <c r="P109" i="1"/>
  <c r="O109" i="1"/>
  <c r="P72" i="1"/>
  <c r="O72" i="1"/>
  <c r="P248" i="1"/>
  <c r="O248" i="1"/>
  <c r="P250" i="1"/>
  <c r="O250" i="1"/>
  <c r="P37" i="1"/>
  <c r="O37" i="1"/>
  <c r="P8" i="1"/>
  <c r="O8" i="1"/>
  <c r="P106" i="1"/>
  <c r="O106" i="1"/>
  <c r="P24" i="1"/>
  <c r="O24" i="1"/>
  <c r="P148" i="1"/>
  <c r="O148" i="1"/>
  <c r="P66" i="1"/>
  <c r="O66" i="1"/>
  <c r="P241" i="1"/>
  <c r="O241" i="1"/>
  <c r="P64" i="1"/>
  <c r="O64" i="1"/>
  <c r="P76" i="1"/>
  <c r="O76" i="1"/>
  <c r="P122" i="1"/>
  <c r="O122" i="1"/>
  <c r="P229" i="1"/>
  <c r="O229" i="1"/>
  <c r="P169" i="1"/>
  <c r="O169" i="1"/>
  <c r="P224" i="1"/>
  <c r="O224" i="1"/>
  <c r="P195" i="1"/>
  <c r="O195" i="1"/>
  <c r="P5" i="1"/>
  <c r="O5" i="1"/>
  <c r="P56" i="1"/>
  <c r="O56" i="1"/>
  <c r="P139" i="1"/>
  <c r="O139" i="1"/>
  <c r="P96" i="1"/>
  <c r="O96" i="1"/>
  <c r="P99" i="1"/>
  <c r="O99" i="1"/>
  <c r="P237" i="1"/>
  <c r="O237" i="1"/>
  <c r="P18" i="1"/>
  <c r="O18" i="1"/>
  <c r="P200" i="1"/>
  <c r="O200" i="1"/>
  <c r="P221" i="1"/>
  <c r="O221" i="1"/>
  <c r="P102" i="1"/>
  <c r="O102" i="1"/>
  <c r="P129" i="1"/>
  <c r="O129" i="1"/>
  <c r="P211" i="1"/>
  <c r="O211" i="1"/>
  <c r="P83" i="1"/>
  <c r="O83" i="1"/>
  <c r="P136" i="1"/>
  <c r="O136" i="1"/>
  <c r="P62" i="1"/>
  <c r="O62" i="1"/>
  <c r="P11" i="1"/>
  <c r="O11" i="1"/>
  <c r="P42" i="1"/>
  <c r="O42" i="1"/>
  <c r="P153" i="1"/>
  <c r="O153" i="1"/>
  <c r="P177" i="1"/>
  <c r="O177" i="1"/>
  <c r="P130" i="1"/>
  <c r="O130" i="1"/>
  <c r="P174" i="1"/>
  <c r="O174" i="1"/>
  <c r="P124" i="1"/>
  <c r="O124" i="1"/>
  <c r="P158" i="1"/>
  <c r="O158" i="1"/>
  <c r="P187" i="1"/>
  <c r="O187" i="1"/>
  <c r="P151" i="1"/>
  <c r="O151" i="1"/>
  <c r="P70" i="1"/>
  <c r="O70" i="1"/>
  <c r="P180" i="1"/>
  <c r="O180" i="1"/>
  <c r="P245" i="1"/>
  <c r="O245" i="1"/>
  <c r="P135" i="1"/>
  <c r="O135" i="1"/>
  <c r="P118" i="1"/>
  <c r="O118" i="1"/>
  <c r="P10" i="1"/>
  <c r="O10" i="1"/>
  <c r="P176" i="1"/>
  <c r="O176" i="1"/>
  <c r="P26" i="1"/>
  <c r="O26" i="1"/>
  <c r="P95" i="1"/>
  <c r="O95" i="1"/>
  <c r="P75" i="1"/>
  <c r="O75" i="1"/>
  <c r="P87" i="1"/>
  <c r="O87" i="1"/>
  <c r="P243" i="1"/>
  <c r="O243" i="1"/>
  <c r="P55" i="1"/>
  <c r="O55" i="1"/>
  <c r="P125" i="1"/>
  <c r="O125" i="1"/>
  <c r="P80" i="1"/>
  <c r="O80" i="1"/>
  <c r="P59" i="1"/>
  <c r="O59" i="1"/>
  <c r="W15" i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F2" i="1"/>
  <c r="P3" i="1"/>
  <c r="O3" i="1"/>
  <c r="L21" i="1"/>
  <c r="M21" i="1"/>
  <c r="Y27" i="1" l="1"/>
  <c r="I217" i="1"/>
  <c r="H217" i="1"/>
  <c r="I233" i="1"/>
  <c r="H233" i="1"/>
  <c r="I38" i="1"/>
  <c r="H38" i="1"/>
  <c r="I205" i="1"/>
  <c r="H205" i="1"/>
  <c r="I77" i="1"/>
  <c r="H77" i="1"/>
  <c r="I207" i="1"/>
  <c r="H207" i="1"/>
  <c r="I180" i="1"/>
  <c r="H180" i="1"/>
  <c r="I116" i="1"/>
  <c r="H116" i="1"/>
  <c r="I52" i="1"/>
  <c r="H52" i="1"/>
  <c r="I227" i="1"/>
  <c r="H227" i="1"/>
  <c r="I163" i="1"/>
  <c r="H163" i="1"/>
  <c r="I99" i="1"/>
  <c r="H99" i="1"/>
  <c r="I35" i="1"/>
  <c r="H35" i="1"/>
  <c r="I193" i="1"/>
  <c r="H193" i="1"/>
  <c r="I129" i="1"/>
  <c r="H129" i="1"/>
  <c r="I65" i="1"/>
  <c r="H65" i="1"/>
  <c r="I234" i="1"/>
  <c r="H234" i="1"/>
  <c r="I208" i="1"/>
  <c r="H208" i="1"/>
  <c r="I144" i="1"/>
  <c r="H144" i="1"/>
  <c r="I80" i="1"/>
  <c r="H80" i="1"/>
  <c r="I16" i="1"/>
  <c r="H16" i="1"/>
  <c r="I247" i="1"/>
  <c r="H247" i="1"/>
  <c r="I151" i="1"/>
  <c r="H151" i="1"/>
  <c r="I87" i="1"/>
  <c r="H87" i="1"/>
  <c r="I23" i="1"/>
  <c r="H23" i="1"/>
  <c r="I231" i="1"/>
  <c r="H231" i="1"/>
  <c r="I102" i="1"/>
  <c r="H102" i="1"/>
  <c r="I22" i="1"/>
  <c r="H22" i="1"/>
  <c r="I240" i="1"/>
  <c r="H240" i="1"/>
  <c r="I86" i="1"/>
  <c r="H86" i="1"/>
  <c r="I189" i="1"/>
  <c r="H189" i="1"/>
  <c r="I125" i="1"/>
  <c r="H125" i="1"/>
  <c r="I61" i="1"/>
  <c r="H61" i="1"/>
  <c r="I226" i="1"/>
  <c r="H226" i="1"/>
  <c r="I206" i="1"/>
  <c r="H206" i="1"/>
  <c r="I228" i="1"/>
  <c r="H228" i="1"/>
  <c r="I164" i="1"/>
  <c r="H164" i="1"/>
  <c r="I100" i="1"/>
  <c r="H100" i="1"/>
  <c r="I36" i="1"/>
  <c r="H36" i="1"/>
  <c r="I241" i="1"/>
  <c r="H241" i="1"/>
  <c r="I211" i="1"/>
  <c r="H211" i="1"/>
  <c r="I147" i="1"/>
  <c r="H147" i="1"/>
  <c r="I83" i="1"/>
  <c r="H83" i="1"/>
  <c r="I19" i="1"/>
  <c r="H19" i="1"/>
  <c r="I58" i="1"/>
  <c r="H58" i="1"/>
  <c r="I96" i="1"/>
  <c r="H96" i="1"/>
  <c r="I50" i="1"/>
  <c r="H50" i="1"/>
  <c r="I39" i="1"/>
  <c r="H39" i="1"/>
  <c r="I57" i="1"/>
  <c r="H57" i="1"/>
  <c r="I215" i="1"/>
  <c r="H215" i="1"/>
  <c r="I79" i="1"/>
  <c r="H79" i="1"/>
  <c r="I15" i="1"/>
  <c r="H15" i="1"/>
  <c r="I14" i="1"/>
  <c r="H14" i="1"/>
  <c r="I182" i="1"/>
  <c r="H182" i="1"/>
  <c r="I92" i="1"/>
  <c r="H92" i="1"/>
  <c r="I139" i="1"/>
  <c r="H139" i="1"/>
  <c r="I194" i="1"/>
  <c r="H194" i="1"/>
  <c r="I113" i="1"/>
  <c r="H113" i="1"/>
  <c r="I49" i="1"/>
  <c r="H49" i="1"/>
  <c r="I122" i="1"/>
  <c r="H122" i="1"/>
  <c r="I192" i="1"/>
  <c r="H192" i="1"/>
  <c r="I128" i="1"/>
  <c r="H128" i="1"/>
  <c r="I64" i="1"/>
  <c r="H64" i="1"/>
  <c r="I242" i="1"/>
  <c r="H242" i="1"/>
  <c r="I199" i="1"/>
  <c r="H199" i="1"/>
  <c r="I135" i="1"/>
  <c r="H135" i="1"/>
  <c r="I71" i="1"/>
  <c r="H71" i="1"/>
  <c r="I7" i="1"/>
  <c r="H7" i="1"/>
  <c r="I198" i="1"/>
  <c r="H198" i="1"/>
  <c r="I70" i="1"/>
  <c r="H70" i="1"/>
  <c r="I6" i="1"/>
  <c r="H6" i="1"/>
  <c r="I246" i="1"/>
  <c r="H246" i="1"/>
  <c r="I237" i="1"/>
  <c r="H237" i="1"/>
  <c r="I173" i="1"/>
  <c r="H173" i="1"/>
  <c r="I109" i="1"/>
  <c r="H109" i="1"/>
  <c r="I45" i="1"/>
  <c r="H45" i="1"/>
  <c r="I98" i="1"/>
  <c r="H98" i="1"/>
  <c r="I158" i="1"/>
  <c r="H158" i="1"/>
  <c r="I212" i="1"/>
  <c r="H212" i="1"/>
  <c r="I148" i="1"/>
  <c r="H148" i="1"/>
  <c r="I84" i="1"/>
  <c r="H84" i="1"/>
  <c r="I20" i="1"/>
  <c r="H20" i="1"/>
  <c r="I239" i="1"/>
  <c r="H239" i="1"/>
  <c r="I195" i="1"/>
  <c r="H195" i="1"/>
  <c r="I131" i="1"/>
  <c r="H131" i="1"/>
  <c r="I67" i="1"/>
  <c r="H67" i="1"/>
  <c r="I3" i="1"/>
  <c r="H3" i="1"/>
  <c r="I145" i="1"/>
  <c r="H145" i="1"/>
  <c r="I17" i="1"/>
  <c r="H17" i="1"/>
  <c r="I185" i="1"/>
  <c r="H185" i="1"/>
  <c r="I136" i="1"/>
  <c r="H136" i="1"/>
  <c r="I223" i="1"/>
  <c r="H223" i="1"/>
  <c r="I181" i="1"/>
  <c r="H181" i="1"/>
  <c r="I53" i="1"/>
  <c r="H53" i="1"/>
  <c r="I156" i="1"/>
  <c r="H156" i="1"/>
  <c r="I28" i="1"/>
  <c r="H28" i="1"/>
  <c r="I75" i="1"/>
  <c r="H75" i="1"/>
  <c r="I146" i="1"/>
  <c r="H146" i="1"/>
  <c r="I184" i="1"/>
  <c r="H184" i="1"/>
  <c r="I56" i="1"/>
  <c r="H56" i="1"/>
  <c r="I127" i="1"/>
  <c r="H127" i="1"/>
  <c r="I63" i="1"/>
  <c r="H63" i="1"/>
  <c r="I222" i="1"/>
  <c r="H222" i="1"/>
  <c r="I101" i="1"/>
  <c r="H101" i="1"/>
  <c r="I134" i="1"/>
  <c r="H134" i="1"/>
  <c r="I140" i="1"/>
  <c r="H140" i="1"/>
  <c r="I12" i="1"/>
  <c r="H12" i="1"/>
  <c r="I187" i="1"/>
  <c r="H187" i="1"/>
  <c r="I123" i="1"/>
  <c r="H123" i="1"/>
  <c r="I59" i="1"/>
  <c r="H59" i="1"/>
  <c r="I81" i="1"/>
  <c r="H81" i="1"/>
  <c r="I167" i="1"/>
  <c r="H167" i="1"/>
  <c r="I121" i="1"/>
  <c r="H121" i="1"/>
  <c r="I178" i="1"/>
  <c r="H178" i="1"/>
  <c r="I72" i="1"/>
  <c r="H72" i="1"/>
  <c r="I8" i="1"/>
  <c r="H8" i="1"/>
  <c r="I238" i="1"/>
  <c r="H238" i="1"/>
  <c r="I245" i="1"/>
  <c r="H245" i="1"/>
  <c r="I117" i="1"/>
  <c r="H117" i="1"/>
  <c r="I220" i="1"/>
  <c r="H220" i="1"/>
  <c r="I232" i="1"/>
  <c r="H232" i="1"/>
  <c r="I11" i="1"/>
  <c r="H11" i="1"/>
  <c r="I177" i="1"/>
  <c r="H177" i="1"/>
  <c r="I105" i="1"/>
  <c r="H105" i="1"/>
  <c r="I41" i="1"/>
  <c r="H41" i="1"/>
  <c r="I120" i="1"/>
  <c r="H120" i="1"/>
  <c r="I191" i="1"/>
  <c r="H191" i="1"/>
  <c r="I174" i="1"/>
  <c r="H174" i="1"/>
  <c r="I62" i="1"/>
  <c r="H62" i="1"/>
  <c r="I229" i="1"/>
  <c r="H229" i="1"/>
  <c r="I37" i="1"/>
  <c r="H37" i="1"/>
  <c r="I34" i="1"/>
  <c r="H34" i="1"/>
  <c r="I251" i="1"/>
  <c r="H251" i="1"/>
  <c r="I114" i="1"/>
  <c r="H114" i="1"/>
  <c r="I97" i="1"/>
  <c r="H97" i="1"/>
  <c r="I33" i="1"/>
  <c r="H33" i="1"/>
  <c r="I66" i="1"/>
  <c r="H66" i="1"/>
  <c r="I112" i="1"/>
  <c r="H112" i="1"/>
  <c r="I130" i="1"/>
  <c r="H130" i="1"/>
  <c r="I119" i="1"/>
  <c r="H119" i="1"/>
  <c r="I138" i="1"/>
  <c r="H138" i="1"/>
  <c r="I54" i="1"/>
  <c r="H54" i="1"/>
  <c r="I162" i="1"/>
  <c r="H162" i="1"/>
  <c r="I221" i="1"/>
  <c r="H221" i="1"/>
  <c r="I209" i="1"/>
  <c r="H209" i="1"/>
  <c r="I196" i="1"/>
  <c r="H196" i="1"/>
  <c r="I68" i="1"/>
  <c r="H68" i="1"/>
  <c r="I4" i="1"/>
  <c r="H4" i="1"/>
  <c r="I179" i="1"/>
  <c r="H179" i="1"/>
  <c r="I115" i="1"/>
  <c r="H115" i="1"/>
  <c r="I51" i="1"/>
  <c r="H51" i="1"/>
  <c r="I250" i="1"/>
  <c r="H250" i="1"/>
  <c r="I200" i="1"/>
  <c r="H200" i="1"/>
  <c r="I143" i="1"/>
  <c r="H143" i="1"/>
  <c r="I78" i="1"/>
  <c r="H78" i="1"/>
  <c r="I170" i="1"/>
  <c r="H170" i="1"/>
  <c r="I203" i="1"/>
  <c r="H203" i="1"/>
  <c r="I169" i="1"/>
  <c r="H169" i="1"/>
  <c r="I90" i="1"/>
  <c r="H90" i="1"/>
  <c r="I186" i="1"/>
  <c r="H186" i="1"/>
  <c r="I210" i="1"/>
  <c r="H210" i="1"/>
  <c r="I202" i="1"/>
  <c r="H202" i="1"/>
  <c r="I165" i="1"/>
  <c r="H165" i="1"/>
  <c r="I204" i="1"/>
  <c r="H204" i="1"/>
  <c r="I76" i="1"/>
  <c r="H76" i="1"/>
  <c r="I161" i="1"/>
  <c r="H161" i="1"/>
  <c r="I176" i="1"/>
  <c r="H176" i="1"/>
  <c r="I48" i="1"/>
  <c r="H48" i="1"/>
  <c r="I183" i="1"/>
  <c r="H183" i="1"/>
  <c r="I55" i="1"/>
  <c r="H55" i="1"/>
  <c r="I150" i="1"/>
  <c r="H150" i="1"/>
  <c r="I214" i="1"/>
  <c r="H214" i="1"/>
  <c r="I157" i="1"/>
  <c r="H157" i="1"/>
  <c r="I93" i="1"/>
  <c r="H93" i="1"/>
  <c r="I29" i="1"/>
  <c r="H29" i="1"/>
  <c r="I94" i="1"/>
  <c r="H94" i="1"/>
  <c r="I132" i="1"/>
  <c r="H132" i="1"/>
  <c r="I243" i="1"/>
  <c r="H243" i="1"/>
  <c r="I74" i="1"/>
  <c r="H74" i="1"/>
  <c r="I153" i="1"/>
  <c r="H153" i="1"/>
  <c r="I89" i="1"/>
  <c r="H89" i="1"/>
  <c r="I25" i="1"/>
  <c r="H25" i="1"/>
  <c r="I10" i="1"/>
  <c r="H10" i="1"/>
  <c r="I168" i="1"/>
  <c r="H168" i="1"/>
  <c r="I104" i="1"/>
  <c r="H104" i="1"/>
  <c r="I40" i="1"/>
  <c r="H40" i="1"/>
  <c r="I82" i="1"/>
  <c r="H82" i="1"/>
  <c r="I175" i="1"/>
  <c r="H175" i="1"/>
  <c r="I111" i="1"/>
  <c r="H111" i="1"/>
  <c r="I47" i="1"/>
  <c r="H47" i="1"/>
  <c r="I42" i="1"/>
  <c r="H42" i="1"/>
  <c r="I126" i="1"/>
  <c r="H126" i="1"/>
  <c r="I46" i="1"/>
  <c r="H46" i="1"/>
  <c r="I106" i="1"/>
  <c r="H106" i="1"/>
  <c r="I190" i="1"/>
  <c r="H190" i="1"/>
  <c r="I213" i="1"/>
  <c r="H213" i="1"/>
  <c r="I149" i="1"/>
  <c r="H149" i="1"/>
  <c r="I85" i="1"/>
  <c r="H85" i="1"/>
  <c r="I21" i="1"/>
  <c r="H21" i="1"/>
  <c r="I224" i="1"/>
  <c r="H224" i="1"/>
  <c r="I252" i="1"/>
  <c r="H252" i="1"/>
  <c r="I188" i="1"/>
  <c r="H188" i="1"/>
  <c r="I124" i="1"/>
  <c r="H124" i="1"/>
  <c r="I60" i="1"/>
  <c r="H60" i="1"/>
  <c r="I218" i="1"/>
  <c r="H218" i="1"/>
  <c r="I235" i="1"/>
  <c r="H235" i="1"/>
  <c r="I171" i="1"/>
  <c r="H171" i="1"/>
  <c r="I107" i="1"/>
  <c r="H107" i="1"/>
  <c r="I43" i="1"/>
  <c r="H43" i="1"/>
  <c r="I160" i="1"/>
  <c r="H160" i="1"/>
  <c r="I32" i="1"/>
  <c r="H32" i="1"/>
  <c r="I103" i="1"/>
  <c r="H103" i="1"/>
  <c r="I118" i="1"/>
  <c r="H118" i="1"/>
  <c r="I18" i="1"/>
  <c r="H18" i="1"/>
  <c r="I166" i="1"/>
  <c r="H166" i="1"/>
  <c r="I141" i="1"/>
  <c r="H141" i="1"/>
  <c r="I13" i="1"/>
  <c r="H13" i="1"/>
  <c r="I244" i="1"/>
  <c r="H244" i="1"/>
  <c r="I154" i="1"/>
  <c r="H154" i="1"/>
  <c r="I249" i="1"/>
  <c r="H249" i="1"/>
  <c r="I137" i="1"/>
  <c r="H137" i="1"/>
  <c r="I73" i="1"/>
  <c r="H73" i="1"/>
  <c r="I9" i="1"/>
  <c r="H9" i="1"/>
  <c r="I216" i="1"/>
  <c r="H216" i="1"/>
  <c r="I152" i="1"/>
  <c r="H152" i="1"/>
  <c r="I88" i="1"/>
  <c r="H88" i="1"/>
  <c r="I24" i="1"/>
  <c r="H24" i="1"/>
  <c r="I201" i="1"/>
  <c r="H201" i="1"/>
  <c r="I159" i="1"/>
  <c r="H159" i="1"/>
  <c r="I95" i="1"/>
  <c r="H95" i="1"/>
  <c r="I31" i="1"/>
  <c r="H31" i="1"/>
  <c r="I248" i="1"/>
  <c r="H248" i="1"/>
  <c r="I110" i="1"/>
  <c r="H110" i="1"/>
  <c r="I30" i="1"/>
  <c r="H30" i="1"/>
  <c r="I225" i="1"/>
  <c r="H225" i="1"/>
  <c r="I142" i="1"/>
  <c r="H142" i="1"/>
  <c r="I197" i="1"/>
  <c r="H197" i="1"/>
  <c r="I133" i="1"/>
  <c r="H133" i="1"/>
  <c r="I69" i="1"/>
  <c r="H69" i="1"/>
  <c r="I5" i="1"/>
  <c r="H5" i="1"/>
  <c r="I230" i="1"/>
  <c r="H230" i="1"/>
  <c r="I236" i="1"/>
  <c r="H236" i="1"/>
  <c r="I172" i="1"/>
  <c r="H172" i="1"/>
  <c r="I108" i="1"/>
  <c r="H108" i="1"/>
  <c r="I44" i="1"/>
  <c r="H44" i="1"/>
  <c r="I26" i="1"/>
  <c r="H26" i="1"/>
  <c r="I219" i="1"/>
  <c r="H219" i="1"/>
  <c r="I155" i="1"/>
  <c r="H155" i="1"/>
  <c r="I91" i="1"/>
  <c r="H91" i="1"/>
  <c r="I27" i="1"/>
  <c r="H27" i="1"/>
  <c r="Y29" i="1"/>
  <c r="Y28" i="1"/>
  <c r="R15" i="1"/>
  <c r="H2" i="1"/>
  <c r="I2" i="1"/>
  <c r="Y30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Y31" i="1" l="1"/>
  <c r="R16" i="1"/>
  <c r="S15" i="1"/>
  <c r="T15" i="1" s="1"/>
  <c r="S16" i="1" l="1"/>
  <c r="T16" i="1" s="1"/>
  <c r="R17" i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Y32" i="1"/>
  <c r="S17" i="1" l="1"/>
  <c r="T17" i="1" s="1"/>
  <c r="Y33" i="1"/>
  <c r="S18" i="1"/>
  <c r="Y34" i="1" l="1"/>
  <c r="S19" i="1"/>
  <c r="T18" i="1"/>
  <c r="S20" i="1" l="1"/>
  <c r="T19" i="1"/>
  <c r="Y35" i="1"/>
  <c r="Y36" i="1" l="1"/>
  <c r="S21" i="1"/>
  <c r="T20" i="1"/>
  <c r="S22" i="1" l="1"/>
  <c r="T21" i="1"/>
  <c r="Z36" i="1"/>
  <c r="Y37" i="1"/>
  <c r="Z37" i="1" l="1"/>
  <c r="AA37" i="1" s="1"/>
  <c r="Y38" i="1"/>
  <c r="S23" i="1"/>
  <c r="T22" i="1"/>
  <c r="S24" i="1" l="1"/>
  <c r="T23" i="1"/>
  <c r="Z38" i="1"/>
  <c r="Y39" i="1"/>
  <c r="AA38" i="1" l="1"/>
  <c r="Z39" i="1"/>
  <c r="Y40" i="1"/>
  <c r="S25" i="1"/>
  <c r="T24" i="1"/>
  <c r="AA39" i="1" l="1"/>
  <c r="Z40" i="1"/>
  <c r="Y41" i="1"/>
  <c r="S26" i="1"/>
  <c r="T25" i="1"/>
  <c r="AA40" i="1" l="1"/>
  <c r="S27" i="1"/>
  <c r="T26" i="1"/>
  <c r="Z41" i="1"/>
  <c r="Y42" i="1"/>
  <c r="AA41" i="1" l="1"/>
  <c r="Z42" i="1"/>
  <c r="Y43" i="1"/>
  <c r="S28" i="1"/>
  <c r="T27" i="1"/>
  <c r="AA42" i="1" l="1"/>
  <c r="Z43" i="1"/>
  <c r="Y44" i="1"/>
  <c r="S29" i="1"/>
  <c r="T28" i="1"/>
  <c r="AA43" i="1" l="1"/>
  <c r="S30" i="1"/>
  <c r="T29" i="1"/>
  <c r="Z44" i="1"/>
  <c r="Y45" i="1"/>
  <c r="AA44" i="1" l="1"/>
  <c r="Z45" i="1"/>
  <c r="Y46" i="1"/>
  <c r="S31" i="1"/>
  <c r="T30" i="1"/>
  <c r="AA45" i="1" l="1"/>
  <c r="S32" i="1"/>
  <c r="T31" i="1"/>
  <c r="Z46" i="1"/>
  <c r="Y47" i="1"/>
  <c r="AA46" i="1" l="1"/>
  <c r="Z47" i="1"/>
  <c r="Y48" i="1"/>
  <c r="T32" i="1"/>
  <c r="S33" i="1"/>
  <c r="AA47" i="1" l="1"/>
  <c r="S34" i="1"/>
  <c r="T33" i="1"/>
  <c r="Z48" i="1"/>
  <c r="Y49" i="1"/>
  <c r="AA48" i="1" l="1"/>
  <c r="Z49" i="1"/>
  <c r="Y50" i="1"/>
  <c r="S35" i="1"/>
  <c r="T34" i="1"/>
  <c r="AA49" i="1" l="1"/>
  <c r="S36" i="1"/>
  <c r="T35" i="1"/>
  <c r="Z50" i="1"/>
  <c r="Y51" i="1"/>
  <c r="AA50" i="1" l="1"/>
  <c r="Z51" i="1"/>
  <c r="Y52" i="1"/>
  <c r="S37" i="1"/>
  <c r="T36" i="1"/>
  <c r="AA51" i="1" l="1"/>
  <c r="Z52" i="1"/>
  <c r="Y53" i="1"/>
  <c r="S38" i="1"/>
  <c r="T37" i="1"/>
  <c r="AA52" i="1" l="1"/>
  <c r="Z53" i="1"/>
  <c r="Y54" i="1"/>
  <c r="S39" i="1"/>
  <c r="T38" i="1"/>
  <c r="AA53" i="1" l="1"/>
  <c r="Z54" i="1"/>
  <c r="Y55" i="1"/>
  <c r="S40" i="1"/>
  <c r="T39" i="1"/>
  <c r="AA54" i="1" l="1"/>
  <c r="S41" i="1"/>
  <c r="T40" i="1"/>
  <c r="Z55" i="1"/>
  <c r="Y56" i="1"/>
  <c r="AA55" i="1" l="1"/>
  <c r="Z56" i="1"/>
  <c r="Y57" i="1"/>
  <c r="S42" i="1"/>
  <c r="T41" i="1"/>
  <c r="AA56" i="1" l="1"/>
  <c r="S43" i="1"/>
  <c r="T42" i="1"/>
  <c r="Z57" i="1"/>
  <c r="Y58" i="1"/>
  <c r="AA57" i="1" l="1"/>
  <c r="Z58" i="1"/>
  <c r="Y59" i="1"/>
  <c r="S44" i="1"/>
  <c r="T43" i="1"/>
  <c r="AA58" i="1" l="1"/>
  <c r="S45" i="1"/>
  <c r="T44" i="1"/>
  <c r="Z59" i="1"/>
  <c r="Y60" i="1"/>
  <c r="AA59" i="1" l="1"/>
  <c r="Z60" i="1"/>
  <c r="Y61" i="1"/>
  <c r="S46" i="1"/>
  <c r="T45" i="1"/>
  <c r="AA60" i="1" l="1"/>
  <c r="S47" i="1"/>
  <c r="T46" i="1"/>
  <c r="Z61" i="1"/>
  <c r="Y62" i="1"/>
  <c r="AA61" i="1" l="1"/>
  <c r="Z62" i="1"/>
  <c r="Y63" i="1"/>
  <c r="S48" i="1"/>
  <c r="T47" i="1"/>
  <c r="AA62" i="1" l="1"/>
  <c r="S49" i="1"/>
  <c r="T48" i="1"/>
  <c r="Z63" i="1"/>
  <c r="Y64" i="1"/>
  <c r="AA63" i="1" l="1"/>
  <c r="Z64" i="1"/>
  <c r="Y65" i="1"/>
  <c r="S50" i="1"/>
  <c r="T49" i="1"/>
  <c r="AA64" i="1" l="1"/>
  <c r="S51" i="1"/>
  <c r="T50" i="1"/>
  <c r="Z65" i="1"/>
  <c r="Y66" i="1"/>
  <c r="AA65" i="1" l="1"/>
  <c r="Z66" i="1"/>
  <c r="Y67" i="1"/>
  <c r="S52" i="1"/>
  <c r="T51" i="1"/>
  <c r="AA66" i="1" l="1"/>
  <c r="S53" i="1"/>
  <c r="T52" i="1"/>
  <c r="Z67" i="1"/>
  <c r="Y68" i="1"/>
  <c r="AA67" i="1" l="1"/>
  <c r="Z68" i="1"/>
  <c r="Y69" i="1"/>
  <c r="S54" i="1"/>
  <c r="T53" i="1"/>
  <c r="AA68" i="1" l="1"/>
  <c r="T54" i="1"/>
  <c r="S55" i="1"/>
  <c r="Z69" i="1"/>
  <c r="Y70" i="1"/>
  <c r="AA69" i="1" l="1"/>
  <c r="Z70" i="1"/>
  <c r="Y71" i="1"/>
  <c r="T55" i="1"/>
  <c r="S56" i="1"/>
  <c r="AA70" i="1" l="1"/>
  <c r="T56" i="1"/>
  <c r="S57" i="1"/>
  <c r="Z71" i="1"/>
  <c r="Y72" i="1"/>
  <c r="AA71" i="1" l="1"/>
  <c r="Z72" i="1"/>
  <c r="Y73" i="1"/>
  <c r="S58" i="1"/>
  <c r="T57" i="1"/>
  <c r="AA72" i="1" l="1"/>
  <c r="S59" i="1"/>
  <c r="T58" i="1"/>
  <c r="Z73" i="1"/>
  <c r="Y74" i="1"/>
  <c r="AA73" i="1" l="1"/>
  <c r="Z74" i="1"/>
  <c r="Y75" i="1"/>
  <c r="S60" i="1"/>
  <c r="T59" i="1"/>
  <c r="AA74" i="1" l="1"/>
  <c r="S61" i="1"/>
  <c r="T60" i="1"/>
  <c r="Z75" i="1"/>
  <c r="Y76" i="1"/>
  <c r="AA75" i="1" l="1"/>
  <c r="Z76" i="1"/>
  <c r="Y77" i="1"/>
  <c r="S62" i="1"/>
  <c r="T61" i="1"/>
  <c r="AA76" i="1" l="1"/>
  <c r="S63" i="1"/>
  <c r="T62" i="1"/>
  <c r="Z77" i="1"/>
  <c r="Y78" i="1"/>
  <c r="AA77" i="1" l="1"/>
  <c r="Z78" i="1"/>
  <c r="Y79" i="1"/>
  <c r="S64" i="1"/>
  <c r="T63" i="1"/>
  <c r="AA78" i="1" l="1"/>
  <c r="S65" i="1"/>
  <c r="T64" i="1"/>
  <c r="Z79" i="1"/>
  <c r="Y80" i="1"/>
  <c r="AA79" i="1" l="1"/>
  <c r="Z80" i="1"/>
  <c r="Y81" i="1"/>
  <c r="S66" i="1"/>
  <c r="T65" i="1"/>
  <c r="AA80" i="1" l="1"/>
  <c r="S67" i="1"/>
  <c r="T66" i="1"/>
  <c r="Z81" i="1"/>
  <c r="Y82" i="1"/>
  <c r="AA81" i="1" l="1"/>
  <c r="Z82" i="1"/>
  <c r="Y83" i="1"/>
  <c r="S68" i="1"/>
  <c r="T67" i="1"/>
  <c r="AA82" i="1" l="1"/>
  <c r="T68" i="1"/>
  <c r="S69" i="1"/>
  <c r="Z83" i="1"/>
  <c r="Y84" i="1"/>
  <c r="AA83" i="1" l="1"/>
  <c r="Z84" i="1"/>
  <c r="Y85" i="1"/>
  <c r="S70" i="1"/>
  <c r="T69" i="1"/>
  <c r="AA84" i="1" l="1"/>
  <c r="S71" i="1"/>
  <c r="T70" i="1"/>
  <c r="Z85" i="1"/>
  <c r="Y86" i="1"/>
  <c r="AA85" i="1" l="1"/>
  <c r="Z86" i="1"/>
  <c r="Y87" i="1"/>
  <c r="S72" i="1"/>
  <c r="T71" i="1"/>
  <c r="AA86" i="1" l="1"/>
  <c r="S73" i="1"/>
  <c r="T72" i="1"/>
  <c r="Z87" i="1"/>
  <c r="Y88" i="1"/>
  <c r="AA87" i="1" l="1"/>
  <c r="Z88" i="1"/>
  <c r="Y89" i="1"/>
  <c r="S74" i="1"/>
  <c r="T73" i="1"/>
  <c r="S75" i="1" l="1"/>
  <c r="T74" i="1"/>
  <c r="Z89" i="1"/>
  <c r="Y90" i="1"/>
  <c r="AA88" i="1"/>
  <c r="Z90" i="1" l="1"/>
  <c r="Y91" i="1"/>
  <c r="AA89" i="1"/>
  <c r="S76" i="1"/>
  <c r="T75" i="1"/>
  <c r="S77" i="1" l="1"/>
  <c r="T76" i="1"/>
  <c r="Z91" i="1"/>
  <c r="Y92" i="1"/>
  <c r="AA90" i="1"/>
  <c r="Z92" i="1" l="1"/>
  <c r="Y93" i="1"/>
  <c r="AA91" i="1"/>
  <c r="S78" i="1"/>
  <c r="T77" i="1"/>
  <c r="T78" i="1" l="1"/>
  <c r="S79" i="1"/>
  <c r="Z93" i="1"/>
  <c r="Y94" i="1"/>
  <c r="AA92" i="1"/>
  <c r="Z94" i="1" l="1"/>
  <c r="Y95" i="1"/>
  <c r="AA93" i="1"/>
  <c r="S80" i="1"/>
  <c r="T79" i="1"/>
  <c r="S81" i="1" l="1"/>
  <c r="T80" i="1"/>
  <c r="Z95" i="1"/>
  <c r="Y96" i="1"/>
  <c r="AA94" i="1"/>
  <c r="Z96" i="1" l="1"/>
  <c r="Y97" i="1"/>
  <c r="AA95" i="1"/>
  <c r="S82" i="1"/>
  <c r="T81" i="1"/>
  <c r="S83" i="1" l="1"/>
  <c r="T82" i="1"/>
  <c r="Z97" i="1"/>
  <c r="Y98" i="1"/>
  <c r="AA96" i="1"/>
  <c r="Z98" i="1" l="1"/>
  <c r="Y99" i="1"/>
  <c r="AA97" i="1"/>
  <c r="S84" i="1"/>
  <c r="T83" i="1"/>
  <c r="S85" i="1" l="1"/>
  <c r="T84" i="1"/>
  <c r="Z99" i="1"/>
  <c r="Y100" i="1"/>
  <c r="AA98" i="1"/>
  <c r="Z100" i="1" l="1"/>
  <c r="Y101" i="1"/>
  <c r="AA99" i="1"/>
  <c r="S86" i="1"/>
  <c r="T85" i="1"/>
  <c r="S87" i="1" l="1"/>
  <c r="T86" i="1"/>
  <c r="Z101" i="1"/>
  <c r="Y102" i="1"/>
  <c r="AA100" i="1"/>
  <c r="Z102" i="1" l="1"/>
  <c r="Y103" i="1"/>
  <c r="AA101" i="1"/>
  <c r="S88" i="1"/>
  <c r="T87" i="1"/>
  <c r="S89" i="1" l="1"/>
  <c r="T88" i="1"/>
  <c r="Z103" i="1"/>
  <c r="Y104" i="1"/>
  <c r="AA102" i="1"/>
  <c r="Z104" i="1" l="1"/>
  <c r="Y105" i="1"/>
  <c r="AA103" i="1"/>
  <c r="S90" i="1"/>
  <c r="T89" i="1"/>
  <c r="S91" i="1" l="1"/>
  <c r="T90" i="1"/>
  <c r="Z105" i="1"/>
  <c r="Y106" i="1"/>
  <c r="AA104" i="1"/>
  <c r="Z106" i="1" l="1"/>
  <c r="Y107" i="1"/>
  <c r="AA105" i="1"/>
  <c r="S92" i="1"/>
  <c r="T91" i="1"/>
  <c r="S93" i="1" l="1"/>
  <c r="T92" i="1"/>
  <c r="Z107" i="1"/>
  <c r="Y108" i="1"/>
  <c r="AA106" i="1"/>
  <c r="AA107" i="1" l="1"/>
  <c r="Z108" i="1"/>
  <c r="Y109" i="1"/>
  <c r="S94" i="1"/>
  <c r="T93" i="1"/>
  <c r="AA108" i="1" l="1"/>
  <c r="T94" i="1"/>
  <c r="S95" i="1"/>
  <c r="Z109" i="1"/>
  <c r="Y110" i="1"/>
  <c r="AA109" i="1" l="1"/>
  <c r="Z110" i="1"/>
  <c r="Y111" i="1"/>
  <c r="S96" i="1"/>
  <c r="T95" i="1"/>
  <c r="AA110" i="1" l="1"/>
  <c r="S97" i="1"/>
  <c r="T96" i="1"/>
  <c r="Z111" i="1"/>
  <c r="Y112" i="1"/>
  <c r="AA111" i="1" l="1"/>
  <c r="Z112" i="1"/>
  <c r="Y113" i="1"/>
  <c r="T97" i="1"/>
  <c r="S98" i="1"/>
  <c r="AA112" i="1" l="1"/>
  <c r="S99" i="1"/>
  <c r="T98" i="1"/>
  <c r="Z113" i="1"/>
  <c r="Y114" i="1"/>
  <c r="AA113" i="1" l="1"/>
  <c r="Z114" i="1"/>
  <c r="Y115" i="1"/>
  <c r="S100" i="1"/>
  <c r="T99" i="1"/>
  <c r="AA114" i="1" l="1"/>
  <c r="Z115" i="1"/>
  <c r="Y116" i="1"/>
  <c r="S101" i="1"/>
  <c r="T100" i="1"/>
  <c r="AA115" i="1" l="1"/>
  <c r="Z116" i="1"/>
  <c r="Y117" i="1"/>
  <c r="S102" i="1"/>
  <c r="T101" i="1"/>
  <c r="AA116" i="1" l="1"/>
  <c r="S103" i="1"/>
  <c r="T102" i="1"/>
  <c r="Z117" i="1"/>
  <c r="Y118" i="1"/>
  <c r="AA117" i="1" l="1"/>
  <c r="Z118" i="1"/>
  <c r="Y119" i="1"/>
  <c r="S104" i="1"/>
  <c r="T103" i="1"/>
  <c r="AA118" i="1" l="1"/>
  <c r="S105" i="1"/>
  <c r="T104" i="1"/>
  <c r="Z119" i="1"/>
  <c r="Y120" i="1"/>
  <c r="AA119" i="1" l="1"/>
  <c r="Z120" i="1"/>
  <c r="Y121" i="1"/>
  <c r="S106" i="1"/>
  <c r="T105" i="1"/>
  <c r="AA120" i="1" l="1"/>
  <c r="S107" i="1"/>
  <c r="T106" i="1"/>
  <c r="Z121" i="1"/>
  <c r="Y122" i="1"/>
  <c r="AA121" i="1" l="1"/>
  <c r="Z122" i="1"/>
  <c r="Y123" i="1"/>
  <c r="T107" i="1"/>
  <c r="S108" i="1"/>
  <c r="S109" i="1" l="1"/>
  <c r="T108" i="1"/>
  <c r="Z123" i="1"/>
  <c r="Y124" i="1"/>
  <c r="AA122" i="1"/>
  <c r="Z124" i="1" l="1"/>
  <c r="Y125" i="1"/>
  <c r="AA123" i="1"/>
  <c r="S110" i="1"/>
  <c r="T109" i="1"/>
  <c r="S111" i="1" l="1"/>
  <c r="T110" i="1"/>
  <c r="Z125" i="1"/>
  <c r="Y126" i="1"/>
  <c r="AA124" i="1"/>
  <c r="Z126" i="1" l="1"/>
  <c r="Y127" i="1"/>
  <c r="AA125" i="1"/>
  <c r="S112" i="1"/>
  <c r="T111" i="1"/>
  <c r="S113" i="1" l="1"/>
  <c r="T112" i="1"/>
  <c r="Z127" i="1"/>
  <c r="Y128" i="1"/>
  <c r="AA126" i="1"/>
  <c r="Z128" i="1" l="1"/>
  <c r="Y129" i="1"/>
  <c r="AA127" i="1"/>
  <c r="S114" i="1"/>
  <c r="T113" i="1"/>
  <c r="S115" i="1" l="1"/>
  <c r="T114" i="1"/>
  <c r="Z129" i="1"/>
  <c r="Y130" i="1"/>
  <c r="AA128" i="1"/>
  <c r="Z130" i="1" l="1"/>
  <c r="Y131" i="1"/>
  <c r="AA129" i="1"/>
  <c r="S116" i="1"/>
  <c r="T115" i="1"/>
  <c r="S117" i="1" l="1"/>
  <c r="T116" i="1"/>
  <c r="Z131" i="1"/>
  <c r="Y132" i="1"/>
  <c r="AA130" i="1"/>
  <c r="Z132" i="1" l="1"/>
  <c r="Y133" i="1"/>
  <c r="AA131" i="1"/>
  <c r="S118" i="1"/>
  <c r="T117" i="1"/>
  <c r="S119" i="1" l="1"/>
  <c r="T118" i="1"/>
  <c r="Z133" i="1"/>
  <c r="Y134" i="1"/>
  <c r="AA132" i="1"/>
  <c r="Z134" i="1" l="1"/>
  <c r="Y135" i="1"/>
  <c r="AA133" i="1"/>
  <c r="S120" i="1"/>
  <c r="T119" i="1"/>
  <c r="T120" i="1" l="1"/>
  <c r="S121" i="1"/>
  <c r="Z135" i="1"/>
  <c r="Y136" i="1"/>
  <c r="AA134" i="1"/>
  <c r="Z136" i="1" l="1"/>
  <c r="Y137" i="1"/>
  <c r="AA135" i="1"/>
  <c r="S122" i="1"/>
  <c r="T121" i="1"/>
  <c r="S123" i="1" l="1"/>
  <c r="T122" i="1"/>
  <c r="Z137" i="1"/>
  <c r="Y138" i="1"/>
  <c r="AA136" i="1"/>
  <c r="Z138" i="1" l="1"/>
  <c r="Y139" i="1"/>
  <c r="AA137" i="1"/>
  <c r="S124" i="1"/>
  <c r="T123" i="1"/>
  <c r="S125" i="1" l="1"/>
  <c r="T124" i="1"/>
  <c r="Z139" i="1"/>
  <c r="Y140" i="1"/>
  <c r="AA138" i="1"/>
  <c r="Z140" i="1" l="1"/>
  <c r="Y141" i="1"/>
  <c r="AA139" i="1"/>
  <c r="S126" i="1"/>
  <c r="T125" i="1"/>
  <c r="T126" i="1" l="1"/>
  <c r="S127" i="1"/>
  <c r="Z141" i="1"/>
  <c r="Y142" i="1"/>
  <c r="AA140" i="1"/>
  <c r="Z142" i="1" l="1"/>
  <c r="Y143" i="1"/>
  <c r="AA141" i="1"/>
  <c r="S128" i="1"/>
  <c r="T127" i="1"/>
  <c r="S129" i="1" l="1"/>
  <c r="T128" i="1"/>
  <c r="Z143" i="1"/>
  <c r="Y144" i="1"/>
  <c r="AA142" i="1"/>
  <c r="Z144" i="1" l="1"/>
  <c r="Y145" i="1"/>
  <c r="AA143" i="1"/>
  <c r="S130" i="1"/>
  <c r="T129" i="1"/>
  <c r="S131" i="1" l="1"/>
  <c r="T130" i="1"/>
  <c r="Z145" i="1"/>
  <c r="Y146" i="1"/>
  <c r="AA144" i="1"/>
  <c r="Z146" i="1" l="1"/>
  <c r="Y147" i="1"/>
  <c r="AA145" i="1"/>
  <c r="S132" i="1"/>
  <c r="T131" i="1"/>
  <c r="S133" i="1" l="1"/>
  <c r="T132" i="1"/>
  <c r="Z147" i="1"/>
  <c r="Y148" i="1"/>
  <c r="AA146" i="1"/>
  <c r="AA147" i="1" l="1"/>
  <c r="Z148" i="1"/>
  <c r="Y149" i="1"/>
  <c r="S134" i="1"/>
  <c r="T133" i="1"/>
  <c r="AA148" i="1" l="1"/>
  <c r="S135" i="1"/>
  <c r="T134" i="1"/>
  <c r="Z149" i="1"/>
  <c r="Y150" i="1"/>
  <c r="AA149" i="1" l="1"/>
  <c r="Z150" i="1"/>
  <c r="Y151" i="1"/>
  <c r="S136" i="1"/>
  <c r="T135" i="1"/>
  <c r="AA150" i="1" l="1"/>
  <c r="Z151" i="1"/>
  <c r="Y152" i="1"/>
  <c r="S137" i="1"/>
  <c r="T136" i="1"/>
  <c r="AA151" i="1" l="1"/>
  <c r="S138" i="1"/>
  <c r="T137" i="1"/>
  <c r="Z152" i="1"/>
  <c r="Y153" i="1"/>
  <c r="AA152" i="1" l="1"/>
  <c r="Z153" i="1"/>
  <c r="Y154" i="1"/>
  <c r="S139" i="1"/>
  <c r="T138" i="1"/>
  <c r="AA153" i="1" l="1"/>
  <c r="S140" i="1"/>
  <c r="T139" i="1"/>
  <c r="Z154" i="1"/>
  <c r="Y155" i="1"/>
  <c r="AA154" i="1" l="1"/>
  <c r="Z155" i="1"/>
  <c r="Y156" i="1"/>
  <c r="S141" i="1"/>
  <c r="T140" i="1"/>
  <c r="AA155" i="1" l="1"/>
  <c r="T141" i="1"/>
  <c r="S142" i="1"/>
  <c r="Z156" i="1"/>
  <c r="Y157" i="1"/>
  <c r="Z157" i="1" l="1"/>
  <c r="Y158" i="1"/>
  <c r="AA156" i="1"/>
  <c r="S143" i="1"/>
  <c r="T142" i="1"/>
  <c r="S144" i="1" l="1"/>
  <c r="T143" i="1"/>
  <c r="Z158" i="1"/>
  <c r="Y159" i="1"/>
  <c r="AA157" i="1"/>
  <c r="Z159" i="1" l="1"/>
  <c r="Y160" i="1"/>
  <c r="AA158" i="1"/>
  <c r="S145" i="1"/>
  <c r="T144" i="1"/>
  <c r="S146" i="1" l="1"/>
  <c r="T145" i="1"/>
  <c r="Z160" i="1"/>
  <c r="Y161" i="1"/>
  <c r="AA159" i="1"/>
  <c r="Z161" i="1" l="1"/>
  <c r="Y162" i="1"/>
  <c r="AA160" i="1"/>
  <c r="S147" i="1"/>
  <c r="T146" i="1"/>
  <c r="S148" i="1" l="1"/>
  <c r="T147" i="1"/>
  <c r="Z162" i="1"/>
  <c r="Y163" i="1"/>
  <c r="AA161" i="1"/>
  <c r="Z163" i="1" l="1"/>
  <c r="Y164" i="1"/>
  <c r="AA162" i="1"/>
  <c r="S149" i="1"/>
  <c r="T148" i="1"/>
  <c r="T149" i="1" l="1"/>
  <c r="S150" i="1"/>
  <c r="Z164" i="1"/>
  <c r="Y165" i="1"/>
  <c r="AA163" i="1"/>
  <c r="Z165" i="1" l="1"/>
  <c r="Y166" i="1"/>
  <c r="AA164" i="1"/>
  <c r="S151" i="1"/>
  <c r="T150" i="1"/>
  <c r="S152" i="1" l="1"/>
  <c r="T151" i="1"/>
  <c r="Z166" i="1"/>
  <c r="Y167" i="1"/>
  <c r="AA165" i="1"/>
  <c r="Z167" i="1" l="1"/>
  <c r="Y168" i="1"/>
  <c r="AA166" i="1"/>
  <c r="T152" i="1"/>
  <c r="S153" i="1"/>
  <c r="S154" i="1" l="1"/>
  <c r="T153" i="1"/>
  <c r="Z168" i="1"/>
  <c r="Y169" i="1"/>
  <c r="AA167" i="1"/>
  <c r="Z169" i="1" l="1"/>
  <c r="Y170" i="1"/>
  <c r="AA168" i="1"/>
  <c r="S155" i="1"/>
  <c r="T154" i="1"/>
  <c r="S156" i="1" l="1"/>
  <c r="T155" i="1"/>
  <c r="Z170" i="1"/>
  <c r="Y171" i="1"/>
  <c r="AA169" i="1"/>
  <c r="Z171" i="1" l="1"/>
  <c r="Y172" i="1"/>
  <c r="AA170" i="1"/>
  <c r="S157" i="1"/>
  <c r="T156" i="1"/>
  <c r="S158" i="1" l="1"/>
  <c r="T157" i="1"/>
  <c r="Z172" i="1"/>
  <c r="Y173" i="1"/>
  <c r="AA171" i="1"/>
  <c r="Z173" i="1" l="1"/>
  <c r="Y174" i="1"/>
  <c r="AA172" i="1"/>
  <c r="S159" i="1"/>
  <c r="T158" i="1"/>
  <c r="S160" i="1" l="1"/>
  <c r="T159" i="1"/>
  <c r="Z174" i="1"/>
  <c r="Y175" i="1"/>
  <c r="AA173" i="1"/>
  <c r="Z175" i="1" l="1"/>
  <c r="Y176" i="1"/>
  <c r="AA174" i="1"/>
  <c r="S161" i="1"/>
  <c r="T160" i="1"/>
  <c r="S162" i="1" l="1"/>
  <c r="T161" i="1"/>
  <c r="Z176" i="1"/>
  <c r="Y177" i="1"/>
  <c r="AA175" i="1"/>
  <c r="Z177" i="1" l="1"/>
  <c r="Y178" i="1"/>
  <c r="AA176" i="1"/>
  <c r="S163" i="1"/>
  <c r="T162" i="1"/>
  <c r="T163" i="1" l="1"/>
  <c r="S164" i="1"/>
  <c r="Z178" i="1"/>
  <c r="Y179" i="1"/>
  <c r="AA177" i="1"/>
  <c r="Z179" i="1" l="1"/>
  <c r="Y180" i="1"/>
  <c r="AA178" i="1"/>
  <c r="S165" i="1"/>
  <c r="T164" i="1"/>
  <c r="S166" i="1" l="1"/>
  <c r="T165" i="1"/>
  <c r="Z180" i="1"/>
  <c r="Y181" i="1"/>
  <c r="AA179" i="1"/>
  <c r="Z181" i="1" l="1"/>
  <c r="Y182" i="1"/>
  <c r="AA180" i="1"/>
  <c r="S167" i="1"/>
  <c r="T166" i="1"/>
  <c r="S168" i="1" l="1"/>
  <c r="T167" i="1"/>
  <c r="Z182" i="1"/>
  <c r="Y183" i="1"/>
  <c r="AA181" i="1"/>
  <c r="Z183" i="1" l="1"/>
  <c r="Y184" i="1"/>
  <c r="AA182" i="1"/>
  <c r="S169" i="1"/>
  <c r="T168" i="1"/>
  <c r="S170" i="1" l="1"/>
  <c r="T169" i="1"/>
  <c r="Z184" i="1"/>
  <c r="Y185" i="1"/>
  <c r="AA183" i="1"/>
  <c r="Z185" i="1" l="1"/>
  <c r="Y186" i="1"/>
  <c r="AA184" i="1"/>
  <c r="S171" i="1"/>
  <c r="T170" i="1"/>
  <c r="S172" i="1" l="1"/>
  <c r="T171" i="1"/>
  <c r="Z186" i="1"/>
  <c r="Y187" i="1"/>
  <c r="AA185" i="1"/>
  <c r="Z187" i="1" l="1"/>
  <c r="Y188" i="1"/>
  <c r="AA186" i="1"/>
  <c r="S173" i="1"/>
  <c r="T172" i="1"/>
  <c r="S174" i="1" l="1"/>
  <c r="T173" i="1"/>
  <c r="Z188" i="1"/>
  <c r="Y189" i="1"/>
  <c r="AA187" i="1"/>
  <c r="Z189" i="1" l="1"/>
  <c r="Y190" i="1"/>
  <c r="AA188" i="1"/>
  <c r="S175" i="1"/>
  <c r="T174" i="1"/>
  <c r="S176" i="1" l="1"/>
  <c r="T175" i="1"/>
  <c r="Z190" i="1"/>
  <c r="Y191" i="1"/>
  <c r="AA189" i="1"/>
  <c r="Z191" i="1" l="1"/>
  <c r="Y192" i="1"/>
  <c r="AA190" i="1"/>
  <c r="S177" i="1"/>
  <c r="T176" i="1"/>
  <c r="S178" i="1" l="1"/>
  <c r="T177" i="1"/>
  <c r="Z192" i="1"/>
  <c r="Y193" i="1"/>
  <c r="AA191" i="1"/>
  <c r="Z193" i="1" l="1"/>
  <c r="Y194" i="1"/>
  <c r="AA192" i="1"/>
  <c r="S179" i="1"/>
  <c r="T178" i="1"/>
  <c r="S180" i="1" l="1"/>
  <c r="T179" i="1"/>
  <c r="Z194" i="1"/>
  <c r="Y195" i="1"/>
  <c r="AA193" i="1"/>
  <c r="Z195" i="1" l="1"/>
  <c r="Y196" i="1"/>
  <c r="AA194" i="1"/>
  <c r="S181" i="1"/>
  <c r="T180" i="1"/>
  <c r="S182" i="1" l="1"/>
  <c r="T181" i="1"/>
  <c r="Z196" i="1"/>
  <c r="Y197" i="1"/>
  <c r="AA195" i="1"/>
  <c r="Z197" i="1" l="1"/>
  <c r="Y198" i="1"/>
  <c r="AA196" i="1"/>
  <c r="S183" i="1"/>
  <c r="T182" i="1"/>
  <c r="S184" i="1" l="1"/>
  <c r="T183" i="1"/>
  <c r="Z198" i="1"/>
  <c r="Y199" i="1"/>
  <c r="AA197" i="1"/>
  <c r="Z199" i="1" l="1"/>
  <c r="Y200" i="1"/>
  <c r="AA198" i="1"/>
  <c r="S185" i="1"/>
  <c r="T184" i="1"/>
  <c r="T185" i="1" l="1"/>
  <c r="S186" i="1"/>
  <c r="Z200" i="1"/>
  <c r="Y201" i="1"/>
  <c r="AA199" i="1"/>
  <c r="Z201" i="1" l="1"/>
  <c r="Y202" i="1"/>
  <c r="AA200" i="1"/>
  <c r="S187" i="1"/>
  <c r="T186" i="1"/>
  <c r="S188" i="1" l="1"/>
  <c r="T187" i="1"/>
  <c r="Z202" i="1"/>
  <c r="Y203" i="1"/>
  <c r="AA201" i="1"/>
  <c r="Z203" i="1" l="1"/>
  <c r="Y204" i="1"/>
  <c r="AA202" i="1"/>
  <c r="S189" i="1"/>
  <c r="T188" i="1"/>
  <c r="S190" i="1" l="1"/>
  <c r="T189" i="1"/>
  <c r="Z204" i="1"/>
  <c r="Y205" i="1"/>
  <c r="AA203" i="1"/>
  <c r="Z205" i="1" l="1"/>
  <c r="Y206" i="1"/>
  <c r="AA204" i="1"/>
  <c r="S191" i="1"/>
  <c r="T190" i="1"/>
  <c r="S192" i="1" l="1"/>
  <c r="T191" i="1"/>
  <c r="Z206" i="1"/>
  <c r="Y207" i="1"/>
  <c r="AA205" i="1"/>
  <c r="Z207" i="1" l="1"/>
  <c r="Y208" i="1"/>
  <c r="AA206" i="1"/>
  <c r="S193" i="1"/>
  <c r="T192" i="1"/>
  <c r="AA207" i="1" l="1"/>
  <c r="S194" i="1"/>
  <c r="T193" i="1"/>
  <c r="Z208" i="1"/>
  <c r="Y209" i="1"/>
  <c r="AA208" i="1" l="1"/>
  <c r="Z209" i="1"/>
  <c r="Y210" i="1"/>
  <c r="S195" i="1"/>
  <c r="T194" i="1"/>
  <c r="AA209" i="1" l="1"/>
  <c r="S196" i="1"/>
  <c r="T195" i="1"/>
  <c r="Z210" i="1"/>
  <c r="Y211" i="1"/>
  <c r="AA210" i="1" l="1"/>
  <c r="Z211" i="1"/>
  <c r="Y212" i="1"/>
  <c r="S197" i="1"/>
  <c r="T196" i="1"/>
  <c r="AA211" i="1" l="1"/>
  <c r="S198" i="1"/>
  <c r="T197" i="1"/>
  <c r="Z212" i="1"/>
  <c r="Y213" i="1"/>
  <c r="AA212" i="1" l="1"/>
  <c r="Z213" i="1"/>
  <c r="Y214" i="1"/>
  <c r="S199" i="1"/>
  <c r="T198" i="1"/>
  <c r="AA213" i="1" l="1"/>
  <c r="Z214" i="1"/>
  <c r="Y215" i="1"/>
  <c r="S200" i="1"/>
  <c r="T199" i="1"/>
  <c r="AA214" i="1" l="1"/>
  <c r="T200" i="1"/>
  <c r="S201" i="1"/>
  <c r="Z215" i="1"/>
  <c r="Y216" i="1"/>
  <c r="AA215" i="1" l="1"/>
  <c r="Z216" i="1"/>
  <c r="Y217" i="1"/>
  <c r="S202" i="1"/>
  <c r="T201" i="1"/>
  <c r="AA216" i="1" l="1"/>
  <c r="S203" i="1"/>
  <c r="T202" i="1"/>
  <c r="Z217" i="1"/>
  <c r="Y218" i="1"/>
  <c r="AA217" i="1" l="1"/>
  <c r="Z218" i="1"/>
  <c r="Y219" i="1"/>
  <c r="S204" i="1"/>
  <c r="T203" i="1"/>
  <c r="AA218" i="1" l="1"/>
  <c r="Z219" i="1"/>
  <c r="Y220" i="1"/>
  <c r="S205" i="1"/>
  <c r="T204" i="1"/>
  <c r="S206" i="1" l="1"/>
  <c r="T205" i="1"/>
  <c r="Z220" i="1"/>
  <c r="Y221" i="1"/>
  <c r="AA219" i="1"/>
  <c r="AA220" i="1" l="1"/>
  <c r="Z221" i="1"/>
  <c r="Y222" i="1"/>
  <c r="S207" i="1"/>
  <c r="T206" i="1"/>
  <c r="AA221" i="1" l="1"/>
  <c r="S208" i="1"/>
  <c r="T207" i="1"/>
  <c r="Z222" i="1"/>
  <c r="Y223" i="1"/>
  <c r="AA222" i="1" l="1"/>
  <c r="Z223" i="1"/>
  <c r="Y224" i="1"/>
  <c r="S209" i="1"/>
  <c r="T208" i="1"/>
  <c r="AA223" i="1" l="1"/>
  <c r="S210" i="1"/>
  <c r="T209" i="1"/>
  <c r="Z224" i="1"/>
  <c r="Y225" i="1"/>
  <c r="AA224" i="1" l="1"/>
  <c r="Z225" i="1"/>
  <c r="Y226" i="1"/>
  <c r="S211" i="1"/>
  <c r="T210" i="1"/>
  <c r="AA225" i="1" l="1"/>
  <c r="S212" i="1"/>
  <c r="T211" i="1"/>
  <c r="Z226" i="1"/>
  <c r="Y227" i="1"/>
  <c r="AA226" i="1" l="1"/>
  <c r="Z227" i="1"/>
  <c r="Y228" i="1"/>
  <c r="S213" i="1"/>
  <c r="T212" i="1"/>
  <c r="AA227" i="1" l="1"/>
  <c r="S214" i="1"/>
  <c r="T213" i="1"/>
  <c r="Z228" i="1"/>
  <c r="Y229" i="1"/>
  <c r="AA228" i="1" l="1"/>
  <c r="Z229" i="1"/>
  <c r="Y230" i="1"/>
  <c r="S215" i="1"/>
  <c r="T214" i="1"/>
  <c r="AA229" i="1" l="1"/>
  <c r="S216" i="1"/>
  <c r="T215" i="1"/>
  <c r="Z230" i="1"/>
  <c r="Y231" i="1"/>
  <c r="AA230" i="1" l="1"/>
  <c r="Z231" i="1"/>
  <c r="Y232" i="1"/>
  <c r="S217" i="1"/>
  <c r="T216" i="1"/>
  <c r="AA231" i="1" l="1"/>
  <c r="S218" i="1"/>
  <c r="T217" i="1"/>
  <c r="Z232" i="1"/>
  <c r="Y233" i="1"/>
  <c r="AA232" i="1" l="1"/>
  <c r="Z233" i="1"/>
  <c r="Y234" i="1"/>
  <c r="S219" i="1"/>
  <c r="T218" i="1"/>
  <c r="AA233" i="1" l="1"/>
  <c r="S220" i="1"/>
  <c r="T219" i="1"/>
  <c r="Z234" i="1"/>
  <c r="Y235" i="1"/>
  <c r="AA234" i="1" l="1"/>
  <c r="Z235" i="1"/>
  <c r="Y236" i="1"/>
  <c r="S221" i="1"/>
  <c r="T220" i="1"/>
  <c r="AA235" i="1" l="1"/>
  <c r="Z236" i="1"/>
  <c r="Y237" i="1"/>
  <c r="S222" i="1"/>
  <c r="T221" i="1"/>
  <c r="AA236" i="1" l="1"/>
  <c r="S223" i="1"/>
  <c r="T222" i="1"/>
  <c r="Z237" i="1"/>
  <c r="Y238" i="1"/>
  <c r="AA237" i="1" l="1"/>
  <c r="Z238" i="1"/>
  <c r="Y239" i="1"/>
  <c r="S224" i="1"/>
  <c r="T223" i="1"/>
  <c r="AA238" i="1" l="1"/>
  <c r="T224" i="1"/>
  <c r="S225" i="1"/>
  <c r="Z239" i="1"/>
  <c r="Y240" i="1"/>
  <c r="AA239" i="1" l="1"/>
  <c r="Z240" i="1"/>
  <c r="Y241" i="1"/>
  <c r="S226" i="1"/>
  <c r="T225" i="1"/>
  <c r="AA240" i="1" l="1"/>
  <c r="S227" i="1"/>
  <c r="T226" i="1"/>
  <c r="Z241" i="1"/>
  <c r="Y242" i="1"/>
  <c r="AA241" i="1" l="1"/>
  <c r="Z242" i="1"/>
  <c r="Y243" i="1"/>
  <c r="S228" i="1"/>
  <c r="T227" i="1"/>
  <c r="AA242" i="1" l="1"/>
  <c r="S229" i="1"/>
  <c r="T228" i="1"/>
  <c r="Z243" i="1"/>
  <c r="Y244" i="1"/>
  <c r="AA243" i="1" l="1"/>
  <c r="Z244" i="1"/>
  <c r="Y245" i="1"/>
  <c r="S230" i="1"/>
  <c r="T229" i="1"/>
  <c r="AA244" i="1" l="1"/>
  <c r="S231" i="1"/>
  <c r="T230" i="1"/>
  <c r="Z245" i="1"/>
  <c r="Y246" i="1"/>
  <c r="AA245" i="1" l="1"/>
  <c r="Z246" i="1"/>
  <c r="Y247" i="1"/>
  <c r="S232" i="1"/>
  <c r="T231" i="1"/>
  <c r="AA246" i="1" l="1"/>
  <c r="S233" i="1"/>
  <c r="T232" i="1"/>
  <c r="Z247" i="1"/>
  <c r="Y248" i="1"/>
  <c r="AA247" i="1" l="1"/>
  <c r="Z248" i="1"/>
  <c r="Y249" i="1"/>
  <c r="S234" i="1"/>
  <c r="T233" i="1"/>
  <c r="AA248" i="1" l="1"/>
  <c r="S235" i="1"/>
  <c r="T234" i="1"/>
  <c r="Z249" i="1"/>
  <c r="Y250" i="1"/>
  <c r="AA249" i="1" l="1"/>
  <c r="Z250" i="1"/>
  <c r="Y251" i="1"/>
  <c r="S236" i="1"/>
  <c r="T235" i="1"/>
  <c r="AA250" i="1" l="1"/>
  <c r="S237" i="1"/>
  <c r="T236" i="1"/>
  <c r="Z251" i="1"/>
  <c r="Z252" i="1" s="1"/>
  <c r="AA251" i="1" l="1"/>
  <c r="AA252" i="1"/>
  <c r="S238" i="1"/>
  <c r="T237" i="1"/>
  <c r="S239" i="1" l="1"/>
  <c r="T238" i="1"/>
  <c r="S240" i="1" l="1"/>
  <c r="T239" i="1"/>
  <c r="S241" i="1" l="1"/>
  <c r="T240" i="1"/>
  <c r="S242" i="1" l="1"/>
  <c r="T241" i="1"/>
  <c r="S243" i="1" l="1"/>
  <c r="T242" i="1"/>
  <c r="S244" i="1" l="1"/>
  <c r="T243" i="1"/>
  <c r="S245" i="1" l="1"/>
  <c r="T244" i="1"/>
  <c r="S246" i="1" l="1"/>
  <c r="T245" i="1"/>
  <c r="S247" i="1" l="1"/>
  <c r="T246" i="1"/>
  <c r="S248" i="1" l="1"/>
  <c r="T247" i="1"/>
  <c r="S249" i="1" l="1"/>
  <c r="T248" i="1"/>
  <c r="S250" i="1" l="1"/>
  <c r="T249" i="1"/>
  <c r="S251" i="1" l="1"/>
  <c r="T250" i="1"/>
  <c r="S252" i="1" l="1"/>
  <c r="T251" i="1"/>
  <c r="T25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68756-5805-463C-B42B-B4061C10CE4D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</futureMetadata>
  <cellMetadata count="1">
    <bk>
      <rc t="1" v="0"/>
    </bk>
  </cellMetadata>
  <valueMetadata count="74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</valueMetadata>
</metadata>
</file>

<file path=xl/sharedStrings.xml><?xml version="1.0" encoding="utf-8"?>
<sst xmlns="http://schemas.openxmlformats.org/spreadsheetml/2006/main" count="59" uniqueCount="52">
  <si>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</si>
  <si>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</si>
  <si>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</si>
  <si>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</si>
  <si>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</si>
  <si>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</si>
  <si>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</si>
  <si>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</si>
  <si>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</si>
  <si>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</si>
  <si>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</si>
  <si>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</si>
  <si>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</si>
  <si>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</si>
  <si>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</si>
  <si>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</si>
  <si>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</si>
  <si>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</si>
  <si>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</si>
  <si>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</si>
  <si>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</si>
  <si>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</si>
  <si>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</si>
  <si>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</si>
  <si>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</si>
  <si>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</si>
  <si>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</si>
  <si>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</si>
  <si>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</si>
  <si>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</si>
  <si>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</si>
  <si>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</si>
  <si>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</si>
  <si>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</si>
  <si>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</si>
  <si>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</si>
  <si>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</si>
  <si>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</si>
  <si>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</si>
  <si>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</si>
  <si>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</si>
  <si>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</si>
  <si>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</si>
  <si>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</si>
  <si>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</si>
  <si>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</si>
  <si>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</si>
  <si>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</si>
  <si>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</si>
  <si>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</si>
  <si>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</si>
  <si>
    <t>GS 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</si>
</sst>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AF2D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11" borderId="1" xfId="0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2"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20/100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169.58</c:v>
                </c:pt>
                <c:pt idx="1">
                  <c:v>171.02</c:v>
                </c:pt>
                <c:pt idx="2">
                  <c:v>162.88999999999999</c:v>
                </c:pt>
                <c:pt idx="3">
                  <c:v>165.43</c:v>
                </c:pt>
                <c:pt idx="4">
                  <c:v>166.49</c:v>
                </c:pt>
                <c:pt idx="5">
                  <c:v>167.21</c:v>
                </c:pt>
                <c:pt idx="6">
                  <c:v>170.23</c:v>
                </c:pt>
                <c:pt idx="7">
                  <c:v>170.54</c:v>
                </c:pt>
                <c:pt idx="8">
                  <c:v>172.65</c:v>
                </c:pt>
                <c:pt idx="9">
                  <c:v>171.3</c:v>
                </c:pt>
                <c:pt idx="10">
                  <c:v>171.97</c:v>
                </c:pt>
                <c:pt idx="11">
                  <c:v>173.84</c:v>
                </c:pt>
                <c:pt idx="12">
                  <c:v>175.59</c:v>
                </c:pt>
                <c:pt idx="13">
                  <c:v>173.18</c:v>
                </c:pt>
                <c:pt idx="14">
                  <c:v>174.61</c:v>
                </c:pt>
                <c:pt idx="15">
                  <c:v>174.66</c:v>
                </c:pt>
                <c:pt idx="16">
                  <c:v>175.95</c:v>
                </c:pt>
                <c:pt idx="17">
                  <c:v>176.26</c:v>
                </c:pt>
                <c:pt idx="18">
                  <c:v>173.12</c:v>
                </c:pt>
                <c:pt idx="19">
                  <c:v>168.37</c:v>
                </c:pt>
                <c:pt idx="20">
                  <c:v>168.59</c:v>
                </c:pt>
                <c:pt idx="21">
                  <c:v>167.97</c:v>
                </c:pt>
                <c:pt idx="22">
                  <c:v>169.76</c:v>
                </c:pt>
                <c:pt idx="23">
                  <c:v>167.71</c:v>
                </c:pt>
                <c:pt idx="24">
                  <c:v>168.57</c:v>
                </c:pt>
                <c:pt idx="25">
                  <c:v>167.55</c:v>
                </c:pt>
                <c:pt idx="26">
                  <c:v>166.69</c:v>
                </c:pt>
                <c:pt idx="27">
                  <c:v>165.65</c:v>
                </c:pt>
                <c:pt idx="28">
                  <c:v>162.85</c:v>
                </c:pt>
                <c:pt idx="29">
                  <c:v>166.58</c:v>
                </c:pt>
                <c:pt idx="30">
                  <c:v>168.71</c:v>
                </c:pt>
                <c:pt idx="31">
                  <c:v>168.03</c:v>
                </c:pt>
                <c:pt idx="32">
                  <c:v>170.42</c:v>
                </c:pt>
                <c:pt idx="33">
                  <c:v>170.56</c:v>
                </c:pt>
                <c:pt idx="34">
                  <c:v>169.5</c:v>
                </c:pt>
                <c:pt idx="35">
                  <c:v>172.39</c:v>
                </c:pt>
                <c:pt idx="36">
                  <c:v>163.75</c:v>
                </c:pt>
                <c:pt idx="37">
                  <c:v>160.22999999999999</c:v>
                </c:pt>
                <c:pt idx="38">
                  <c:v>158.38999999999999</c:v>
                </c:pt>
                <c:pt idx="39">
                  <c:v>162.32</c:v>
                </c:pt>
                <c:pt idx="40">
                  <c:v>163.56</c:v>
                </c:pt>
                <c:pt idx="41">
                  <c:v>166.91</c:v>
                </c:pt>
                <c:pt idx="42">
                  <c:v>169.13</c:v>
                </c:pt>
                <c:pt idx="43">
                  <c:v>168.47</c:v>
                </c:pt>
                <c:pt idx="44">
                  <c:v>166.39</c:v>
                </c:pt>
                <c:pt idx="45">
                  <c:v>170.63</c:v>
                </c:pt>
                <c:pt idx="46">
                  <c:v>165.75</c:v>
                </c:pt>
                <c:pt idx="47">
                  <c:v>167.88</c:v>
                </c:pt>
                <c:pt idx="48">
                  <c:v>165.73</c:v>
                </c:pt>
                <c:pt idx="49">
                  <c:v>159.53</c:v>
                </c:pt>
                <c:pt idx="50">
                  <c:v>161.02000000000001</c:v>
                </c:pt>
                <c:pt idx="51">
                  <c:v>161.85</c:v>
                </c:pt>
                <c:pt idx="52">
                  <c:v>162.26</c:v>
                </c:pt>
                <c:pt idx="53">
                  <c:v>162.57</c:v>
                </c:pt>
                <c:pt idx="54">
                  <c:v>159.97999999999999</c:v>
                </c:pt>
                <c:pt idx="55">
                  <c:v>160.52000000000001</c:v>
                </c:pt>
                <c:pt idx="56">
                  <c:v>158.83000000000001</c:v>
                </c:pt>
                <c:pt idx="57">
                  <c:v>159.25</c:v>
                </c:pt>
                <c:pt idx="58">
                  <c:v>159.29</c:v>
                </c:pt>
                <c:pt idx="59">
                  <c:v>158.65</c:v>
                </c:pt>
                <c:pt idx="60">
                  <c:v>157.66</c:v>
                </c:pt>
                <c:pt idx="61">
                  <c:v>160.9</c:v>
                </c:pt>
                <c:pt idx="62">
                  <c:v>158.72999999999999</c:v>
                </c:pt>
                <c:pt idx="63">
                  <c:v>158.02000000000001</c:v>
                </c:pt>
                <c:pt idx="64">
                  <c:v>162.41</c:v>
                </c:pt>
                <c:pt idx="65">
                  <c:v>163.28</c:v>
                </c:pt>
                <c:pt idx="66">
                  <c:v>164.77</c:v>
                </c:pt>
                <c:pt idx="67">
                  <c:v>165.64</c:v>
                </c:pt>
                <c:pt idx="68">
                  <c:v>165.43</c:v>
                </c:pt>
                <c:pt idx="69">
                  <c:v>165.03</c:v>
                </c:pt>
                <c:pt idx="70">
                  <c:v>165.86</c:v>
                </c:pt>
                <c:pt idx="71">
                  <c:v>167.76</c:v>
                </c:pt>
                <c:pt idx="72">
                  <c:v>167.36</c:v>
                </c:pt>
                <c:pt idx="73">
                  <c:v>168.56</c:v>
                </c:pt>
                <c:pt idx="74">
                  <c:v>169.89</c:v>
                </c:pt>
                <c:pt idx="75">
                  <c:v>167.78</c:v>
                </c:pt>
                <c:pt idx="76">
                  <c:v>166.85</c:v>
                </c:pt>
                <c:pt idx="77">
                  <c:v>165.95</c:v>
                </c:pt>
                <c:pt idx="78">
                  <c:v>162.80000000000001</c:v>
                </c:pt>
                <c:pt idx="79">
                  <c:v>164.02</c:v>
                </c:pt>
                <c:pt idx="80">
                  <c:v>162.56</c:v>
                </c:pt>
                <c:pt idx="81">
                  <c:v>162.84</c:v>
                </c:pt>
                <c:pt idx="82">
                  <c:v>162.11000000000001</c:v>
                </c:pt>
                <c:pt idx="83">
                  <c:v>163.18</c:v>
                </c:pt>
                <c:pt idx="84">
                  <c:v>160.28</c:v>
                </c:pt>
                <c:pt idx="85">
                  <c:v>160.88</c:v>
                </c:pt>
                <c:pt idx="86">
                  <c:v>158.52000000000001</c:v>
                </c:pt>
                <c:pt idx="87">
                  <c:v>158.02000000000001</c:v>
                </c:pt>
                <c:pt idx="88">
                  <c:v>159.08000000000001</c:v>
                </c:pt>
                <c:pt idx="89">
                  <c:v>161.03</c:v>
                </c:pt>
                <c:pt idx="90">
                  <c:v>160.36000000000001</c:v>
                </c:pt>
                <c:pt idx="91">
                  <c:v>158.97</c:v>
                </c:pt>
                <c:pt idx="92">
                  <c:v>158.63</c:v>
                </c:pt>
                <c:pt idx="93">
                  <c:v>159.86000000000001</c:v>
                </c:pt>
                <c:pt idx="94">
                  <c:v>159.32</c:v>
                </c:pt>
                <c:pt idx="95">
                  <c:v>161.22</c:v>
                </c:pt>
                <c:pt idx="96">
                  <c:v>161.19999999999999</c:v>
                </c:pt>
                <c:pt idx="97">
                  <c:v>160.83000000000001</c:v>
                </c:pt>
                <c:pt idx="98">
                  <c:v>160.5</c:v>
                </c:pt>
                <c:pt idx="99">
                  <c:v>157.88999999999999</c:v>
                </c:pt>
                <c:pt idx="100">
                  <c:v>157.52000000000001</c:v>
                </c:pt>
                <c:pt idx="101">
                  <c:v>158.49</c:v>
                </c:pt>
                <c:pt idx="102">
                  <c:v>157.05000000000001</c:v>
                </c:pt>
                <c:pt idx="103">
                  <c:v>153.76</c:v>
                </c:pt>
                <c:pt idx="104">
                  <c:v>152.68</c:v>
                </c:pt>
                <c:pt idx="105">
                  <c:v>153.72999999999999</c:v>
                </c:pt>
                <c:pt idx="106">
                  <c:v>155.62</c:v>
                </c:pt>
                <c:pt idx="107">
                  <c:v>155.1</c:v>
                </c:pt>
                <c:pt idx="108">
                  <c:v>155.03</c:v>
                </c:pt>
                <c:pt idx="109">
                  <c:v>158.32</c:v>
                </c:pt>
                <c:pt idx="110">
                  <c:v>158.28</c:v>
                </c:pt>
                <c:pt idx="111">
                  <c:v>158.81</c:v>
                </c:pt>
                <c:pt idx="112">
                  <c:v>158.30000000000001</c:v>
                </c:pt>
                <c:pt idx="113">
                  <c:v>157.11000000000001</c:v>
                </c:pt>
                <c:pt idx="114">
                  <c:v>156.61000000000001</c:v>
                </c:pt>
                <c:pt idx="115">
                  <c:v>152.88</c:v>
                </c:pt>
                <c:pt idx="116">
                  <c:v>150.47</c:v>
                </c:pt>
                <c:pt idx="117">
                  <c:v>150.65</c:v>
                </c:pt>
                <c:pt idx="118">
                  <c:v>150.76</c:v>
                </c:pt>
                <c:pt idx="119">
                  <c:v>150.51</c:v>
                </c:pt>
                <c:pt idx="120">
                  <c:v>152.86000000000001</c:v>
                </c:pt>
                <c:pt idx="121">
                  <c:v>153.49</c:v>
                </c:pt>
                <c:pt idx="122">
                  <c:v>153.51</c:v>
                </c:pt>
                <c:pt idx="123">
                  <c:v>154.97999999999999</c:v>
                </c:pt>
                <c:pt idx="124">
                  <c:v>155.09</c:v>
                </c:pt>
                <c:pt idx="125">
                  <c:v>155.41</c:v>
                </c:pt>
                <c:pt idx="126">
                  <c:v>153.74</c:v>
                </c:pt>
                <c:pt idx="127">
                  <c:v>154.36000000000001</c:v>
                </c:pt>
                <c:pt idx="128">
                  <c:v>155.72</c:v>
                </c:pt>
                <c:pt idx="129">
                  <c:v>158.4</c:v>
                </c:pt>
                <c:pt idx="130">
                  <c:v>159.51</c:v>
                </c:pt>
                <c:pt idx="131">
                  <c:v>158.72999999999999</c:v>
                </c:pt>
                <c:pt idx="132">
                  <c:v>158.66999999999999</c:v>
                </c:pt>
                <c:pt idx="133">
                  <c:v>156.15</c:v>
                </c:pt>
                <c:pt idx="134">
                  <c:v>155.97</c:v>
                </c:pt>
                <c:pt idx="135">
                  <c:v>156.96</c:v>
                </c:pt>
                <c:pt idx="136">
                  <c:v>155.65</c:v>
                </c:pt>
                <c:pt idx="137">
                  <c:v>157.04</c:v>
                </c:pt>
                <c:pt idx="138">
                  <c:v>157.99</c:v>
                </c:pt>
                <c:pt idx="139">
                  <c:v>158.16999999999999</c:v>
                </c:pt>
                <c:pt idx="140">
                  <c:v>159.19</c:v>
                </c:pt>
                <c:pt idx="141">
                  <c:v>160.02000000000001</c:v>
                </c:pt>
                <c:pt idx="142">
                  <c:v>159.01</c:v>
                </c:pt>
                <c:pt idx="143">
                  <c:v>159.46</c:v>
                </c:pt>
                <c:pt idx="144">
                  <c:v>157.35</c:v>
                </c:pt>
                <c:pt idx="145">
                  <c:v>158.63</c:v>
                </c:pt>
                <c:pt idx="146">
                  <c:v>157.9</c:v>
                </c:pt>
                <c:pt idx="147">
                  <c:v>156.83000000000001</c:v>
                </c:pt>
                <c:pt idx="148">
                  <c:v>158.05000000000001</c:v>
                </c:pt>
                <c:pt idx="149">
                  <c:v>160.33000000000001</c:v>
                </c:pt>
                <c:pt idx="150">
                  <c:v>157.32</c:v>
                </c:pt>
                <c:pt idx="151">
                  <c:v>156.04</c:v>
                </c:pt>
                <c:pt idx="152">
                  <c:v>153.07</c:v>
                </c:pt>
                <c:pt idx="153">
                  <c:v>152.5</c:v>
                </c:pt>
                <c:pt idx="154">
                  <c:v>152.41999999999999</c:v>
                </c:pt>
                <c:pt idx="155">
                  <c:v>152.15</c:v>
                </c:pt>
                <c:pt idx="156">
                  <c:v>152.5</c:v>
                </c:pt>
                <c:pt idx="157">
                  <c:v>153.53</c:v>
                </c:pt>
                <c:pt idx="158">
                  <c:v>153.65</c:v>
                </c:pt>
                <c:pt idx="159">
                  <c:v>153.18</c:v>
                </c:pt>
                <c:pt idx="160">
                  <c:v>152.05000000000001</c:v>
                </c:pt>
                <c:pt idx="161">
                  <c:v>152.27000000000001</c:v>
                </c:pt>
                <c:pt idx="162">
                  <c:v>150.41</c:v>
                </c:pt>
                <c:pt idx="163">
                  <c:v>152.54</c:v>
                </c:pt>
                <c:pt idx="164">
                  <c:v>150.69</c:v>
                </c:pt>
                <c:pt idx="165">
                  <c:v>150.58000000000001</c:v>
                </c:pt>
                <c:pt idx="166">
                  <c:v>149.69</c:v>
                </c:pt>
                <c:pt idx="167">
                  <c:v>147.49</c:v>
                </c:pt>
                <c:pt idx="168">
                  <c:v>149.16</c:v>
                </c:pt>
                <c:pt idx="169">
                  <c:v>147.41999999999999</c:v>
                </c:pt>
                <c:pt idx="170">
                  <c:v>149.6</c:v>
                </c:pt>
                <c:pt idx="171">
                  <c:v>151.4</c:v>
                </c:pt>
                <c:pt idx="172">
                  <c:v>151.96</c:v>
                </c:pt>
                <c:pt idx="173">
                  <c:v>151.62</c:v>
                </c:pt>
                <c:pt idx="174">
                  <c:v>152.19999999999999</c:v>
                </c:pt>
                <c:pt idx="175">
                  <c:v>152.21</c:v>
                </c:pt>
                <c:pt idx="176">
                  <c:v>152.49</c:v>
                </c:pt>
                <c:pt idx="177">
                  <c:v>151.74</c:v>
                </c:pt>
                <c:pt idx="178">
                  <c:v>151.37</c:v>
                </c:pt>
                <c:pt idx="179">
                  <c:v>148.77000000000001</c:v>
                </c:pt>
                <c:pt idx="180">
                  <c:v>149.58000000000001</c:v>
                </c:pt>
                <c:pt idx="181">
                  <c:v>150.37</c:v>
                </c:pt>
                <c:pt idx="182">
                  <c:v>148.02000000000001</c:v>
                </c:pt>
                <c:pt idx="183">
                  <c:v>147.16999999999999</c:v>
                </c:pt>
                <c:pt idx="184">
                  <c:v>145.79</c:v>
                </c:pt>
                <c:pt idx="185">
                  <c:v>146.13</c:v>
                </c:pt>
                <c:pt idx="186">
                  <c:v>146.97999999999999</c:v>
                </c:pt>
                <c:pt idx="187">
                  <c:v>145.5</c:v>
                </c:pt>
                <c:pt idx="188">
                  <c:v>148.54</c:v>
                </c:pt>
                <c:pt idx="189">
                  <c:v>148.01</c:v>
                </c:pt>
                <c:pt idx="190">
                  <c:v>147.96</c:v>
                </c:pt>
                <c:pt idx="191">
                  <c:v>147.66999999999999</c:v>
                </c:pt>
                <c:pt idx="192">
                  <c:v>145.82</c:v>
                </c:pt>
                <c:pt idx="193">
                  <c:v>146.99</c:v>
                </c:pt>
                <c:pt idx="194">
                  <c:v>146.99</c:v>
                </c:pt>
                <c:pt idx="195">
                  <c:v>148.19</c:v>
                </c:pt>
                <c:pt idx="196">
                  <c:v>150.91999999999999</c:v>
                </c:pt>
                <c:pt idx="197">
                  <c:v>146.97999999999999</c:v>
                </c:pt>
                <c:pt idx="198">
                  <c:v>148.49</c:v>
                </c:pt>
                <c:pt idx="199">
                  <c:v>148.25</c:v>
                </c:pt>
                <c:pt idx="200">
                  <c:v>148.16</c:v>
                </c:pt>
                <c:pt idx="201">
                  <c:v>147.44</c:v>
                </c:pt>
                <c:pt idx="202">
                  <c:v>145.86000000000001</c:v>
                </c:pt>
                <c:pt idx="203">
                  <c:v>146.71</c:v>
                </c:pt>
                <c:pt idx="204">
                  <c:v>145.36000000000001</c:v>
                </c:pt>
                <c:pt idx="205">
                  <c:v>143.44999999999999</c:v>
                </c:pt>
                <c:pt idx="206">
                  <c:v>138.34</c:v>
                </c:pt>
                <c:pt idx="207">
                  <c:v>139.63</c:v>
                </c:pt>
                <c:pt idx="208">
                  <c:v>139.82</c:v>
                </c:pt>
                <c:pt idx="209">
                  <c:v>140.76</c:v>
                </c:pt>
                <c:pt idx="210">
                  <c:v>142.84</c:v>
                </c:pt>
                <c:pt idx="211">
                  <c:v>145.13</c:v>
                </c:pt>
                <c:pt idx="212">
                  <c:v>145.21</c:v>
                </c:pt>
                <c:pt idx="213">
                  <c:v>147.81</c:v>
                </c:pt>
                <c:pt idx="214">
                  <c:v>145.52000000000001</c:v>
                </c:pt>
                <c:pt idx="215">
                  <c:v>144.46</c:v>
                </c:pt>
                <c:pt idx="216">
                  <c:v>142.69</c:v>
                </c:pt>
                <c:pt idx="217">
                  <c:v>143.18</c:v>
                </c:pt>
                <c:pt idx="218">
                  <c:v>144.49</c:v>
                </c:pt>
                <c:pt idx="219">
                  <c:v>144.74</c:v>
                </c:pt>
                <c:pt idx="220">
                  <c:v>144.57</c:v>
                </c:pt>
                <c:pt idx="221">
                  <c:v>144.05000000000001</c:v>
                </c:pt>
                <c:pt idx="222">
                  <c:v>143.31</c:v>
                </c:pt>
                <c:pt idx="223">
                  <c:v>141.79</c:v>
                </c:pt>
                <c:pt idx="224">
                  <c:v>140.37</c:v>
                </c:pt>
                <c:pt idx="225">
                  <c:v>139.91</c:v>
                </c:pt>
                <c:pt idx="226">
                  <c:v>138.04</c:v>
                </c:pt>
                <c:pt idx="227">
                  <c:v>141.53</c:v>
                </c:pt>
                <c:pt idx="228">
                  <c:v>141.87</c:v>
                </c:pt>
                <c:pt idx="229">
                  <c:v>143.46</c:v>
                </c:pt>
                <c:pt idx="230">
                  <c:v>144.24</c:v>
                </c:pt>
                <c:pt idx="231">
                  <c:v>146.35</c:v>
                </c:pt>
                <c:pt idx="232">
                  <c:v>144.63</c:v>
                </c:pt>
                <c:pt idx="233">
                  <c:v>144.53</c:v>
                </c:pt>
                <c:pt idx="234">
                  <c:v>147</c:v>
                </c:pt>
                <c:pt idx="235">
                  <c:v>146.06</c:v>
                </c:pt>
                <c:pt idx="236">
                  <c:v>149.93</c:v>
                </c:pt>
                <c:pt idx="237">
                  <c:v>150.15</c:v>
                </c:pt>
                <c:pt idx="238">
                  <c:v>149.49</c:v>
                </c:pt>
                <c:pt idx="239">
                  <c:v>148.34</c:v>
                </c:pt>
                <c:pt idx="240">
                  <c:v>147.34</c:v>
                </c:pt>
                <c:pt idx="241">
                  <c:v>149.9</c:v>
                </c:pt>
                <c:pt idx="242">
                  <c:v>151.77000000000001</c:v>
                </c:pt>
                <c:pt idx="243">
                  <c:v>153.19</c:v>
                </c:pt>
                <c:pt idx="244">
                  <c:v>155.32</c:v>
                </c:pt>
                <c:pt idx="245">
                  <c:v>156.87</c:v>
                </c:pt>
                <c:pt idx="246">
                  <c:v>158.61000000000001</c:v>
                </c:pt>
                <c:pt idx="247">
                  <c:v>159.16999999999999</c:v>
                </c:pt>
                <c:pt idx="248">
                  <c:v>157.33000000000001</c:v>
                </c:pt>
                <c:pt idx="249">
                  <c:v>159.08000000000001</c:v>
                </c:pt>
                <c:pt idx="25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5-4A68-91F3-FB534BC0A45C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171.24449999999996</c:v>
                </c:pt>
                <c:pt idx="20">
                  <c:v>171.19499999999999</c:v>
                </c:pt>
                <c:pt idx="21">
                  <c:v>171.04249999999996</c:v>
                </c:pt>
                <c:pt idx="22">
                  <c:v>171.38599999999997</c:v>
                </c:pt>
                <c:pt idx="23">
                  <c:v>171.49999999999994</c:v>
                </c:pt>
                <c:pt idx="24">
                  <c:v>171.60399999999998</c:v>
                </c:pt>
                <c:pt idx="25">
                  <c:v>171.62099999999998</c:v>
                </c:pt>
                <c:pt idx="26">
                  <c:v>171.44400000000005</c:v>
                </c:pt>
                <c:pt idx="27">
                  <c:v>171.19950000000006</c:v>
                </c:pt>
                <c:pt idx="28">
                  <c:v>170.70950000000002</c:v>
                </c:pt>
                <c:pt idx="29">
                  <c:v>170.4735</c:v>
                </c:pt>
                <c:pt idx="30">
                  <c:v>170.31049999999999</c:v>
                </c:pt>
                <c:pt idx="31">
                  <c:v>170.02</c:v>
                </c:pt>
                <c:pt idx="32">
                  <c:v>169.76150000000001</c:v>
                </c:pt>
                <c:pt idx="33">
                  <c:v>169.63050000000001</c:v>
                </c:pt>
                <c:pt idx="34">
                  <c:v>169.375</c:v>
                </c:pt>
                <c:pt idx="35">
                  <c:v>169.26150000000001</c:v>
                </c:pt>
                <c:pt idx="36">
                  <c:v>168.6515</c:v>
                </c:pt>
                <c:pt idx="37">
                  <c:v>167.85</c:v>
                </c:pt>
                <c:pt idx="38">
                  <c:v>167.11349999999999</c:v>
                </c:pt>
                <c:pt idx="39">
                  <c:v>166.81099999999998</c:v>
                </c:pt>
                <c:pt idx="40">
                  <c:v>166.55950000000001</c:v>
                </c:pt>
                <c:pt idx="41">
                  <c:v>166.50649999999999</c:v>
                </c:pt>
                <c:pt idx="42">
                  <c:v>166.47499999999999</c:v>
                </c:pt>
                <c:pt idx="43">
                  <c:v>166.51299999999998</c:v>
                </c:pt>
                <c:pt idx="44">
                  <c:v>166.404</c:v>
                </c:pt>
                <c:pt idx="45">
                  <c:v>166.55799999999999</c:v>
                </c:pt>
                <c:pt idx="46">
                  <c:v>166.511</c:v>
                </c:pt>
                <c:pt idx="47">
                  <c:v>166.6225</c:v>
                </c:pt>
                <c:pt idx="48">
                  <c:v>166.76650000000001</c:v>
                </c:pt>
                <c:pt idx="49">
                  <c:v>166.41400000000002</c:v>
                </c:pt>
                <c:pt idx="50">
                  <c:v>166.02950000000001</c:v>
                </c:pt>
                <c:pt idx="51">
                  <c:v>165.72050000000002</c:v>
                </c:pt>
                <c:pt idx="52">
                  <c:v>165.31250000000006</c:v>
                </c:pt>
                <c:pt idx="53">
                  <c:v>164.91300000000004</c:v>
                </c:pt>
                <c:pt idx="54">
                  <c:v>164.43700000000004</c:v>
                </c:pt>
                <c:pt idx="55">
                  <c:v>163.84350000000001</c:v>
                </c:pt>
                <c:pt idx="56">
                  <c:v>163.59750000000003</c:v>
                </c:pt>
                <c:pt idx="57">
                  <c:v>163.54850000000005</c:v>
                </c:pt>
                <c:pt idx="58">
                  <c:v>163.59350000000001</c:v>
                </c:pt>
                <c:pt idx="59">
                  <c:v>163.41000000000003</c:v>
                </c:pt>
                <c:pt idx="60">
                  <c:v>163.11499999999998</c:v>
                </c:pt>
                <c:pt idx="61">
                  <c:v>162.81449999999998</c:v>
                </c:pt>
                <c:pt idx="62">
                  <c:v>162.2945</c:v>
                </c:pt>
                <c:pt idx="63">
                  <c:v>161.77199999999999</c:v>
                </c:pt>
                <c:pt idx="64">
                  <c:v>161.57299999999998</c:v>
                </c:pt>
                <c:pt idx="65">
                  <c:v>161.2055</c:v>
                </c:pt>
                <c:pt idx="66">
                  <c:v>161.15649999999999</c:v>
                </c:pt>
                <c:pt idx="67">
                  <c:v>161.0445</c:v>
                </c:pt>
                <c:pt idx="68">
                  <c:v>161.02949999999998</c:v>
                </c:pt>
                <c:pt idx="69">
                  <c:v>161.30450000000002</c:v>
                </c:pt>
                <c:pt idx="70">
                  <c:v>161.54650000000001</c:v>
                </c:pt>
                <c:pt idx="71">
                  <c:v>161.84200000000001</c:v>
                </c:pt>
                <c:pt idx="72">
                  <c:v>162.09700000000001</c:v>
                </c:pt>
                <c:pt idx="73">
                  <c:v>162.3965</c:v>
                </c:pt>
                <c:pt idx="74">
                  <c:v>162.892</c:v>
                </c:pt>
                <c:pt idx="75">
                  <c:v>163.25500000000002</c:v>
                </c:pt>
                <c:pt idx="76">
                  <c:v>163.65600000000001</c:v>
                </c:pt>
                <c:pt idx="77">
                  <c:v>163.99100000000001</c:v>
                </c:pt>
                <c:pt idx="78">
                  <c:v>164.16650000000001</c:v>
                </c:pt>
                <c:pt idx="79">
                  <c:v>164.435</c:v>
                </c:pt>
                <c:pt idx="80">
                  <c:v>164.68</c:v>
                </c:pt>
                <c:pt idx="81">
                  <c:v>164.77699999999999</c:v>
                </c:pt>
                <c:pt idx="82">
                  <c:v>164.946</c:v>
                </c:pt>
                <c:pt idx="83">
                  <c:v>165.20400000000001</c:v>
                </c:pt>
                <c:pt idx="84">
                  <c:v>165.09750000000003</c:v>
                </c:pt>
                <c:pt idx="85">
                  <c:v>164.97750000000002</c:v>
                </c:pt>
                <c:pt idx="86">
                  <c:v>164.66500000000002</c:v>
                </c:pt>
                <c:pt idx="87">
                  <c:v>164.28400000000002</c:v>
                </c:pt>
                <c:pt idx="88">
                  <c:v>163.9665</c:v>
                </c:pt>
                <c:pt idx="89">
                  <c:v>163.76650000000001</c:v>
                </c:pt>
                <c:pt idx="90">
                  <c:v>163.4915</c:v>
                </c:pt>
                <c:pt idx="91">
                  <c:v>163.05199999999999</c:v>
                </c:pt>
                <c:pt idx="92">
                  <c:v>162.6155</c:v>
                </c:pt>
                <c:pt idx="93">
                  <c:v>162.18049999999999</c:v>
                </c:pt>
                <c:pt idx="94">
                  <c:v>161.65200000000002</c:v>
                </c:pt>
                <c:pt idx="95">
                  <c:v>161.32400000000001</c:v>
                </c:pt>
                <c:pt idx="96">
                  <c:v>161.04149999999998</c:v>
                </c:pt>
                <c:pt idx="97">
                  <c:v>160.78549999999998</c:v>
                </c:pt>
                <c:pt idx="98">
                  <c:v>160.67049999999998</c:v>
                </c:pt>
                <c:pt idx="99">
                  <c:v>160.36399999999998</c:v>
                </c:pt>
                <c:pt idx="100">
                  <c:v>160.11199999999999</c:v>
                </c:pt>
                <c:pt idx="101">
                  <c:v>159.89449999999997</c:v>
                </c:pt>
                <c:pt idx="102">
                  <c:v>159.64150000000001</c:v>
                </c:pt>
                <c:pt idx="103">
                  <c:v>159.1705</c:v>
                </c:pt>
                <c:pt idx="104">
                  <c:v>158.79050000000001</c:v>
                </c:pt>
                <c:pt idx="105">
                  <c:v>158.43299999999999</c:v>
                </c:pt>
                <c:pt idx="106">
                  <c:v>158.28800000000001</c:v>
                </c:pt>
                <c:pt idx="107">
                  <c:v>158.142</c:v>
                </c:pt>
                <c:pt idx="108">
                  <c:v>157.93950000000001</c:v>
                </c:pt>
                <c:pt idx="109">
                  <c:v>157.80400000000003</c:v>
                </c:pt>
                <c:pt idx="110">
                  <c:v>157.69999999999999</c:v>
                </c:pt>
                <c:pt idx="111">
                  <c:v>157.69200000000001</c:v>
                </c:pt>
                <c:pt idx="112">
                  <c:v>157.6755</c:v>
                </c:pt>
                <c:pt idx="113">
                  <c:v>157.53800000000004</c:v>
                </c:pt>
                <c:pt idx="114">
                  <c:v>157.40250000000006</c:v>
                </c:pt>
                <c:pt idx="115">
                  <c:v>156.98550000000003</c:v>
                </c:pt>
                <c:pt idx="116">
                  <c:v>156.44900000000001</c:v>
                </c:pt>
                <c:pt idx="117">
                  <c:v>155.94000000000003</c:v>
                </c:pt>
                <c:pt idx="118">
                  <c:v>155.45300000000003</c:v>
                </c:pt>
                <c:pt idx="119">
                  <c:v>155.084</c:v>
                </c:pt>
                <c:pt idx="120">
                  <c:v>154.851</c:v>
                </c:pt>
                <c:pt idx="121">
                  <c:v>154.60100000000003</c:v>
                </c:pt>
                <c:pt idx="122">
                  <c:v>154.42400000000004</c:v>
                </c:pt>
                <c:pt idx="123">
                  <c:v>154.48500000000007</c:v>
                </c:pt>
                <c:pt idx="124">
                  <c:v>154.60550000000006</c:v>
                </c:pt>
                <c:pt idx="125">
                  <c:v>154.68950000000001</c:v>
                </c:pt>
                <c:pt idx="126">
                  <c:v>154.59550000000004</c:v>
                </c:pt>
                <c:pt idx="127">
                  <c:v>154.55850000000004</c:v>
                </c:pt>
                <c:pt idx="128">
                  <c:v>154.59299999999999</c:v>
                </c:pt>
                <c:pt idx="129">
                  <c:v>154.59700000000001</c:v>
                </c:pt>
                <c:pt idx="130">
                  <c:v>154.6585</c:v>
                </c:pt>
                <c:pt idx="131">
                  <c:v>154.65449999999998</c:v>
                </c:pt>
                <c:pt idx="132">
                  <c:v>154.67299999999997</c:v>
                </c:pt>
                <c:pt idx="133">
                  <c:v>154.625</c:v>
                </c:pt>
                <c:pt idx="134">
                  <c:v>154.59300000000002</c:v>
                </c:pt>
                <c:pt idx="135">
                  <c:v>154.797</c:v>
                </c:pt>
                <c:pt idx="136">
                  <c:v>155.05600000000001</c:v>
                </c:pt>
                <c:pt idx="137">
                  <c:v>155.37550000000002</c:v>
                </c:pt>
                <c:pt idx="138">
                  <c:v>155.73700000000002</c:v>
                </c:pt>
                <c:pt idx="139">
                  <c:v>156.12000000000003</c:v>
                </c:pt>
                <c:pt idx="140">
                  <c:v>156.4365</c:v>
                </c:pt>
                <c:pt idx="141">
                  <c:v>156.76300000000001</c:v>
                </c:pt>
                <c:pt idx="142">
                  <c:v>157.03800000000001</c:v>
                </c:pt>
                <c:pt idx="143">
                  <c:v>157.26200000000003</c:v>
                </c:pt>
                <c:pt idx="144">
                  <c:v>157.37500000000003</c:v>
                </c:pt>
                <c:pt idx="145">
                  <c:v>157.53600000000003</c:v>
                </c:pt>
                <c:pt idx="146">
                  <c:v>157.744</c:v>
                </c:pt>
                <c:pt idx="147">
                  <c:v>157.86750000000001</c:v>
                </c:pt>
                <c:pt idx="148">
                  <c:v>157.98400000000001</c:v>
                </c:pt>
                <c:pt idx="149">
                  <c:v>158.08050000000003</c:v>
                </c:pt>
                <c:pt idx="150">
                  <c:v>157.97100000000003</c:v>
                </c:pt>
                <c:pt idx="151">
                  <c:v>157.83650000000003</c:v>
                </c:pt>
                <c:pt idx="152">
                  <c:v>157.55650000000003</c:v>
                </c:pt>
                <c:pt idx="153">
                  <c:v>157.37400000000002</c:v>
                </c:pt>
                <c:pt idx="154">
                  <c:v>157.19650000000001</c:v>
                </c:pt>
                <c:pt idx="155">
                  <c:v>156.95600000000002</c:v>
                </c:pt>
                <c:pt idx="156">
                  <c:v>156.79850000000002</c:v>
                </c:pt>
                <c:pt idx="157">
                  <c:v>156.62300000000002</c:v>
                </c:pt>
                <c:pt idx="158">
                  <c:v>156.40600000000001</c:v>
                </c:pt>
                <c:pt idx="159">
                  <c:v>156.15649999999999</c:v>
                </c:pt>
                <c:pt idx="160">
                  <c:v>155.79950000000002</c:v>
                </c:pt>
                <c:pt idx="161">
                  <c:v>155.41200000000001</c:v>
                </c:pt>
                <c:pt idx="162">
                  <c:v>154.98200000000003</c:v>
                </c:pt>
                <c:pt idx="163">
                  <c:v>154.63600000000002</c:v>
                </c:pt>
                <c:pt idx="164">
                  <c:v>154.303</c:v>
                </c:pt>
                <c:pt idx="165">
                  <c:v>153.90050000000002</c:v>
                </c:pt>
                <c:pt idx="166">
                  <c:v>153.49</c:v>
                </c:pt>
                <c:pt idx="167">
                  <c:v>153.023</c:v>
                </c:pt>
                <c:pt idx="168">
                  <c:v>152.57849999999999</c:v>
                </c:pt>
                <c:pt idx="169">
                  <c:v>151.93299999999999</c:v>
                </c:pt>
                <c:pt idx="170">
                  <c:v>151.547</c:v>
                </c:pt>
                <c:pt idx="171">
                  <c:v>151.315</c:v>
                </c:pt>
                <c:pt idx="172">
                  <c:v>151.25949999999997</c:v>
                </c:pt>
                <c:pt idx="173">
                  <c:v>151.21549999999999</c:v>
                </c:pt>
                <c:pt idx="174">
                  <c:v>151.2045</c:v>
                </c:pt>
                <c:pt idx="175">
                  <c:v>151.20749999999998</c:v>
                </c:pt>
                <c:pt idx="176">
                  <c:v>151.20700000000002</c:v>
                </c:pt>
                <c:pt idx="177">
                  <c:v>151.11749999999998</c:v>
                </c:pt>
                <c:pt idx="178">
                  <c:v>151.00349999999997</c:v>
                </c:pt>
                <c:pt idx="179">
                  <c:v>150.78299999999996</c:v>
                </c:pt>
                <c:pt idx="180">
                  <c:v>150.65950000000001</c:v>
                </c:pt>
                <c:pt idx="181">
                  <c:v>150.56449999999998</c:v>
                </c:pt>
                <c:pt idx="182">
                  <c:v>150.44499999999999</c:v>
                </c:pt>
                <c:pt idx="183">
                  <c:v>150.17649999999998</c:v>
                </c:pt>
                <c:pt idx="184">
                  <c:v>149.9315</c:v>
                </c:pt>
                <c:pt idx="185">
                  <c:v>149.709</c:v>
                </c:pt>
                <c:pt idx="186">
                  <c:v>149.57350000000002</c:v>
                </c:pt>
                <c:pt idx="187">
                  <c:v>149.47399999999999</c:v>
                </c:pt>
                <c:pt idx="188">
                  <c:v>149.44300000000001</c:v>
                </c:pt>
                <c:pt idx="189">
                  <c:v>149.4725</c:v>
                </c:pt>
                <c:pt idx="190">
                  <c:v>149.39050000000003</c:v>
                </c:pt>
                <c:pt idx="191">
                  <c:v>149.20400000000001</c:v>
                </c:pt>
                <c:pt idx="192">
                  <c:v>148.89699999999999</c:v>
                </c:pt>
                <c:pt idx="193">
                  <c:v>148.66550000000001</c:v>
                </c:pt>
                <c:pt idx="194">
                  <c:v>148.40500000000003</c:v>
                </c:pt>
                <c:pt idx="195">
                  <c:v>148.20400000000001</c:v>
                </c:pt>
                <c:pt idx="196">
                  <c:v>148.12549999999999</c:v>
                </c:pt>
                <c:pt idx="197">
                  <c:v>147.88749999999999</c:v>
                </c:pt>
                <c:pt idx="198">
                  <c:v>147.74349999999998</c:v>
                </c:pt>
                <c:pt idx="199">
                  <c:v>147.71749999999997</c:v>
                </c:pt>
                <c:pt idx="200">
                  <c:v>147.6465</c:v>
                </c:pt>
                <c:pt idx="201">
                  <c:v>147.50000000000003</c:v>
                </c:pt>
                <c:pt idx="202">
                  <c:v>147.392</c:v>
                </c:pt>
                <c:pt idx="203">
                  <c:v>147.369</c:v>
                </c:pt>
                <c:pt idx="204">
                  <c:v>147.34750000000003</c:v>
                </c:pt>
                <c:pt idx="205">
                  <c:v>147.21350000000001</c:v>
                </c:pt>
                <c:pt idx="206">
                  <c:v>146.78150000000002</c:v>
                </c:pt>
                <c:pt idx="207">
                  <c:v>146.48800000000003</c:v>
                </c:pt>
                <c:pt idx="208">
                  <c:v>146.05200000000005</c:v>
                </c:pt>
                <c:pt idx="209">
                  <c:v>145.68950000000004</c:v>
                </c:pt>
                <c:pt idx="210">
                  <c:v>145.43350000000004</c:v>
                </c:pt>
                <c:pt idx="211">
                  <c:v>145.30650000000006</c:v>
                </c:pt>
                <c:pt idx="212">
                  <c:v>145.27600000000001</c:v>
                </c:pt>
                <c:pt idx="213">
                  <c:v>145.31700000000004</c:v>
                </c:pt>
                <c:pt idx="214">
                  <c:v>145.24350000000001</c:v>
                </c:pt>
                <c:pt idx="215">
                  <c:v>145.05700000000002</c:v>
                </c:pt>
                <c:pt idx="216">
                  <c:v>144.6455</c:v>
                </c:pt>
                <c:pt idx="217">
                  <c:v>144.45549999999997</c:v>
                </c:pt>
                <c:pt idx="218">
                  <c:v>144.25549999999998</c:v>
                </c:pt>
                <c:pt idx="219">
                  <c:v>144.07999999999998</c:v>
                </c:pt>
                <c:pt idx="220">
                  <c:v>143.90049999999999</c:v>
                </c:pt>
                <c:pt idx="221">
                  <c:v>143.73100000000002</c:v>
                </c:pt>
                <c:pt idx="222">
                  <c:v>143.6035</c:v>
                </c:pt>
                <c:pt idx="223">
                  <c:v>143.35750000000002</c:v>
                </c:pt>
                <c:pt idx="224">
                  <c:v>143.108</c:v>
                </c:pt>
                <c:pt idx="225">
                  <c:v>142.93099999999998</c:v>
                </c:pt>
                <c:pt idx="226">
                  <c:v>142.916</c:v>
                </c:pt>
                <c:pt idx="227">
                  <c:v>143.011</c:v>
                </c:pt>
                <c:pt idx="228">
                  <c:v>143.11349999999999</c:v>
                </c:pt>
                <c:pt idx="229">
                  <c:v>143.24849999999998</c:v>
                </c:pt>
                <c:pt idx="230">
                  <c:v>143.3185</c:v>
                </c:pt>
                <c:pt idx="231">
                  <c:v>143.37950000000004</c:v>
                </c:pt>
                <c:pt idx="232">
                  <c:v>143.35049999999998</c:v>
                </c:pt>
                <c:pt idx="233">
                  <c:v>143.18650000000002</c:v>
                </c:pt>
                <c:pt idx="234">
                  <c:v>143.26050000000001</c:v>
                </c:pt>
                <c:pt idx="235">
                  <c:v>143.34049999999999</c:v>
                </c:pt>
                <c:pt idx="236">
                  <c:v>143.70250000000001</c:v>
                </c:pt>
                <c:pt idx="237">
                  <c:v>144.05099999999999</c:v>
                </c:pt>
                <c:pt idx="238">
                  <c:v>144.30099999999999</c:v>
                </c:pt>
                <c:pt idx="239">
                  <c:v>144.48099999999999</c:v>
                </c:pt>
                <c:pt idx="240">
                  <c:v>144.61950000000002</c:v>
                </c:pt>
                <c:pt idx="241">
                  <c:v>144.91200000000001</c:v>
                </c:pt>
                <c:pt idx="242">
                  <c:v>145.33500000000004</c:v>
                </c:pt>
                <c:pt idx="243">
                  <c:v>145.90500000000003</c:v>
                </c:pt>
                <c:pt idx="244">
                  <c:v>146.65250000000003</c:v>
                </c:pt>
                <c:pt idx="245">
                  <c:v>147.50050000000002</c:v>
                </c:pt>
                <c:pt idx="246">
                  <c:v>148.52900000000002</c:v>
                </c:pt>
                <c:pt idx="247">
                  <c:v>149.411</c:v>
                </c:pt>
                <c:pt idx="248">
                  <c:v>150.18400000000003</c:v>
                </c:pt>
                <c:pt idx="249">
                  <c:v>150.965</c:v>
                </c:pt>
                <c:pt idx="250">
                  <c:v>151.75299999999999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65-4A68-91F3-FB534BC0A45C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165.25290000000004</c:v>
                </c:pt>
                <c:pt idx="100">
                  <c:v>165.13230000000004</c:v>
                </c:pt>
                <c:pt idx="101">
                  <c:v>165.00700000000003</c:v>
                </c:pt>
                <c:pt idx="102">
                  <c:v>164.94860000000006</c:v>
                </c:pt>
                <c:pt idx="103">
                  <c:v>164.83190000000002</c:v>
                </c:pt>
                <c:pt idx="104">
                  <c:v>164.69380000000004</c:v>
                </c:pt>
                <c:pt idx="105">
                  <c:v>164.55900000000005</c:v>
                </c:pt>
                <c:pt idx="106">
                  <c:v>164.41290000000004</c:v>
                </c:pt>
                <c:pt idx="107">
                  <c:v>164.25850000000005</c:v>
                </c:pt>
                <c:pt idx="108">
                  <c:v>164.08230000000006</c:v>
                </c:pt>
                <c:pt idx="109">
                  <c:v>163.95250000000007</c:v>
                </c:pt>
                <c:pt idx="110">
                  <c:v>163.81560000000007</c:v>
                </c:pt>
                <c:pt idx="111">
                  <c:v>163.66530000000006</c:v>
                </c:pt>
                <c:pt idx="112">
                  <c:v>163.49240000000006</c:v>
                </c:pt>
                <c:pt idx="113">
                  <c:v>163.33170000000004</c:v>
                </c:pt>
                <c:pt idx="114">
                  <c:v>163.15170000000006</c:v>
                </c:pt>
                <c:pt idx="115">
                  <c:v>162.93390000000005</c:v>
                </c:pt>
                <c:pt idx="116">
                  <c:v>162.67910000000003</c:v>
                </c:pt>
                <c:pt idx="117">
                  <c:v>162.42300000000003</c:v>
                </c:pt>
                <c:pt idx="118">
                  <c:v>162.19940000000003</c:v>
                </c:pt>
                <c:pt idx="119">
                  <c:v>162.02080000000001</c:v>
                </c:pt>
                <c:pt idx="120">
                  <c:v>161.86350000000002</c:v>
                </c:pt>
                <c:pt idx="121">
                  <c:v>161.71870000000001</c:v>
                </c:pt>
                <c:pt idx="122">
                  <c:v>161.55620000000002</c:v>
                </c:pt>
                <c:pt idx="123">
                  <c:v>161.4289</c:v>
                </c:pt>
                <c:pt idx="124">
                  <c:v>161.29410000000004</c:v>
                </c:pt>
                <c:pt idx="125">
                  <c:v>161.17270000000002</c:v>
                </c:pt>
                <c:pt idx="126">
                  <c:v>161.04320000000001</c:v>
                </c:pt>
                <c:pt idx="127">
                  <c:v>160.93030000000002</c:v>
                </c:pt>
                <c:pt idx="128">
                  <c:v>160.85900000000001</c:v>
                </c:pt>
                <c:pt idx="129">
                  <c:v>160.77720000000002</c:v>
                </c:pt>
                <c:pt idx="130">
                  <c:v>160.68520000000001</c:v>
                </c:pt>
                <c:pt idx="131">
                  <c:v>160.59220000000002</c:v>
                </c:pt>
                <c:pt idx="132">
                  <c:v>160.47470000000004</c:v>
                </c:pt>
                <c:pt idx="133">
                  <c:v>160.3306</c:v>
                </c:pt>
                <c:pt idx="134">
                  <c:v>160.1953</c:v>
                </c:pt>
                <c:pt idx="135">
                  <c:v>160.041</c:v>
                </c:pt>
                <c:pt idx="136">
                  <c:v>159.96</c:v>
                </c:pt>
                <c:pt idx="137">
                  <c:v>159.9281</c:v>
                </c:pt>
                <c:pt idx="138">
                  <c:v>159.92410000000001</c:v>
                </c:pt>
                <c:pt idx="139">
                  <c:v>159.8826</c:v>
                </c:pt>
                <c:pt idx="140">
                  <c:v>159.8389</c:v>
                </c:pt>
                <c:pt idx="141">
                  <c:v>159.77000000000001</c:v>
                </c:pt>
                <c:pt idx="142">
                  <c:v>159.6688</c:v>
                </c:pt>
                <c:pt idx="143">
                  <c:v>159.5787</c:v>
                </c:pt>
                <c:pt idx="144">
                  <c:v>159.48830000000001</c:v>
                </c:pt>
                <c:pt idx="145">
                  <c:v>159.3683</c:v>
                </c:pt>
                <c:pt idx="146">
                  <c:v>159.28979999999999</c:v>
                </c:pt>
                <c:pt idx="147">
                  <c:v>159.17929999999998</c:v>
                </c:pt>
                <c:pt idx="148">
                  <c:v>159.10249999999999</c:v>
                </c:pt>
                <c:pt idx="149">
                  <c:v>159.11049999999997</c:v>
                </c:pt>
                <c:pt idx="150">
                  <c:v>159.0735</c:v>
                </c:pt>
                <c:pt idx="151">
                  <c:v>159.0154</c:v>
                </c:pt>
                <c:pt idx="152">
                  <c:v>158.92349999999999</c:v>
                </c:pt>
                <c:pt idx="153">
                  <c:v>158.8228</c:v>
                </c:pt>
                <c:pt idx="154">
                  <c:v>158.74719999999999</c:v>
                </c:pt>
                <c:pt idx="155">
                  <c:v>158.66349999999997</c:v>
                </c:pt>
                <c:pt idx="156">
                  <c:v>158.60019999999997</c:v>
                </c:pt>
                <c:pt idx="157">
                  <c:v>158.54299999999998</c:v>
                </c:pt>
                <c:pt idx="158">
                  <c:v>158.48659999999998</c:v>
                </c:pt>
                <c:pt idx="159">
                  <c:v>158.43189999999996</c:v>
                </c:pt>
                <c:pt idx="160">
                  <c:v>158.37579999999997</c:v>
                </c:pt>
                <c:pt idx="161">
                  <c:v>158.28949999999998</c:v>
                </c:pt>
                <c:pt idx="162">
                  <c:v>158.20629999999994</c:v>
                </c:pt>
                <c:pt idx="163">
                  <c:v>158.15149999999997</c:v>
                </c:pt>
                <c:pt idx="164">
                  <c:v>158.03429999999997</c:v>
                </c:pt>
                <c:pt idx="165">
                  <c:v>157.90729999999999</c:v>
                </c:pt>
                <c:pt idx="166">
                  <c:v>157.75649999999999</c:v>
                </c:pt>
                <c:pt idx="167">
                  <c:v>157.57499999999999</c:v>
                </c:pt>
                <c:pt idx="168">
                  <c:v>157.41229999999999</c:v>
                </c:pt>
                <c:pt idx="169">
                  <c:v>157.2362</c:v>
                </c:pt>
                <c:pt idx="170">
                  <c:v>157.07359999999997</c:v>
                </c:pt>
                <c:pt idx="171">
                  <c:v>156.90999999999997</c:v>
                </c:pt>
                <c:pt idx="172">
                  <c:v>156.75599999999997</c:v>
                </c:pt>
                <c:pt idx="173">
                  <c:v>156.58659999999998</c:v>
                </c:pt>
                <c:pt idx="174">
                  <c:v>156.40969999999999</c:v>
                </c:pt>
                <c:pt idx="175">
                  <c:v>156.25399999999996</c:v>
                </c:pt>
                <c:pt idx="176">
                  <c:v>156.11039999999997</c:v>
                </c:pt>
                <c:pt idx="177">
                  <c:v>155.96829999999997</c:v>
                </c:pt>
                <c:pt idx="178">
                  <c:v>155.85399999999998</c:v>
                </c:pt>
                <c:pt idx="179">
                  <c:v>155.70149999999998</c:v>
                </c:pt>
                <c:pt idx="180">
                  <c:v>155.57169999999999</c:v>
                </c:pt>
                <c:pt idx="181">
                  <c:v>155.447</c:v>
                </c:pt>
                <c:pt idx="182">
                  <c:v>155.30610000000001</c:v>
                </c:pt>
                <c:pt idx="183">
                  <c:v>155.14600000000002</c:v>
                </c:pt>
                <c:pt idx="184">
                  <c:v>155.00110000000004</c:v>
                </c:pt>
                <c:pt idx="185">
                  <c:v>154.8536</c:v>
                </c:pt>
                <c:pt idx="186">
                  <c:v>154.73820000000001</c:v>
                </c:pt>
                <c:pt idx="187">
                  <c:v>154.613</c:v>
                </c:pt>
                <c:pt idx="188">
                  <c:v>154.5076</c:v>
                </c:pt>
                <c:pt idx="189">
                  <c:v>154.37739999999999</c:v>
                </c:pt>
                <c:pt idx="190">
                  <c:v>154.2534</c:v>
                </c:pt>
                <c:pt idx="191">
                  <c:v>154.1404</c:v>
                </c:pt>
                <c:pt idx="192">
                  <c:v>154.01230000000001</c:v>
                </c:pt>
                <c:pt idx="193">
                  <c:v>153.88360000000003</c:v>
                </c:pt>
                <c:pt idx="194">
                  <c:v>153.76030000000003</c:v>
                </c:pt>
                <c:pt idx="195">
                  <c:v>153.63000000000002</c:v>
                </c:pt>
                <c:pt idx="196">
                  <c:v>153.52720000000002</c:v>
                </c:pt>
                <c:pt idx="197">
                  <c:v>153.38870000000003</c:v>
                </c:pt>
                <c:pt idx="198">
                  <c:v>153.26860000000002</c:v>
                </c:pt>
                <c:pt idx="199">
                  <c:v>153.17220000000003</c:v>
                </c:pt>
                <c:pt idx="200">
                  <c:v>153.07859999999999</c:v>
                </c:pt>
                <c:pt idx="201">
                  <c:v>152.96810000000002</c:v>
                </c:pt>
                <c:pt idx="202">
                  <c:v>152.85620000000003</c:v>
                </c:pt>
                <c:pt idx="203">
                  <c:v>152.78570000000002</c:v>
                </c:pt>
                <c:pt idx="204">
                  <c:v>152.71250000000001</c:v>
                </c:pt>
                <c:pt idx="205">
                  <c:v>152.60970000000003</c:v>
                </c:pt>
                <c:pt idx="206">
                  <c:v>152.43690000000004</c:v>
                </c:pt>
                <c:pt idx="207">
                  <c:v>152.28220000000002</c:v>
                </c:pt>
                <c:pt idx="208">
                  <c:v>152.1301</c:v>
                </c:pt>
                <c:pt idx="209">
                  <c:v>151.95450000000002</c:v>
                </c:pt>
                <c:pt idx="210">
                  <c:v>151.80010000000001</c:v>
                </c:pt>
                <c:pt idx="211">
                  <c:v>151.66329999999999</c:v>
                </c:pt>
                <c:pt idx="212">
                  <c:v>151.5324</c:v>
                </c:pt>
                <c:pt idx="213">
                  <c:v>151.43939999999998</c:v>
                </c:pt>
                <c:pt idx="214">
                  <c:v>151.32849999999999</c:v>
                </c:pt>
                <c:pt idx="215">
                  <c:v>151.24429999999998</c:v>
                </c:pt>
                <c:pt idx="216">
                  <c:v>151.16649999999998</c:v>
                </c:pt>
                <c:pt idx="217">
                  <c:v>151.09179999999998</c:v>
                </c:pt>
                <c:pt idx="218">
                  <c:v>151.02909999999997</c:v>
                </c:pt>
                <c:pt idx="219">
                  <c:v>150.97139999999999</c:v>
                </c:pt>
                <c:pt idx="220">
                  <c:v>150.88849999999999</c:v>
                </c:pt>
                <c:pt idx="221">
                  <c:v>150.79409999999996</c:v>
                </c:pt>
                <c:pt idx="222">
                  <c:v>150.69209999999995</c:v>
                </c:pt>
                <c:pt idx="223">
                  <c:v>150.56019999999998</c:v>
                </c:pt>
                <c:pt idx="224">
                  <c:v>150.41299999999998</c:v>
                </c:pt>
                <c:pt idx="225">
                  <c:v>150.25799999999998</c:v>
                </c:pt>
                <c:pt idx="226">
                  <c:v>150.101</c:v>
                </c:pt>
                <c:pt idx="227">
                  <c:v>149.97269999999997</c:v>
                </c:pt>
                <c:pt idx="228">
                  <c:v>149.83419999999998</c:v>
                </c:pt>
                <c:pt idx="229">
                  <c:v>149.68479999999997</c:v>
                </c:pt>
                <c:pt idx="230">
                  <c:v>149.53209999999999</c:v>
                </c:pt>
                <c:pt idx="231">
                  <c:v>149.4083</c:v>
                </c:pt>
                <c:pt idx="232">
                  <c:v>149.2679</c:v>
                </c:pt>
                <c:pt idx="233">
                  <c:v>149.15170000000001</c:v>
                </c:pt>
                <c:pt idx="234">
                  <c:v>149.06199999999998</c:v>
                </c:pt>
                <c:pt idx="235">
                  <c:v>148.95299999999997</c:v>
                </c:pt>
                <c:pt idx="236">
                  <c:v>148.89579999999998</c:v>
                </c:pt>
                <c:pt idx="237">
                  <c:v>148.82689999999997</c:v>
                </c:pt>
                <c:pt idx="238">
                  <c:v>148.74189999999999</c:v>
                </c:pt>
                <c:pt idx="239">
                  <c:v>148.64359999999999</c:v>
                </c:pt>
                <c:pt idx="240">
                  <c:v>148.52509999999998</c:v>
                </c:pt>
                <c:pt idx="241">
                  <c:v>148.42389999999997</c:v>
                </c:pt>
                <c:pt idx="242">
                  <c:v>148.35149999999999</c:v>
                </c:pt>
                <c:pt idx="243">
                  <c:v>148.28879999999998</c:v>
                </c:pt>
                <c:pt idx="244">
                  <c:v>148.26849999999996</c:v>
                </c:pt>
                <c:pt idx="245">
                  <c:v>148.2509</c:v>
                </c:pt>
                <c:pt idx="246">
                  <c:v>148.25799999999998</c:v>
                </c:pt>
                <c:pt idx="247">
                  <c:v>148.28139999999996</c:v>
                </c:pt>
                <c:pt idx="248">
                  <c:v>148.27419999999998</c:v>
                </c:pt>
                <c:pt idx="249">
                  <c:v>148.26169999999999</c:v>
                </c:pt>
                <c:pt idx="250">
                  <c:v>148.28849999999997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65-4A68-91F3-FB534BC0A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19023"/>
        <c:axId val="147819503"/>
      </c:lineChart>
      <c:dateAx>
        <c:axId val="147819023"/>
        <c:scaling>
          <c:orientation val="minMax"/>
          <c:min val="4594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9503"/>
        <c:crosses val="autoZero"/>
        <c:auto val="1"/>
        <c:lblOffset val="100"/>
        <c:baseTimeUnit val="days"/>
      </c:dateAx>
      <c:valAx>
        <c:axId val="147819503"/>
        <c:scaling>
          <c:orientation val="minMax"/>
          <c:max val="16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169.58</c:v>
                </c:pt>
                <c:pt idx="1">
                  <c:v>171.02</c:v>
                </c:pt>
                <c:pt idx="2">
                  <c:v>162.88999999999999</c:v>
                </c:pt>
                <c:pt idx="3">
                  <c:v>165.43</c:v>
                </c:pt>
                <c:pt idx="4">
                  <c:v>166.49</c:v>
                </c:pt>
                <c:pt idx="5">
                  <c:v>167.21</c:v>
                </c:pt>
                <c:pt idx="6">
                  <c:v>170.23</c:v>
                </c:pt>
                <c:pt idx="7">
                  <c:v>170.54</c:v>
                </c:pt>
                <c:pt idx="8">
                  <c:v>172.65</c:v>
                </c:pt>
                <c:pt idx="9">
                  <c:v>171.3</c:v>
                </c:pt>
                <c:pt idx="10">
                  <c:v>171.97</c:v>
                </c:pt>
                <c:pt idx="11">
                  <c:v>173.84</c:v>
                </c:pt>
                <c:pt idx="12">
                  <c:v>175.59</c:v>
                </c:pt>
                <c:pt idx="13">
                  <c:v>173.18</c:v>
                </c:pt>
                <c:pt idx="14">
                  <c:v>174.61</c:v>
                </c:pt>
                <c:pt idx="15">
                  <c:v>174.66</c:v>
                </c:pt>
                <c:pt idx="16">
                  <c:v>175.95</c:v>
                </c:pt>
                <c:pt idx="17">
                  <c:v>176.26</c:v>
                </c:pt>
                <c:pt idx="18">
                  <c:v>173.12</c:v>
                </c:pt>
                <c:pt idx="19">
                  <c:v>168.37</c:v>
                </c:pt>
                <c:pt idx="20">
                  <c:v>168.59</c:v>
                </c:pt>
                <c:pt idx="21">
                  <c:v>167.97</c:v>
                </c:pt>
                <c:pt idx="22">
                  <c:v>169.76</c:v>
                </c:pt>
                <c:pt idx="23">
                  <c:v>167.71</c:v>
                </c:pt>
                <c:pt idx="24">
                  <c:v>168.57</c:v>
                </c:pt>
                <c:pt idx="25">
                  <c:v>167.55</c:v>
                </c:pt>
                <c:pt idx="26">
                  <c:v>166.69</c:v>
                </c:pt>
                <c:pt idx="27">
                  <c:v>165.65</c:v>
                </c:pt>
                <c:pt idx="28">
                  <c:v>162.85</c:v>
                </c:pt>
                <c:pt idx="29">
                  <c:v>166.58</c:v>
                </c:pt>
                <c:pt idx="30">
                  <c:v>168.71</c:v>
                </c:pt>
                <c:pt idx="31">
                  <c:v>168.03</c:v>
                </c:pt>
                <c:pt idx="32">
                  <c:v>170.42</c:v>
                </c:pt>
                <c:pt idx="33">
                  <c:v>170.56</c:v>
                </c:pt>
                <c:pt idx="34">
                  <c:v>169.5</c:v>
                </c:pt>
                <c:pt idx="35">
                  <c:v>172.39</c:v>
                </c:pt>
                <c:pt idx="36">
                  <c:v>163.75</c:v>
                </c:pt>
                <c:pt idx="37">
                  <c:v>160.22999999999999</c:v>
                </c:pt>
                <c:pt idx="38">
                  <c:v>158.38999999999999</c:v>
                </c:pt>
                <c:pt idx="39">
                  <c:v>162.32</c:v>
                </c:pt>
                <c:pt idx="40">
                  <c:v>163.56</c:v>
                </c:pt>
                <c:pt idx="41">
                  <c:v>166.91</c:v>
                </c:pt>
                <c:pt idx="42">
                  <c:v>169.13</c:v>
                </c:pt>
                <c:pt idx="43">
                  <c:v>168.47</c:v>
                </c:pt>
                <c:pt idx="44">
                  <c:v>166.39</c:v>
                </c:pt>
                <c:pt idx="45">
                  <c:v>170.63</c:v>
                </c:pt>
                <c:pt idx="46">
                  <c:v>165.75</c:v>
                </c:pt>
                <c:pt idx="47">
                  <c:v>167.88</c:v>
                </c:pt>
                <c:pt idx="48">
                  <c:v>165.73</c:v>
                </c:pt>
                <c:pt idx="49">
                  <c:v>159.53</c:v>
                </c:pt>
                <c:pt idx="50">
                  <c:v>161.02000000000001</c:v>
                </c:pt>
                <c:pt idx="51">
                  <c:v>161.85</c:v>
                </c:pt>
                <c:pt idx="52">
                  <c:v>162.26</c:v>
                </c:pt>
                <c:pt idx="53">
                  <c:v>162.57</c:v>
                </c:pt>
                <c:pt idx="54">
                  <c:v>159.97999999999999</c:v>
                </c:pt>
                <c:pt idx="55">
                  <c:v>160.52000000000001</c:v>
                </c:pt>
                <c:pt idx="56">
                  <c:v>158.83000000000001</c:v>
                </c:pt>
                <c:pt idx="57">
                  <c:v>159.25</c:v>
                </c:pt>
                <c:pt idx="58">
                  <c:v>159.29</c:v>
                </c:pt>
                <c:pt idx="59">
                  <c:v>158.65</c:v>
                </c:pt>
                <c:pt idx="60">
                  <c:v>157.66</c:v>
                </c:pt>
                <c:pt idx="61">
                  <c:v>160.9</c:v>
                </c:pt>
                <c:pt idx="62">
                  <c:v>158.72999999999999</c:v>
                </c:pt>
                <c:pt idx="63">
                  <c:v>158.02000000000001</c:v>
                </c:pt>
                <c:pt idx="64">
                  <c:v>162.41</c:v>
                </c:pt>
                <c:pt idx="65">
                  <c:v>163.28</c:v>
                </c:pt>
                <c:pt idx="66">
                  <c:v>164.77</c:v>
                </c:pt>
                <c:pt idx="67">
                  <c:v>165.64</c:v>
                </c:pt>
                <c:pt idx="68">
                  <c:v>165.43</c:v>
                </c:pt>
                <c:pt idx="69">
                  <c:v>165.03</c:v>
                </c:pt>
                <c:pt idx="70">
                  <c:v>165.86</c:v>
                </c:pt>
                <c:pt idx="71">
                  <c:v>167.76</c:v>
                </c:pt>
                <c:pt idx="72">
                  <c:v>167.36</c:v>
                </c:pt>
                <c:pt idx="73">
                  <c:v>168.56</c:v>
                </c:pt>
                <c:pt idx="74">
                  <c:v>169.89</c:v>
                </c:pt>
                <c:pt idx="75">
                  <c:v>167.78</c:v>
                </c:pt>
                <c:pt idx="76">
                  <c:v>166.85</c:v>
                </c:pt>
                <c:pt idx="77">
                  <c:v>165.95</c:v>
                </c:pt>
                <c:pt idx="78">
                  <c:v>162.80000000000001</c:v>
                </c:pt>
                <c:pt idx="79">
                  <c:v>164.02</c:v>
                </c:pt>
                <c:pt idx="80">
                  <c:v>162.56</c:v>
                </c:pt>
                <c:pt idx="81">
                  <c:v>162.84</c:v>
                </c:pt>
                <c:pt idx="82">
                  <c:v>162.11000000000001</c:v>
                </c:pt>
                <c:pt idx="83">
                  <c:v>163.18</c:v>
                </c:pt>
                <c:pt idx="84">
                  <c:v>160.28</c:v>
                </c:pt>
                <c:pt idx="85">
                  <c:v>160.88</c:v>
                </c:pt>
                <c:pt idx="86">
                  <c:v>158.52000000000001</c:v>
                </c:pt>
                <c:pt idx="87">
                  <c:v>158.02000000000001</c:v>
                </c:pt>
                <c:pt idx="88">
                  <c:v>159.08000000000001</c:v>
                </c:pt>
                <c:pt idx="89">
                  <c:v>161.03</c:v>
                </c:pt>
                <c:pt idx="90">
                  <c:v>160.36000000000001</c:v>
                </c:pt>
                <c:pt idx="91">
                  <c:v>158.97</c:v>
                </c:pt>
                <c:pt idx="92">
                  <c:v>158.63</c:v>
                </c:pt>
                <c:pt idx="93">
                  <c:v>159.86000000000001</c:v>
                </c:pt>
                <c:pt idx="94">
                  <c:v>159.32</c:v>
                </c:pt>
                <c:pt idx="95">
                  <c:v>161.22</c:v>
                </c:pt>
                <c:pt idx="96">
                  <c:v>161.19999999999999</c:v>
                </c:pt>
                <c:pt idx="97">
                  <c:v>160.83000000000001</c:v>
                </c:pt>
                <c:pt idx="98">
                  <c:v>160.5</c:v>
                </c:pt>
                <c:pt idx="99">
                  <c:v>157.88999999999999</c:v>
                </c:pt>
                <c:pt idx="100">
                  <c:v>157.52000000000001</c:v>
                </c:pt>
                <c:pt idx="101">
                  <c:v>158.49</c:v>
                </c:pt>
                <c:pt idx="102">
                  <c:v>157.05000000000001</c:v>
                </c:pt>
                <c:pt idx="103">
                  <c:v>153.76</c:v>
                </c:pt>
                <c:pt idx="104">
                  <c:v>152.68</c:v>
                </c:pt>
                <c:pt idx="105">
                  <c:v>153.72999999999999</c:v>
                </c:pt>
                <c:pt idx="106">
                  <c:v>155.62</c:v>
                </c:pt>
                <c:pt idx="107">
                  <c:v>155.1</c:v>
                </c:pt>
                <c:pt idx="108">
                  <c:v>155.03</c:v>
                </c:pt>
                <c:pt idx="109">
                  <c:v>158.32</c:v>
                </c:pt>
                <c:pt idx="110">
                  <c:v>158.28</c:v>
                </c:pt>
                <c:pt idx="111">
                  <c:v>158.81</c:v>
                </c:pt>
                <c:pt idx="112">
                  <c:v>158.30000000000001</c:v>
                </c:pt>
                <c:pt idx="113">
                  <c:v>157.11000000000001</c:v>
                </c:pt>
                <c:pt idx="114">
                  <c:v>156.61000000000001</c:v>
                </c:pt>
                <c:pt idx="115">
                  <c:v>152.88</c:v>
                </c:pt>
                <c:pt idx="116">
                  <c:v>150.47</c:v>
                </c:pt>
                <c:pt idx="117">
                  <c:v>150.65</c:v>
                </c:pt>
                <c:pt idx="118">
                  <c:v>150.76</c:v>
                </c:pt>
                <c:pt idx="119">
                  <c:v>150.51</c:v>
                </c:pt>
                <c:pt idx="120">
                  <c:v>152.86000000000001</c:v>
                </c:pt>
                <c:pt idx="121">
                  <c:v>153.49</c:v>
                </c:pt>
                <c:pt idx="122">
                  <c:v>153.51</c:v>
                </c:pt>
                <c:pt idx="123">
                  <c:v>154.97999999999999</c:v>
                </c:pt>
                <c:pt idx="124">
                  <c:v>155.09</c:v>
                </c:pt>
                <c:pt idx="125">
                  <c:v>155.41</c:v>
                </c:pt>
                <c:pt idx="126">
                  <c:v>153.74</c:v>
                </c:pt>
                <c:pt idx="127">
                  <c:v>154.36000000000001</c:v>
                </c:pt>
                <c:pt idx="128">
                  <c:v>155.72</c:v>
                </c:pt>
                <c:pt idx="129">
                  <c:v>158.4</c:v>
                </c:pt>
                <c:pt idx="130">
                  <c:v>159.51</c:v>
                </c:pt>
                <c:pt idx="131">
                  <c:v>158.72999999999999</c:v>
                </c:pt>
                <c:pt idx="132">
                  <c:v>158.66999999999999</c:v>
                </c:pt>
                <c:pt idx="133">
                  <c:v>156.15</c:v>
                </c:pt>
                <c:pt idx="134">
                  <c:v>155.97</c:v>
                </c:pt>
                <c:pt idx="135">
                  <c:v>156.96</c:v>
                </c:pt>
                <c:pt idx="136">
                  <c:v>155.65</c:v>
                </c:pt>
                <c:pt idx="137">
                  <c:v>157.04</c:v>
                </c:pt>
                <c:pt idx="138">
                  <c:v>157.99</c:v>
                </c:pt>
                <c:pt idx="139">
                  <c:v>158.16999999999999</c:v>
                </c:pt>
                <c:pt idx="140">
                  <c:v>159.19</c:v>
                </c:pt>
                <c:pt idx="141">
                  <c:v>160.02000000000001</c:v>
                </c:pt>
                <c:pt idx="142">
                  <c:v>159.01</c:v>
                </c:pt>
                <c:pt idx="143">
                  <c:v>159.46</c:v>
                </c:pt>
                <c:pt idx="144">
                  <c:v>157.35</c:v>
                </c:pt>
                <c:pt idx="145">
                  <c:v>158.63</c:v>
                </c:pt>
                <c:pt idx="146">
                  <c:v>157.9</c:v>
                </c:pt>
                <c:pt idx="147">
                  <c:v>156.83000000000001</c:v>
                </c:pt>
                <c:pt idx="148">
                  <c:v>158.05000000000001</c:v>
                </c:pt>
                <c:pt idx="149">
                  <c:v>160.33000000000001</c:v>
                </c:pt>
                <c:pt idx="150">
                  <c:v>157.32</c:v>
                </c:pt>
                <c:pt idx="151">
                  <c:v>156.04</c:v>
                </c:pt>
                <c:pt idx="152">
                  <c:v>153.07</c:v>
                </c:pt>
                <c:pt idx="153">
                  <c:v>152.5</c:v>
                </c:pt>
                <c:pt idx="154">
                  <c:v>152.41999999999999</c:v>
                </c:pt>
                <c:pt idx="155">
                  <c:v>152.15</c:v>
                </c:pt>
                <c:pt idx="156">
                  <c:v>152.5</c:v>
                </c:pt>
                <c:pt idx="157">
                  <c:v>153.53</c:v>
                </c:pt>
                <c:pt idx="158">
                  <c:v>153.65</c:v>
                </c:pt>
                <c:pt idx="159">
                  <c:v>153.18</c:v>
                </c:pt>
                <c:pt idx="160">
                  <c:v>152.05000000000001</c:v>
                </c:pt>
                <c:pt idx="161">
                  <c:v>152.27000000000001</c:v>
                </c:pt>
                <c:pt idx="162">
                  <c:v>150.41</c:v>
                </c:pt>
                <c:pt idx="163">
                  <c:v>152.54</c:v>
                </c:pt>
                <c:pt idx="164">
                  <c:v>150.69</c:v>
                </c:pt>
                <c:pt idx="165">
                  <c:v>150.58000000000001</c:v>
                </c:pt>
                <c:pt idx="166">
                  <c:v>149.69</c:v>
                </c:pt>
                <c:pt idx="167">
                  <c:v>147.49</c:v>
                </c:pt>
                <c:pt idx="168">
                  <c:v>149.16</c:v>
                </c:pt>
                <c:pt idx="169">
                  <c:v>147.41999999999999</c:v>
                </c:pt>
                <c:pt idx="170">
                  <c:v>149.6</c:v>
                </c:pt>
                <c:pt idx="171">
                  <c:v>151.4</c:v>
                </c:pt>
                <c:pt idx="172">
                  <c:v>151.96</c:v>
                </c:pt>
                <c:pt idx="173">
                  <c:v>151.62</c:v>
                </c:pt>
                <c:pt idx="174">
                  <c:v>152.19999999999999</c:v>
                </c:pt>
                <c:pt idx="175">
                  <c:v>152.21</c:v>
                </c:pt>
                <c:pt idx="176">
                  <c:v>152.49</c:v>
                </c:pt>
                <c:pt idx="177">
                  <c:v>151.74</c:v>
                </c:pt>
                <c:pt idx="178">
                  <c:v>151.37</c:v>
                </c:pt>
                <c:pt idx="179">
                  <c:v>148.77000000000001</c:v>
                </c:pt>
                <c:pt idx="180">
                  <c:v>149.58000000000001</c:v>
                </c:pt>
                <c:pt idx="181">
                  <c:v>150.37</c:v>
                </c:pt>
                <c:pt idx="182">
                  <c:v>148.02000000000001</c:v>
                </c:pt>
                <c:pt idx="183">
                  <c:v>147.16999999999999</c:v>
                </c:pt>
                <c:pt idx="184">
                  <c:v>145.79</c:v>
                </c:pt>
                <c:pt idx="185">
                  <c:v>146.13</c:v>
                </c:pt>
                <c:pt idx="186">
                  <c:v>146.97999999999999</c:v>
                </c:pt>
                <c:pt idx="187">
                  <c:v>145.5</c:v>
                </c:pt>
                <c:pt idx="188">
                  <c:v>148.54</c:v>
                </c:pt>
                <c:pt idx="189">
                  <c:v>148.01</c:v>
                </c:pt>
                <c:pt idx="190">
                  <c:v>147.96</c:v>
                </c:pt>
                <c:pt idx="191">
                  <c:v>147.66999999999999</c:v>
                </c:pt>
                <c:pt idx="192">
                  <c:v>145.82</c:v>
                </c:pt>
                <c:pt idx="193">
                  <c:v>146.99</c:v>
                </c:pt>
                <c:pt idx="194">
                  <c:v>146.99</c:v>
                </c:pt>
                <c:pt idx="195">
                  <c:v>148.19</c:v>
                </c:pt>
                <c:pt idx="196">
                  <c:v>150.91999999999999</c:v>
                </c:pt>
                <c:pt idx="197">
                  <c:v>146.97999999999999</c:v>
                </c:pt>
                <c:pt idx="198">
                  <c:v>148.49</c:v>
                </c:pt>
                <c:pt idx="199">
                  <c:v>148.25</c:v>
                </c:pt>
                <c:pt idx="200">
                  <c:v>148.16</c:v>
                </c:pt>
                <c:pt idx="201">
                  <c:v>147.44</c:v>
                </c:pt>
                <c:pt idx="202">
                  <c:v>145.86000000000001</c:v>
                </c:pt>
                <c:pt idx="203">
                  <c:v>146.71</c:v>
                </c:pt>
                <c:pt idx="204">
                  <c:v>145.36000000000001</c:v>
                </c:pt>
                <c:pt idx="205">
                  <c:v>143.44999999999999</c:v>
                </c:pt>
                <c:pt idx="206">
                  <c:v>138.34</c:v>
                </c:pt>
                <c:pt idx="207">
                  <c:v>139.63</c:v>
                </c:pt>
                <c:pt idx="208">
                  <c:v>139.82</c:v>
                </c:pt>
                <c:pt idx="209">
                  <c:v>140.76</c:v>
                </c:pt>
                <c:pt idx="210">
                  <c:v>142.84</c:v>
                </c:pt>
                <c:pt idx="211">
                  <c:v>145.13</c:v>
                </c:pt>
                <c:pt idx="212">
                  <c:v>145.21</c:v>
                </c:pt>
                <c:pt idx="213">
                  <c:v>147.81</c:v>
                </c:pt>
                <c:pt idx="214">
                  <c:v>145.52000000000001</c:v>
                </c:pt>
                <c:pt idx="215">
                  <c:v>144.46</c:v>
                </c:pt>
                <c:pt idx="216">
                  <c:v>142.69</c:v>
                </c:pt>
                <c:pt idx="217">
                  <c:v>143.18</c:v>
                </c:pt>
                <c:pt idx="218">
                  <c:v>144.49</c:v>
                </c:pt>
                <c:pt idx="219">
                  <c:v>144.74</c:v>
                </c:pt>
                <c:pt idx="220">
                  <c:v>144.57</c:v>
                </c:pt>
                <c:pt idx="221">
                  <c:v>144.05000000000001</c:v>
                </c:pt>
                <c:pt idx="222">
                  <c:v>143.31</c:v>
                </c:pt>
                <c:pt idx="223">
                  <c:v>141.79</c:v>
                </c:pt>
                <c:pt idx="224">
                  <c:v>140.37</c:v>
                </c:pt>
                <c:pt idx="225">
                  <c:v>139.91</c:v>
                </c:pt>
                <c:pt idx="226">
                  <c:v>138.04</c:v>
                </c:pt>
                <c:pt idx="227">
                  <c:v>141.53</c:v>
                </c:pt>
                <c:pt idx="228">
                  <c:v>141.87</c:v>
                </c:pt>
                <c:pt idx="229">
                  <c:v>143.46</c:v>
                </c:pt>
                <c:pt idx="230">
                  <c:v>144.24</c:v>
                </c:pt>
                <c:pt idx="231">
                  <c:v>146.35</c:v>
                </c:pt>
                <c:pt idx="232">
                  <c:v>144.63</c:v>
                </c:pt>
                <c:pt idx="233">
                  <c:v>144.53</c:v>
                </c:pt>
                <c:pt idx="234">
                  <c:v>147</c:v>
                </c:pt>
                <c:pt idx="235">
                  <c:v>146.06</c:v>
                </c:pt>
                <c:pt idx="236">
                  <c:v>149.93</c:v>
                </c:pt>
                <c:pt idx="237">
                  <c:v>150.15</c:v>
                </c:pt>
                <c:pt idx="238">
                  <c:v>149.49</c:v>
                </c:pt>
                <c:pt idx="239">
                  <c:v>148.34</c:v>
                </c:pt>
                <c:pt idx="240">
                  <c:v>147.34</c:v>
                </c:pt>
                <c:pt idx="241">
                  <c:v>149.9</c:v>
                </c:pt>
                <c:pt idx="242">
                  <c:v>151.77000000000001</c:v>
                </c:pt>
                <c:pt idx="243">
                  <c:v>153.19</c:v>
                </c:pt>
                <c:pt idx="244">
                  <c:v>155.32</c:v>
                </c:pt>
                <c:pt idx="245">
                  <c:v>156.87</c:v>
                </c:pt>
                <c:pt idx="246">
                  <c:v>158.61000000000001</c:v>
                </c:pt>
                <c:pt idx="247">
                  <c:v>159.16999999999999</c:v>
                </c:pt>
                <c:pt idx="248">
                  <c:v>157.33000000000001</c:v>
                </c:pt>
                <c:pt idx="249">
                  <c:v>159.08000000000001</c:v>
                </c:pt>
                <c:pt idx="25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C-44AA-9245-101F392E5332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169.58</c:v>
                </c:pt>
                <c:pt idx="1">
                  <c:v>170.31692536557389</c:v>
                </c:pt>
                <c:pt idx="2">
                  <c:v>166.4852154433064</c:v>
                </c:pt>
                <c:pt idx="3">
                  <c:v>166.25633456193128</c:v>
                </c:pt>
                <c:pt idx="4">
                  <c:v>166.3019401353271</c:v>
                </c:pt>
                <c:pt idx="5">
                  <c:v>166.4217828656017</c:v>
                </c:pt>
                <c:pt idx="6">
                  <c:v>167.08315032600763</c:v>
                </c:pt>
                <c:pt idx="7">
                  <c:v>167.53809988170713</c:v>
                </c:pt>
                <c:pt idx="8">
                  <c:v>168.05466615848326</c:v>
                </c:pt>
                <c:pt idx="9">
                  <c:v>168.28457223975474</c:v>
                </c:pt>
                <c:pt idx="10">
                  <c:v>168.52623371561177</c:v>
                </c:pt>
                <c:pt idx="11">
                  <c:v>169.10748998697588</c:v>
                </c:pt>
                <c:pt idx="12">
                  <c:v>169.59517690487132</c:v>
                </c:pt>
                <c:pt idx="13">
                  <c:v>169.97843362431018</c:v>
                </c:pt>
                <c:pt idx="14">
                  <c:v>170.2474338744465</c:v>
                </c:pt>
                <c:pt idx="15">
                  <c:v>170.48023874275086</c:v>
                </c:pt>
                <c:pt idx="16">
                  <c:v>170.86329800414197</c:v>
                </c:pt>
                <c:pt idx="17">
                  <c:v>171.2670674906133</c:v>
                </c:pt>
                <c:pt idx="18">
                  <c:v>171.39588959376175</c:v>
                </c:pt>
                <c:pt idx="19">
                  <c:v>171.21382521386553</c:v>
                </c:pt>
                <c:pt idx="20">
                  <c:v>171.11498844025471</c:v>
                </c:pt>
                <c:pt idx="21">
                  <c:v>170.99780215044433</c:v>
                </c:pt>
                <c:pt idx="22">
                  <c:v>170.93383210194781</c:v>
                </c:pt>
                <c:pt idx="23">
                  <c:v>170.83464602658768</c:v>
                </c:pt>
                <c:pt idx="24">
                  <c:v>170.75137211661828</c:v>
                </c:pt>
                <c:pt idx="25">
                  <c:v>170.62027716909733</c:v>
                </c:pt>
                <c:pt idx="26">
                  <c:v>170.3471857016286</c:v>
                </c:pt>
                <c:pt idx="27">
                  <c:v>170.22612484585011</c:v>
                </c:pt>
                <c:pt idx="28">
                  <c:v>169.97436398573325</c:v>
                </c:pt>
                <c:pt idx="29">
                  <c:v>169.87024256219453</c:v>
                </c:pt>
                <c:pt idx="30">
                  <c:v>169.84242645691356</c:v>
                </c:pt>
                <c:pt idx="31">
                  <c:v>169.80489183420698</c:v>
                </c:pt>
                <c:pt idx="32">
                  <c:v>169.83055775479241</c:v>
                </c:pt>
                <c:pt idx="33">
                  <c:v>169.84864825628142</c:v>
                </c:pt>
                <c:pt idx="34">
                  <c:v>169.84108899230827</c:v>
                </c:pt>
                <c:pt idx="35">
                  <c:v>169.92122145826292</c:v>
                </c:pt>
                <c:pt idx="36">
                  <c:v>169.65530957882001</c:v>
                </c:pt>
                <c:pt idx="37">
                  <c:v>169.20386025099123</c:v>
                </c:pt>
                <c:pt idx="38">
                  <c:v>168.83623955134931</c:v>
                </c:pt>
                <c:pt idx="39">
                  <c:v>168.63767496290907</c:v>
                </c:pt>
                <c:pt idx="40">
                  <c:v>168.48873297353938</c:v>
                </c:pt>
                <c:pt idx="41">
                  <c:v>168.45195946403527</c:v>
                </c:pt>
                <c:pt idx="42">
                  <c:v>168.46961998169215</c:v>
                </c:pt>
                <c:pt idx="43">
                  <c:v>168.46962856661531</c:v>
                </c:pt>
                <c:pt idx="44">
                  <c:v>168.43849041597571</c:v>
                </c:pt>
                <c:pt idx="45">
                  <c:v>168.47797595432837</c:v>
                </c:pt>
                <c:pt idx="46">
                  <c:v>168.42422416035816</c:v>
                </c:pt>
                <c:pt idx="47">
                  <c:v>168.41390628833318</c:v>
                </c:pt>
                <c:pt idx="48">
                  <c:v>168.35531018160049</c:v>
                </c:pt>
                <c:pt idx="49">
                  <c:v>167.95843767376101</c:v>
                </c:pt>
                <c:pt idx="50">
                  <c:v>167.76369267070027</c:v>
                </c:pt>
                <c:pt idx="51">
                  <c:v>167.66088734523728</c:v>
                </c:pt>
                <c:pt idx="52">
                  <c:v>167.56704817922966</c:v>
                </c:pt>
                <c:pt idx="53">
                  <c:v>167.43936113551234</c:v>
                </c:pt>
                <c:pt idx="54">
                  <c:v>167.33700245822138</c:v>
                </c:pt>
                <c:pt idx="55">
                  <c:v>167.25872596741524</c:v>
                </c:pt>
                <c:pt idx="56">
                  <c:v>167.13310827491827</c:v>
                </c:pt>
                <c:pt idx="57">
                  <c:v>167.01542653093483</c:v>
                </c:pt>
                <c:pt idx="58">
                  <c:v>166.9203506871709</c:v>
                </c:pt>
                <c:pt idx="59">
                  <c:v>166.80745749803148</c:v>
                </c:pt>
                <c:pt idx="60">
                  <c:v>166.69736037112597</c:v>
                </c:pt>
                <c:pt idx="61">
                  <c:v>166.61866414316626</c:v>
                </c:pt>
                <c:pt idx="62">
                  <c:v>166.50733239706341</c:v>
                </c:pt>
                <c:pt idx="63">
                  <c:v>166.4161278975858</c:v>
                </c:pt>
                <c:pt idx="64">
                  <c:v>166.35436111228577</c:v>
                </c:pt>
                <c:pt idx="65">
                  <c:v>166.3162723800028</c:v>
                </c:pt>
                <c:pt idx="66">
                  <c:v>166.29467111165957</c:v>
                </c:pt>
                <c:pt idx="67">
                  <c:v>166.28844999337753</c:v>
                </c:pt>
                <c:pt idx="68">
                  <c:v>166.27915431009868</c:v>
                </c:pt>
                <c:pt idx="69">
                  <c:v>166.26614091629406</c:v>
                </c:pt>
                <c:pt idx="70">
                  <c:v>166.26254868894588</c:v>
                </c:pt>
                <c:pt idx="71">
                  <c:v>166.29030624439503</c:v>
                </c:pt>
                <c:pt idx="72">
                  <c:v>166.29957369557624</c:v>
                </c:pt>
                <c:pt idx="73">
                  <c:v>166.31704535431152</c:v>
                </c:pt>
                <c:pt idx="74">
                  <c:v>166.38741712733716</c:v>
                </c:pt>
                <c:pt idx="75">
                  <c:v>166.40372826533502</c:v>
                </c:pt>
                <c:pt idx="76">
                  <c:v>166.40798213509123</c:v>
                </c:pt>
                <c:pt idx="77">
                  <c:v>166.4045434097886</c:v>
                </c:pt>
                <c:pt idx="78">
                  <c:v>166.34869818412281</c:v>
                </c:pt>
                <c:pt idx="79">
                  <c:v>166.32900853159333</c:v>
                </c:pt>
                <c:pt idx="80">
                  <c:v>166.29275934496374</c:v>
                </c:pt>
                <c:pt idx="81">
                  <c:v>166.25422316851513</c:v>
                </c:pt>
                <c:pt idx="82">
                  <c:v>166.21863644474846</c:v>
                </c:pt>
                <c:pt idx="83">
                  <c:v>166.19040111222691</c:v>
                </c:pt>
                <c:pt idx="84">
                  <c:v>166.13106599081146</c:v>
                </c:pt>
                <c:pt idx="85">
                  <c:v>166.08449926839526</c:v>
                </c:pt>
                <c:pt idx="86">
                  <c:v>166.0130366706974</c:v>
                </c:pt>
                <c:pt idx="87">
                  <c:v>165.93386581024021</c:v>
                </c:pt>
                <c:pt idx="88">
                  <c:v>165.78491652031119</c:v>
                </c:pt>
                <c:pt idx="89">
                  <c:v>165.74319253698155</c:v>
                </c:pt>
                <c:pt idx="90">
                  <c:v>165.69016047843081</c:v>
                </c:pt>
                <c:pt idx="91">
                  <c:v>165.63798144702054</c:v>
                </c:pt>
                <c:pt idx="92">
                  <c:v>165.57067821154752</c:v>
                </c:pt>
                <c:pt idx="93">
                  <c:v>165.43162902268321</c:v>
                </c:pt>
                <c:pt idx="94">
                  <c:v>165.34600037118287</c:v>
                </c:pt>
                <c:pt idx="95">
                  <c:v>165.29186081757462</c:v>
                </c:pt>
                <c:pt idx="96">
                  <c:v>165.2477922602429</c:v>
                </c:pt>
                <c:pt idx="97">
                  <c:v>165.21047411865453</c:v>
                </c:pt>
                <c:pt idx="98">
                  <c:v>165.16975337053597</c:v>
                </c:pt>
                <c:pt idx="99">
                  <c:v>165.06642555155156</c:v>
                </c:pt>
                <c:pt idx="100">
                  <c:v>164.90297758378514</c:v>
                </c:pt>
                <c:pt idx="101">
                  <c:v>164.85012613155433</c:v>
                </c:pt>
                <c:pt idx="102">
                  <c:v>164.77889368060039</c:v>
                </c:pt>
                <c:pt idx="103">
                  <c:v>164.63715959139009</c:v>
                </c:pt>
                <c:pt idx="104">
                  <c:v>164.51603587079302</c:v>
                </c:pt>
                <c:pt idx="105">
                  <c:v>164.41564917990684</c:v>
                </c:pt>
                <c:pt idx="106">
                  <c:v>164.33604926736493</c:v>
                </c:pt>
                <c:pt idx="107">
                  <c:v>164.26292038727033</c:v>
                </c:pt>
                <c:pt idx="108">
                  <c:v>164.20029586050947</c:v>
                </c:pt>
                <c:pt idx="109">
                  <c:v>164.1491463290661</c:v>
                </c:pt>
                <c:pt idx="110">
                  <c:v>164.1193366254476</c:v>
                </c:pt>
                <c:pt idx="111">
                  <c:v>164.08018695958987</c:v>
                </c:pt>
                <c:pt idx="112">
                  <c:v>164.04522088243203</c:v>
                </c:pt>
                <c:pt idx="113">
                  <c:v>163.98865363659138</c:v>
                </c:pt>
                <c:pt idx="114">
                  <c:v>163.90216240653189</c:v>
                </c:pt>
                <c:pt idx="115">
                  <c:v>163.8109440332135</c:v>
                </c:pt>
                <c:pt idx="116">
                  <c:v>163.65262796965652</c:v>
                </c:pt>
                <c:pt idx="117">
                  <c:v>163.54163345184489</c:v>
                </c:pt>
                <c:pt idx="118">
                  <c:v>163.44487803130704</c:v>
                </c:pt>
                <c:pt idx="119">
                  <c:v>163.3603870919672</c:v>
                </c:pt>
                <c:pt idx="120">
                  <c:v>163.2850809119866</c:v>
                </c:pt>
                <c:pt idx="121">
                  <c:v>163.22150692619925</c:v>
                </c:pt>
                <c:pt idx="122">
                  <c:v>163.16729543904972</c:v>
                </c:pt>
                <c:pt idx="123">
                  <c:v>163.11003818619045</c:v>
                </c:pt>
                <c:pt idx="124">
                  <c:v>163.05730889578578</c:v>
                </c:pt>
                <c:pt idx="125">
                  <c:v>163.01542032038424</c:v>
                </c:pt>
                <c:pt idx="126">
                  <c:v>162.96029851963999</c:v>
                </c:pt>
                <c:pt idx="127">
                  <c:v>162.90330105730334</c:v>
                </c:pt>
                <c:pt idx="128">
                  <c:v>162.84840962176361</c:v>
                </c:pt>
                <c:pt idx="129">
                  <c:v>162.81632041767824</c:v>
                </c:pt>
                <c:pt idx="130">
                  <c:v>162.79272363722234</c:v>
                </c:pt>
                <c:pt idx="131">
                  <c:v>162.76912761839031</c:v>
                </c:pt>
                <c:pt idx="132">
                  <c:v>162.74773377090443</c:v>
                </c:pt>
                <c:pt idx="133">
                  <c:v>162.71997894356451</c:v>
                </c:pt>
                <c:pt idx="134">
                  <c:v>162.68184326625845</c:v>
                </c:pt>
                <c:pt idx="135">
                  <c:v>162.65872348581172</c:v>
                </c:pt>
                <c:pt idx="136">
                  <c:v>162.62246285532578</c:v>
                </c:pt>
                <c:pt idx="137">
                  <c:v>162.59636403127124</c:v>
                </c:pt>
                <c:pt idx="138">
                  <c:v>162.57046139773712</c:v>
                </c:pt>
                <c:pt idx="139">
                  <c:v>162.54524792331563</c:v>
                </c:pt>
                <c:pt idx="140">
                  <c:v>162.52514477538372</c:v>
                </c:pt>
                <c:pt idx="141">
                  <c:v>162.51129226510375</c:v>
                </c:pt>
                <c:pt idx="142">
                  <c:v>162.4898311315855</c:v>
                </c:pt>
                <c:pt idx="143">
                  <c:v>162.47698913257469</c:v>
                </c:pt>
                <c:pt idx="144">
                  <c:v>162.45007962388695</c:v>
                </c:pt>
                <c:pt idx="145">
                  <c:v>162.43136751666577</c:v>
                </c:pt>
                <c:pt idx="146">
                  <c:v>162.40876155304173</c:v>
                </c:pt>
                <c:pt idx="147">
                  <c:v>162.38089301493201</c:v>
                </c:pt>
                <c:pt idx="148">
                  <c:v>162.35734915700681</c:v>
                </c:pt>
                <c:pt idx="149">
                  <c:v>162.34604761973284</c:v>
                </c:pt>
                <c:pt idx="150">
                  <c:v>162.31455295511111</c:v>
                </c:pt>
                <c:pt idx="151">
                  <c:v>162.22727243694695</c:v>
                </c:pt>
                <c:pt idx="152">
                  <c:v>162.16328934358705</c:v>
                </c:pt>
                <c:pt idx="153">
                  <c:v>162.09516547415944</c:v>
                </c:pt>
                <c:pt idx="154">
                  <c:v>162.04547430666278</c:v>
                </c:pt>
                <c:pt idx="155">
                  <c:v>161.98694021522641</c:v>
                </c:pt>
                <c:pt idx="156">
                  <c:v>161.94438984470054</c:v>
                </c:pt>
                <c:pt idx="157">
                  <c:v>161.89103580352966</c:v>
                </c:pt>
                <c:pt idx="158">
                  <c:v>161.84150140134116</c:v>
                </c:pt>
                <c:pt idx="159">
                  <c:v>161.79105376126958</c:v>
                </c:pt>
                <c:pt idx="160">
                  <c:v>161.73964474824999</c:v>
                </c:pt>
                <c:pt idx="161">
                  <c:v>161.70199698586447</c:v>
                </c:pt>
                <c:pt idx="162">
                  <c:v>161.64427233277416</c:v>
                </c:pt>
                <c:pt idx="163">
                  <c:v>161.59723365679147</c:v>
                </c:pt>
                <c:pt idx="164">
                  <c:v>161.55413909205089</c:v>
                </c:pt>
                <c:pt idx="165">
                  <c:v>161.50375354890889</c:v>
                </c:pt>
                <c:pt idx="166">
                  <c:v>161.43891063583982</c:v>
                </c:pt>
                <c:pt idx="167">
                  <c:v>161.36135890510729</c:v>
                </c:pt>
                <c:pt idx="168">
                  <c:v>161.28431073197464</c:v>
                </c:pt>
                <c:pt idx="169">
                  <c:v>161.18304921198498</c:v>
                </c:pt>
                <c:pt idx="170">
                  <c:v>161.1090186912335</c:v>
                </c:pt>
                <c:pt idx="171">
                  <c:v>161.04872841149182</c:v>
                </c:pt>
                <c:pt idx="172">
                  <c:v>161.01217200626252</c:v>
                </c:pt>
                <c:pt idx="173">
                  <c:v>160.97179018870315</c:v>
                </c:pt>
                <c:pt idx="174">
                  <c:v>160.93186869793897</c:v>
                </c:pt>
                <c:pt idx="175">
                  <c:v>160.88122818525508</c:v>
                </c:pt>
                <c:pt idx="176">
                  <c:v>160.81075990574962</c:v>
                </c:pt>
                <c:pt idx="177">
                  <c:v>160.76154145626711</c:v>
                </c:pt>
                <c:pt idx="178">
                  <c:v>160.72355663085204</c:v>
                </c:pt>
                <c:pt idx="179">
                  <c:v>160.66234616964346</c:v>
                </c:pt>
                <c:pt idx="180">
                  <c:v>160.6107789056723</c:v>
                </c:pt>
                <c:pt idx="181">
                  <c:v>160.55518706258684</c:v>
                </c:pt>
                <c:pt idx="182">
                  <c:v>160.47888901797012</c:v>
                </c:pt>
                <c:pt idx="183">
                  <c:v>160.39524991584634</c:v>
                </c:pt>
                <c:pt idx="184">
                  <c:v>160.28549009701507</c:v>
                </c:pt>
                <c:pt idx="185">
                  <c:v>160.19091008368537</c:v>
                </c:pt>
                <c:pt idx="186">
                  <c:v>160.11648613455395</c:v>
                </c:pt>
                <c:pt idx="187">
                  <c:v>160.01826272137134</c:v>
                </c:pt>
                <c:pt idx="188">
                  <c:v>159.96312268517926</c:v>
                </c:pt>
                <c:pt idx="189">
                  <c:v>159.90195562905754</c:v>
                </c:pt>
                <c:pt idx="190">
                  <c:v>159.84334737759087</c:v>
                </c:pt>
                <c:pt idx="191">
                  <c:v>159.7715211036107</c:v>
                </c:pt>
                <c:pt idx="192">
                  <c:v>159.68301041841985</c:v>
                </c:pt>
                <c:pt idx="193">
                  <c:v>159.5963072989322</c:v>
                </c:pt>
                <c:pt idx="194">
                  <c:v>159.54544098232839</c:v>
                </c:pt>
                <c:pt idx="195">
                  <c:v>159.48088991010485</c:v>
                </c:pt>
                <c:pt idx="196">
                  <c:v>159.41654661979152</c:v>
                </c:pt>
                <c:pt idx="197">
                  <c:v>159.30977384862496</c:v>
                </c:pt>
                <c:pt idx="198">
                  <c:v>159.23993802304324</c:v>
                </c:pt>
                <c:pt idx="199">
                  <c:v>159.17774731487913</c:v>
                </c:pt>
                <c:pt idx="200">
                  <c:v>159.14607114916259</c:v>
                </c:pt>
                <c:pt idx="201">
                  <c:v>159.08744720680201</c:v>
                </c:pt>
                <c:pt idx="202">
                  <c:v>158.95709941324998</c:v>
                </c:pt>
                <c:pt idx="203">
                  <c:v>158.89021843699177</c:v>
                </c:pt>
                <c:pt idx="204">
                  <c:v>158.80589623889489</c:v>
                </c:pt>
                <c:pt idx="205">
                  <c:v>158.68995983616821</c:v>
                </c:pt>
                <c:pt idx="206">
                  <c:v>158.48182825595447</c:v>
                </c:pt>
                <c:pt idx="207">
                  <c:v>158.36824975874632</c:v>
                </c:pt>
                <c:pt idx="208">
                  <c:v>158.22238694874983</c:v>
                </c:pt>
                <c:pt idx="209">
                  <c:v>158.10449980779842</c:v>
                </c:pt>
                <c:pt idx="210">
                  <c:v>158.01533126745557</c:v>
                </c:pt>
                <c:pt idx="211">
                  <c:v>157.91440414062785</c:v>
                </c:pt>
                <c:pt idx="212">
                  <c:v>157.84131699337775</c:v>
                </c:pt>
                <c:pt idx="213">
                  <c:v>157.78626721008237</c:v>
                </c:pt>
                <c:pt idx="214">
                  <c:v>157.7030463044091</c:v>
                </c:pt>
                <c:pt idx="215">
                  <c:v>157.5625444982127</c:v>
                </c:pt>
                <c:pt idx="216">
                  <c:v>157.46747093128099</c:v>
                </c:pt>
                <c:pt idx="217">
                  <c:v>157.3935701807483</c:v>
                </c:pt>
                <c:pt idx="218">
                  <c:v>157.37081242489481</c:v>
                </c:pt>
                <c:pt idx="219">
                  <c:v>157.33869117606986</c:v>
                </c:pt>
                <c:pt idx="220">
                  <c:v>157.28610097953518</c:v>
                </c:pt>
                <c:pt idx="221">
                  <c:v>157.24350331787574</c:v>
                </c:pt>
                <c:pt idx="222">
                  <c:v>157.20409758465209</c:v>
                </c:pt>
                <c:pt idx="223">
                  <c:v>157.13077130514947</c:v>
                </c:pt>
                <c:pt idx="224">
                  <c:v>157.02188267224284</c:v>
                </c:pt>
                <c:pt idx="225">
                  <c:v>156.92818437434744</c:v>
                </c:pt>
                <c:pt idx="226">
                  <c:v>156.78665466243908</c:v>
                </c:pt>
                <c:pt idx="227">
                  <c:v>156.71304547335009</c:v>
                </c:pt>
                <c:pt idx="228">
                  <c:v>156.64001057986977</c:v>
                </c:pt>
                <c:pt idx="229">
                  <c:v>156.55338358801723</c:v>
                </c:pt>
                <c:pt idx="230">
                  <c:v>156.45593992267251</c:v>
                </c:pt>
                <c:pt idx="231">
                  <c:v>156.38710540707484</c:v>
                </c:pt>
                <c:pt idx="232">
                  <c:v>156.32737032442674</c:v>
                </c:pt>
                <c:pt idx="233">
                  <c:v>156.25818827355263</c:v>
                </c:pt>
                <c:pt idx="234">
                  <c:v>156.19885388955913</c:v>
                </c:pt>
                <c:pt idx="235">
                  <c:v>156.12819958558248</c:v>
                </c:pt>
                <c:pt idx="236">
                  <c:v>156.07214120126261</c:v>
                </c:pt>
                <c:pt idx="237">
                  <c:v>156.03028136037915</c:v>
                </c:pt>
                <c:pt idx="238">
                  <c:v>155.99035121940983</c:v>
                </c:pt>
                <c:pt idx="239">
                  <c:v>155.95528193321792</c:v>
                </c:pt>
                <c:pt idx="240">
                  <c:v>155.92450562930568</c:v>
                </c:pt>
                <c:pt idx="241">
                  <c:v>155.89286110113721</c:v>
                </c:pt>
                <c:pt idx="242">
                  <c:v>155.86818289816438</c:v>
                </c:pt>
                <c:pt idx="243">
                  <c:v>155.85487513131287</c:v>
                </c:pt>
                <c:pt idx="244">
                  <c:v>155.8517647129695</c:v>
                </c:pt>
                <c:pt idx="245">
                  <c:v>155.85753571572764</c:v>
                </c:pt>
                <c:pt idx="246">
                  <c:v>155.87418621015576</c:v>
                </c:pt>
                <c:pt idx="247">
                  <c:v>155.89002851325117</c:v>
                </c:pt>
                <c:pt idx="248">
                  <c:v>155.89757212775302</c:v>
                </c:pt>
                <c:pt idx="249">
                  <c:v>155.91194924766381</c:v>
                </c:pt>
                <c:pt idx="250">
                  <c:v>155.93090190106287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C-44AA-9245-101F392E5332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169.58</c:v>
                </c:pt>
                <c:pt idx="1">
                  <c:v>171.03692536557389</c:v>
                </c:pt>
                <c:pt idx="2">
                  <c:v>170.0274463787481</c:v>
                </c:pt>
                <c:pt idx="3">
                  <c:v>169.49524641624285</c:v>
                </c:pt>
                <c:pt idx="4">
                  <c:v>169.21399370626293</c:v>
                </c:pt>
                <c:pt idx="5">
                  <c:v>169.08053988512961</c:v>
                </c:pt>
                <c:pt idx="6">
                  <c:v>169.77688379463439</c:v>
                </c:pt>
                <c:pt idx="7">
                  <c:v>170.24494277288127</c:v>
                </c:pt>
                <c:pt idx="8">
                  <c:v>171.00747064252681</c:v>
                </c:pt>
                <c:pt idx="9">
                  <c:v>171.21352153941837</c:v>
                </c:pt>
                <c:pt idx="10">
                  <c:v>171.46974991283335</c:v>
                </c:pt>
                <c:pt idx="11">
                  <c:v>172.22372825967298</c:v>
                </c:pt>
                <c:pt idx="12">
                  <c:v>173.00971006277015</c:v>
                </c:pt>
                <c:pt idx="13">
                  <c:v>173.375267083728</c:v>
                </c:pt>
                <c:pt idx="14">
                  <c:v>173.71356883367062</c:v>
                </c:pt>
                <c:pt idx="15">
                  <c:v>173.98865446204283</c:v>
                </c:pt>
                <c:pt idx="16">
                  <c:v>174.48424236470368</c:v>
                </c:pt>
                <c:pt idx="17">
                  <c:v>174.98593679308803</c:v>
                </c:pt>
                <c:pt idx="18">
                  <c:v>175.03831405497968</c:v>
                </c:pt>
                <c:pt idx="19">
                  <c:v>174.8247495761307</c:v>
                </c:pt>
                <c:pt idx="20">
                  <c:v>174.68394402850873</c:v>
                </c:pt>
                <c:pt idx="21">
                  <c:v>174.54582560788447</c:v>
                </c:pt>
                <c:pt idx="22">
                  <c:v>174.41270242898833</c:v>
                </c:pt>
                <c:pt idx="23">
                  <c:v>174.30022999212974</c:v>
                </c:pt>
                <c:pt idx="24">
                  <c:v>174.17464947026639</c:v>
                </c:pt>
                <c:pt idx="25">
                  <c:v>174.03128389203198</c:v>
                </c:pt>
                <c:pt idx="26">
                  <c:v>173.77403646768767</c:v>
                </c:pt>
                <c:pt idx="27">
                  <c:v>173.70638880780729</c:v>
                </c:pt>
                <c:pt idx="28">
                  <c:v>173.65192162663303</c:v>
                </c:pt>
                <c:pt idx="29">
                  <c:v>173.53797345320726</c:v>
                </c:pt>
                <c:pt idx="30">
                  <c:v>173.45657146240345</c:v>
                </c:pt>
                <c:pt idx="31">
                  <c:v>173.37626946526112</c:v>
                </c:pt>
                <c:pt idx="32">
                  <c:v>173.34902098055937</c:v>
                </c:pt>
                <c:pt idx="33">
                  <c:v>173.31725398366549</c:v>
                </c:pt>
                <c:pt idx="34">
                  <c:v>173.26025091372966</c:v>
                </c:pt>
                <c:pt idx="35">
                  <c:v>173.31871967545192</c:v>
                </c:pt>
                <c:pt idx="36">
                  <c:v>173.15185114468773</c:v>
                </c:pt>
                <c:pt idx="37">
                  <c:v>172.97462635462458</c:v>
                </c:pt>
                <c:pt idx="38">
                  <c:v>172.95073954413871</c:v>
                </c:pt>
                <c:pt idx="39">
                  <c:v>172.8400043690242</c:v>
                </c:pt>
                <c:pt idx="40">
                  <c:v>172.72432551064594</c:v>
                </c:pt>
                <c:pt idx="41">
                  <c:v>172.64774549387084</c:v>
                </c:pt>
                <c:pt idx="42">
                  <c:v>172.61654993228731</c:v>
                </c:pt>
                <c:pt idx="43">
                  <c:v>172.56956232439504</c:v>
                </c:pt>
                <c:pt idx="44">
                  <c:v>172.50873253574946</c:v>
                </c:pt>
                <c:pt idx="45">
                  <c:v>172.51266141511536</c:v>
                </c:pt>
                <c:pt idx="46">
                  <c:v>172.44043274205077</c:v>
                </c:pt>
                <c:pt idx="47">
                  <c:v>172.3900683247611</c:v>
                </c:pt>
                <c:pt idx="48">
                  <c:v>172.3137339672933</c:v>
                </c:pt>
                <c:pt idx="49">
                  <c:v>172.08135590724564</c:v>
                </c:pt>
                <c:pt idx="50">
                  <c:v>171.97572602650223</c:v>
                </c:pt>
                <c:pt idx="51">
                  <c:v>171.92681902271678</c:v>
                </c:pt>
                <c:pt idx="52">
                  <c:v>171.86990688274619</c:v>
                </c:pt>
                <c:pt idx="53">
                  <c:v>171.76729953488353</c:v>
                </c:pt>
                <c:pt idx="54">
                  <c:v>171.75773518982794</c:v>
                </c:pt>
                <c:pt idx="55">
                  <c:v>171.74659672053232</c:v>
                </c:pt>
                <c:pt idx="56">
                  <c:v>171.7325810456997</c:v>
                </c:pt>
                <c:pt idx="57">
                  <c:v>171.70226303490873</c:v>
                </c:pt>
                <c:pt idx="58">
                  <c:v>171.68481763564202</c:v>
                </c:pt>
                <c:pt idx="59">
                  <c:v>171.66007276943125</c:v>
                </c:pt>
                <c:pt idx="60">
                  <c:v>171.65877325365412</c:v>
                </c:pt>
                <c:pt idx="61">
                  <c:v>171.59952528934812</c:v>
                </c:pt>
                <c:pt idx="62">
                  <c:v>171.55294053199097</c:v>
                </c:pt>
                <c:pt idx="63">
                  <c:v>171.53846713638518</c:v>
                </c:pt>
                <c:pt idx="64">
                  <c:v>171.46367145841054</c:v>
                </c:pt>
                <c:pt idx="65">
                  <c:v>171.40262741605767</c:v>
                </c:pt>
                <c:pt idx="66">
                  <c:v>171.34738246767691</c:v>
                </c:pt>
                <c:pt idx="67">
                  <c:v>171.30492418565635</c:v>
                </c:pt>
                <c:pt idx="68">
                  <c:v>171.26072885858699</c:v>
                </c:pt>
                <c:pt idx="69">
                  <c:v>171.21493923672767</c:v>
                </c:pt>
                <c:pt idx="70">
                  <c:v>171.17685696864135</c:v>
                </c:pt>
                <c:pt idx="71">
                  <c:v>171.17282292494025</c:v>
                </c:pt>
                <c:pt idx="72">
                  <c:v>171.14967268027553</c:v>
                </c:pt>
                <c:pt idx="73">
                  <c:v>171.14031404039105</c:v>
                </c:pt>
                <c:pt idx="74">
                  <c:v>171.19421001333598</c:v>
                </c:pt>
                <c:pt idx="75">
                  <c:v>171.1808779877345</c:v>
                </c:pt>
                <c:pt idx="76">
                  <c:v>171.1541253581027</c:v>
                </c:pt>
                <c:pt idx="77">
                  <c:v>171.12066635814745</c:v>
                </c:pt>
                <c:pt idx="78">
                  <c:v>171.05362915626807</c:v>
                </c:pt>
                <c:pt idx="79">
                  <c:v>171.01259369515927</c:v>
                </c:pt>
                <c:pt idx="80">
                  <c:v>170.9673776570144</c:v>
                </c:pt>
                <c:pt idx="81">
                  <c:v>170.91689896498502</c:v>
                </c:pt>
                <c:pt idx="82">
                  <c:v>170.87652739980777</c:v>
                </c:pt>
                <c:pt idx="83">
                  <c:v>170.83308330062775</c:v>
                </c:pt>
                <c:pt idx="84">
                  <c:v>170.79169088913858</c:v>
                </c:pt>
                <c:pt idx="85">
                  <c:v>170.75322236921244</c:v>
                </c:pt>
                <c:pt idx="86">
                  <c:v>170.72576842765395</c:v>
                </c:pt>
                <c:pt idx="87">
                  <c:v>170.69685678838107</c:v>
                </c:pt>
                <c:pt idx="88">
                  <c:v>170.57661718428474</c:v>
                </c:pt>
                <c:pt idx="89">
                  <c:v>170.53551243319615</c:v>
                </c:pt>
                <c:pt idx="90">
                  <c:v>170.49032049820443</c:v>
                </c:pt>
                <c:pt idx="91">
                  <c:v>170.46406958842266</c:v>
                </c:pt>
                <c:pt idx="92">
                  <c:v>170.42606018617644</c:v>
                </c:pt>
                <c:pt idx="93">
                  <c:v>170.29737677956393</c:v>
                </c:pt>
                <c:pt idx="94">
                  <c:v>170.22802667498593</c:v>
                </c:pt>
                <c:pt idx="95">
                  <c:v>170.16790498882477</c:v>
                </c:pt>
                <c:pt idx="96">
                  <c:v>170.11775106245608</c:v>
                </c:pt>
                <c:pt idx="97">
                  <c:v>170.07746457751244</c:v>
                </c:pt>
                <c:pt idx="98">
                  <c:v>170.03659102178341</c:v>
                </c:pt>
                <c:pt idx="99">
                  <c:v>169.9650831829849</c:v>
                </c:pt>
                <c:pt idx="100">
                  <c:v>169.83708834014081</c:v>
                </c:pt>
                <c:pt idx="101">
                  <c:v>169.80399087087051</c:v>
                </c:pt>
                <c:pt idx="102">
                  <c:v>169.77161123515</c:v>
                </c:pt>
                <c:pt idx="103">
                  <c:v>169.72613005750165</c:v>
                </c:pt>
                <c:pt idx="104">
                  <c:v>169.71845614655155</c:v>
                </c:pt>
                <c:pt idx="105">
                  <c:v>169.70304736480665</c:v>
                </c:pt>
                <c:pt idx="106">
                  <c:v>169.67075982119641</c:v>
                </c:pt>
                <c:pt idx="107">
                  <c:v>169.65056365682707</c:v>
                </c:pt>
                <c:pt idx="108">
                  <c:v>169.63911792870005</c:v>
                </c:pt>
                <c:pt idx="109">
                  <c:v>169.59428930770781</c:v>
                </c:pt>
                <c:pt idx="110">
                  <c:v>169.57052517349069</c:v>
                </c:pt>
                <c:pt idx="111">
                  <c:v>169.53179033261094</c:v>
                </c:pt>
                <c:pt idx="112">
                  <c:v>169.50149558413898</c:v>
                </c:pt>
                <c:pt idx="113">
                  <c:v>169.46136421478184</c:v>
                </c:pt>
                <c:pt idx="114">
                  <c:v>169.39601862105553</c:v>
                </c:pt>
                <c:pt idx="115">
                  <c:v>169.37857237433215</c:v>
                </c:pt>
                <c:pt idx="116">
                  <c:v>169.33469959838575</c:v>
                </c:pt>
                <c:pt idx="117">
                  <c:v>169.32826973680338</c:v>
                </c:pt>
                <c:pt idx="118">
                  <c:v>169.32839030721826</c:v>
                </c:pt>
                <c:pt idx="119">
                  <c:v>169.34018186211236</c:v>
                </c:pt>
                <c:pt idx="120">
                  <c:v>169.31836092034962</c:v>
                </c:pt>
                <c:pt idx="121">
                  <c:v>169.29701138876067</c:v>
                </c:pt>
                <c:pt idx="122">
                  <c:v>169.28272512387335</c:v>
                </c:pt>
                <c:pt idx="123">
                  <c:v>169.24613056457906</c:v>
                </c:pt>
                <c:pt idx="124">
                  <c:v>169.21178675828557</c:v>
                </c:pt>
                <c:pt idx="125">
                  <c:v>169.1840297266283</c:v>
                </c:pt>
                <c:pt idx="126">
                  <c:v>169.16017881624504</c:v>
                </c:pt>
                <c:pt idx="127">
                  <c:v>169.12601726218949</c:v>
                </c:pt>
                <c:pt idx="128">
                  <c:v>169.07950466099206</c:v>
                </c:pt>
                <c:pt idx="129">
                  <c:v>169.03592921690225</c:v>
                </c:pt>
                <c:pt idx="130">
                  <c:v>168.99549097435025</c:v>
                </c:pt>
                <c:pt idx="131">
                  <c:v>168.9586992317854</c:v>
                </c:pt>
                <c:pt idx="132">
                  <c:v>168.92442490073751</c:v>
                </c:pt>
                <c:pt idx="133">
                  <c:v>168.90007972532817</c:v>
                </c:pt>
                <c:pt idx="134">
                  <c:v>168.86634303932601</c:v>
                </c:pt>
                <c:pt idx="135">
                  <c:v>168.83988027248631</c:v>
                </c:pt>
                <c:pt idx="136">
                  <c:v>168.80978548033227</c:v>
                </c:pt>
                <c:pt idx="137">
                  <c:v>168.77923709384646</c:v>
                </c:pt>
                <c:pt idx="138">
                  <c:v>168.74314601056437</c:v>
                </c:pt>
                <c:pt idx="139">
                  <c:v>168.70678035387681</c:v>
                </c:pt>
                <c:pt idx="140">
                  <c:v>168.67105173575786</c:v>
                </c:pt>
                <c:pt idx="141">
                  <c:v>168.63895210359112</c:v>
                </c:pt>
                <c:pt idx="142">
                  <c:v>168.60277173882372</c:v>
                </c:pt>
                <c:pt idx="143">
                  <c:v>168.57366052592621</c:v>
                </c:pt>
                <c:pt idx="144">
                  <c:v>168.54010630447493</c:v>
                </c:pt>
                <c:pt idx="145">
                  <c:v>168.50835750385286</c:v>
                </c:pt>
                <c:pt idx="146">
                  <c:v>168.47607972338554</c:v>
                </c:pt>
                <c:pt idx="147">
                  <c:v>168.44437682092962</c:v>
                </c:pt>
                <c:pt idx="148">
                  <c:v>168.41032263191425</c:v>
                </c:pt>
                <c:pt idx="149">
                  <c:v>168.38084166169392</c:v>
                </c:pt>
                <c:pt idx="150">
                  <c:v>168.3425593832184</c:v>
                </c:pt>
                <c:pt idx="151">
                  <c:v>168.25607623701336</c:v>
                </c:pt>
                <c:pt idx="152">
                  <c:v>168.21691277004379</c:v>
                </c:pt>
                <c:pt idx="153">
                  <c:v>168.17825493760702</c:v>
                </c:pt>
                <c:pt idx="154">
                  <c:v>168.1576899200451</c:v>
                </c:pt>
                <c:pt idx="155">
                  <c:v>168.12987273325919</c:v>
                </c:pt>
                <c:pt idx="156">
                  <c:v>168.1134219711837</c:v>
                </c:pt>
                <c:pt idx="157">
                  <c:v>168.07590131058234</c:v>
                </c:pt>
                <c:pt idx="158">
                  <c:v>168.0405273439836</c:v>
                </c:pt>
                <c:pt idx="159">
                  <c:v>168.00753399403595</c:v>
                </c:pt>
                <c:pt idx="160">
                  <c:v>167.9830234941233</c:v>
                </c:pt>
                <c:pt idx="161">
                  <c:v>167.96922422368019</c:v>
                </c:pt>
                <c:pt idx="162">
                  <c:v>167.95288927389026</c:v>
                </c:pt>
                <c:pt idx="163">
                  <c:v>167.92529265676677</c:v>
                </c:pt>
                <c:pt idx="164">
                  <c:v>167.91814927847363</c:v>
                </c:pt>
                <c:pt idx="165">
                  <c:v>167.90353705088106</c:v>
                </c:pt>
                <c:pt idx="166">
                  <c:v>167.88240734551619</c:v>
                </c:pt>
                <c:pt idx="167">
                  <c:v>167.87240702387246</c:v>
                </c:pt>
                <c:pt idx="168">
                  <c:v>167.84119529267318</c:v>
                </c:pt>
                <c:pt idx="169">
                  <c:v>167.80389511075236</c:v>
                </c:pt>
                <c:pt idx="170">
                  <c:v>167.76773889524489</c:v>
                </c:pt>
                <c:pt idx="171">
                  <c:v>167.72774004724326</c:v>
                </c:pt>
                <c:pt idx="172">
                  <c:v>167.70629279237033</c:v>
                </c:pt>
                <c:pt idx="173">
                  <c:v>167.68304570864748</c:v>
                </c:pt>
                <c:pt idx="174">
                  <c:v>167.655252402896</c:v>
                </c:pt>
                <c:pt idx="175">
                  <c:v>167.61615652822911</c:v>
                </c:pt>
                <c:pt idx="176">
                  <c:v>167.55479168975162</c:v>
                </c:pt>
                <c:pt idx="177">
                  <c:v>167.51954671270781</c:v>
                </c:pt>
                <c:pt idx="178">
                  <c:v>167.49773363612809</c:v>
                </c:pt>
                <c:pt idx="179">
                  <c:v>167.47423789217592</c:v>
                </c:pt>
                <c:pt idx="180">
                  <c:v>167.4517919058629</c:v>
                </c:pt>
                <c:pt idx="181">
                  <c:v>167.41778662542981</c:v>
                </c:pt>
                <c:pt idx="182">
                  <c:v>167.38304656512921</c:v>
                </c:pt>
                <c:pt idx="183">
                  <c:v>167.34802859889143</c:v>
                </c:pt>
                <c:pt idx="184">
                  <c:v>167.29987982179534</c:v>
                </c:pt>
                <c:pt idx="185">
                  <c:v>167.26122261137596</c:v>
                </c:pt>
                <c:pt idx="186">
                  <c:v>167.23231668898651</c:v>
                </c:pt>
                <c:pt idx="187">
                  <c:v>167.19321340915408</c:v>
                </c:pt>
                <c:pt idx="188">
                  <c:v>167.16665423698342</c:v>
                </c:pt>
                <c:pt idx="189">
                  <c:v>167.13761085900376</c:v>
                </c:pt>
                <c:pt idx="190">
                  <c:v>167.11054578763932</c:v>
                </c:pt>
                <c:pt idx="191">
                  <c:v>167.07173739785213</c:v>
                </c:pt>
                <c:pt idx="192">
                  <c:v>167.03203672764133</c:v>
                </c:pt>
                <c:pt idx="193">
                  <c:v>166.98191251653844</c:v>
                </c:pt>
                <c:pt idx="194">
                  <c:v>166.96651050869636</c:v>
                </c:pt>
                <c:pt idx="195">
                  <c:v>166.92662264304266</c:v>
                </c:pt>
                <c:pt idx="196">
                  <c:v>166.86792829579261</c:v>
                </c:pt>
                <c:pt idx="197">
                  <c:v>166.79415099490291</c:v>
                </c:pt>
                <c:pt idx="198">
                  <c:v>166.74467441356387</c:v>
                </c:pt>
                <c:pt idx="199">
                  <c:v>166.7039262921225</c:v>
                </c:pt>
                <c:pt idx="200">
                  <c:v>166.69367302373692</c:v>
                </c:pt>
                <c:pt idx="201">
                  <c:v>166.66112709370063</c:v>
                </c:pt>
                <c:pt idx="202">
                  <c:v>166.56875400614146</c:v>
                </c:pt>
                <c:pt idx="203">
                  <c:v>166.53182720879497</c:v>
                </c:pt>
                <c:pt idx="204">
                  <c:v>166.48762890396833</c:v>
                </c:pt>
                <c:pt idx="205">
                  <c:v>166.42797068081913</c:v>
                </c:pt>
                <c:pt idx="206">
                  <c:v>166.33080618740311</c:v>
                </c:pt>
                <c:pt idx="207">
                  <c:v>166.30905371806557</c:v>
                </c:pt>
                <c:pt idx="208">
                  <c:v>166.24993621784128</c:v>
                </c:pt>
                <c:pt idx="209">
                  <c:v>166.20603297419714</c:v>
                </c:pt>
                <c:pt idx="210">
                  <c:v>166.16859004380439</c:v>
                </c:pt>
                <c:pt idx="211">
                  <c:v>166.09901628096605</c:v>
                </c:pt>
                <c:pt idx="212">
                  <c:v>166.05580153973085</c:v>
                </c:pt>
                <c:pt idx="213">
                  <c:v>166.01251710469339</c:v>
                </c:pt>
                <c:pt idx="214">
                  <c:v>165.95550696503093</c:v>
                </c:pt>
                <c:pt idx="215">
                  <c:v>165.84824393906825</c:v>
                </c:pt>
                <c:pt idx="216">
                  <c:v>165.79965772455765</c:v>
                </c:pt>
                <c:pt idx="217">
                  <c:v>165.76693847751395</c:v>
                </c:pt>
                <c:pt idx="218">
                  <c:v>165.77424232549899</c:v>
                </c:pt>
                <c:pt idx="219">
                  <c:v>165.76957944370838</c:v>
                </c:pt>
                <c:pt idx="220">
                  <c:v>165.74488745872219</c:v>
                </c:pt>
                <c:pt idx="221">
                  <c:v>165.73312691281703</c:v>
                </c:pt>
                <c:pt idx="222">
                  <c:v>165.72916925134902</c:v>
                </c:pt>
                <c:pt idx="223">
                  <c:v>165.70225805520778</c:v>
                </c:pt>
                <c:pt idx="224">
                  <c:v>165.65057388810897</c:v>
                </c:pt>
                <c:pt idx="225">
                  <c:v>165.61658785358412</c:v>
                </c:pt>
                <c:pt idx="226">
                  <c:v>165.55044211234426</c:v>
                </c:pt>
                <c:pt idx="227">
                  <c:v>165.51978056964572</c:v>
                </c:pt>
                <c:pt idx="228">
                  <c:v>165.48597466186985</c:v>
                </c:pt>
                <c:pt idx="229">
                  <c:v>165.42629150981253</c:v>
                </c:pt>
                <c:pt idx="230">
                  <c:v>165.35005830065029</c:v>
                </c:pt>
                <c:pt idx="231">
                  <c:v>165.2898690129245</c:v>
                </c:pt>
                <c:pt idx="232">
                  <c:v>165.24798241323825</c:v>
                </c:pt>
                <c:pt idx="233">
                  <c:v>165.19673842610632</c:v>
                </c:pt>
                <c:pt idx="234">
                  <c:v>165.14177894690243</c:v>
                </c:pt>
                <c:pt idx="235">
                  <c:v>165.07985562544883</c:v>
                </c:pt>
                <c:pt idx="236">
                  <c:v>165.01613601173293</c:v>
                </c:pt>
                <c:pt idx="237">
                  <c:v>164.96588057695249</c:v>
                </c:pt>
                <c:pt idx="238">
                  <c:v>164.91967713175774</c:v>
                </c:pt>
                <c:pt idx="239">
                  <c:v>164.88247290991237</c:v>
                </c:pt>
                <c:pt idx="240">
                  <c:v>164.85355492145803</c:v>
                </c:pt>
                <c:pt idx="241">
                  <c:v>164.81406672687027</c:v>
                </c:pt>
                <c:pt idx="242">
                  <c:v>164.7765083370264</c:v>
                </c:pt>
                <c:pt idx="243">
                  <c:v>164.74765387617617</c:v>
                </c:pt>
                <c:pt idx="244">
                  <c:v>164.72676500052575</c:v>
                </c:pt>
                <c:pt idx="245">
                  <c:v>164.71449360470555</c:v>
                </c:pt>
                <c:pt idx="246">
                  <c:v>164.71410154324943</c:v>
                </c:pt>
                <c:pt idx="247">
                  <c:v>164.71357588723438</c:v>
                </c:pt>
                <c:pt idx="248">
                  <c:v>164.70349287970581</c:v>
                </c:pt>
                <c:pt idx="249">
                  <c:v>164.70159045890787</c:v>
                </c:pt>
                <c:pt idx="250">
                  <c:v>164.70555550581551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C-44AA-9245-101F392E5332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169.58</c:v>
                </c:pt>
                <c:pt idx="1">
                  <c:v>169.5969253655739</c:v>
                </c:pt>
                <c:pt idx="2">
                  <c:v>162.94298450786471</c:v>
                </c:pt>
                <c:pt idx="3">
                  <c:v>163.01742270761972</c:v>
                </c:pt>
                <c:pt idx="4">
                  <c:v>163.38988656439128</c:v>
                </c:pt>
                <c:pt idx="5">
                  <c:v>163.76302584607379</c:v>
                </c:pt>
                <c:pt idx="6">
                  <c:v>164.38941685738087</c:v>
                </c:pt>
                <c:pt idx="7">
                  <c:v>164.83125699053298</c:v>
                </c:pt>
                <c:pt idx="8">
                  <c:v>165.1018616744397</c:v>
                </c:pt>
                <c:pt idx="9">
                  <c:v>165.35562294009111</c:v>
                </c:pt>
                <c:pt idx="10">
                  <c:v>165.58271751839018</c:v>
                </c:pt>
                <c:pt idx="11">
                  <c:v>165.99125171427877</c:v>
                </c:pt>
                <c:pt idx="12">
                  <c:v>166.18064374697249</c:v>
                </c:pt>
                <c:pt idx="13">
                  <c:v>166.58160016489236</c:v>
                </c:pt>
                <c:pt idx="14">
                  <c:v>166.78129891522238</c:v>
                </c:pt>
                <c:pt idx="15">
                  <c:v>166.97182302345888</c:v>
                </c:pt>
                <c:pt idx="16">
                  <c:v>167.24235364358026</c:v>
                </c:pt>
                <c:pt idx="17">
                  <c:v>167.54819818813857</c:v>
                </c:pt>
                <c:pt idx="18">
                  <c:v>167.75346513254382</c:v>
                </c:pt>
                <c:pt idx="19">
                  <c:v>167.60290085160037</c:v>
                </c:pt>
                <c:pt idx="20">
                  <c:v>167.54603285200068</c:v>
                </c:pt>
                <c:pt idx="21">
                  <c:v>167.44977869300419</c:v>
                </c:pt>
                <c:pt idx="22">
                  <c:v>167.4549617749073</c:v>
                </c:pt>
                <c:pt idx="23">
                  <c:v>167.36906206104561</c:v>
                </c:pt>
                <c:pt idx="24">
                  <c:v>167.32809476297018</c:v>
                </c:pt>
                <c:pt idx="25">
                  <c:v>167.20927044616269</c:v>
                </c:pt>
                <c:pt idx="26">
                  <c:v>166.92033493556954</c:v>
                </c:pt>
                <c:pt idx="27">
                  <c:v>166.74586088389293</c:v>
                </c:pt>
                <c:pt idx="28">
                  <c:v>166.29680634483347</c:v>
                </c:pt>
                <c:pt idx="29">
                  <c:v>166.20251167118181</c:v>
                </c:pt>
                <c:pt idx="30">
                  <c:v>166.22828145142367</c:v>
                </c:pt>
                <c:pt idx="31">
                  <c:v>166.23351420315285</c:v>
                </c:pt>
                <c:pt idx="32">
                  <c:v>166.31209452902544</c:v>
                </c:pt>
                <c:pt idx="33">
                  <c:v>166.38004252889735</c:v>
                </c:pt>
                <c:pt idx="34">
                  <c:v>166.42192707088688</c:v>
                </c:pt>
                <c:pt idx="35">
                  <c:v>166.52372324107392</c:v>
                </c:pt>
                <c:pt idx="36">
                  <c:v>166.15876801295229</c:v>
                </c:pt>
                <c:pt idx="37">
                  <c:v>165.43309414735788</c:v>
                </c:pt>
                <c:pt idx="38">
                  <c:v>164.7217395585599</c:v>
                </c:pt>
                <c:pt idx="39">
                  <c:v>164.43534555679395</c:v>
                </c:pt>
                <c:pt idx="40">
                  <c:v>164.25314043643283</c:v>
                </c:pt>
                <c:pt idx="41">
                  <c:v>164.2561734341997</c:v>
                </c:pt>
                <c:pt idx="42">
                  <c:v>164.32269003109698</c:v>
                </c:pt>
                <c:pt idx="43">
                  <c:v>164.36969480883559</c:v>
                </c:pt>
                <c:pt idx="44">
                  <c:v>164.36824829620195</c:v>
                </c:pt>
                <c:pt idx="45">
                  <c:v>164.44329049354138</c:v>
                </c:pt>
                <c:pt idx="46">
                  <c:v>164.40801557866556</c:v>
                </c:pt>
                <c:pt idx="47">
                  <c:v>164.43774425190526</c:v>
                </c:pt>
                <c:pt idx="48">
                  <c:v>164.39688639590767</c:v>
                </c:pt>
                <c:pt idx="49">
                  <c:v>163.83551944027639</c:v>
                </c:pt>
                <c:pt idx="50">
                  <c:v>163.5516593148983</c:v>
                </c:pt>
                <c:pt idx="51">
                  <c:v>163.39495566775778</c:v>
                </c:pt>
                <c:pt idx="52">
                  <c:v>163.26418947571312</c:v>
                </c:pt>
                <c:pt idx="53">
                  <c:v>163.11142273614115</c:v>
                </c:pt>
                <c:pt idx="54">
                  <c:v>162.91626972661481</c:v>
                </c:pt>
                <c:pt idx="55">
                  <c:v>162.77085521429817</c:v>
                </c:pt>
                <c:pt idx="56">
                  <c:v>162.53363550413684</c:v>
                </c:pt>
                <c:pt idx="57">
                  <c:v>162.32859002696094</c:v>
                </c:pt>
                <c:pt idx="58">
                  <c:v>162.15588373869977</c:v>
                </c:pt>
                <c:pt idx="59">
                  <c:v>161.95484222663171</c:v>
                </c:pt>
                <c:pt idx="60">
                  <c:v>161.73594748859782</c:v>
                </c:pt>
                <c:pt idx="61">
                  <c:v>161.63780299698439</c:v>
                </c:pt>
                <c:pt idx="62">
                  <c:v>161.46172426213585</c:v>
                </c:pt>
                <c:pt idx="63">
                  <c:v>161.29378865878641</c:v>
                </c:pt>
                <c:pt idx="64">
                  <c:v>161.245050766161</c:v>
                </c:pt>
                <c:pt idx="65">
                  <c:v>161.22991734394793</c:v>
                </c:pt>
                <c:pt idx="66">
                  <c:v>161.24195975564223</c:v>
                </c:pt>
                <c:pt idx="67">
                  <c:v>161.27197580109871</c:v>
                </c:pt>
                <c:pt idx="68">
                  <c:v>161.29757976161036</c:v>
                </c:pt>
                <c:pt idx="69">
                  <c:v>161.31734259586045</c:v>
                </c:pt>
                <c:pt idx="70">
                  <c:v>161.34824040925042</c:v>
                </c:pt>
                <c:pt idx="71">
                  <c:v>161.4077895638498</c:v>
                </c:pt>
                <c:pt idx="72">
                  <c:v>161.44947471087696</c:v>
                </c:pt>
                <c:pt idx="73">
                  <c:v>161.49377666823199</c:v>
                </c:pt>
                <c:pt idx="74">
                  <c:v>161.58062424133834</c:v>
                </c:pt>
                <c:pt idx="75">
                  <c:v>161.62657854293553</c:v>
                </c:pt>
                <c:pt idx="76">
                  <c:v>161.66183891207976</c:v>
                </c:pt>
                <c:pt idx="77">
                  <c:v>161.68842046142976</c:v>
                </c:pt>
                <c:pt idx="78">
                  <c:v>161.64376721197755</c:v>
                </c:pt>
                <c:pt idx="79">
                  <c:v>161.64542336802739</c:v>
                </c:pt>
                <c:pt idx="80">
                  <c:v>161.61814103291309</c:v>
                </c:pt>
                <c:pt idx="81">
                  <c:v>161.59154737204523</c:v>
                </c:pt>
                <c:pt idx="82">
                  <c:v>161.56074548968914</c:v>
                </c:pt>
                <c:pt idx="83">
                  <c:v>161.54771892382607</c:v>
                </c:pt>
                <c:pt idx="84">
                  <c:v>161.47044109248435</c:v>
                </c:pt>
                <c:pt idx="85">
                  <c:v>161.41577616757809</c:v>
                </c:pt>
                <c:pt idx="86">
                  <c:v>161.30030491374086</c:v>
                </c:pt>
                <c:pt idx="87">
                  <c:v>161.17087483209934</c:v>
                </c:pt>
                <c:pt idx="88">
                  <c:v>160.99321585633763</c:v>
                </c:pt>
                <c:pt idx="89">
                  <c:v>160.95087264076696</c:v>
                </c:pt>
                <c:pt idx="90">
                  <c:v>160.8900004586572</c:v>
                </c:pt>
                <c:pt idx="91">
                  <c:v>160.81189330561841</c:v>
                </c:pt>
                <c:pt idx="92">
                  <c:v>160.71529623691859</c:v>
                </c:pt>
                <c:pt idx="93">
                  <c:v>160.56588126580249</c:v>
                </c:pt>
                <c:pt idx="94">
                  <c:v>160.46397406737981</c:v>
                </c:pt>
                <c:pt idx="95">
                  <c:v>160.41581664632446</c:v>
                </c:pt>
                <c:pt idx="96">
                  <c:v>160.37783345802973</c:v>
                </c:pt>
                <c:pt idx="97">
                  <c:v>160.34348365979662</c:v>
                </c:pt>
                <c:pt idx="98">
                  <c:v>160.30291571928854</c:v>
                </c:pt>
                <c:pt idx="99">
                  <c:v>160.16776792011822</c:v>
                </c:pt>
                <c:pt idx="100">
                  <c:v>159.96886682742948</c:v>
                </c:pt>
                <c:pt idx="101">
                  <c:v>159.89626139223816</c:v>
                </c:pt>
                <c:pt idx="102">
                  <c:v>159.78617612605078</c:v>
                </c:pt>
                <c:pt idx="103">
                  <c:v>159.54818912527853</c:v>
                </c:pt>
                <c:pt idx="104">
                  <c:v>159.31361559503449</c:v>
                </c:pt>
                <c:pt idx="105">
                  <c:v>159.12825099500702</c:v>
                </c:pt>
                <c:pt idx="106">
                  <c:v>159.00133871353344</c:v>
                </c:pt>
                <c:pt idx="107">
                  <c:v>158.87527711771358</c:v>
                </c:pt>
                <c:pt idx="108">
                  <c:v>158.7614737923189</c:v>
                </c:pt>
                <c:pt idx="109">
                  <c:v>158.70400335042439</c:v>
                </c:pt>
                <c:pt idx="110">
                  <c:v>158.66814807740451</c:v>
                </c:pt>
                <c:pt idx="111">
                  <c:v>158.62858358656879</c:v>
                </c:pt>
                <c:pt idx="112">
                  <c:v>158.58894618072509</c:v>
                </c:pt>
                <c:pt idx="113">
                  <c:v>158.51594305840092</c:v>
                </c:pt>
                <c:pt idx="114">
                  <c:v>158.40830619200824</c:v>
                </c:pt>
                <c:pt idx="115">
                  <c:v>158.24331569209485</c:v>
                </c:pt>
                <c:pt idx="116">
                  <c:v>157.97055634092729</c:v>
                </c:pt>
                <c:pt idx="117">
                  <c:v>157.7549971668864</c:v>
                </c:pt>
                <c:pt idx="118">
                  <c:v>157.56136575539583</c:v>
                </c:pt>
                <c:pt idx="119">
                  <c:v>157.38059232182204</c:v>
                </c:pt>
                <c:pt idx="120">
                  <c:v>157.25180090362358</c:v>
                </c:pt>
                <c:pt idx="121">
                  <c:v>157.14600246363784</c:v>
                </c:pt>
                <c:pt idx="122">
                  <c:v>157.0518657542261</c:v>
                </c:pt>
                <c:pt idx="123">
                  <c:v>156.97394580780184</c:v>
                </c:pt>
                <c:pt idx="124">
                  <c:v>156.90283103328599</c:v>
                </c:pt>
                <c:pt idx="125">
                  <c:v>156.84681091414018</c:v>
                </c:pt>
                <c:pt idx="126">
                  <c:v>156.76041822303495</c:v>
                </c:pt>
                <c:pt idx="127">
                  <c:v>156.68058485241718</c:v>
                </c:pt>
                <c:pt idx="128">
                  <c:v>156.61731458253516</c:v>
                </c:pt>
                <c:pt idx="129">
                  <c:v>156.59671161845424</c:v>
                </c:pt>
                <c:pt idx="130">
                  <c:v>156.58995630009443</c:v>
                </c:pt>
                <c:pt idx="131">
                  <c:v>156.57955600499523</c:v>
                </c:pt>
                <c:pt idx="132">
                  <c:v>156.57104264107136</c:v>
                </c:pt>
                <c:pt idx="133">
                  <c:v>156.53987816180086</c:v>
                </c:pt>
                <c:pt idx="134">
                  <c:v>156.4973434931909</c:v>
                </c:pt>
                <c:pt idx="135">
                  <c:v>156.47756669913713</c:v>
                </c:pt>
                <c:pt idx="136">
                  <c:v>156.43514023031929</c:v>
                </c:pt>
                <c:pt idx="137">
                  <c:v>156.41349096869601</c:v>
                </c:pt>
                <c:pt idx="138">
                  <c:v>156.39777678490987</c:v>
                </c:pt>
                <c:pt idx="139">
                  <c:v>156.38371549275445</c:v>
                </c:pt>
                <c:pt idx="140">
                  <c:v>156.37923781500959</c:v>
                </c:pt>
                <c:pt idx="141">
                  <c:v>156.38363242661637</c:v>
                </c:pt>
                <c:pt idx="142">
                  <c:v>156.37689052434729</c:v>
                </c:pt>
                <c:pt idx="143">
                  <c:v>156.38031773922316</c:v>
                </c:pt>
                <c:pt idx="144">
                  <c:v>156.36005294329897</c:v>
                </c:pt>
                <c:pt idx="145">
                  <c:v>156.35437752947868</c:v>
                </c:pt>
                <c:pt idx="146">
                  <c:v>156.34144338269792</c:v>
                </c:pt>
                <c:pt idx="147">
                  <c:v>156.31740920893441</c:v>
                </c:pt>
                <c:pt idx="148">
                  <c:v>156.30437568209936</c:v>
                </c:pt>
                <c:pt idx="149">
                  <c:v>156.31125357777177</c:v>
                </c:pt>
                <c:pt idx="150">
                  <c:v>156.28654652700382</c:v>
                </c:pt>
                <c:pt idx="151">
                  <c:v>156.19846863688053</c:v>
                </c:pt>
                <c:pt idx="152">
                  <c:v>156.10966591713031</c:v>
                </c:pt>
                <c:pt idx="153">
                  <c:v>156.01207601071187</c:v>
                </c:pt>
                <c:pt idx="154">
                  <c:v>155.93325869328046</c:v>
                </c:pt>
                <c:pt idx="155">
                  <c:v>155.84400769719363</c:v>
                </c:pt>
                <c:pt idx="156">
                  <c:v>155.77535771821738</c:v>
                </c:pt>
                <c:pt idx="157">
                  <c:v>155.70617029647698</c:v>
                </c:pt>
                <c:pt idx="158">
                  <c:v>155.64247545869873</c:v>
                </c:pt>
                <c:pt idx="159">
                  <c:v>155.57457352850321</c:v>
                </c:pt>
                <c:pt idx="160">
                  <c:v>155.49626600237667</c:v>
                </c:pt>
                <c:pt idx="161">
                  <c:v>155.43476974804875</c:v>
                </c:pt>
                <c:pt idx="162">
                  <c:v>155.33565539165807</c:v>
                </c:pt>
                <c:pt idx="163">
                  <c:v>155.26917465681618</c:v>
                </c:pt>
                <c:pt idx="164">
                  <c:v>155.19012890562814</c:v>
                </c:pt>
                <c:pt idx="165">
                  <c:v>155.10397004693672</c:v>
                </c:pt>
                <c:pt idx="166">
                  <c:v>154.99541392616345</c:v>
                </c:pt>
                <c:pt idx="167">
                  <c:v>154.85031078634213</c:v>
                </c:pt>
                <c:pt idx="168">
                  <c:v>154.72742617127611</c:v>
                </c:pt>
                <c:pt idx="169">
                  <c:v>154.56220331321759</c:v>
                </c:pt>
                <c:pt idx="170">
                  <c:v>154.45029848722211</c:v>
                </c:pt>
                <c:pt idx="171">
                  <c:v>154.36971677574039</c:v>
                </c:pt>
                <c:pt idx="172">
                  <c:v>154.3180512201547</c:v>
                </c:pt>
                <c:pt idx="173">
                  <c:v>154.26053466875882</c:v>
                </c:pt>
                <c:pt idx="174">
                  <c:v>154.20848499298194</c:v>
                </c:pt>
                <c:pt idx="175">
                  <c:v>154.14629984228105</c:v>
                </c:pt>
                <c:pt idx="176">
                  <c:v>154.06672812174762</c:v>
                </c:pt>
                <c:pt idx="177">
                  <c:v>154.00353619982641</c:v>
                </c:pt>
                <c:pt idx="178">
                  <c:v>153.949379625576</c:v>
                </c:pt>
                <c:pt idx="179">
                  <c:v>153.85045444711099</c:v>
                </c:pt>
                <c:pt idx="180">
                  <c:v>153.76976590548171</c:v>
                </c:pt>
                <c:pt idx="181">
                  <c:v>153.69258749974387</c:v>
                </c:pt>
                <c:pt idx="182">
                  <c:v>153.57473147081103</c:v>
                </c:pt>
                <c:pt idx="183">
                  <c:v>153.44247123280124</c:v>
                </c:pt>
                <c:pt idx="184">
                  <c:v>153.2711003722348</c:v>
                </c:pt>
                <c:pt idx="185">
                  <c:v>153.12059755599478</c:v>
                </c:pt>
                <c:pt idx="186">
                  <c:v>153.00065558012139</c:v>
                </c:pt>
                <c:pt idx="187">
                  <c:v>152.8433120335886</c:v>
                </c:pt>
                <c:pt idx="188">
                  <c:v>152.7595911333751</c:v>
                </c:pt>
                <c:pt idx="189">
                  <c:v>152.66630039911132</c:v>
                </c:pt>
                <c:pt idx="190">
                  <c:v>152.57614896754242</c:v>
                </c:pt>
                <c:pt idx="191">
                  <c:v>152.47130480936926</c:v>
                </c:pt>
                <c:pt idx="192">
                  <c:v>152.33398410919838</c:v>
                </c:pt>
                <c:pt idx="193">
                  <c:v>152.21070208132596</c:v>
                </c:pt>
                <c:pt idx="194">
                  <c:v>152.12437145596041</c:v>
                </c:pt>
                <c:pt idx="195">
                  <c:v>152.03515717716704</c:v>
                </c:pt>
                <c:pt idx="196">
                  <c:v>151.96516494379043</c:v>
                </c:pt>
                <c:pt idx="197">
                  <c:v>151.82539670234701</c:v>
                </c:pt>
                <c:pt idx="198">
                  <c:v>151.7352016325226</c:v>
                </c:pt>
                <c:pt idx="199">
                  <c:v>151.65156833763575</c:v>
                </c:pt>
                <c:pt idx="200">
                  <c:v>151.59846927458827</c:v>
                </c:pt>
                <c:pt idx="201">
                  <c:v>151.51376731990339</c:v>
                </c:pt>
                <c:pt idx="202">
                  <c:v>151.34544482035849</c:v>
                </c:pt>
                <c:pt idx="203">
                  <c:v>151.24860966518858</c:v>
                </c:pt>
                <c:pt idx="204">
                  <c:v>151.12416357382145</c:v>
                </c:pt>
                <c:pt idx="205">
                  <c:v>150.9519489915173</c:v>
                </c:pt>
                <c:pt idx="206">
                  <c:v>150.63285032450582</c:v>
                </c:pt>
                <c:pt idx="207">
                  <c:v>150.42744579942706</c:v>
                </c:pt>
                <c:pt idx="208">
                  <c:v>150.19483767965838</c:v>
                </c:pt>
                <c:pt idx="209">
                  <c:v>150.00296664139969</c:v>
                </c:pt>
                <c:pt idx="210">
                  <c:v>149.86207249110674</c:v>
                </c:pt>
                <c:pt idx="211">
                  <c:v>149.72979200028965</c:v>
                </c:pt>
                <c:pt idx="212">
                  <c:v>149.62683244702464</c:v>
                </c:pt>
                <c:pt idx="213">
                  <c:v>149.56001731547136</c:v>
                </c:pt>
                <c:pt idx="214">
                  <c:v>149.45058564378726</c:v>
                </c:pt>
                <c:pt idx="215">
                  <c:v>149.27684505735715</c:v>
                </c:pt>
                <c:pt idx="216">
                  <c:v>149.13528413800432</c:v>
                </c:pt>
                <c:pt idx="217">
                  <c:v>149.02020188398265</c:v>
                </c:pt>
                <c:pt idx="218">
                  <c:v>148.96738252429063</c:v>
                </c:pt>
                <c:pt idx="219">
                  <c:v>148.90780290843134</c:v>
                </c:pt>
                <c:pt idx="220">
                  <c:v>148.82731450034817</c:v>
                </c:pt>
                <c:pt idx="221">
                  <c:v>148.75387972293444</c:v>
                </c:pt>
                <c:pt idx="222">
                  <c:v>148.67902591795516</c:v>
                </c:pt>
                <c:pt idx="223">
                  <c:v>148.55928455509115</c:v>
                </c:pt>
                <c:pt idx="224">
                  <c:v>148.39319145637671</c:v>
                </c:pt>
                <c:pt idx="225">
                  <c:v>148.23978089511075</c:v>
                </c:pt>
                <c:pt idx="226">
                  <c:v>148.0228672125339</c:v>
                </c:pt>
                <c:pt idx="227">
                  <c:v>147.90631037705447</c:v>
                </c:pt>
                <c:pt idx="228">
                  <c:v>147.79404649786969</c:v>
                </c:pt>
                <c:pt idx="229">
                  <c:v>147.68047566622192</c:v>
                </c:pt>
                <c:pt idx="230">
                  <c:v>147.56182154469474</c:v>
                </c:pt>
                <c:pt idx="231">
                  <c:v>147.48434180122518</c:v>
                </c:pt>
                <c:pt idx="232">
                  <c:v>147.40675823561523</c:v>
                </c:pt>
                <c:pt idx="233">
                  <c:v>147.31963812099895</c:v>
                </c:pt>
                <c:pt idx="234">
                  <c:v>147.25592883221583</c:v>
                </c:pt>
                <c:pt idx="235">
                  <c:v>147.17654354571613</c:v>
                </c:pt>
                <c:pt idx="236">
                  <c:v>147.1281463907923</c:v>
                </c:pt>
                <c:pt idx="237">
                  <c:v>147.09468214380581</c:v>
                </c:pt>
                <c:pt idx="238">
                  <c:v>147.06102530706193</c:v>
                </c:pt>
                <c:pt idx="239">
                  <c:v>147.02809095652347</c:v>
                </c:pt>
                <c:pt idx="240">
                  <c:v>146.99545633715334</c:v>
                </c:pt>
                <c:pt idx="241">
                  <c:v>146.97165547540416</c:v>
                </c:pt>
                <c:pt idx="242">
                  <c:v>146.95985745930236</c:v>
                </c:pt>
                <c:pt idx="243">
                  <c:v>146.96209638644956</c:v>
                </c:pt>
                <c:pt idx="244">
                  <c:v>146.97676442541325</c:v>
                </c:pt>
                <c:pt idx="245">
                  <c:v>147.00057782674972</c:v>
                </c:pt>
                <c:pt idx="246">
                  <c:v>147.03427087706208</c:v>
                </c:pt>
                <c:pt idx="247">
                  <c:v>147.06648113926795</c:v>
                </c:pt>
                <c:pt idx="248">
                  <c:v>147.09165137580024</c:v>
                </c:pt>
                <c:pt idx="249">
                  <c:v>147.12230803641975</c:v>
                </c:pt>
                <c:pt idx="250">
                  <c:v>147.15624829631022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7C-44AA-9245-101F392E5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9855"/>
        <c:axId val="5830335"/>
      </c:lineChart>
      <c:dateAx>
        <c:axId val="5829855"/>
        <c:scaling>
          <c:orientation val="minMax"/>
          <c:min val="4594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335"/>
        <c:crosses val="autoZero"/>
        <c:auto val="1"/>
        <c:lblOffset val="100"/>
        <c:baseTimeUnit val="days"/>
      </c:dateAx>
      <c:valAx>
        <c:axId val="5830335"/>
        <c:scaling>
          <c:orientation val="minMax"/>
          <c:max val="175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169.58</c:v>
                </c:pt>
                <c:pt idx="1">
                  <c:v>171.02</c:v>
                </c:pt>
                <c:pt idx="2">
                  <c:v>162.88999999999999</c:v>
                </c:pt>
                <c:pt idx="3">
                  <c:v>165.43</c:v>
                </c:pt>
                <c:pt idx="4">
                  <c:v>166.49</c:v>
                </c:pt>
                <c:pt idx="5">
                  <c:v>167.21</c:v>
                </c:pt>
                <c:pt idx="6">
                  <c:v>170.23</c:v>
                </c:pt>
                <c:pt idx="7">
                  <c:v>170.54</c:v>
                </c:pt>
                <c:pt idx="8">
                  <c:v>172.65</c:v>
                </c:pt>
                <c:pt idx="9">
                  <c:v>171.3</c:v>
                </c:pt>
                <c:pt idx="10">
                  <c:v>171.97</c:v>
                </c:pt>
                <c:pt idx="11">
                  <c:v>173.84</c:v>
                </c:pt>
                <c:pt idx="12">
                  <c:v>175.59</c:v>
                </c:pt>
                <c:pt idx="13">
                  <c:v>173.18</c:v>
                </c:pt>
                <c:pt idx="14">
                  <c:v>174.61</c:v>
                </c:pt>
                <c:pt idx="15">
                  <c:v>174.66</c:v>
                </c:pt>
                <c:pt idx="16">
                  <c:v>175.95</c:v>
                </c:pt>
                <c:pt idx="17">
                  <c:v>176.26</c:v>
                </c:pt>
                <c:pt idx="18">
                  <c:v>173.12</c:v>
                </c:pt>
                <c:pt idx="19">
                  <c:v>168.37</c:v>
                </c:pt>
                <c:pt idx="20">
                  <c:v>168.59</c:v>
                </c:pt>
                <c:pt idx="21">
                  <c:v>167.97</c:v>
                </c:pt>
                <c:pt idx="22">
                  <c:v>169.76</c:v>
                </c:pt>
                <c:pt idx="23">
                  <c:v>167.71</c:v>
                </c:pt>
                <c:pt idx="24">
                  <c:v>168.57</c:v>
                </c:pt>
                <c:pt idx="25">
                  <c:v>167.55</c:v>
                </c:pt>
                <c:pt idx="26">
                  <c:v>166.69</c:v>
                </c:pt>
                <c:pt idx="27">
                  <c:v>165.65</c:v>
                </c:pt>
                <c:pt idx="28">
                  <c:v>162.85</c:v>
                </c:pt>
                <c:pt idx="29">
                  <c:v>166.58</c:v>
                </c:pt>
                <c:pt idx="30">
                  <c:v>168.71</c:v>
                </c:pt>
                <c:pt idx="31">
                  <c:v>168.03</c:v>
                </c:pt>
                <c:pt idx="32">
                  <c:v>170.42</c:v>
                </c:pt>
                <c:pt idx="33">
                  <c:v>170.56</c:v>
                </c:pt>
                <c:pt idx="34">
                  <c:v>169.5</c:v>
                </c:pt>
                <c:pt idx="35">
                  <c:v>172.39</c:v>
                </c:pt>
                <c:pt idx="36">
                  <c:v>163.75</c:v>
                </c:pt>
                <c:pt idx="37">
                  <c:v>160.22999999999999</c:v>
                </c:pt>
                <c:pt idx="38">
                  <c:v>158.38999999999999</c:v>
                </c:pt>
                <c:pt idx="39">
                  <c:v>162.32</c:v>
                </c:pt>
                <c:pt idx="40">
                  <c:v>163.56</c:v>
                </c:pt>
                <c:pt idx="41">
                  <c:v>166.91</c:v>
                </c:pt>
                <c:pt idx="42">
                  <c:v>169.13</c:v>
                </c:pt>
                <c:pt idx="43">
                  <c:v>168.47</c:v>
                </c:pt>
                <c:pt idx="44">
                  <c:v>166.39</c:v>
                </c:pt>
                <c:pt idx="45">
                  <c:v>170.63</c:v>
                </c:pt>
                <c:pt idx="46">
                  <c:v>165.75</c:v>
                </c:pt>
                <c:pt idx="47">
                  <c:v>167.88</c:v>
                </c:pt>
                <c:pt idx="48">
                  <c:v>165.73</c:v>
                </c:pt>
                <c:pt idx="49">
                  <c:v>159.53</c:v>
                </c:pt>
                <c:pt idx="50">
                  <c:v>161.02000000000001</c:v>
                </c:pt>
                <c:pt idx="51">
                  <c:v>161.85</c:v>
                </c:pt>
                <c:pt idx="52">
                  <c:v>162.26</c:v>
                </c:pt>
                <c:pt idx="53">
                  <c:v>162.57</c:v>
                </c:pt>
                <c:pt idx="54">
                  <c:v>159.97999999999999</c:v>
                </c:pt>
                <c:pt idx="55">
                  <c:v>160.52000000000001</c:v>
                </c:pt>
                <c:pt idx="56">
                  <c:v>158.83000000000001</c:v>
                </c:pt>
                <c:pt idx="57">
                  <c:v>159.25</c:v>
                </c:pt>
                <c:pt idx="58">
                  <c:v>159.29</c:v>
                </c:pt>
                <c:pt idx="59">
                  <c:v>158.65</c:v>
                </c:pt>
                <c:pt idx="60">
                  <c:v>157.66</c:v>
                </c:pt>
                <c:pt idx="61">
                  <c:v>160.9</c:v>
                </c:pt>
                <c:pt idx="62">
                  <c:v>158.72999999999999</c:v>
                </c:pt>
                <c:pt idx="63">
                  <c:v>158.02000000000001</c:v>
                </c:pt>
                <c:pt idx="64">
                  <c:v>162.41</c:v>
                </c:pt>
                <c:pt idx="65">
                  <c:v>163.28</c:v>
                </c:pt>
                <c:pt idx="66">
                  <c:v>164.77</c:v>
                </c:pt>
                <c:pt idx="67">
                  <c:v>165.64</c:v>
                </c:pt>
                <c:pt idx="68">
                  <c:v>165.43</c:v>
                </c:pt>
                <c:pt idx="69">
                  <c:v>165.03</c:v>
                </c:pt>
                <c:pt idx="70">
                  <c:v>165.86</c:v>
                </c:pt>
                <c:pt idx="71">
                  <c:v>167.76</c:v>
                </c:pt>
                <c:pt idx="72">
                  <c:v>167.36</c:v>
                </c:pt>
                <c:pt idx="73">
                  <c:v>168.56</c:v>
                </c:pt>
                <c:pt idx="74">
                  <c:v>169.89</c:v>
                </c:pt>
                <c:pt idx="75">
                  <c:v>167.78</c:v>
                </c:pt>
                <c:pt idx="76">
                  <c:v>166.85</c:v>
                </c:pt>
                <c:pt idx="77">
                  <c:v>165.95</c:v>
                </c:pt>
                <c:pt idx="78">
                  <c:v>162.80000000000001</c:v>
                </c:pt>
                <c:pt idx="79">
                  <c:v>164.02</c:v>
                </c:pt>
                <c:pt idx="80">
                  <c:v>162.56</c:v>
                </c:pt>
                <c:pt idx="81">
                  <c:v>162.84</c:v>
                </c:pt>
                <c:pt idx="82">
                  <c:v>162.11000000000001</c:v>
                </c:pt>
                <c:pt idx="83">
                  <c:v>163.18</c:v>
                </c:pt>
                <c:pt idx="84">
                  <c:v>160.28</c:v>
                </c:pt>
                <c:pt idx="85">
                  <c:v>160.88</c:v>
                </c:pt>
                <c:pt idx="86">
                  <c:v>158.52000000000001</c:v>
                </c:pt>
                <c:pt idx="87">
                  <c:v>158.02000000000001</c:v>
                </c:pt>
                <c:pt idx="88">
                  <c:v>159.08000000000001</c:v>
                </c:pt>
                <c:pt idx="89">
                  <c:v>161.03</c:v>
                </c:pt>
                <c:pt idx="90">
                  <c:v>160.36000000000001</c:v>
                </c:pt>
                <c:pt idx="91">
                  <c:v>158.97</c:v>
                </c:pt>
                <c:pt idx="92">
                  <c:v>158.63</c:v>
                </c:pt>
                <c:pt idx="93">
                  <c:v>159.86000000000001</c:v>
                </c:pt>
                <c:pt idx="94">
                  <c:v>159.32</c:v>
                </c:pt>
                <c:pt idx="95">
                  <c:v>161.22</c:v>
                </c:pt>
                <c:pt idx="96">
                  <c:v>161.19999999999999</c:v>
                </c:pt>
                <c:pt idx="97">
                  <c:v>160.83000000000001</c:v>
                </c:pt>
                <c:pt idx="98">
                  <c:v>160.5</c:v>
                </c:pt>
                <c:pt idx="99">
                  <c:v>157.88999999999999</c:v>
                </c:pt>
                <c:pt idx="100">
                  <c:v>157.52000000000001</c:v>
                </c:pt>
                <c:pt idx="101">
                  <c:v>158.49</c:v>
                </c:pt>
                <c:pt idx="102">
                  <c:v>157.05000000000001</c:v>
                </c:pt>
                <c:pt idx="103">
                  <c:v>153.76</c:v>
                </c:pt>
                <c:pt idx="104">
                  <c:v>152.68</c:v>
                </c:pt>
                <c:pt idx="105">
                  <c:v>153.72999999999999</c:v>
                </c:pt>
                <c:pt idx="106">
                  <c:v>155.62</c:v>
                </c:pt>
                <c:pt idx="107">
                  <c:v>155.1</c:v>
                </c:pt>
                <c:pt idx="108">
                  <c:v>155.03</c:v>
                </c:pt>
                <c:pt idx="109">
                  <c:v>158.32</c:v>
                </c:pt>
                <c:pt idx="110">
                  <c:v>158.28</c:v>
                </c:pt>
                <c:pt idx="111">
                  <c:v>158.81</c:v>
                </c:pt>
                <c:pt idx="112">
                  <c:v>158.30000000000001</c:v>
                </c:pt>
                <c:pt idx="113">
                  <c:v>157.11000000000001</c:v>
                </c:pt>
                <c:pt idx="114">
                  <c:v>156.61000000000001</c:v>
                </c:pt>
                <c:pt idx="115">
                  <c:v>152.88</c:v>
                </c:pt>
                <c:pt idx="116">
                  <c:v>150.47</c:v>
                </c:pt>
                <c:pt idx="117">
                  <c:v>150.65</c:v>
                </c:pt>
                <c:pt idx="118">
                  <c:v>150.76</c:v>
                </c:pt>
                <c:pt idx="119">
                  <c:v>150.51</c:v>
                </c:pt>
                <c:pt idx="120">
                  <c:v>152.86000000000001</c:v>
                </c:pt>
                <c:pt idx="121">
                  <c:v>153.49</c:v>
                </c:pt>
                <c:pt idx="122">
                  <c:v>153.51</c:v>
                </c:pt>
                <c:pt idx="123">
                  <c:v>154.97999999999999</c:v>
                </c:pt>
                <c:pt idx="124">
                  <c:v>155.09</c:v>
                </c:pt>
                <c:pt idx="125">
                  <c:v>155.41</c:v>
                </c:pt>
                <c:pt idx="126">
                  <c:v>153.74</c:v>
                </c:pt>
                <c:pt idx="127">
                  <c:v>154.36000000000001</c:v>
                </c:pt>
                <c:pt idx="128">
                  <c:v>155.72</c:v>
                </c:pt>
                <c:pt idx="129">
                  <c:v>158.4</c:v>
                </c:pt>
                <c:pt idx="130">
                  <c:v>159.51</c:v>
                </c:pt>
                <c:pt idx="131">
                  <c:v>158.72999999999999</c:v>
                </c:pt>
                <c:pt idx="132">
                  <c:v>158.66999999999999</c:v>
                </c:pt>
                <c:pt idx="133">
                  <c:v>156.15</c:v>
                </c:pt>
                <c:pt idx="134">
                  <c:v>155.97</c:v>
                </c:pt>
                <c:pt idx="135">
                  <c:v>156.96</c:v>
                </c:pt>
                <c:pt idx="136">
                  <c:v>155.65</c:v>
                </c:pt>
                <c:pt idx="137">
                  <c:v>157.04</c:v>
                </c:pt>
                <c:pt idx="138">
                  <c:v>157.99</c:v>
                </c:pt>
                <c:pt idx="139">
                  <c:v>158.16999999999999</c:v>
                </c:pt>
                <c:pt idx="140">
                  <c:v>159.19</c:v>
                </c:pt>
                <c:pt idx="141">
                  <c:v>160.02000000000001</c:v>
                </c:pt>
                <c:pt idx="142">
                  <c:v>159.01</c:v>
                </c:pt>
                <c:pt idx="143">
                  <c:v>159.46</c:v>
                </c:pt>
                <c:pt idx="144">
                  <c:v>157.35</c:v>
                </c:pt>
                <c:pt idx="145">
                  <c:v>158.63</c:v>
                </c:pt>
                <c:pt idx="146">
                  <c:v>157.9</c:v>
                </c:pt>
                <c:pt idx="147">
                  <c:v>156.83000000000001</c:v>
                </c:pt>
                <c:pt idx="148">
                  <c:v>158.05000000000001</c:v>
                </c:pt>
                <c:pt idx="149">
                  <c:v>160.33000000000001</c:v>
                </c:pt>
                <c:pt idx="150">
                  <c:v>157.32</c:v>
                </c:pt>
                <c:pt idx="151">
                  <c:v>156.04</c:v>
                </c:pt>
                <c:pt idx="152">
                  <c:v>153.07</c:v>
                </c:pt>
                <c:pt idx="153">
                  <c:v>152.5</c:v>
                </c:pt>
                <c:pt idx="154">
                  <c:v>152.41999999999999</c:v>
                </c:pt>
                <c:pt idx="155">
                  <c:v>152.15</c:v>
                </c:pt>
                <c:pt idx="156">
                  <c:v>152.5</c:v>
                </c:pt>
                <c:pt idx="157">
                  <c:v>153.53</c:v>
                </c:pt>
                <c:pt idx="158">
                  <c:v>153.65</c:v>
                </c:pt>
                <c:pt idx="159">
                  <c:v>153.18</c:v>
                </c:pt>
                <c:pt idx="160">
                  <c:v>152.05000000000001</c:v>
                </c:pt>
                <c:pt idx="161">
                  <c:v>152.27000000000001</c:v>
                </c:pt>
                <c:pt idx="162">
                  <c:v>150.41</c:v>
                </c:pt>
                <c:pt idx="163">
                  <c:v>152.54</c:v>
                </c:pt>
                <c:pt idx="164">
                  <c:v>150.69</c:v>
                </c:pt>
                <c:pt idx="165">
                  <c:v>150.58000000000001</c:v>
                </c:pt>
                <c:pt idx="166">
                  <c:v>149.69</c:v>
                </c:pt>
                <c:pt idx="167">
                  <c:v>147.49</c:v>
                </c:pt>
                <c:pt idx="168">
                  <c:v>149.16</c:v>
                </c:pt>
                <c:pt idx="169">
                  <c:v>147.41999999999999</c:v>
                </c:pt>
                <c:pt idx="170">
                  <c:v>149.6</c:v>
                </c:pt>
                <c:pt idx="171">
                  <c:v>151.4</c:v>
                </c:pt>
                <c:pt idx="172">
                  <c:v>151.96</c:v>
                </c:pt>
                <c:pt idx="173">
                  <c:v>151.62</c:v>
                </c:pt>
                <c:pt idx="174">
                  <c:v>152.19999999999999</c:v>
                </c:pt>
                <c:pt idx="175">
                  <c:v>152.21</c:v>
                </c:pt>
                <c:pt idx="176">
                  <c:v>152.49</c:v>
                </c:pt>
                <c:pt idx="177">
                  <c:v>151.74</c:v>
                </c:pt>
                <c:pt idx="178">
                  <c:v>151.37</c:v>
                </c:pt>
                <c:pt idx="179">
                  <c:v>148.77000000000001</c:v>
                </c:pt>
                <c:pt idx="180">
                  <c:v>149.58000000000001</c:v>
                </c:pt>
                <c:pt idx="181">
                  <c:v>150.37</c:v>
                </c:pt>
                <c:pt idx="182">
                  <c:v>148.02000000000001</c:v>
                </c:pt>
                <c:pt idx="183">
                  <c:v>147.16999999999999</c:v>
                </c:pt>
                <c:pt idx="184">
                  <c:v>145.79</c:v>
                </c:pt>
                <c:pt idx="185">
                  <c:v>146.13</c:v>
                </c:pt>
                <c:pt idx="186">
                  <c:v>146.97999999999999</c:v>
                </c:pt>
                <c:pt idx="187">
                  <c:v>145.5</c:v>
                </c:pt>
                <c:pt idx="188">
                  <c:v>148.54</c:v>
                </c:pt>
                <c:pt idx="189">
                  <c:v>148.01</c:v>
                </c:pt>
                <c:pt idx="190">
                  <c:v>147.96</c:v>
                </c:pt>
                <c:pt idx="191">
                  <c:v>147.66999999999999</c:v>
                </c:pt>
                <c:pt idx="192">
                  <c:v>145.82</c:v>
                </c:pt>
                <c:pt idx="193">
                  <c:v>146.99</c:v>
                </c:pt>
                <c:pt idx="194">
                  <c:v>146.99</c:v>
                </c:pt>
                <c:pt idx="195">
                  <c:v>148.19</c:v>
                </c:pt>
                <c:pt idx="196">
                  <c:v>150.91999999999999</c:v>
                </c:pt>
                <c:pt idx="197">
                  <c:v>146.97999999999999</c:v>
                </c:pt>
                <c:pt idx="198">
                  <c:v>148.49</c:v>
                </c:pt>
                <c:pt idx="199">
                  <c:v>148.25</c:v>
                </c:pt>
                <c:pt idx="200">
                  <c:v>148.16</c:v>
                </c:pt>
                <c:pt idx="201">
                  <c:v>147.44</c:v>
                </c:pt>
                <c:pt idx="202">
                  <c:v>145.86000000000001</c:v>
                </c:pt>
                <c:pt idx="203">
                  <c:v>146.71</c:v>
                </c:pt>
                <c:pt idx="204">
                  <c:v>145.36000000000001</c:v>
                </c:pt>
                <c:pt idx="205">
                  <c:v>143.44999999999999</c:v>
                </c:pt>
                <c:pt idx="206">
                  <c:v>138.34</c:v>
                </c:pt>
                <c:pt idx="207">
                  <c:v>139.63</c:v>
                </c:pt>
                <c:pt idx="208">
                  <c:v>139.82</c:v>
                </c:pt>
                <c:pt idx="209">
                  <c:v>140.76</c:v>
                </c:pt>
                <c:pt idx="210">
                  <c:v>142.84</c:v>
                </c:pt>
                <c:pt idx="211">
                  <c:v>145.13</c:v>
                </c:pt>
                <c:pt idx="212">
                  <c:v>145.21</c:v>
                </c:pt>
                <c:pt idx="213">
                  <c:v>147.81</c:v>
                </c:pt>
                <c:pt idx="214">
                  <c:v>145.52000000000001</c:v>
                </c:pt>
                <c:pt idx="215">
                  <c:v>144.46</c:v>
                </c:pt>
                <c:pt idx="216">
                  <c:v>142.69</c:v>
                </c:pt>
                <c:pt idx="217">
                  <c:v>143.18</c:v>
                </c:pt>
                <c:pt idx="218">
                  <c:v>144.49</c:v>
                </c:pt>
                <c:pt idx="219">
                  <c:v>144.74</c:v>
                </c:pt>
                <c:pt idx="220">
                  <c:v>144.57</c:v>
                </c:pt>
                <c:pt idx="221">
                  <c:v>144.05000000000001</c:v>
                </c:pt>
                <c:pt idx="222">
                  <c:v>143.31</c:v>
                </c:pt>
                <c:pt idx="223">
                  <c:v>141.79</c:v>
                </c:pt>
                <c:pt idx="224">
                  <c:v>140.37</c:v>
                </c:pt>
                <c:pt idx="225">
                  <c:v>139.91</c:v>
                </c:pt>
                <c:pt idx="226">
                  <c:v>138.04</c:v>
                </c:pt>
                <c:pt idx="227">
                  <c:v>141.53</c:v>
                </c:pt>
                <c:pt idx="228">
                  <c:v>141.87</c:v>
                </c:pt>
                <c:pt idx="229">
                  <c:v>143.46</c:v>
                </c:pt>
                <c:pt idx="230">
                  <c:v>144.24</c:v>
                </c:pt>
                <c:pt idx="231">
                  <c:v>146.35</c:v>
                </c:pt>
                <c:pt idx="232">
                  <c:v>144.63</c:v>
                </c:pt>
                <c:pt idx="233">
                  <c:v>144.53</c:v>
                </c:pt>
                <c:pt idx="234">
                  <c:v>147</c:v>
                </c:pt>
                <c:pt idx="235">
                  <c:v>146.06</c:v>
                </c:pt>
                <c:pt idx="236">
                  <c:v>149.93</c:v>
                </c:pt>
                <c:pt idx="237">
                  <c:v>150.15</c:v>
                </c:pt>
                <c:pt idx="238">
                  <c:v>149.49</c:v>
                </c:pt>
                <c:pt idx="239">
                  <c:v>148.34</c:v>
                </c:pt>
                <c:pt idx="240">
                  <c:v>147.34</c:v>
                </c:pt>
                <c:pt idx="241">
                  <c:v>149.9</c:v>
                </c:pt>
                <c:pt idx="242">
                  <c:v>151.77000000000001</c:v>
                </c:pt>
                <c:pt idx="243">
                  <c:v>153.19</c:v>
                </c:pt>
                <c:pt idx="244">
                  <c:v>155.32</c:v>
                </c:pt>
                <c:pt idx="245">
                  <c:v>156.87</c:v>
                </c:pt>
                <c:pt idx="246">
                  <c:v>158.61000000000001</c:v>
                </c:pt>
                <c:pt idx="247">
                  <c:v>159.16999999999999</c:v>
                </c:pt>
                <c:pt idx="248">
                  <c:v>157.33000000000001</c:v>
                </c:pt>
                <c:pt idx="249">
                  <c:v>159.08000000000001</c:v>
                </c:pt>
                <c:pt idx="25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3-4093-BA9D-BD566CA0ACA3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171.24449999999996</c:v>
                </c:pt>
                <c:pt idx="20">
                  <c:v>171.19499999999999</c:v>
                </c:pt>
                <c:pt idx="21">
                  <c:v>171.04249999999996</c:v>
                </c:pt>
                <c:pt idx="22">
                  <c:v>171.38599999999997</c:v>
                </c:pt>
                <c:pt idx="23">
                  <c:v>171.49999999999994</c:v>
                </c:pt>
                <c:pt idx="24">
                  <c:v>171.60399999999998</c:v>
                </c:pt>
                <c:pt idx="25">
                  <c:v>171.62099999999998</c:v>
                </c:pt>
                <c:pt idx="26">
                  <c:v>171.44400000000005</c:v>
                </c:pt>
                <c:pt idx="27">
                  <c:v>171.19950000000006</c:v>
                </c:pt>
                <c:pt idx="28">
                  <c:v>170.70950000000002</c:v>
                </c:pt>
                <c:pt idx="29">
                  <c:v>170.4735</c:v>
                </c:pt>
                <c:pt idx="30">
                  <c:v>170.31049999999999</c:v>
                </c:pt>
                <c:pt idx="31">
                  <c:v>170.02</c:v>
                </c:pt>
                <c:pt idx="32">
                  <c:v>169.76150000000001</c:v>
                </c:pt>
                <c:pt idx="33">
                  <c:v>169.63050000000001</c:v>
                </c:pt>
                <c:pt idx="34">
                  <c:v>169.375</c:v>
                </c:pt>
                <c:pt idx="35">
                  <c:v>169.26150000000001</c:v>
                </c:pt>
                <c:pt idx="36">
                  <c:v>168.6515</c:v>
                </c:pt>
                <c:pt idx="37">
                  <c:v>167.85</c:v>
                </c:pt>
                <c:pt idx="38">
                  <c:v>167.11349999999999</c:v>
                </c:pt>
                <c:pt idx="39">
                  <c:v>166.81099999999998</c:v>
                </c:pt>
                <c:pt idx="40">
                  <c:v>166.55950000000001</c:v>
                </c:pt>
                <c:pt idx="41">
                  <c:v>166.50649999999999</c:v>
                </c:pt>
                <c:pt idx="42">
                  <c:v>166.47499999999999</c:v>
                </c:pt>
                <c:pt idx="43">
                  <c:v>166.51299999999998</c:v>
                </c:pt>
                <c:pt idx="44">
                  <c:v>166.404</c:v>
                </c:pt>
                <c:pt idx="45">
                  <c:v>166.55799999999999</c:v>
                </c:pt>
                <c:pt idx="46">
                  <c:v>166.511</c:v>
                </c:pt>
                <c:pt idx="47">
                  <c:v>166.6225</c:v>
                </c:pt>
                <c:pt idx="48">
                  <c:v>166.76650000000001</c:v>
                </c:pt>
                <c:pt idx="49">
                  <c:v>166.41400000000002</c:v>
                </c:pt>
                <c:pt idx="50">
                  <c:v>166.02950000000001</c:v>
                </c:pt>
                <c:pt idx="51">
                  <c:v>165.72050000000002</c:v>
                </c:pt>
                <c:pt idx="52">
                  <c:v>165.31250000000006</c:v>
                </c:pt>
                <c:pt idx="53">
                  <c:v>164.91300000000004</c:v>
                </c:pt>
                <c:pt idx="54">
                  <c:v>164.43700000000004</c:v>
                </c:pt>
                <c:pt idx="55">
                  <c:v>163.84350000000001</c:v>
                </c:pt>
                <c:pt idx="56">
                  <c:v>163.59750000000003</c:v>
                </c:pt>
                <c:pt idx="57">
                  <c:v>163.54850000000005</c:v>
                </c:pt>
                <c:pt idx="58">
                  <c:v>163.59350000000001</c:v>
                </c:pt>
                <c:pt idx="59">
                  <c:v>163.41000000000003</c:v>
                </c:pt>
                <c:pt idx="60">
                  <c:v>163.11499999999998</c:v>
                </c:pt>
                <c:pt idx="61">
                  <c:v>162.81449999999998</c:v>
                </c:pt>
                <c:pt idx="62">
                  <c:v>162.2945</c:v>
                </c:pt>
                <c:pt idx="63">
                  <c:v>161.77199999999999</c:v>
                </c:pt>
                <c:pt idx="64">
                  <c:v>161.57299999999998</c:v>
                </c:pt>
                <c:pt idx="65">
                  <c:v>161.2055</c:v>
                </c:pt>
                <c:pt idx="66">
                  <c:v>161.15649999999999</c:v>
                </c:pt>
                <c:pt idx="67">
                  <c:v>161.0445</c:v>
                </c:pt>
                <c:pt idx="68">
                  <c:v>161.02949999999998</c:v>
                </c:pt>
                <c:pt idx="69">
                  <c:v>161.30450000000002</c:v>
                </c:pt>
                <c:pt idx="70">
                  <c:v>161.54650000000001</c:v>
                </c:pt>
                <c:pt idx="71">
                  <c:v>161.84200000000001</c:v>
                </c:pt>
                <c:pt idx="72">
                  <c:v>162.09700000000001</c:v>
                </c:pt>
                <c:pt idx="73">
                  <c:v>162.3965</c:v>
                </c:pt>
                <c:pt idx="74">
                  <c:v>162.892</c:v>
                </c:pt>
                <c:pt idx="75">
                  <c:v>163.25500000000002</c:v>
                </c:pt>
                <c:pt idx="76">
                  <c:v>163.65600000000001</c:v>
                </c:pt>
                <c:pt idx="77">
                  <c:v>163.99100000000001</c:v>
                </c:pt>
                <c:pt idx="78">
                  <c:v>164.16650000000001</c:v>
                </c:pt>
                <c:pt idx="79">
                  <c:v>164.435</c:v>
                </c:pt>
                <c:pt idx="80">
                  <c:v>164.68</c:v>
                </c:pt>
                <c:pt idx="81">
                  <c:v>164.77699999999999</c:v>
                </c:pt>
                <c:pt idx="82">
                  <c:v>164.946</c:v>
                </c:pt>
                <c:pt idx="83">
                  <c:v>165.20400000000001</c:v>
                </c:pt>
                <c:pt idx="84">
                  <c:v>165.09750000000003</c:v>
                </c:pt>
                <c:pt idx="85">
                  <c:v>164.97750000000002</c:v>
                </c:pt>
                <c:pt idx="86">
                  <c:v>164.66500000000002</c:v>
                </c:pt>
                <c:pt idx="87">
                  <c:v>164.28400000000002</c:v>
                </c:pt>
                <c:pt idx="88">
                  <c:v>163.9665</c:v>
                </c:pt>
                <c:pt idx="89">
                  <c:v>163.76650000000001</c:v>
                </c:pt>
                <c:pt idx="90">
                  <c:v>163.4915</c:v>
                </c:pt>
                <c:pt idx="91">
                  <c:v>163.05199999999999</c:v>
                </c:pt>
                <c:pt idx="92">
                  <c:v>162.6155</c:v>
                </c:pt>
                <c:pt idx="93">
                  <c:v>162.18049999999999</c:v>
                </c:pt>
                <c:pt idx="94">
                  <c:v>161.65200000000002</c:v>
                </c:pt>
                <c:pt idx="95">
                  <c:v>161.32400000000001</c:v>
                </c:pt>
                <c:pt idx="96">
                  <c:v>161.04149999999998</c:v>
                </c:pt>
                <c:pt idx="97">
                  <c:v>160.78549999999998</c:v>
                </c:pt>
                <c:pt idx="98">
                  <c:v>160.67049999999998</c:v>
                </c:pt>
                <c:pt idx="99">
                  <c:v>160.36399999999998</c:v>
                </c:pt>
                <c:pt idx="100">
                  <c:v>160.11199999999999</c:v>
                </c:pt>
                <c:pt idx="101">
                  <c:v>159.89449999999997</c:v>
                </c:pt>
                <c:pt idx="102">
                  <c:v>159.64150000000001</c:v>
                </c:pt>
                <c:pt idx="103">
                  <c:v>159.1705</c:v>
                </c:pt>
                <c:pt idx="104">
                  <c:v>158.79050000000001</c:v>
                </c:pt>
                <c:pt idx="105">
                  <c:v>158.43299999999999</c:v>
                </c:pt>
                <c:pt idx="106">
                  <c:v>158.28800000000001</c:v>
                </c:pt>
                <c:pt idx="107">
                  <c:v>158.142</c:v>
                </c:pt>
                <c:pt idx="108">
                  <c:v>157.93950000000001</c:v>
                </c:pt>
                <c:pt idx="109">
                  <c:v>157.80400000000003</c:v>
                </c:pt>
                <c:pt idx="110">
                  <c:v>157.69999999999999</c:v>
                </c:pt>
                <c:pt idx="111">
                  <c:v>157.69200000000001</c:v>
                </c:pt>
                <c:pt idx="112">
                  <c:v>157.6755</c:v>
                </c:pt>
                <c:pt idx="113">
                  <c:v>157.53800000000004</c:v>
                </c:pt>
                <c:pt idx="114">
                  <c:v>157.40250000000006</c:v>
                </c:pt>
                <c:pt idx="115">
                  <c:v>156.98550000000003</c:v>
                </c:pt>
                <c:pt idx="116">
                  <c:v>156.44900000000001</c:v>
                </c:pt>
                <c:pt idx="117">
                  <c:v>155.94000000000003</c:v>
                </c:pt>
                <c:pt idx="118">
                  <c:v>155.45300000000003</c:v>
                </c:pt>
                <c:pt idx="119">
                  <c:v>155.084</c:v>
                </c:pt>
                <c:pt idx="120">
                  <c:v>154.851</c:v>
                </c:pt>
                <c:pt idx="121">
                  <c:v>154.60100000000003</c:v>
                </c:pt>
                <c:pt idx="122">
                  <c:v>154.42400000000004</c:v>
                </c:pt>
                <c:pt idx="123">
                  <c:v>154.48500000000007</c:v>
                </c:pt>
                <c:pt idx="124">
                  <c:v>154.60550000000006</c:v>
                </c:pt>
                <c:pt idx="125">
                  <c:v>154.68950000000001</c:v>
                </c:pt>
                <c:pt idx="126">
                  <c:v>154.59550000000004</c:v>
                </c:pt>
                <c:pt idx="127">
                  <c:v>154.55850000000004</c:v>
                </c:pt>
                <c:pt idx="128">
                  <c:v>154.59299999999999</c:v>
                </c:pt>
                <c:pt idx="129">
                  <c:v>154.59700000000001</c:v>
                </c:pt>
                <c:pt idx="130">
                  <c:v>154.6585</c:v>
                </c:pt>
                <c:pt idx="131">
                  <c:v>154.65449999999998</c:v>
                </c:pt>
                <c:pt idx="132">
                  <c:v>154.67299999999997</c:v>
                </c:pt>
                <c:pt idx="133">
                  <c:v>154.625</c:v>
                </c:pt>
                <c:pt idx="134">
                  <c:v>154.59300000000002</c:v>
                </c:pt>
                <c:pt idx="135">
                  <c:v>154.797</c:v>
                </c:pt>
                <c:pt idx="136">
                  <c:v>155.05600000000001</c:v>
                </c:pt>
                <c:pt idx="137">
                  <c:v>155.37550000000002</c:v>
                </c:pt>
                <c:pt idx="138">
                  <c:v>155.73700000000002</c:v>
                </c:pt>
                <c:pt idx="139">
                  <c:v>156.12000000000003</c:v>
                </c:pt>
                <c:pt idx="140">
                  <c:v>156.4365</c:v>
                </c:pt>
                <c:pt idx="141">
                  <c:v>156.76300000000001</c:v>
                </c:pt>
                <c:pt idx="142">
                  <c:v>157.03800000000001</c:v>
                </c:pt>
                <c:pt idx="143">
                  <c:v>157.26200000000003</c:v>
                </c:pt>
                <c:pt idx="144">
                  <c:v>157.37500000000003</c:v>
                </c:pt>
                <c:pt idx="145">
                  <c:v>157.53600000000003</c:v>
                </c:pt>
                <c:pt idx="146">
                  <c:v>157.744</c:v>
                </c:pt>
                <c:pt idx="147">
                  <c:v>157.86750000000001</c:v>
                </c:pt>
                <c:pt idx="148">
                  <c:v>157.98400000000001</c:v>
                </c:pt>
                <c:pt idx="149">
                  <c:v>158.08050000000003</c:v>
                </c:pt>
                <c:pt idx="150">
                  <c:v>157.97100000000003</c:v>
                </c:pt>
                <c:pt idx="151">
                  <c:v>157.83650000000003</c:v>
                </c:pt>
                <c:pt idx="152">
                  <c:v>157.55650000000003</c:v>
                </c:pt>
                <c:pt idx="153">
                  <c:v>157.37400000000002</c:v>
                </c:pt>
                <c:pt idx="154">
                  <c:v>157.19650000000001</c:v>
                </c:pt>
                <c:pt idx="155">
                  <c:v>156.95600000000002</c:v>
                </c:pt>
                <c:pt idx="156">
                  <c:v>156.79850000000002</c:v>
                </c:pt>
                <c:pt idx="157">
                  <c:v>156.62300000000002</c:v>
                </c:pt>
                <c:pt idx="158">
                  <c:v>156.40600000000001</c:v>
                </c:pt>
                <c:pt idx="159">
                  <c:v>156.15649999999999</c:v>
                </c:pt>
                <c:pt idx="160">
                  <c:v>155.79950000000002</c:v>
                </c:pt>
                <c:pt idx="161">
                  <c:v>155.41200000000001</c:v>
                </c:pt>
                <c:pt idx="162">
                  <c:v>154.98200000000003</c:v>
                </c:pt>
                <c:pt idx="163">
                  <c:v>154.63600000000002</c:v>
                </c:pt>
                <c:pt idx="164">
                  <c:v>154.303</c:v>
                </c:pt>
                <c:pt idx="165">
                  <c:v>153.90050000000002</c:v>
                </c:pt>
                <c:pt idx="166">
                  <c:v>153.49</c:v>
                </c:pt>
                <c:pt idx="167">
                  <c:v>153.023</c:v>
                </c:pt>
                <c:pt idx="168">
                  <c:v>152.57849999999999</c:v>
                </c:pt>
                <c:pt idx="169">
                  <c:v>151.93299999999999</c:v>
                </c:pt>
                <c:pt idx="170">
                  <c:v>151.547</c:v>
                </c:pt>
                <c:pt idx="171">
                  <c:v>151.315</c:v>
                </c:pt>
                <c:pt idx="172">
                  <c:v>151.25949999999997</c:v>
                </c:pt>
                <c:pt idx="173">
                  <c:v>151.21549999999999</c:v>
                </c:pt>
                <c:pt idx="174">
                  <c:v>151.2045</c:v>
                </c:pt>
                <c:pt idx="175">
                  <c:v>151.20749999999998</c:v>
                </c:pt>
                <c:pt idx="176">
                  <c:v>151.20700000000002</c:v>
                </c:pt>
                <c:pt idx="177">
                  <c:v>151.11749999999998</c:v>
                </c:pt>
                <c:pt idx="178">
                  <c:v>151.00349999999997</c:v>
                </c:pt>
                <c:pt idx="179">
                  <c:v>150.78299999999996</c:v>
                </c:pt>
                <c:pt idx="180">
                  <c:v>150.65950000000001</c:v>
                </c:pt>
                <c:pt idx="181">
                  <c:v>150.56449999999998</c:v>
                </c:pt>
                <c:pt idx="182">
                  <c:v>150.44499999999999</c:v>
                </c:pt>
                <c:pt idx="183">
                  <c:v>150.17649999999998</c:v>
                </c:pt>
                <c:pt idx="184">
                  <c:v>149.9315</c:v>
                </c:pt>
                <c:pt idx="185">
                  <c:v>149.709</c:v>
                </c:pt>
                <c:pt idx="186">
                  <c:v>149.57350000000002</c:v>
                </c:pt>
                <c:pt idx="187">
                  <c:v>149.47399999999999</c:v>
                </c:pt>
                <c:pt idx="188">
                  <c:v>149.44300000000001</c:v>
                </c:pt>
                <c:pt idx="189">
                  <c:v>149.4725</c:v>
                </c:pt>
                <c:pt idx="190">
                  <c:v>149.39050000000003</c:v>
                </c:pt>
                <c:pt idx="191">
                  <c:v>149.20400000000001</c:v>
                </c:pt>
                <c:pt idx="192">
                  <c:v>148.89699999999999</c:v>
                </c:pt>
                <c:pt idx="193">
                  <c:v>148.66550000000001</c:v>
                </c:pt>
                <c:pt idx="194">
                  <c:v>148.40500000000003</c:v>
                </c:pt>
                <c:pt idx="195">
                  <c:v>148.20400000000001</c:v>
                </c:pt>
                <c:pt idx="196">
                  <c:v>148.12549999999999</c:v>
                </c:pt>
                <c:pt idx="197">
                  <c:v>147.88749999999999</c:v>
                </c:pt>
                <c:pt idx="198">
                  <c:v>147.74349999999998</c:v>
                </c:pt>
                <c:pt idx="199">
                  <c:v>147.71749999999997</c:v>
                </c:pt>
                <c:pt idx="200">
                  <c:v>147.6465</c:v>
                </c:pt>
                <c:pt idx="201">
                  <c:v>147.50000000000003</c:v>
                </c:pt>
                <c:pt idx="202">
                  <c:v>147.392</c:v>
                </c:pt>
                <c:pt idx="203">
                  <c:v>147.369</c:v>
                </c:pt>
                <c:pt idx="204">
                  <c:v>147.34750000000003</c:v>
                </c:pt>
                <c:pt idx="205">
                  <c:v>147.21350000000001</c:v>
                </c:pt>
                <c:pt idx="206">
                  <c:v>146.78150000000002</c:v>
                </c:pt>
                <c:pt idx="207">
                  <c:v>146.48800000000003</c:v>
                </c:pt>
                <c:pt idx="208">
                  <c:v>146.05200000000005</c:v>
                </c:pt>
                <c:pt idx="209">
                  <c:v>145.68950000000004</c:v>
                </c:pt>
                <c:pt idx="210">
                  <c:v>145.43350000000004</c:v>
                </c:pt>
                <c:pt idx="211">
                  <c:v>145.30650000000006</c:v>
                </c:pt>
                <c:pt idx="212">
                  <c:v>145.27600000000001</c:v>
                </c:pt>
                <c:pt idx="213">
                  <c:v>145.31700000000004</c:v>
                </c:pt>
                <c:pt idx="214">
                  <c:v>145.24350000000001</c:v>
                </c:pt>
                <c:pt idx="215">
                  <c:v>145.05700000000002</c:v>
                </c:pt>
                <c:pt idx="216">
                  <c:v>144.6455</c:v>
                </c:pt>
                <c:pt idx="217">
                  <c:v>144.45549999999997</c:v>
                </c:pt>
                <c:pt idx="218">
                  <c:v>144.25549999999998</c:v>
                </c:pt>
                <c:pt idx="219">
                  <c:v>144.07999999999998</c:v>
                </c:pt>
                <c:pt idx="220">
                  <c:v>143.90049999999999</c:v>
                </c:pt>
                <c:pt idx="221">
                  <c:v>143.73100000000002</c:v>
                </c:pt>
                <c:pt idx="222">
                  <c:v>143.6035</c:v>
                </c:pt>
                <c:pt idx="223">
                  <c:v>143.35750000000002</c:v>
                </c:pt>
                <c:pt idx="224">
                  <c:v>143.108</c:v>
                </c:pt>
                <c:pt idx="225">
                  <c:v>142.93099999999998</c:v>
                </c:pt>
                <c:pt idx="226">
                  <c:v>142.916</c:v>
                </c:pt>
                <c:pt idx="227">
                  <c:v>143.011</c:v>
                </c:pt>
                <c:pt idx="228">
                  <c:v>143.11349999999999</c:v>
                </c:pt>
                <c:pt idx="229">
                  <c:v>143.24849999999998</c:v>
                </c:pt>
                <c:pt idx="230">
                  <c:v>143.3185</c:v>
                </c:pt>
                <c:pt idx="231">
                  <c:v>143.37950000000004</c:v>
                </c:pt>
                <c:pt idx="232">
                  <c:v>143.35049999999998</c:v>
                </c:pt>
                <c:pt idx="233">
                  <c:v>143.18650000000002</c:v>
                </c:pt>
                <c:pt idx="234">
                  <c:v>143.26050000000001</c:v>
                </c:pt>
                <c:pt idx="235">
                  <c:v>143.34049999999999</c:v>
                </c:pt>
                <c:pt idx="236">
                  <c:v>143.70250000000001</c:v>
                </c:pt>
                <c:pt idx="237">
                  <c:v>144.05099999999999</c:v>
                </c:pt>
                <c:pt idx="238">
                  <c:v>144.30099999999999</c:v>
                </c:pt>
                <c:pt idx="239">
                  <c:v>144.48099999999999</c:v>
                </c:pt>
                <c:pt idx="240">
                  <c:v>144.61950000000002</c:v>
                </c:pt>
                <c:pt idx="241">
                  <c:v>144.91200000000001</c:v>
                </c:pt>
                <c:pt idx="242">
                  <c:v>145.33500000000004</c:v>
                </c:pt>
                <c:pt idx="243">
                  <c:v>145.90500000000003</c:v>
                </c:pt>
                <c:pt idx="244">
                  <c:v>146.65250000000003</c:v>
                </c:pt>
                <c:pt idx="245">
                  <c:v>147.50050000000002</c:v>
                </c:pt>
                <c:pt idx="246">
                  <c:v>148.52900000000002</c:v>
                </c:pt>
                <c:pt idx="247">
                  <c:v>149.411</c:v>
                </c:pt>
                <c:pt idx="248">
                  <c:v>150.18400000000003</c:v>
                </c:pt>
                <c:pt idx="249">
                  <c:v>150.965</c:v>
                </c:pt>
                <c:pt idx="250">
                  <c:v>151.75299999999999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3-4093-BA9D-BD566CA0ACA3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178.65396045340182</c:v>
                </c:pt>
                <c:pt idx="20">
                  <c:v>178.66426756079449</c:v>
                </c:pt>
                <c:pt idx="21">
                  <c:v>178.65007482624006</c:v>
                </c:pt>
                <c:pt idx="22">
                  <c:v>177.99904739053585</c:v>
                </c:pt>
                <c:pt idx="23">
                  <c:v>177.74934522885982</c:v>
                </c:pt>
                <c:pt idx="24">
                  <c:v>177.56486323667266</c:v>
                </c:pt>
                <c:pt idx="25">
                  <c:v>177.53082019496716</c:v>
                </c:pt>
                <c:pt idx="26">
                  <c:v>177.72934938106911</c:v>
                </c:pt>
                <c:pt idx="27">
                  <c:v>177.9928294681738</c:v>
                </c:pt>
                <c:pt idx="28">
                  <c:v>178.41482959778662</c:v>
                </c:pt>
                <c:pt idx="29">
                  <c:v>178.38894333299751</c:v>
                </c:pt>
                <c:pt idx="30">
                  <c:v>178.23045075742266</c:v>
                </c:pt>
                <c:pt idx="31">
                  <c:v>177.82016464063759</c:v>
                </c:pt>
                <c:pt idx="32">
                  <c:v>177.1142775632571</c:v>
                </c:pt>
                <c:pt idx="33">
                  <c:v>176.81834200101665</c:v>
                </c:pt>
                <c:pt idx="34">
                  <c:v>176.17012363854829</c:v>
                </c:pt>
                <c:pt idx="35">
                  <c:v>175.75402939113386</c:v>
                </c:pt>
                <c:pt idx="36">
                  <c:v>174.78037995262463</c:v>
                </c:pt>
                <c:pt idx="37">
                  <c:v>173.9820452499446</c:v>
                </c:pt>
                <c:pt idx="38">
                  <c:v>174.06414487731362</c:v>
                </c:pt>
                <c:pt idx="39">
                  <c:v>174.05193887486101</c:v>
                </c:pt>
                <c:pt idx="40">
                  <c:v>173.88914126357025</c:v>
                </c:pt>
                <c:pt idx="41">
                  <c:v>173.8084745707294</c:v>
                </c:pt>
                <c:pt idx="42">
                  <c:v>173.72311554456525</c:v>
                </c:pt>
                <c:pt idx="43">
                  <c:v>173.79626155972502</c:v>
                </c:pt>
                <c:pt idx="44">
                  <c:v>173.6226057846155</c:v>
                </c:pt>
                <c:pt idx="45">
                  <c:v>174.00727718146638</c:v>
                </c:pt>
                <c:pt idx="46">
                  <c:v>173.96862739185792</c:v>
                </c:pt>
                <c:pt idx="47">
                  <c:v>174.09259723039659</c:v>
                </c:pt>
                <c:pt idx="48">
                  <c:v>174.03881599973491</c:v>
                </c:pt>
                <c:pt idx="49">
                  <c:v>174.37519906335194</c:v>
                </c:pt>
                <c:pt idx="50">
                  <c:v>174.26197861889275</c:v>
                </c:pt>
                <c:pt idx="51">
                  <c:v>174.0994422143597</c:v>
                </c:pt>
                <c:pt idx="52">
                  <c:v>173.52086768182329</c:v>
                </c:pt>
                <c:pt idx="53">
                  <c:v>172.81816446781207</c:v>
                </c:pt>
                <c:pt idx="54">
                  <c:v>172.32566768819282</c:v>
                </c:pt>
                <c:pt idx="55">
                  <c:v>170.96123847880293</c:v>
                </c:pt>
                <c:pt idx="56">
                  <c:v>171.06055391138312</c:v>
                </c:pt>
                <c:pt idx="57">
                  <c:v>171.11677526760994</c:v>
                </c:pt>
                <c:pt idx="58">
                  <c:v>171.04239189922339</c:v>
                </c:pt>
                <c:pt idx="59">
                  <c:v>171.16549245102431</c:v>
                </c:pt>
                <c:pt idx="60">
                  <c:v>171.28427362615227</c:v>
                </c:pt>
                <c:pt idx="61">
                  <c:v>170.83682536179666</c:v>
                </c:pt>
                <c:pt idx="62">
                  <c:v>169.93220005337099</c:v>
                </c:pt>
                <c:pt idx="63">
                  <c:v>169.05229958897729</c:v>
                </c:pt>
                <c:pt idx="64">
                  <c:v>168.53231363826845</c:v>
                </c:pt>
                <c:pt idx="65">
                  <c:v>166.79186865386112</c:v>
                </c:pt>
                <c:pt idx="66">
                  <c:v>166.59013511162792</c:v>
                </c:pt>
                <c:pt idx="67">
                  <c:v>165.96248621602913</c:v>
                </c:pt>
                <c:pt idx="68">
                  <c:v>165.88879375418625</c:v>
                </c:pt>
                <c:pt idx="69">
                  <c:v>166.42213709867008</c:v>
                </c:pt>
                <c:pt idx="70">
                  <c:v>167.05063920800089</c:v>
                </c:pt>
                <c:pt idx="71">
                  <c:v>168.00936606749806</c:v>
                </c:pt>
                <c:pt idx="72">
                  <c:v>168.74049337401087</c:v>
                </c:pt>
                <c:pt idx="73">
                  <c:v>169.64253201759419</c:v>
                </c:pt>
                <c:pt idx="74">
                  <c:v>170.77003502083315</c:v>
                </c:pt>
                <c:pt idx="75">
                  <c:v>171.33918989854826</c:v>
                </c:pt>
                <c:pt idx="76">
                  <c:v>171.61060118422037</c:v>
                </c:pt>
                <c:pt idx="77">
                  <c:v>171.72560549124927</c:v>
                </c:pt>
                <c:pt idx="78">
                  <c:v>171.60562353354672</c:v>
                </c:pt>
                <c:pt idx="79">
                  <c:v>171.40886851792197</c:v>
                </c:pt>
                <c:pt idx="80">
                  <c:v>170.9616357239513</c:v>
                </c:pt>
                <c:pt idx="81">
                  <c:v>170.86994708745499</c:v>
                </c:pt>
                <c:pt idx="82">
                  <c:v>170.49604940708213</c:v>
                </c:pt>
                <c:pt idx="83">
                  <c:v>169.79535297110374</c:v>
                </c:pt>
                <c:pt idx="84">
                  <c:v>170.04660890437546</c:v>
                </c:pt>
                <c:pt idx="85">
                  <c:v>170.21985734439346</c:v>
                </c:pt>
                <c:pt idx="86">
                  <c:v>170.65172390860769</c:v>
                </c:pt>
                <c:pt idx="87">
                  <c:v>170.94174230738761</c:v>
                </c:pt>
                <c:pt idx="88">
                  <c:v>170.98974643781744</c:v>
                </c:pt>
                <c:pt idx="89">
                  <c:v>170.88933880426751</c:v>
                </c:pt>
                <c:pt idx="90">
                  <c:v>170.69821404791537</c:v>
                </c:pt>
                <c:pt idx="91">
                  <c:v>170.23472957938179</c:v>
                </c:pt>
                <c:pt idx="92">
                  <c:v>169.7568502335269</c:v>
                </c:pt>
                <c:pt idx="93">
                  <c:v>168.84092348898562</c:v>
                </c:pt>
                <c:pt idx="94">
                  <c:v>167.34365076415031</c:v>
                </c:pt>
                <c:pt idx="95">
                  <c:v>166.23067172005844</c:v>
                </c:pt>
                <c:pt idx="96">
                  <c:v>165.20249317597688</c:v>
                </c:pt>
                <c:pt idx="97">
                  <c:v>164.24599874713851</c:v>
                </c:pt>
                <c:pt idx="98">
                  <c:v>163.99948894086791</c:v>
                </c:pt>
                <c:pt idx="99">
                  <c:v>163.51872844773482</c:v>
                </c:pt>
                <c:pt idx="100">
                  <c:v>163.33263478541926</c:v>
                </c:pt>
                <c:pt idx="101">
                  <c:v>162.92112205315289</c:v>
                </c:pt>
                <c:pt idx="102">
                  <c:v>162.73358344001258</c:v>
                </c:pt>
                <c:pt idx="103">
                  <c:v>162.81377484263092</c:v>
                </c:pt>
                <c:pt idx="104">
                  <c:v>163.40298865353049</c:v>
                </c:pt>
                <c:pt idx="105">
                  <c:v>163.45386216123339</c:v>
                </c:pt>
                <c:pt idx="106">
                  <c:v>163.46340580661632</c:v>
                </c:pt>
                <c:pt idx="107">
                  <c:v>163.51038934975159</c:v>
                </c:pt>
                <c:pt idx="108">
                  <c:v>163.46223187547804</c:v>
                </c:pt>
                <c:pt idx="109">
                  <c:v>163.1371945595981</c:v>
                </c:pt>
                <c:pt idx="110">
                  <c:v>162.90285751446157</c:v>
                </c:pt>
                <c:pt idx="111">
                  <c:v>162.88712159829322</c:v>
                </c:pt>
                <c:pt idx="112">
                  <c:v>162.86016351747861</c:v>
                </c:pt>
                <c:pt idx="113">
                  <c:v>162.62364791711366</c:v>
                </c:pt>
                <c:pt idx="114">
                  <c:v>162.43233885898636</c:v>
                </c:pt>
                <c:pt idx="115">
                  <c:v>162.06535691883047</c:v>
                </c:pt>
                <c:pt idx="116">
                  <c:v>161.9071003057262</c:v>
                </c:pt>
                <c:pt idx="117">
                  <c:v>161.57373672385253</c:v>
                </c:pt>
                <c:pt idx="118">
                  <c:v>161.11088913586019</c:v>
                </c:pt>
                <c:pt idx="119">
                  <c:v>161.02806701102696</c:v>
                </c:pt>
                <c:pt idx="120">
                  <c:v>160.75822982543647</c:v>
                </c:pt>
                <c:pt idx="121">
                  <c:v>160.27852688931966</c:v>
                </c:pt>
                <c:pt idx="122">
                  <c:v>159.99987057163088</c:v>
                </c:pt>
                <c:pt idx="123">
                  <c:v>160.05697687681763</c:v>
                </c:pt>
                <c:pt idx="124">
                  <c:v>160.11702849178795</c:v>
                </c:pt>
                <c:pt idx="125">
                  <c:v>160.19605293837787</c:v>
                </c:pt>
                <c:pt idx="126">
                  <c:v>160.09935692516004</c:v>
                </c:pt>
                <c:pt idx="127">
                  <c:v>160.05802447705113</c:v>
                </c:pt>
                <c:pt idx="128">
                  <c:v>160.11359531496186</c:v>
                </c:pt>
                <c:pt idx="129">
                  <c:v>160.12906956610368</c:v>
                </c:pt>
                <c:pt idx="130">
                  <c:v>160.38683134516501</c:v>
                </c:pt>
                <c:pt idx="131">
                  <c:v>160.37072427831518</c:v>
                </c:pt>
                <c:pt idx="132">
                  <c:v>160.44106124502119</c:v>
                </c:pt>
                <c:pt idx="133">
                  <c:v>160.32322687102612</c:v>
                </c:pt>
                <c:pt idx="134">
                  <c:v>160.25133935095153</c:v>
                </c:pt>
                <c:pt idx="135">
                  <c:v>160.48939233770088</c:v>
                </c:pt>
                <c:pt idx="136">
                  <c:v>160.3788184065844</c:v>
                </c:pt>
                <c:pt idx="137">
                  <c:v>160.33980829442586</c:v>
                </c:pt>
                <c:pt idx="138">
                  <c:v>160.32485169310158</c:v>
                </c:pt>
                <c:pt idx="139">
                  <c:v>160.11062058226275</c:v>
                </c:pt>
                <c:pt idx="140">
                  <c:v>160.34163440701366</c:v>
                </c:pt>
                <c:pt idx="141">
                  <c:v>160.72241037609336</c:v>
                </c:pt>
                <c:pt idx="142">
                  <c:v>160.80544838961612</c:v>
                </c:pt>
                <c:pt idx="143">
                  <c:v>161.04693189815674</c:v>
                </c:pt>
                <c:pt idx="144">
                  <c:v>161.01922831337447</c:v>
                </c:pt>
                <c:pt idx="145">
                  <c:v>161.09829612528361</c:v>
                </c:pt>
                <c:pt idx="146">
                  <c:v>160.82654440357311</c:v>
                </c:pt>
                <c:pt idx="147">
                  <c:v>160.55132190169169</c:v>
                </c:pt>
                <c:pt idx="148">
                  <c:v>160.47033655680085</c:v>
                </c:pt>
                <c:pt idx="149">
                  <c:v>160.77584862504398</c:v>
                </c:pt>
                <c:pt idx="150">
                  <c:v>160.59892213294881</c:v>
                </c:pt>
                <c:pt idx="151">
                  <c:v>160.57393079701043</c:v>
                </c:pt>
                <c:pt idx="152">
                  <c:v>160.99164513598237</c:v>
                </c:pt>
                <c:pt idx="153">
                  <c:v>161.45153485899459</c:v>
                </c:pt>
                <c:pt idx="154">
                  <c:v>161.80577337577537</c:v>
                </c:pt>
                <c:pt idx="155">
                  <c:v>162.08938054204771</c:v>
                </c:pt>
                <c:pt idx="156">
                  <c:v>162.28195367542452</c:v>
                </c:pt>
                <c:pt idx="157">
                  <c:v>162.29533396685872</c:v>
                </c:pt>
                <c:pt idx="158">
                  <c:v>162.18912026504725</c:v>
                </c:pt>
                <c:pt idx="159">
                  <c:v>162.04871886541011</c:v>
                </c:pt>
                <c:pt idx="160">
                  <c:v>161.78235084307863</c:v>
                </c:pt>
                <c:pt idx="161">
                  <c:v>161.24593917655898</c:v>
                </c:pt>
                <c:pt idx="162">
                  <c:v>160.96516796917558</c:v>
                </c:pt>
                <c:pt idx="163">
                  <c:v>160.32178060187269</c:v>
                </c:pt>
                <c:pt idx="164">
                  <c:v>160.09856672674991</c:v>
                </c:pt>
                <c:pt idx="165">
                  <c:v>159.54698926791082</c:v>
                </c:pt>
                <c:pt idx="166">
                  <c:v>159.10587224326122</c:v>
                </c:pt>
                <c:pt idx="167">
                  <c:v>159.01049960993296</c:v>
                </c:pt>
                <c:pt idx="168">
                  <c:v>158.30909480700782</c:v>
                </c:pt>
                <c:pt idx="169">
                  <c:v>156.83583741692931</c:v>
                </c:pt>
                <c:pt idx="170">
                  <c:v>155.84198655104811</c:v>
                </c:pt>
                <c:pt idx="171">
                  <c:v>155.05330527322067</c:v>
                </c:pt>
                <c:pt idx="172">
                  <c:v>154.92025330182764</c:v>
                </c:pt>
                <c:pt idx="173">
                  <c:v>154.83438889607089</c:v>
                </c:pt>
                <c:pt idx="174">
                  <c:v>154.80928322583526</c:v>
                </c:pt>
                <c:pt idx="175">
                  <c:v>154.81569462072829</c:v>
                </c:pt>
                <c:pt idx="176">
                  <c:v>154.81444318261421</c:v>
                </c:pt>
                <c:pt idx="177">
                  <c:v>154.56766780675039</c:v>
                </c:pt>
                <c:pt idx="178">
                  <c:v>154.24574272606736</c:v>
                </c:pt>
                <c:pt idx="179">
                  <c:v>154.00174836739862</c:v>
                </c:pt>
                <c:pt idx="180">
                  <c:v>153.86306692651044</c:v>
                </c:pt>
                <c:pt idx="181">
                  <c:v>153.67841089349574</c:v>
                </c:pt>
                <c:pt idx="182">
                  <c:v>153.76077092726641</c:v>
                </c:pt>
                <c:pt idx="183">
                  <c:v>153.64418100882236</c:v>
                </c:pt>
                <c:pt idx="184">
                  <c:v>153.90231603703825</c:v>
                </c:pt>
                <c:pt idx="185">
                  <c:v>154.01164985671315</c:v>
                </c:pt>
                <c:pt idx="186">
                  <c:v>154.04600442028558</c:v>
                </c:pt>
                <c:pt idx="187">
                  <c:v>154.22174361920315</c:v>
                </c:pt>
                <c:pt idx="188">
                  <c:v>154.20744330431165</c:v>
                </c:pt>
                <c:pt idx="189">
                  <c:v>154.19129054531206</c:v>
                </c:pt>
                <c:pt idx="190">
                  <c:v>154.15672094591338</c:v>
                </c:pt>
                <c:pt idx="191">
                  <c:v>153.93088792692237</c:v>
                </c:pt>
                <c:pt idx="192">
                  <c:v>153.6675769263818</c:v>
                </c:pt>
                <c:pt idx="193">
                  <c:v>153.32783496956421</c:v>
                </c:pt>
                <c:pt idx="194">
                  <c:v>152.8109744128077</c:v>
                </c:pt>
                <c:pt idx="195">
                  <c:v>152.22944747430907</c:v>
                </c:pt>
                <c:pt idx="196">
                  <c:v>151.84893064786678</c:v>
                </c:pt>
                <c:pt idx="197">
                  <c:v>151.22684676877159</c:v>
                </c:pt>
                <c:pt idx="198">
                  <c:v>150.67388007234914</c:v>
                </c:pt>
                <c:pt idx="199">
                  <c:v>150.61861321646307</c:v>
                </c:pt>
                <c:pt idx="200">
                  <c:v>150.4224969285589</c:v>
                </c:pt>
                <c:pt idx="201">
                  <c:v>149.96235659480917</c:v>
                </c:pt>
                <c:pt idx="202">
                  <c:v>149.9460935151655</c:v>
                </c:pt>
                <c:pt idx="203">
                  <c:v>149.93974144537083</c:v>
                </c:pt>
                <c:pt idx="204">
                  <c:v>149.98028819585068</c:v>
                </c:pt>
                <c:pt idx="205">
                  <c:v>150.33470270341252</c:v>
                </c:pt>
                <c:pt idx="206">
                  <c:v>151.83335854283771</c:v>
                </c:pt>
                <c:pt idx="207">
                  <c:v>152.4528959050343</c:v>
                </c:pt>
                <c:pt idx="208">
                  <c:v>152.62874563579095</c:v>
                </c:pt>
                <c:pt idx="209">
                  <c:v>152.60246105343552</c:v>
                </c:pt>
                <c:pt idx="210">
                  <c:v>152.37159703926923</c:v>
                </c:pt>
                <c:pt idx="211">
                  <c:v>152.16475288477901</c:v>
                </c:pt>
                <c:pt idx="212">
                  <c:v>152.13006187676524</c:v>
                </c:pt>
                <c:pt idx="213">
                  <c:v>152.22383902108325</c:v>
                </c:pt>
                <c:pt idx="214">
                  <c:v>152.10652457490789</c:v>
                </c:pt>
                <c:pt idx="215">
                  <c:v>151.78426768653634</c:v>
                </c:pt>
                <c:pt idx="216">
                  <c:v>150.84919830275288</c:v>
                </c:pt>
                <c:pt idx="217">
                  <c:v>150.59053648168279</c:v>
                </c:pt>
                <c:pt idx="218">
                  <c:v>150.09020010053283</c:v>
                </c:pt>
                <c:pt idx="219">
                  <c:v>149.61211485210151</c:v>
                </c:pt>
                <c:pt idx="220">
                  <c:v>149.09806410557667</c:v>
                </c:pt>
                <c:pt idx="221">
                  <c:v>148.65653774782646</c:v>
                </c:pt>
                <c:pt idx="222">
                  <c:v>148.42797390096086</c:v>
                </c:pt>
                <c:pt idx="223">
                  <c:v>148.01383637327169</c:v>
                </c:pt>
                <c:pt idx="224">
                  <c:v>147.84657895642943</c:v>
                </c:pt>
                <c:pt idx="225">
                  <c:v>147.87576395051531</c:v>
                </c:pt>
                <c:pt idx="226">
                  <c:v>147.92085827129895</c:v>
                </c:pt>
                <c:pt idx="227">
                  <c:v>147.82159313554882</c:v>
                </c:pt>
                <c:pt idx="228">
                  <c:v>147.72088206291644</c:v>
                </c:pt>
                <c:pt idx="229">
                  <c:v>147.72179985345798</c:v>
                </c:pt>
                <c:pt idx="230">
                  <c:v>147.80866832412187</c:v>
                </c:pt>
                <c:pt idx="231">
                  <c:v>148.00441411015558</c:v>
                </c:pt>
                <c:pt idx="232">
                  <c:v>147.934175725648</c:v>
                </c:pt>
                <c:pt idx="233">
                  <c:v>147.30996443507988</c:v>
                </c:pt>
                <c:pt idx="234">
                  <c:v>147.60735839368354</c:v>
                </c:pt>
                <c:pt idx="235">
                  <c:v>147.83663857718633</c:v>
                </c:pt>
                <c:pt idx="236">
                  <c:v>149.06121105868999</c:v>
                </c:pt>
                <c:pt idx="237">
                  <c:v>150.12541883726553</c:v>
                </c:pt>
                <c:pt idx="238">
                  <c:v>150.84491127207895</c:v>
                </c:pt>
                <c:pt idx="239">
                  <c:v>151.26924029596694</c:v>
                </c:pt>
                <c:pt idx="240">
                  <c:v>151.52736424454426</c:v>
                </c:pt>
                <c:pt idx="241">
                  <c:v>152.20311239798156</c:v>
                </c:pt>
                <c:pt idx="242">
                  <c:v>153.19427142732846</c:v>
                </c:pt>
                <c:pt idx="243">
                  <c:v>154.3159540105996</c:v>
                </c:pt>
                <c:pt idx="244">
                  <c:v>155.63043288833063</c:v>
                </c:pt>
                <c:pt idx="245">
                  <c:v>156.98643967822628</c:v>
                </c:pt>
                <c:pt idx="246">
                  <c:v>158.15553328867122</c:v>
                </c:pt>
                <c:pt idx="247">
                  <c:v>159.55594512449167</c:v>
                </c:pt>
                <c:pt idx="248">
                  <c:v>160.2653833637213</c:v>
                </c:pt>
                <c:pt idx="249">
                  <c:v>161.27075005569836</c:v>
                </c:pt>
                <c:pt idx="250">
                  <c:v>162.30090595331603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3-4093-BA9D-BD566CA0ACA3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163.8350395465981</c:v>
                </c:pt>
                <c:pt idx="20">
                  <c:v>163.7257324392055</c:v>
                </c:pt>
                <c:pt idx="21">
                  <c:v>163.43492517375986</c:v>
                </c:pt>
                <c:pt idx="22">
                  <c:v>164.77295260946408</c:v>
                </c:pt>
                <c:pt idx="23">
                  <c:v>165.25065477114006</c:v>
                </c:pt>
                <c:pt idx="24">
                  <c:v>165.64313676332731</c:v>
                </c:pt>
                <c:pt idx="25">
                  <c:v>165.7111798050328</c:v>
                </c:pt>
                <c:pt idx="26">
                  <c:v>165.15865061893098</c:v>
                </c:pt>
                <c:pt idx="27">
                  <c:v>164.40617053182632</c:v>
                </c:pt>
                <c:pt idx="28">
                  <c:v>163.00417040221342</c:v>
                </c:pt>
                <c:pt idx="29">
                  <c:v>162.55805666700249</c:v>
                </c:pt>
                <c:pt idx="30">
                  <c:v>162.39054924257732</c:v>
                </c:pt>
                <c:pt idx="31">
                  <c:v>162.21983535936243</c:v>
                </c:pt>
                <c:pt idx="32">
                  <c:v>162.40872243674292</c:v>
                </c:pt>
                <c:pt idx="33">
                  <c:v>162.44265799898338</c:v>
                </c:pt>
                <c:pt idx="34">
                  <c:v>162.57987636145171</c:v>
                </c:pt>
                <c:pt idx="35">
                  <c:v>162.76897060886617</c:v>
                </c:pt>
                <c:pt idx="36">
                  <c:v>162.52262004737537</c:v>
                </c:pt>
                <c:pt idx="37">
                  <c:v>161.71795475005538</c:v>
                </c:pt>
                <c:pt idx="38">
                  <c:v>160.16285512268635</c:v>
                </c:pt>
                <c:pt idx="39">
                  <c:v>159.57006112513895</c:v>
                </c:pt>
                <c:pt idx="40">
                  <c:v>159.22985873642978</c:v>
                </c:pt>
                <c:pt idx="41">
                  <c:v>159.20452542927057</c:v>
                </c:pt>
                <c:pt idx="42">
                  <c:v>159.22688445543474</c:v>
                </c:pt>
                <c:pt idx="43">
                  <c:v>159.22973844027493</c:v>
                </c:pt>
                <c:pt idx="44">
                  <c:v>159.18539421538449</c:v>
                </c:pt>
                <c:pt idx="45">
                  <c:v>159.10872281853361</c:v>
                </c:pt>
                <c:pt idx="46">
                  <c:v>159.05337260814207</c:v>
                </c:pt>
                <c:pt idx="47">
                  <c:v>159.15240276960341</c:v>
                </c:pt>
                <c:pt idx="48">
                  <c:v>159.49418400026511</c:v>
                </c:pt>
                <c:pt idx="49">
                  <c:v>158.45280093664809</c:v>
                </c:pt>
                <c:pt idx="50">
                  <c:v>157.79702138110727</c:v>
                </c:pt>
                <c:pt idx="51">
                  <c:v>157.34155778564033</c:v>
                </c:pt>
                <c:pt idx="52">
                  <c:v>157.10413231817682</c:v>
                </c:pt>
                <c:pt idx="53">
                  <c:v>157.00783553218801</c:v>
                </c:pt>
                <c:pt idx="54">
                  <c:v>156.54833231180726</c:v>
                </c:pt>
                <c:pt idx="55">
                  <c:v>156.72576152119709</c:v>
                </c:pt>
                <c:pt idx="56">
                  <c:v>156.13444608861693</c:v>
                </c:pt>
                <c:pt idx="57">
                  <c:v>155.98022473239016</c:v>
                </c:pt>
                <c:pt idx="58">
                  <c:v>156.14460810077662</c:v>
                </c:pt>
                <c:pt idx="59">
                  <c:v>155.65450754897574</c:v>
                </c:pt>
                <c:pt idx="60">
                  <c:v>154.94572637384769</c:v>
                </c:pt>
                <c:pt idx="61">
                  <c:v>154.79217463820331</c:v>
                </c:pt>
                <c:pt idx="62">
                  <c:v>154.65679994662901</c:v>
                </c:pt>
                <c:pt idx="63">
                  <c:v>154.49170041102269</c:v>
                </c:pt>
                <c:pt idx="64">
                  <c:v>154.61368636173151</c:v>
                </c:pt>
                <c:pt idx="65">
                  <c:v>155.61913134613889</c:v>
                </c:pt>
                <c:pt idx="66">
                  <c:v>155.72286488837207</c:v>
                </c:pt>
                <c:pt idx="67">
                  <c:v>156.12651378397086</c:v>
                </c:pt>
                <c:pt idx="68">
                  <c:v>156.17020624581372</c:v>
                </c:pt>
                <c:pt idx="69">
                  <c:v>156.18686290132996</c:v>
                </c:pt>
                <c:pt idx="70">
                  <c:v>156.04236079199913</c:v>
                </c:pt>
                <c:pt idx="71">
                  <c:v>155.67463393250196</c:v>
                </c:pt>
                <c:pt idx="72">
                  <c:v>155.45350662598915</c:v>
                </c:pt>
                <c:pt idx="73">
                  <c:v>155.15046798240581</c:v>
                </c:pt>
                <c:pt idx="74">
                  <c:v>155.01396497916684</c:v>
                </c:pt>
                <c:pt idx="75">
                  <c:v>155.17081010145179</c:v>
                </c:pt>
                <c:pt idx="76">
                  <c:v>155.70139881577964</c:v>
                </c:pt>
                <c:pt idx="77">
                  <c:v>156.25639450875076</c:v>
                </c:pt>
                <c:pt idx="78">
                  <c:v>156.72737646645331</c:v>
                </c:pt>
                <c:pt idx="79">
                  <c:v>157.46113148207803</c:v>
                </c:pt>
                <c:pt idx="80">
                  <c:v>158.39836427604871</c:v>
                </c:pt>
                <c:pt idx="81">
                  <c:v>158.68405291254498</c:v>
                </c:pt>
                <c:pt idx="82">
                  <c:v>159.39595059291787</c:v>
                </c:pt>
                <c:pt idx="83">
                  <c:v>160.61264702889628</c:v>
                </c:pt>
                <c:pt idx="84">
                  <c:v>160.14839109562459</c:v>
                </c:pt>
                <c:pt idx="85">
                  <c:v>159.73514265560658</c:v>
                </c:pt>
                <c:pt idx="86">
                  <c:v>158.67827609139235</c:v>
                </c:pt>
                <c:pt idx="87">
                  <c:v>157.62625769261243</c:v>
                </c:pt>
                <c:pt idx="88">
                  <c:v>156.94325356218255</c:v>
                </c:pt>
                <c:pt idx="89">
                  <c:v>156.64366119573251</c:v>
                </c:pt>
                <c:pt idx="90">
                  <c:v>156.28478595208463</c:v>
                </c:pt>
                <c:pt idx="91">
                  <c:v>155.86927042061819</c:v>
                </c:pt>
                <c:pt idx="92">
                  <c:v>155.47414976647309</c:v>
                </c:pt>
                <c:pt idx="93">
                  <c:v>155.52007651101437</c:v>
                </c:pt>
                <c:pt idx="94">
                  <c:v>155.96034923584972</c:v>
                </c:pt>
                <c:pt idx="95">
                  <c:v>156.41732827994159</c:v>
                </c:pt>
                <c:pt idx="96">
                  <c:v>156.88050682402309</c:v>
                </c:pt>
                <c:pt idx="97">
                  <c:v>157.32500125286145</c:v>
                </c:pt>
                <c:pt idx="98">
                  <c:v>157.34151105913205</c:v>
                </c:pt>
                <c:pt idx="99">
                  <c:v>157.20927155226514</c:v>
                </c:pt>
                <c:pt idx="100">
                  <c:v>156.89136521458073</c:v>
                </c:pt>
                <c:pt idx="101">
                  <c:v>156.86787794684705</c:v>
                </c:pt>
                <c:pt idx="102">
                  <c:v>156.54941655998743</c:v>
                </c:pt>
                <c:pt idx="103">
                  <c:v>155.52722515736909</c:v>
                </c:pt>
                <c:pt idx="104">
                  <c:v>154.17801134646953</c:v>
                </c:pt>
                <c:pt idx="105">
                  <c:v>153.4121378387666</c:v>
                </c:pt>
                <c:pt idx="106">
                  <c:v>153.1125941933837</c:v>
                </c:pt>
                <c:pt idx="107">
                  <c:v>152.7736106502484</c:v>
                </c:pt>
                <c:pt idx="108">
                  <c:v>152.41676812452198</c:v>
                </c:pt>
                <c:pt idx="109">
                  <c:v>152.47080544040196</c:v>
                </c:pt>
                <c:pt idx="110">
                  <c:v>152.4971424855384</c:v>
                </c:pt>
                <c:pt idx="111">
                  <c:v>152.49687840170679</c:v>
                </c:pt>
                <c:pt idx="112">
                  <c:v>152.49083648252139</c:v>
                </c:pt>
                <c:pt idx="113">
                  <c:v>152.45235208288642</c:v>
                </c:pt>
                <c:pt idx="114">
                  <c:v>152.37266114101377</c:v>
                </c:pt>
                <c:pt idx="115">
                  <c:v>151.90564308116959</c:v>
                </c:pt>
                <c:pt idx="116">
                  <c:v>150.99089969427382</c:v>
                </c:pt>
                <c:pt idx="117">
                  <c:v>150.30626327614752</c:v>
                </c:pt>
                <c:pt idx="118">
                  <c:v>149.79511086413987</c:v>
                </c:pt>
                <c:pt idx="119">
                  <c:v>149.13993298897304</c:v>
                </c:pt>
                <c:pt idx="120">
                  <c:v>148.94377017456353</c:v>
                </c:pt>
                <c:pt idx="121">
                  <c:v>148.92347311068039</c:v>
                </c:pt>
                <c:pt idx="122">
                  <c:v>148.84812942836919</c:v>
                </c:pt>
                <c:pt idx="123">
                  <c:v>148.91302312318251</c:v>
                </c:pt>
                <c:pt idx="124">
                  <c:v>149.09397150821218</c:v>
                </c:pt>
                <c:pt idx="125">
                  <c:v>149.18294706162214</c:v>
                </c:pt>
                <c:pt idx="126">
                  <c:v>149.09164307484005</c:v>
                </c:pt>
                <c:pt idx="127">
                  <c:v>149.05897552294894</c:v>
                </c:pt>
                <c:pt idx="128">
                  <c:v>149.07240468503812</c:v>
                </c:pt>
                <c:pt idx="129">
                  <c:v>149.06493043389634</c:v>
                </c:pt>
                <c:pt idx="130">
                  <c:v>148.930168654835</c:v>
                </c:pt>
                <c:pt idx="131">
                  <c:v>148.93827572168479</c:v>
                </c:pt>
                <c:pt idx="132">
                  <c:v>148.90493875497876</c:v>
                </c:pt>
                <c:pt idx="133">
                  <c:v>148.92677312897388</c:v>
                </c:pt>
                <c:pt idx="134">
                  <c:v>148.93466064904851</c:v>
                </c:pt>
                <c:pt idx="135">
                  <c:v>149.10460766229912</c:v>
                </c:pt>
                <c:pt idx="136">
                  <c:v>149.73318159341562</c:v>
                </c:pt>
                <c:pt idx="137">
                  <c:v>150.41119170557417</c:v>
                </c:pt>
                <c:pt idx="138">
                  <c:v>151.14914830689847</c:v>
                </c:pt>
                <c:pt idx="139">
                  <c:v>152.12937941773731</c:v>
                </c:pt>
                <c:pt idx="140">
                  <c:v>152.53136559298633</c:v>
                </c:pt>
                <c:pt idx="141">
                  <c:v>152.80358962390665</c:v>
                </c:pt>
                <c:pt idx="142">
                  <c:v>153.2705516103839</c:v>
                </c:pt>
                <c:pt idx="143">
                  <c:v>153.47706810184332</c:v>
                </c:pt>
                <c:pt idx="144">
                  <c:v>153.73077168662559</c:v>
                </c:pt>
                <c:pt idx="145">
                  <c:v>153.97370387471645</c:v>
                </c:pt>
                <c:pt idx="146">
                  <c:v>154.66145559642689</c:v>
                </c:pt>
                <c:pt idx="147">
                  <c:v>155.18367809830832</c:v>
                </c:pt>
                <c:pt idx="148">
                  <c:v>155.49766344319917</c:v>
                </c:pt>
                <c:pt idx="149">
                  <c:v>155.38515137495608</c:v>
                </c:pt>
                <c:pt idx="150">
                  <c:v>155.34307786705125</c:v>
                </c:pt>
                <c:pt idx="151">
                  <c:v>155.09906920298963</c:v>
                </c:pt>
                <c:pt idx="152">
                  <c:v>154.12135486401769</c:v>
                </c:pt>
                <c:pt idx="153">
                  <c:v>153.29646514100546</c:v>
                </c:pt>
                <c:pt idx="154">
                  <c:v>152.58722662422466</c:v>
                </c:pt>
                <c:pt idx="155">
                  <c:v>151.82261945795233</c:v>
                </c:pt>
                <c:pt idx="156">
                  <c:v>151.31504632457552</c:v>
                </c:pt>
                <c:pt idx="157">
                  <c:v>150.95066603314132</c:v>
                </c:pt>
                <c:pt idx="158">
                  <c:v>150.62287973495276</c:v>
                </c:pt>
                <c:pt idx="159">
                  <c:v>150.26428113458988</c:v>
                </c:pt>
                <c:pt idx="160">
                  <c:v>149.81664915692141</c:v>
                </c:pt>
                <c:pt idx="161">
                  <c:v>149.57806082344104</c:v>
                </c:pt>
                <c:pt idx="162">
                  <c:v>148.99883203082447</c:v>
                </c:pt>
                <c:pt idx="163">
                  <c:v>148.95021939812736</c:v>
                </c:pt>
                <c:pt idx="164">
                  <c:v>148.50743327325009</c:v>
                </c:pt>
                <c:pt idx="165">
                  <c:v>148.25401073208923</c:v>
                </c:pt>
                <c:pt idx="166">
                  <c:v>147.8741277567388</c:v>
                </c:pt>
                <c:pt idx="167">
                  <c:v>147.03550039006703</c:v>
                </c:pt>
                <c:pt idx="168">
                  <c:v>146.84790519299216</c:v>
                </c:pt>
                <c:pt idx="169">
                  <c:v>147.03016258307068</c:v>
                </c:pt>
                <c:pt idx="170">
                  <c:v>147.25201344895189</c:v>
                </c:pt>
                <c:pt idx="171">
                  <c:v>147.57669472677932</c:v>
                </c:pt>
                <c:pt idx="172">
                  <c:v>147.59874669817231</c:v>
                </c:pt>
                <c:pt idx="173">
                  <c:v>147.59661110392909</c:v>
                </c:pt>
                <c:pt idx="174">
                  <c:v>147.59971677416473</c:v>
                </c:pt>
                <c:pt idx="175">
                  <c:v>147.59930537927167</c:v>
                </c:pt>
                <c:pt idx="176">
                  <c:v>147.59955681738583</c:v>
                </c:pt>
                <c:pt idx="177">
                  <c:v>147.66733219324956</c:v>
                </c:pt>
                <c:pt idx="178">
                  <c:v>147.76125727393259</c:v>
                </c:pt>
                <c:pt idx="179">
                  <c:v>147.5642516326013</c:v>
                </c:pt>
                <c:pt idx="180">
                  <c:v>147.45593307348958</c:v>
                </c:pt>
                <c:pt idx="181">
                  <c:v>147.45058910650422</c:v>
                </c:pt>
                <c:pt idx="182">
                  <c:v>147.12922907273358</c:v>
                </c:pt>
                <c:pt idx="183">
                  <c:v>146.70881899117759</c:v>
                </c:pt>
                <c:pt idx="184">
                  <c:v>145.96068396296175</c:v>
                </c:pt>
                <c:pt idx="185">
                  <c:v>145.40635014328686</c:v>
                </c:pt>
                <c:pt idx="186">
                  <c:v>145.10099557971446</c:v>
                </c:pt>
                <c:pt idx="187">
                  <c:v>144.72625638079683</c:v>
                </c:pt>
                <c:pt idx="188">
                  <c:v>144.67855669568837</c:v>
                </c:pt>
                <c:pt idx="189">
                  <c:v>144.75370945468794</c:v>
                </c:pt>
                <c:pt idx="190">
                  <c:v>144.62427905408668</c:v>
                </c:pt>
                <c:pt idx="191">
                  <c:v>144.47711207307765</c:v>
                </c:pt>
                <c:pt idx="192">
                  <c:v>144.12642307361818</c:v>
                </c:pt>
                <c:pt idx="193">
                  <c:v>144.00316503043581</c:v>
                </c:pt>
                <c:pt idx="194">
                  <c:v>143.99902558719236</c:v>
                </c:pt>
                <c:pt idx="195">
                  <c:v>144.17855252569095</c:v>
                </c:pt>
                <c:pt idx="196">
                  <c:v>144.4020693521332</c:v>
                </c:pt>
                <c:pt idx="197">
                  <c:v>144.54815323122838</c:v>
                </c:pt>
                <c:pt idx="198">
                  <c:v>144.81311992765083</c:v>
                </c:pt>
                <c:pt idx="199">
                  <c:v>144.81638678353687</c:v>
                </c:pt>
                <c:pt idx="200">
                  <c:v>144.87050307144111</c:v>
                </c:pt>
                <c:pt idx="201">
                  <c:v>145.03764340519089</c:v>
                </c:pt>
                <c:pt idx="202">
                  <c:v>144.83790648483449</c:v>
                </c:pt>
                <c:pt idx="203">
                  <c:v>144.79825855462917</c:v>
                </c:pt>
                <c:pt idx="204">
                  <c:v>144.71471180414937</c:v>
                </c:pt>
                <c:pt idx="205">
                  <c:v>144.0922972965875</c:v>
                </c:pt>
                <c:pt idx="206">
                  <c:v>141.72964145716233</c:v>
                </c:pt>
                <c:pt idx="207">
                  <c:v>140.52310409496576</c:v>
                </c:pt>
                <c:pt idx="208">
                  <c:v>139.47525436420915</c:v>
                </c:pt>
                <c:pt idx="209">
                  <c:v>138.77653894656456</c:v>
                </c:pt>
                <c:pt idx="210">
                  <c:v>138.49540296073084</c:v>
                </c:pt>
                <c:pt idx="211">
                  <c:v>138.44824711522111</c:v>
                </c:pt>
                <c:pt idx="212">
                  <c:v>138.42193812323478</c:v>
                </c:pt>
                <c:pt idx="213">
                  <c:v>138.41016097891682</c:v>
                </c:pt>
                <c:pt idx="214">
                  <c:v>138.38047542509213</c:v>
                </c:pt>
                <c:pt idx="215">
                  <c:v>138.32973231346369</c:v>
                </c:pt>
                <c:pt idx="216">
                  <c:v>138.44180169724712</c:v>
                </c:pt>
                <c:pt idx="217">
                  <c:v>138.32046351831715</c:v>
                </c:pt>
                <c:pt idx="218">
                  <c:v>138.42079989946714</c:v>
                </c:pt>
                <c:pt idx="219">
                  <c:v>138.54788514789846</c:v>
                </c:pt>
                <c:pt idx="220">
                  <c:v>138.70293589442332</c:v>
                </c:pt>
                <c:pt idx="221">
                  <c:v>138.80546225217358</c:v>
                </c:pt>
                <c:pt idx="222">
                  <c:v>138.77902609903913</c:v>
                </c:pt>
                <c:pt idx="223">
                  <c:v>138.70116362672834</c:v>
                </c:pt>
                <c:pt idx="224">
                  <c:v>138.36942104357058</c:v>
                </c:pt>
                <c:pt idx="225">
                  <c:v>137.98623604948466</c:v>
                </c:pt>
                <c:pt idx="226">
                  <c:v>137.91114172870104</c:v>
                </c:pt>
                <c:pt idx="227">
                  <c:v>138.20040686445117</c:v>
                </c:pt>
                <c:pt idx="228">
                  <c:v>138.50611793708353</c:v>
                </c:pt>
                <c:pt idx="229">
                  <c:v>138.77520014654198</c:v>
                </c:pt>
                <c:pt idx="230">
                  <c:v>138.82833167587813</c:v>
                </c:pt>
                <c:pt idx="231">
                  <c:v>138.75458588984449</c:v>
                </c:pt>
                <c:pt idx="232">
                  <c:v>138.76682427435196</c:v>
                </c:pt>
                <c:pt idx="233">
                  <c:v>139.06303556492017</c:v>
                </c:pt>
                <c:pt idx="234">
                  <c:v>138.91364160631647</c:v>
                </c:pt>
                <c:pt idx="235">
                  <c:v>138.84436142281365</c:v>
                </c:pt>
                <c:pt idx="236">
                  <c:v>138.34378894131004</c:v>
                </c:pt>
                <c:pt idx="237">
                  <c:v>137.97658116273445</c:v>
                </c:pt>
                <c:pt idx="238">
                  <c:v>137.75708872792103</c:v>
                </c:pt>
                <c:pt idx="239">
                  <c:v>137.69275970403305</c:v>
                </c:pt>
                <c:pt idx="240">
                  <c:v>137.71163575545577</c:v>
                </c:pt>
                <c:pt idx="241">
                  <c:v>137.62088760201846</c:v>
                </c:pt>
                <c:pt idx="242">
                  <c:v>137.47572857267161</c:v>
                </c:pt>
                <c:pt idx="243">
                  <c:v>137.49404598940046</c:v>
                </c:pt>
                <c:pt idx="244">
                  <c:v>137.67456711166943</c:v>
                </c:pt>
                <c:pt idx="245">
                  <c:v>138.01456032177376</c:v>
                </c:pt>
                <c:pt idx="246">
                  <c:v>138.90246671132883</c:v>
                </c:pt>
                <c:pt idx="247">
                  <c:v>139.26605487550833</c:v>
                </c:pt>
                <c:pt idx="248">
                  <c:v>140.10261663627875</c:v>
                </c:pt>
                <c:pt idx="249">
                  <c:v>140.65924994430165</c:v>
                </c:pt>
                <c:pt idx="250">
                  <c:v>141.20509404668394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3-4093-BA9D-BD566CA0A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70607"/>
        <c:axId val="151765327"/>
      </c:lineChart>
      <c:dateAx>
        <c:axId val="151770607"/>
        <c:scaling>
          <c:orientation val="minMax"/>
          <c:max val="46067"/>
          <c:min val="4594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5327"/>
        <c:crosses val="autoZero"/>
        <c:auto val="1"/>
        <c:lblOffset val="100"/>
        <c:baseTimeUnit val="days"/>
      </c:dateAx>
      <c:valAx>
        <c:axId val="151765327"/>
        <c:scaling>
          <c:orientation val="minMax"/>
          <c:max val="165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0.30866057806565805</c:v>
                </c:pt>
                <c:pt idx="36">
                  <c:v>-0.23800724705354037</c:v>
                </c:pt>
                <c:pt idx="37">
                  <c:v>-0.67620703944820271</c:v>
                </c:pt>
                <c:pt idx="38">
                  <c:v>-0.65368088024447513</c:v>
                </c:pt>
                <c:pt idx="39">
                  <c:v>-0.51374112352939028</c:v>
                </c:pt>
                <c:pt idx="40">
                  <c:v>-0.17171848126510358</c:v>
                </c:pt>
                <c:pt idx="41">
                  <c:v>0.20731382763213935</c:v>
                </c:pt>
                <c:pt idx="42">
                  <c:v>0.40540619668161471</c:v>
                </c:pt>
                <c:pt idx="43">
                  <c:v>0.38815950215744444</c:v>
                </c:pt>
                <c:pt idx="44">
                  <c:v>0.63928949592755813</c:v>
                </c:pt>
                <c:pt idx="45">
                  <c:v>0.46199398526077973</c:v>
                </c:pt>
                <c:pt idx="46">
                  <c:v>0.47177263764791955</c:v>
                </c:pt>
                <c:pt idx="47">
                  <c:v>0.32407827168131276</c:v>
                </c:pt>
                <c:pt idx="48">
                  <c:v>-0.17377492710977782</c:v>
                </c:pt>
                <c:pt idx="49">
                  <c:v>-0.3738487082995352</c:v>
                </c:pt>
                <c:pt idx="50">
                  <c:v>-0.41805950255818658</c:v>
                </c:pt>
                <c:pt idx="51">
                  <c:v>-0.38811136991869821</c:v>
                </c:pt>
                <c:pt idx="52">
                  <c:v>-0.31874897125937407</c:v>
                </c:pt>
                <c:pt idx="53">
                  <c:v>-0.41266329748312347</c:v>
                </c:pt>
                <c:pt idx="54">
                  <c:v>-0.4033033366236074</c:v>
                </c:pt>
                <c:pt idx="55">
                  <c:v>-0.47109789841994054</c:v>
                </c:pt>
                <c:pt idx="56">
                  <c:v>-0.44796851927180703</c:v>
                </c:pt>
                <c:pt idx="57">
                  <c:v>-0.39229195708415698</c:v>
                </c:pt>
                <c:pt idx="58">
                  <c:v>-0.36163600717536815</c:v>
                </c:pt>
                <c:pt idx="59">
                  <c:v>-0.3697814685883638</c:v>
                </c:pt>
                <c:pt idx="60">
                  <c:v>-0.13102837964783531</c:v>
                </c:pt>
                <c:pt idx="61">
                  <c:v>-9.4994815080603479E-2</c:v>
                </c:pt>
                <c:pt idx="62">
                  <c:v>-9.4520558485095219E-2</c:v>
                </c:pt>
                <c:pt idx="63">
                  <c:v>0.20932646839999514</c:v>
                </c:pt>
                <c:pt idx="64">
                  <c:v>0.46227823316056771</c:v>
                </c:pt>
                <c:pt idx="65">
                  <c:v>0.70858301009919278</c:v>
                </c:pt>
                <c:pt idx="66">
                  <c:v>0.89662792485950393</c:v>
                </c:pt>
                <c:pt idx="67">
                  <c:v>0.96733238819326939</c:v>
                </c:pt>
                <c:pt idx="68">
                  <c:v>0.94645358272444968</c:v>
                </c:pt>
                <c:pt idx="69">
                  <c:v>0.9456052274489406</c:v>
                </c:pt>
                <c:pt idx="70">
                  <c:v>1.0234857171809868</c:v>
                </c:pt>
                <c:pt idx="71">
                  <c:v>0.99751594000945065</c:v>
                </c:pt>
                <c:pt idx="72">
                  <c:v>1.0076509275933752</c:v>
                </c:pt>
                <c:pt idx="73">
                  <c:v>1.0458840454695297</c:v>
                </c:pt>
                <c:pt idx="74">
                  <c:v>0.87780773901233311</c:v>
                </c:pt>
                <c:pt idx="75">
                  <c:v>0.66253566188357249</c:v>
                </c:pt>
                <c:pt idx="76">
                  <c:v>0.4293715851590878</c:v>
                </c:pt>
                <c:pt idx="77">
                  <c:v>5.264762761569175E-2</c:v>
                </c:pt>
                <c:pt idx="78">
                  <c:v>-0.11554519335639346</c:v>
                </c:pt>
                <c:pt idx="79">
                  <c:v>-0.31498578040746883</c:v>
                </c:pt>
                <c:pt idx="80">
                  <c:v>-0.41179620538258666</c:v>
                </c:pt>
                <c:pt idx="81">
                  <c:v>-0.50272234420219808</c:v>
                </c:pt>
                <c:pt idx="82">
                  <c:v>-0.46917622722737662</c:v>
                </c:pt>
                <c:pt idx="83">
                  <c:v>-0.61165863246272711</c:v>
                </c:pt>
                <c:pt idx="84">
                  <c:v>-0.63224722494580254</c:v>
                </c:pt>
                <c:pt idx="85">
                  <c:v>-0.76281511461649143</c:v>
                </c:pt>
                <c:pt idx="86">
                  <c:v>-0.83503184793284313</c:v>
                </c:pt>
                <c:pt idx="87">
                  <c:v>-0.7654307243565911</c:v>
                </c:pt>
                <c:pt idx="88">
                  <c:v>-0.55204722920749427</c:v>
                </c:pt>
                <c:pt idx="89">
                  <c:v>-0.42567369639846686</c:v>
                </c:pt>
                <c:pt idx="90">
                  <c:v>-0.40543955322296288</c:v>
                </c:pt>
                <c:pt idx="91">
                  <c:v>-0.38485960466638369</c:v>
                </c:pt>
                <c:pt idx="92">
                  <c:v>-0.26407084182451013</c:v>
                </c:pt>
                <c:pt idx="93">
                  <c:v>-0.19916047619082433</c:v>
                </c:pt>
                <c:pt idx="94">
                  <c:v>-1.6507289282183812E-2</c:v>
                </c:pt>
                <c:pt idx="95">
                  <c:v>0.10787754398765315</c:v>
                </c:pt>
                <c:pt idx="96">
                  <c:v>0.16663838646581852</c:v>
                </c:pt>
                <c:pt idx="97">
                  <c:v>0.18335994636574804</c:v>
                </c:pt>
                <c:pt idx="98">
                  <c:v>2.6933338668954088E-2</c:v>
                </c:pt>
                <c:pt idx="99">
                  <c:v>-8.6928864357173286E-2</c:v>
                </c:pt>
                <c:pt idx="100">
                  <c:v>-8.2429880332833605E-2</c:v>
                </c:pt>
                <c:pt idx="101">
                  <c:v>-0.15759293690869791</c:v>
                </c:pt>
                <c:pt idx="102">
                  <c:v>-0.39644993747755164</c:v>
                </c:pt>
                <c:pt idx="103">
                  <c:v>-0.58344522556204437</c:v>
                </c:pt>
                <c:pt idx="104">
                  <c:v>-0.59087058137371229</c:v>
                </c:pt>
                <c:pt idx="105">
                  <c:v>-0.43040218188039447</c:v>
                </c:pt>
                <c:pt idx="106">
                  <c:v>-0.32593284403403544</c:v>
                </c:pt>
                <c:pt idx="107">
                  <c:v>-0.23257827286421962</c:v>
                </c:pt>
                <c:pt idx="108">
                  <c:v>6.3873420356626465E-2</c:v>
                </c:pt>
                <c:pt idx="109">
                  <c:v>0.25942356645409581</c:v>
                </c:pt>
                <c:pt idx="110">
                  <c:v>0.41726430540483639</c:v>
                </c:pt>
                <c:pt idx="111">
                  <c:v>0.47587384602706617</c:v>
                </c:pt>
                <c:pt idx="112">
                  <c:v>0.42473416084719351</c:v>
                </c:pt>
                <c:pt idx="113">
                  <c:v>0.35055274689858562</c:v>
                </c:pt>
                <c:pt idx="114">
                  <c:v>5.888790129758914E-2</c:v>
                </c:pt>
                <c:pt idx="115">
                  <c:v>-0.26969669394873574</c:v>
                </c:pt>
                <c:pt idx="116">
                  <c:v>-0.43829448296792561</c:v>
                </c:pt>
                <c:pt idx="117">
                  <c:v>-0.50124574129112553</c:v>
                </c:pt>
                <c:pt idx="118">
                  <c:v>-0.51651171044250921</c:v>
                </c:pt>
                <c:pt idx="119">
                  <c:v>-0.33398603623625811</c:v>
                </c:pt>
                <c:pt idx="120">
                  <c:v>-0.14606184931696209</c:v>
                </c:pt>
                <c:pt idx="121">
                  <c:v>-3.2011460529224323E-3</c:v>
                </c:pt>
                <c:pt idx="122">
                  <c:v>0.19646855314450207</c:v>
                </c:pt>
                <c:pt idx="123">
                  <c:v>0.33403820048328337</c:v>
                </c:pt>
                <c:pt idx="124">
                  <c:v>0.43811347893221653</c:v>
                </c:pt>
                <c:pt idx="125">
                  <c:v>0.38774363754532182</c:v>
                </c:pt>
                <c:pt idx="126">
                  <c:v>0.38846976142230738</c:v>
                </c:pt>
                <c:pt idx="127">
                  <c:v>0.46752345187924815</c:v>
                </c:pt>
                <c:pt idx="128">
                  <c:v>0.67470095424982013</c:v>
                </c:pt>
                <c:pt idx="129">
                  <c:v>0.84959188059180379</c:v>
                </c:pt>
                <c:pt idx="130">
                  <c:v>0.87252635885557883</c:v>
                </c:pt>
                <c:pt idx="131">
                  <c:v>0.842975269984514</c:v>
                </c:pt>
                <c:pt idx="132">
                  <c:v>0.62316359720909431</c:v>
                </c:pt>
                <c:pt idx="133">
                  <c:v>0.44353618495312741</c:v>
                </c:pt>
                <c:pt idx="134">
                  <c:v>0.37216761244598828</c:v>
                </c:pt>
                <c:pt idx="135">
                  <c:v>0.22476596982178021</c:v>
                </c:pt>
                <c:pt idx="136">
                  <c:v>0.20923071472658875</c:v>
                </c:pt>
                <c:pt idx="137">
                  <c:v>0.2486044891993415</c:v>
                </c:pt>
                <c:pt idx="138">
                  <c:v>0.2706239202626568</c:v>
                </c:pt>
                <c:pt idx="139">
                  <c:v>0.33360172107572261</c:v>
                </c:pt>
                <c:pt idx="140">
                  <c:v>0.40606433223949745</c:v>
                </c:pt>
                <c:pt idx="141">
                  <c:v>0.36232322478778262</c:v>
                </c:pt>
                <c:pt idx="142">
                  <c:v>0.34038884013343385</c:v>
                </c:pt>
                <c:pt idx="143">
                  <c:v>0.16912328915699815</c:v>
                </c:pt>
                <c:pt idx="144">
                  <c:v>0.12919429349621958</c:v>
                </c:pt>
                <c:pt idx="145">
                  <c:v>4.510968602575649E-2</c:v>
                </c:pt>
                <c:pt idx="146">
                  <c:v>-8.4043769221066267E-2</c:v>
                </c:pt>
                <c:pt idx="147">
                  <c:v>-8.8341064692597726E-2</c:v>
                </c:pt>
                <c:pt idx="148">
                  <c:v>5.3692404049526465E-2</c:v>
                </c:pt>
                <c:pt idx="149">
                  <c:v>-5.7720285672998028E-2</c:v>
                </c:pt>
                <c:pt idx="150">
                  <c:v>-0.21161156554595539</c:v>
                </c:pt>
                <c:pt idx="151">
                  <c:v>-0.49142991388323837</c:v>
                </c:pt>
                <c:pt idx="152">
                  <c:v>-0.68122590758135915</c:v>
                </c:pt>
                <c:pt idx="153">
                  <c:v>-0.77182490688989724</c:v>
                </c:pt>
                <c:pt idx="154">
                  <c:v>-0.80586601366713362</c:v>
                </c:pt>
                <c:pt idx="155">
                  <c:v>-0.76126955482468939</c:v>
                </c:pt>
                <c:pt idx="156">
                  <c:v>-0.6245913146787726</c:v>
                </c:pt>
                <c:pt idx="157">
                  <c:v>-0.49401340125706816</c:v>
                </c:pt>
                <c:pt idx="158">
                  <c:v>-0.41063062961677932</c:v>
                </c:pt>
                <c:pt idx="159">
                  <c:v>-0.40238366904884781</c:v>
                </c:pt>
                <c:pt idx="160">
                  <c:v>-0.35459173860947635</c:v>
                </c:pt>
                <c:pt idx="161">
                  <c:v>-0.41645167357609503</c:v>
                </c:pt>
                <c:pt idx="162">
                  <c:v>-0.28821481722375508</c:v>
                </c:pt>
                <c:pt idx="163">
                  <c:v>-0.30088876489688343</c:v>
                </c:pt>
                <c:pt idx="164">
                  <c:v>-0.28948996395606708</c:v>
                </c:pt>
                <c:pt idx="165">
                  <c:v>-0.31271834612372973</c:v>
                </c:pt>
                <c:pt idx="166">
                  <c:v>-0.43932109688135967</c:v>
                </c:pt>
                <c:pt idx="167">
                  <c:v>-0.37610451316135296</c:v>
                </c:pt>
                <c:pt idx="168">
                  <c:v>-0.41398778113603041</c:v>
                </c:pt>
                <c:pt idx="169">
                  <c:v>-0.26214376995744804</c:v>
                </c:pt>
                <c:pt idx="170">
                  <c:v>-2.299552338281563E-2</c:v>
                </c:pt>
                <c:pt idx="171">
                  <c:v>0.17925528863019236</c:v>
                </c:pt>
                <c:pt idx="172">
                  <c:v>0.2899327252143773</c:v>
                </c:pt>
                <c:pt idx="173">
                  <c:v>0.3954632854235054</c:v>
                </c:pt>
                <c:pt idx="174">
                  <c:v>0.45495838768757935</c:v>
                </c:pt>
                <c:pt idx="175">
                  <c:v>0.49867435223165746</c:v>
                </c:pt>
                <c:pt idx="176">
                  <c:v>0.46333982239457128</c:v>
                </c:pt>
                <c:pt idx="177">
                  <c:v>0.40350493565499468</c:v>
                </c:pt>
                <c:pt idx="178">
                  <c:v>0.18821728381264058</c:v>
                </c:pt>
                <c:pt idx="179">
                  <c:v>0.10396983323597042</c:v>
                </c:pt>
                <c:pt idx="180">
                  <c:v>0.10475891115639113</c:v>
                </c:pt>
                <c:pt idx="181">
                  <c:v>-4.1820358197597551E-2</c:v>
                </c:pt>
                <c:pt idx="182">
                  <c:v>-0.17726151233133591</c:v>
                </c:pt>
                <c:pt idx="183">
                  <c:v>-0.33204080950101345</c:v>
                </c:pt>
                <c:pt idx="184">
                  <c:v>-0.38030392362908616</c:v>
                </c:pt>
                <c:pt idx="185">
                  <c:v>-0.32586092747789097</c:v>
                </c:pt>
                <c:pt idx="186">
                  <c:v>-0.3578501766992308</c:v>
                </c:pt>
                <c:pt idx="187">
                  <c:v>-0.15306510015113894</c:v>
                </c:pt>
                <c:pt idx="188">
                  <c:v>-3.8089828899614986E-2</c:v>
                </c:pt>
                <c:pt idx="189">
                  <c:v>4.5286495647792524E-2</c:v>
                </c:pt>
                <c:pt idx="190">
                  <c:v>8.9067031468407665E-2</c:v>
                </c:pt>
                <c:pt idx="191">
                  <c:v>5.9760886446875716E-3</c:v>
                </c:pt>
                <c:pt idx="192">
                  <c:v>4.0436049454286582E-2</c:v>
                </c:pt>
                <c:pt idx="193">
                  <c:v>7.2009362631002549E-2</c:v>
                </c:pt>
                <c:pt idx="194">
                  <c:v>0.17653532842372965</c:v>
                </c:pt>
                <c:pt idx="195">
                  <c:v>0.41854584561867036</c:v>
                </c:pt>
                <c:pt idx="196">
                  <c:v>0.30742465659032248</c:v>
                </c:pt>
                <c:pt idx="197">
                  <c:v>0.32789809657541147</c:v>
                </c:pt>
                <c:pt idx="198">
                  <c:v>0.31735099128977817</c:v>
                </c:pt>
                <c:pt idx="199">
                  <c:v>0.29676304835361955</c:v>
                </c:pt>
                <c:pt idx="200">
                  <c:v>0.2300794456687707</c:v>
                </c:pt>
                <c:pt idx="201">
                  <c:v>8.2592052636851765E-2</c:v>
                </c:pt>
                <c:pt idx="202">
                  <c:v>4.7078621181308233E-2</c:v>
                </c:pt>
                <c:pt idx="203">
                  <c:v>-5.689618979378519E-2</c:v>
                </c:pt>
                <c:pt idx="204">
                  <c:v>-0.23393894954527561</c:v>
                </c:pt>
                <c:pt idx="205">
                  <c:v>-0.65118174004247675</c:v>
                </c:pt>
                <c:pt idx="206">
                  <c:v>-0.78718747648521381</c:v>
                </c:pt>
                <c:pt idx="207">
                  <c:v>-0.80819490117945536</c:v>
                </c:pt>
                <c:pt idx="208">
                  <c:v>-0.70631708051761888</c:v>
                </c:pt>
                <c:pt idx="209">
                  <c:v>-0.45839579620170312</c:v>
                </c:pt>
                <c:pt idx="210">
                  <c:v>-0.1174872554486257</c:v>
                </c:pt>
                <c:pt idx="211">
                  <c:v>0.12306364732917041</c:v>
                </c:pt>
                <c:pt idx="212">
                  <c:v>0.44864227693450021</c:v>
                </c:pt>
                <c:pt idx="213">
                  <c:v>0.49735634612891921</c:v>
                </c:pt>
                <c:pt idx="214">
                  <c:v>0.44734555139034038</c:v>
                </c:pt>
                <c:pt idx="215">
                  <c:v>0.29174744074526782</c:v>
                </c:pt>
                <c:pt idx="216">
                  <c:v>0.22168892492593328</c:v>
                </c:pt>
                <c:pt idx="217">
                  <c:v>0.26074276355903248</c:v>
                </c:pt>
                <c:pt idx="218">
                  <c:v>0.29789783620309085</c:v>
                </c:pt>
                <c:pt idx="219">
                  <c:v>0.30443268057591655</c:v>
                </c:pt>
                <c:pt idx="220">
                  <c:v>0.2684027457447562</c:v>
                </c:pt>
                <c:pt idx="221">
                  <c:v>0.1929311504561082</c:v>
                </c:pt>
                <c:pt idx="222">
                  <c:v>4.6477125344953074E-2</c:v>
                </c:pt>
                <c:pt idx="223">
                  <c:v>-0.13051411400890367</c:v>
                </c:pt>
                <c:pt idx="224">
                  <c:v>-0.25580488908373145</c:v>
                </c:pt>
                <c:pt idx="225">
                  <c:v>-0.4315227401870152</c:v>
                </c:pt>
                <c:pt idx="226">
                  <c:v>-0.28658967981962902</c:v>
                </c:pt>
                <c:pt idx="227">
                  <c:v>-0.14864891587208273</c:v>
                </c:pt>
                <c:pt idx="228">
                  <c:v>5.7789010080299796E-2</c:v>
                </c:pt>
                <c:pt idx="229">
                  <c:v>0.24451379243004201</c:v>
                </c:pt>
                <c:pt idx="230">
                  <c:v>0.49341453312238248</c:v>
                </c:pt>
                <c:pt idx="231">
                  <c:v>0.52269192788913255</c:v>
                </c:pt>
                <c:pt idx="232">
                  <c:v>0.51497218958000268</c:v>
                </c:pt>
                <c:pt idx="233">
                  <c:v>0.64730571667406256</c:v>
                </c:pt>
                <c:pt idx="234">
                  <c:v>0.64139120079613088</c:v>
                </c:pt>
                <c:pt idx="235">
                  <c:v>0.8546366412648656</c:v>
                </c:pt>
                <c:pt idx="236">
                  <c:v>0.95918625546188796</c:v>
                </c:pt>
                <c:pt idx="237">
                  <c:v>0.93178104434449616</c:v>
                </c:pt>
                <c:pt idx="238">
                  <c:v>0.78971135881086463</c:v>
                </c:pt>
                <c:pt idx="239">
                  <c:v>0.59099246745160094</c:v>
                </c:pt>
                <c:pt idx="240">
                  <c:v>0.59302801582284836</c:v>
                </c:pt>
                <c:pt idx="241">
                  <c:v>0.67540003210869703</c:v>
                </c:pt>
                <c:pt idx="242">
                  <c:v>0.77354999088987553</c:v>
                </c:pt>
                <c:pt idx="243">
                  <c:v>0.91999153974143111</c:v>
                </c:pt>
                <c:pt idx="244">
                  <c:v>1.0499135218830355</c:v>
                </c:pt>
                <c:pt idx="245">
                  <c:v>1.1724030254915712</c:v>
                </c:pt>
                <c:pt idx="246">
                  <c:v>1.2058359064104893</c:v>
                </c:pt>
                <c:pt idx="247">
                  <c:v>1.0257864775694236</c:v>
                </c:pt>
                <c:pt idx="248">
                  <c:v>0.9481363996155987</c:v>
                </c:pt>
                <c:pt idx="249">
                  <c:v>0.88360914077817876</c:v>
                </c:pt>
                <c:pt idx="250">
                  <c:v>-2.3588070654482958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D55-9C7F-61ED9D3A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996905759"/>
        <c:axId val="996888959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-0.98713311756063149</c:v>
                </c:pt>
                <c:pt idx="26">
                  <c:v>-1.2054430248645929</c:v>
                </c:pt>
                <c:pt idx="27">
                  <c:v>-1.5861081314432965</c:v>
                </c:pt>
                <c:pt idx="28">
                  <c:v>-1.5687248601708461</c:v>
                </c:pt>
                <c:pt idx="29">
                  <c:v>-1.3673137517930627</c:v>
                </c:pt>
                <c:pt idx="30">
                  <c:v>-1.2481761170037089</c:v>
                </c:pt>
                <c:pt idx="31">
                  <c:v>-0.94995516533680302</c:v>
                </c:pt>
                <c:pt idx="32">
                  <c:v>-0.69431248052271144</c:v>
                </c:pt>
                <c:pt idx="33">
                  <c:v>-0.57066863936611867</c:v>
                </c:pt>
                <c:pt idx="34">
                  <c:v>-0.23675202718513333</c:v>
                </c:pt>
                <c:pt idx="35">
                  <c:v>-0.66166918827195786</c:v>
                </c:pt>
                <c:pt idx="36">
                  <c:v>-1.2678388251545414</c:v>
                </c:pt>
                <c:pt idx="37">
                  <c:v>-1.8750903774112544</c:v>
                </c:pt>
                <c:pt idx="38">
                  <c:v>-2.0159844382686458</c:v>
                </c:pt>
                <c:pt idx="39">
                  <c:v>-2.0044799624359086</c:v>
                </c:pt>
                <c:pt idx="40">
                  <c:v>-1.7053869404878981</c:v>
                </c:pt>
                <c:pt idx="41">
                  <c:v>-1.2745261746826202</c:v>
                </c:pt>
                <c:pt idx="42">
                  <c:v>-0.97508225646274127</c:v>
                </c:pt>
                <c:pt idx="43">
                  <c:v>-0.89528907544755043</c:v>
                </c:pt>
                <c:pt idx="44">
                  <c:v>-0.48433670769554737</c:v>
                </c:pt>
                <c:pt idx="45">
                  <c:v>-0.54613372204713073</c:v>
                </c:pt>
                <c:pt idx="46">
                  <c:v>-0.41841191024801105</c:v>
                </c:pt>
                <c:pt idx="47">
                  <c:v>-0.48508670829428979</c:v>
                </c:pt>
                <c:pt idx="48">
                  <c:v>-1.0263836388628249</c:v>
                </c:pt>
                <c:pt idx="49">
                  <c:v>-1.3199195971274662</c:v>
                </c:pt>
                <c:pt idx="50">
                  <c:v>-1.4686452670256642</c:v>
                </c:pt>
                <c:pt idx="51">
                  <c:v>-1.5357249768658505</c:v>
                </c:pt>
                <c:pt idx="52">
                  <c:v>-1.54604982102137</c:v>
                </c:pt>
                <c:pt idx="53">
                  <c:v>-1.7431299716159003</c:v>
                </c:pt>
                <c:pt idx="54">
                  <c:v>-1.8345958449122861</c:v>
                </c:pt>
                <c:pt idx="55">
                  <c:v>-2.0201648813136046</c:v>
                </c:pt>
                <c:pt idx="56">
                  <c:v>-2.1090276319834231</c:v>
                </c:pt>
                <c:pt idx="57">
                  <c:v>-2.1514240590668123</c:v>
                </c:pt>
                <c:pt idx="58">
                  <c:v>-2.2111771109518656</c:v>
                </c:pt>
                <c:pt idx="59">
                  <c:v>-2.3117679395119524</c:v>
                </c:pt>
                <c:pt idx="60">
                  <c:v>-2.105771945483383</c:v>
                </c:pt>
                <c:pt idx="61">
                  <c:v>-2.0934870846863021</c:v>
                </c:pt>
                <c:pt idx="62">
                  <c:v>-2.1166429677120675</c:v>
                </c:pt>
                <c:pt idx="63">
                  <c:v>-1.7604643237269784</c:v>
                </c:pt>
                <c:pt idx="64">
                  <c:v>-1.3919430006762639</c:v>
                </c:pt>
                <c:pt idx="65">
                  <c:v>-0.96849247121284066</c:v>
                </c:pt>
                <c:pt idx="66">
                  <c:v>-0.55629057523765368</c:v>
                </c:pt>
                <c:pt idx="67">
                  <c:v>-0.24375301485557088</c:v>
                </c:pt>
                <c:pt idx="68">
                  <c:v>-2.8018424643278195E-2</c:v>
                </c:pt>
                <c:pt idx="69">
                  <c:v>0.20753452694344787</c:v>
                </c:pt>
                <c:pt idx="70">
                  <c:v>0.54128644597074071</c:v>
                </c:pt>
                <c:pt idx="71">
                  <c:v>0.76469565380156723</c:v>
                </c:pt>
                <c:pt idx="72">
                  <c:v>1.0267433732838356</c:v>
                </c:pt>
                <c:pt idx="73">
                  <c:v>1.3264475025273725</c:v>
                </c:pt>
                <c:pt idx="74">
                  <c:v>1.3778231308232591</c:v>
                </c:pt>
                <c:pt idx="75">
                  <c:v>1.3281849691653917</c:v>
                </c:pt>
                <c:pt idx="76">
                  <c:v>1.2023637887306791</c:v>
                </c:pt>
                <c:pt idx="77">
                  <c:v>0.83880173809120606</c:v>
                </c:pt>
                <c:pt idx="78">
                  <c:v>0.64172261878002246</c:v>
                </c:pt>
                <c:pt idx="79">
                  <c:v>0.36353558662707997</c:v>
                </c:pt>
                <c:pt idx="80">
                  <c:v>0.16377611030631556</c:v>
                </c:pt>
                <c:pt idx="81">
                  <c:v>-5.2830614563845302E-2</c:v>
                </c:pt>
                <c:pt idx="82">
                  <c:v>-0.13657855439586797</c:v>
                </c:pt>
                <c:pt idx="83">
                  <c:v>-0.4319756177469003</c:v>
                </c:pt>
                <c:pt idx="84">
                  <c:v>-0.61062601646642634</c:v>
                </c:pt>
                <c:pt idx="85">
                  <c:v>-0.93189768479123813</c:v>
                </c:pt>
                <c:pt idx="86">
                  <c:v>-1.2128723800908006</c:v>
                </c:pt>
                <c:pt idx="87">
                  <c:v>-1.3346289376036964</c:v>
                </c:pt>
                <c:pt idx="88">
                  <c:v>-1.2592572497564731</c:v>
                </c:pt>
                <c:pt idx="89">
                  <c:v>-1.2393021410470624</c:v>
                </c:pt>
                <c:pt idx="90">
                  <c:v>-1.3204278861772991</c:v>
                </c:pt>
                <c:pt idx="91">
                  <c:v>-1.3960628387873157</c:v>
                </c:pt>
                <c:pt idx="92">
                  <c:v>-1.3412917864015697</c:v>
                </c:pt>
                <c:pt idx="93">
                  <c:v>-1.32617153981559</c:v>
                </c:pt>
                <c:pt idx="94">
                  <c:v>-1.1476451752274954</c:v>
                </c:pt>
                <c:pt idx="95">
                  <c:v>-0.99629095596074535</c:v>
                </c:pt>
                <c:pt idx="96">
                  <c:v>-0.8958705168661254</c:v>
                </c:pt>
                <c:pt idx="97">
                  <c:v>-0.83330897037475893</c:v>
                </c:pt>
                <c:pt idx="98">
                  <c:v>-0.98300224340431441</c:v>
                </c:pt>
                <c:pt idx="99">
                  <c:v>-1.1185966625197352</c:v>
                </c:pt>
                <c:pt idx="100">
                  <c:v>-1.1347051485786039</c:v>
                </c:pt>
                <c:pt idx="101">
                  <c:v>-1.2492664393816426</c:v>
                </c:pt>
                <c:pt idx="102">
                  <c:v>-1.5872359243198844</c:v>
                </c:pt>
                <c:pt idx="103">
                  <c:v>-1.9200925187948883</c:v>
                </c:pt>
                <c:pt idx="104">
                  <c:v>-2.0752355199499846</c:v>
                </c:pt>
                <c:pt idx="105">
                  <c:v>-2.0223676659267653</c:v>
                </c:pt>
                <c:pt idx="106">
                  <c:v>-1.9993815390889154</c:v>
                </c:pt>
                <c:pt idx="107">
                  <c:v>-1.9641715361351544</c:v>
                </c:pt>
                <c:pt idx="108">
                  <c:v>-1.6517514878251518</c:v>
                </c:pt>
                <c:pt idx="109">
                  <c:v>-1.3913454501141587</c:v>
                </c:pt>
                <c:pt idx="110">
                  <c:v>-1.1291886348122091</c:v>
                </c:pt>
                <c:pt idx="111">
                  <c:v>-0.951610632683213</c:v>
                </c:pt>
                <c:pt idx="112">
                  <c:v>-0.89656677765128734</c:v>
                </c:pt>
                <c:pt idx="113">
                  <c:v>-0.88311000487524893</c:v>
                </c:pt>
                <c:pt idx="114">
                  <c:v>-1.1600528751518482</c:v>
                </c:pt>
                <c:pt idx="115">
                  <c:v>-1.5560616438853572</c:v>
                </c:pt>
                <c:pt idx="116">
                  <c:v>-1.8342330536465283</c:v>
                </c:pt>
                <c:pt idx="117">
                  <c:v>-2.0224957472925098</c:v>
                </c:pt>
                <c:pt idx="118">
                  <c:v>-2.1668896440545211</c:v>
                </c:pt>
                <c:pt idx="119">
                  <c:v>-2.0678604789073347</c:v>
                </c:pt>
                <c:pt idx="120">
                  <c:v>-1.9164517543172792</c:v>
                </c:pt>
                <c:pt idx="121">
                  <c:v>-1.7743913375664704</c:v>
                </c:pt>
                <c:pt idx="122">
                  <c:v>-1.5256045000829204</c:v>
                </c:pt>
                <c:pt idx="123">
                  <c:v>-1.3045253026233183</c:v>
                </c:pt>
                <c:pt idx="124">
                  <c:v>-1.0909216544413312</c:v>
                </c:pt>
                <c:pt idx="125">
                  <c:v>-1.0443555864418954</c:v>
                </c:pt>
                <c:pt idx="126">
                  <c:v>-0.94651202220933328</c:v>
                </c:pt>
                <c:pt idx="127">
                  <c:v>-0.75057746878258058</c:v>
                </c:pt>
                <c:pt idx="128">
                  <c:v>-0.37472472784955357</c:v>
                </c:pt>
                <c:pt idx="129">
                  <c:v>1.2564168640381013E-2</c:v>
                </c:pt>
                <c:pt idx="130">
                  <c:v>0.25363023661805073</c:v>
                </c:pt>
                <c:pt idx="131">
                  <c:v>0.43482296524311437</c:v>
                </c:pt>
                <c:pt idx="132">
                  <c:v>0.3708021917699682</c:v>
                </c:pt>
                <c:pt idx="133">
                  <c:v>0.30205882575228316</c:v>
                </c:pt>
                <c:pt idx="134">
                  <c:v>0.3237321563566411</c:v>
                </c:pt>
                <c:pt idx="135">
                  <c:v>0.23252200618787811</c:v>
                </c:pt>
                <c:pt idx="136">
                  <c:v>0.26929442977433382</c:v>
                </c:pt>
                <c:pt idx="137">
                  <c:v>0.37081932654692196</c:v>
                </c:pt>
                <c:pt idx="138">
                  <c:v>0.46049473767590143</c:v>
                </c:pt>
                <c:pt idx="139">
                  <c:v>0.60687296875789798</c:v>
                </c:pt>
                <c:pt idx="140">
                  <c:v>0.78085166298154718</c:v>
                </c:pt>
                <c:pt idx="141">
                  <c:v>0.82769136172677804</c:v>
                </c:pt>
                <c:pt idx="142">
                  <c:v>0.89085418710578779</c:v>
                </c:pt>
                <c:pt idx="143">
                  <c:v>0.76186945841860165</c:v>
                </c:pt>
                <c:pt idx="144">
                  <c:v>0.75423903613187804</c:v>
                </c:pt>
                <c:pt idx="145">
                  <c:v>0.68143185016785424</c:v>
                </c:pt>
                <c:pt idx="146">
                  <c:v>0.53126745261576502</c:v>
                </c:pt>
                <c:pt idx="147">
                  <c:v>0.50488489097108413</c:v>
                </c:pt>
                <c:pt idx="148">
                  <c:v>0.66034146072558997</c:v>
                </c:pt>
                <c:pt idx="149">
                  <c:v>0.53449869958481599</c:v>
                </c:pt>
                <c:pt idx="150">
                  <c:v>0.32770452832536989</c:v>
                </c:pt>
                <c:pt idx="151">
                  <c:v>-7.4971298482722659E-2</c:v>
                </c:pt>
                <c:pt idx="152">
                  <c:v>-0.43507376907618323</c:v>
                </c:pt>
                <c:pt idx="153">
                  <c:v>-0.71862899510719558</c:v>
                </c:pt>
                <c:pt idx="154">
                  <c:v>-0.95413660530121547</c:v>
                </c:pt>
                <c:pt idx="155">
                  <c:v>-1.0998575351649436</c:v>
                </c:pt>
                <c:pt idx="156">
                  <c:v>-1.1193271236887199</c:v>
                </c:pt>
                <c:pt idx="157">
                  <c:v>-1.1122525605812825</c:v>
                </c:pt>
                <c:pt idx="158">
                  <c:v>-1.1315274463451885</c:v>
                </c:pt>
                <c:pt idx="159">
                  <c:v>-1.2238764030394691</c:v>
                </c:pt>
                <c:pt idx="160">
                  <c:v>-1.2647324072524668</c:v>
                </c:pt>
                <c:pt idx="161">
                  <c:v>-1.4307052606131094</c:v>
                </c:pt>
                <c:pt idx="162">
                  <c:v>-1.3745221085667083</c:v>
                </c:pt>
                <c:pt idx="163">
                  <c:v>-1.4624182474640577</c:v>
                </c:pt>
                <c:pt idx="164">
                  <c:v>-1.5233919375122582</c:v>
                </c:pt>
                <c:pt idx="165">
                  <c:v>-1.6247999062108534</c:v>
                </c:pt>
                <c:pt idx="166">
                  <c:v>-1.8612329311888232</c:v>
                </c:pt>
                <c:pt idx="167">
                  <c:v>-1.8920424757591547</c:v>
                </c:pt>
                <c:pt idx="168">
                  <c:v>-2.03342268901784</c:v>
                </c:pt>
                <c:pt idx="169">
                  <c:v>-1.9471146203286196</c:v>
                </c:pt>
                <c:pt idx="170">
                  <c:v>-1.7137152545996912</c:v>
                </c:pt>
                <c:pt idx="171">
                  <c:v>-1.4666506204291352</c:v>
                </c:pt>
                <c:pt idx="172">
                  <c:v>-1.283490002541356</c:v>
                </c:pt>
                <c:pt idx="173">
                  <c:v>-1.0790936209763515</c:v>
                </c:pt>
                <c:pt idx="174">
                  <c:v>-0.90585892179038296</c:v>
                </c:pt>
                <c:pt idx="175">
                  <c:v>-0.73747436918839071</c:v>
                </c:pt>
                <c:pt idx="176">
                  <c:v>-0.65697394342683424</c:v>
                </c:pt>
                <c:pt idx="177">
                  <c:v>-0.61593259625266228</c:v>
                </c:pt>
                <c:pt idx="178">
                  <c:v>-0.7841659271418564</c:v>
                </c:pt>
                <c:pt idx="179">
                  <c:v>-0.84242091940953401</c:v>
                </c:pt>
                <c:pt idx="180">
                  <c:v>-0.81544211370001562</c:v>
                </c:pt>
                <c:pt idx="181">
                  <c:v>-0.97247647260340386</c:v>
                </c:pt>
                <c:pt idx="182">
                  <c:v>-1.1522330048199763</c:v>
                </c:pt>
                <c:pt idx="183">
                  <c:v>-1.3900225043649073</c:v>
                </c:pt>
                <c:pt idx="184">
                  <c:v>-1.5333615994002514</c:v>
                </c:pt>
                <c:pt idx="185">
                  <c:v>-1.5603838351185289</c:v>
                </c:pt>
                <c:pt idx="186">
                  <c:v>-1.6818356285146763</c:v>
                </c:pt>
                <c:pt idx="187">
                  <c:v>-1.5153168270043693</c:v>
                </c:pt>
                <c:pt idx="188">
                  <c:v>-1.4098640129777493</c:v>
                </c:pt>
                <c:pt idx="189">
                  <c:v>-1.3151660645183938</c:v>
                </c:pt>
                <c:pt idx="190">
                  <c:v>-1.2491187708306768</c:v>
                </c:pt>
                <c:pt idx="191">
                  <c:v>-1.330715691493225</c:v>
                </c:pt>
                <c:pt idx="192">
                  <c:v>-1.2861467183200546</c:v>
                </c:pt>
                <c:pt idx="193">
                  <c:v>-1.2365710644855881</c:v>
                </c:pt>
                <c:pt idx="194">
                  <c:v>-1.0879112665869286</c:v>
                </c:pt>
                <c:pt idx="195">
                  <c:v>-0.74126428798732036</c:v>
                </c:pt>
                <c:pt idx="196">
                  <c:v>-0.77552931286808757</c:v>
                </c:pt>
                <c:pt idx="197">
                  <c:v>-0.67308134873914582</c:v>
                </c:pt>
                <c:pt idx="198">
                  <c:v>-0.6042907062023346</c:v>
                </c:pt>
                <c:pt idx="199">
                  <c:v>-0.55068788705008842</c:v>
                </c:pt>
                <c:pt idx="200">
                  <c:v>-0.5598516283177446</c:v>
                </c:pt>
                <c:pt idx="201">
                  <c:v>-0.6866910081904507</c:v>
                </c:pt>
                <c:pt idx="202">
                  <c:v>-0.71043478435066731</c:v>
                </c:pt>
                <c:pt idx="203">
                  <c:v>-0.82863364277420715</c:v>
                </c:pt>
                <c:pt idx="204">
                  <c:v>-1.0641611399120166</c:v>
                </c:pt>
                <c:pt idx="205">
                  <c:v>-1.644199365419837</c:v>
                </c:pt>
                <c:pt idx="206">
                  <c:v>-1.9770019709838778</c:v>
                </c:pt>
                <c:pt idx="207">
                  <c:v>-2.200058120972983</c:v>
                </c:pt>
                <c:pt idx="208">
                  <c:v>-2.2747595704405512</c:v>
                </c:pt>
                <c:pt idx="209">
                  <c:v>-2.1414372351750615</c:v>
                </c:pt>
                <c:pt idx="210">
                  <c:v>-1.8299005082841404</c:v>
                </c:pt>
                <c:pt idx="211">
                  <c:v>-1.558583693674052</c:v>
                </c:pt>
                <c:pt idx="212">
                  <c:v>-1.1208444948350973</c:v>
                </c:pt>
                <c:pt idx="213">
                  <c:v>-0.94779133910844848</c:v>
                </c:pt>
                <c:pt idx="214">
                  <c:v>-0.88596574599944233</c:v>
                </c:pt>
                <c:pt idx="215">
                  <c:v>-0.96862699645819816</c:v>
                </c:pt>
                <c:pt idx="216">
                  <c:v>-0.98326328104604954</c:v>
                </c:pt>
                <c:pt idx="217">
                  <c:v>-0.87902375152319223</c:v>
                </c:pt>
                <c:pt idx="218">
                  <c:v>-0.7673942198283612</c:v>
                </c:pt>
                <c:pt idx="219">
                  <c:v>-0.68475120531155653</c:v>
                </c:pt>
                <c:pt idx="220">
                  <c:v>-0.65368045370652794</c:v>
                </c:pt>
                <c:pt idx="221">
                  <c:v>-0.680919261381149</c:v>
                </c:pt>
                <c:pt idx="222">
                  <c:v>-0.81575400515606589</c:v>
                </c:pt>
                <c:pt idx="223">
                  <c:v>-1.0253737730121486</c:v>
                </c:pt>
                <c:pt idx="224">
                  <c:v>-1.2146157703579092</c:v>
                </c:pt>
                <c:pt idx="225">
                  <c:v>-1.498214306507947</c:v>
                </c:pt>
                <c:pt idx="226">
                  <c:v>-1.4249286660954681</c:v>
                </c:pt>
                <c:pt idx="227">
                  <c:v>-1.3241501311159425</c:v>
                </c:pt>
                <c:pt idx="228">
                  <c:v>-1.1032649526434852</c:v>
                </c:pt>
                <c:pt idx="229">
                  <c:v>-0.85541172218623274</c:v>
                </c:pt>
                <c:pt idx="230">
                  <c:v>-0.4831573482132967</c:v>
                </c:pt>
                <c:pt idx="231">
                  <c:v>-0.32320697147426358</c:v>
                </c:pt>
                <c:pt idx="232">
                  <c:v>-0.2021836623883928</c:v>
                </c:pt>
                <c:pt idx="233">
                  <c:v>9.1976293874182602E-2</c:v>
                </c:pt>
                <c:pt idx="234">
                  <c:v>0.24640957819528353</c:v>
                </c:pt>
                <c:pt idx="235">
                  <c:v>0.6733141789802346</c:v>
                </c:pt>
                <c:pt idx="236">
                  <c:v>1.0176603570427289</c:v>
                </c:pt>
                <c:pt idx="237">
                  <c:v>1.2232004070114613</c:v>
                </c:pt>
                <c:pt idx="238">
                  <c:v>1.2785585611805459</c:v>
                </c:pt>
                <c:pt idx="239">
                  <c:v>1.2275877866841824</c:v>
                </c:pt>
                <c:pt idx="240">
                  <c:v>1.377880339011142</c:v>
                </c:pt>
                <c:pt idx="241">
                  <c:v>1.629102363324165</c:v>
                </c:pt>
                <c:pt idx="242">
                  <c:v>1.9206398198278123</c:v>
                </c:pt>
                <c:pt idx="243">
                  <c:v>2.2970792536147258</c:v>
                </c:pt>
                <c:pt idx="244">
                  <c:v>2.6894796162270893</c:v>
                </c:pt>
                <c:pt idx="245">
                  <c:v>3.1050698762085176</c:v>
                </c:pt>
                <c:pt idx="246">
                  <c:v>3.4399617337300583</c:v>
                </c:pt>
                <c:pt idx="247">
                  <c:v>3.5163589242813487</c:v>
                </c:pt>
                <c:pt idx="248">
                  <c:v>3.6757429462314235</c:v>
                </c:pt>
                <c:pt idx="249">
                  <c:v>3.8321179725885486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0-4D55-9C7F-61ED9D3AA72E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45700</c:v>
                </c:pt>
                <c:pt idx="1">
                  <c:v>45701</c:v>
                </c:pt>
                <c:pt idx="2">
                  <c:v>45702</c:v>
                </c:pt>
                <c:pt idx="3">
                  <c:v>45706</c:v>
                </c:pt>
                <c:pt idx="4">
                  <c:v>45707</c:v>
                </c:pt>
                <c:pt idx="5">
                  <c:v>45708</c:v>
                </c:pt>
                <c:pt idx="6">
                  <c:v>45709</c:v>
                </c:pt>
                <c:pt idx="7">
                  <c:v>45712</c:v>
                </c:pt>
                <c:pt idx="8">
                  <c:v>45713</c:v>
                </c:pt>
                <c:pt idx="9">
                  <c:v>45714</c:v>
                </c:pt>
                <c:pt idx="10">
                  <c:v>45715</c:v>
                </c:pt>
                <c:pt idx="11">
                  <c:v>45716</c:v>
                </c:pt>
                <c:pt idx="12">
                  <c:v>45719</c:v>
                </c:pt>
                <c:pt idx="13">
                  <c:v>45720</c:v>
                </c:pt>
                <c:pt idx="14">
                  <c:v>45721</c:v>
                </c:pt>
                <c:pt idx="15">
                  <c:v>45722</c:v>
                </c:pt>
                <c:pt idx="16">
                  <c:v>45723</c:v>
                </c:pt>
                <c:pt idx="17">
                  <c:v>45726</c:v>
                </c:pt>
                <c:pt idx="18">
                  <c:v>45727</c:v>
                </c:pt>
                <c:pt idx="19">
                  <c:v>45728</c:v>
                </c:pt>
                <c:pt idx="20">
                  <c:v>45729</c:v>
                </c:pt>
                <c:pt idx="21">
                  <c:v>45730</c:v>
                </c:pt>
                <c:pt idx="22">
                  <c:v>45733</c:v>
                </c:pt>
                <c:pt idx="23">
                  <c:v>45734</c:v>
                </c:pt>
                <c:pt idx="24">
                  <c:v>45735</c:v>
                </c:pt>
                <c:pt idx="25">
                  <c:v>45736</c:v>
                </c:pt>
                <c:pt idx="26">
                  <c:v>45737</c:v>
                </c:pt>
                <c:pt idx="27">
                  <c:v>45740</c:v>
                </c:pt>
                <c:pt idx="28">
                  <c:v>45741</c:v>
                </c:pt>
                <c:pt idx="29">
                  <c:v>45742</c:v>
                </c:pt>
                <c:pt idx="30">
                  <c:v>45743</c:v>
                </c:pt>
                <c:pt idx="31">
                  <c:v>45744</c:v>
                </c:pt>
                <c:pt idx="32">
                  <c:v>45747</c:v>
                </c:pt>
                <c:pt idx="33">
                  <c:v>45748</c:v>
                </c:pt>
                <c:pt idx="34">
                  <c:v>45749</c:v>
                </c:pt>
                <c:pt idx="35">
                  <c:v>45750</c:v>
                </c:pt>
                <c:pt idx="36">
                  <c:v>45751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45761</c:v>
                </c:pt>
                <c:pt idx="43">
                  <c:v>45762</c:v>
                </c:pt>
                <c:pt idx="44">
                  <c:v>45763</c:v>
                </c:pt>
                <c:pt idx="45">
                  <c:v>45764</c:v>
                </c:pt>
                <c:pt idx="46">
                  <c:v>45768</c:v>
                </c:pt>
                <c:pt idx="47">
                  <c:v>45769</c:v>
                </c:pt>
                <c:pt idx="48">
                  <c:v>45770</c:v>
                </c:pt>
                <c:pt idx="49">
                  <c:v>45771</c:v>
                </c:pt>
                <c:pt idx="50">
                  <c:v>45772</c:v>
                </c:pt>
                <c:pt idx="51">
                  <c:v>45775</c:v>
                </c:pt>
                <c:pt idx="52">
                  <c:v>45776</c:v>
                </c:pt>
                <c:pt idx="53">
                  <c:v>45777</c:v>
                </c:pt>
                <c:pt idx="54">
                  <c:v>45778</c:v>
                </c:pt>
                <c:pt idx="55">
                  <c:v>45779</c:v>
                </c:pt>
                <c:pt idx="56">
                  <c:v>45782</c:v>
                </c:pt>
                <c:pt idx="57">
                  <c:v>45783</c:v>
                </c:pt>
                <c:pt idx="58">
                  <c:v>45784</c:v>
                </c:pt>
                <c:pt idx="59">
                  <c:v>45785</c:v>
                </c:pt>
                <c:pt idx="60">
                  <c:v>45786</c:v>
                </c:pt>
                <c:pt idx="61">
                  <c:v>45789</c:v>
                </c:pt>
                <c:pt idx="62">
                  <c:v>45790</c:v>
                </c:pt>
                <c:pt idx="63">
                  <c:v>45791</c:v>
                </c:pt>
                <c:pt idx="64">
                  <c:v>45792</c:v>
                </c:pt>
                <c:pt idx="65">
                  <c:v>45793</c:v>
                </c:pt>
                <c:pt idx="66">
                  <c:v>45796</c:v>
                </c:pt>
                <c:pt idx="67">
                  <c:v>45797</c:v>
                </c:pt>
                <c:pt idx="68">
                  <c:v>45798</c:v>
                </c:pt>
                <c:pt idx="69">
                  <c:v>45799</c:v>
                </c:pt>
                <c:pt idx="70">
                  <c:v>45800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45811</c:v>
                </c:pt>
                <c:pt idx="77">
                  <c:v>45812</c:v>
                </c:pt>
                <c:pt idx="78">
                  <c:v>45813</c:v>
                </c:pt>
                <c:pt idx="79">
                  <c:v>45814</c:v>
                </c:pt>
                <c:pt idx="80">
                  <c:v>45817</c:v>
                </c:pt>
                <c:pt idx="81">
                  <c:v>45818</c:v>
                </c:pt>
                <c:pt idx="82">
                  <c:v>45819</c:v>
                </c:pt>
                <c:pt idx="83">
                  <c:v>45820</c:v>
                </c:pt>
                <c:pt idx="84">
                  <c:v>45821</c:v>
                </c:pt>
                <c:pt idx="85">
                  <c:v>45824</c:v>
                </c:pt>
                <c:pt idx="86">
                  <c:v>45825</c:v>
                </c:pt>
                <c:pt idx="87">
                  <c:v>45826</c:v>
                </c:pt>
                <c:pt idx="88">
                  <c:v>45828</c:v>
                </c:pt>
                <c:pt idx="89">
                  <c:v>45831</c:v>
                </c:pt>
                <c:pt idx="90">
                  <c:v>45832</c:v>
                </c:pt>
                <c:pt idx="91">
                  <c:v>45833</c:v>
                </c:pt>
                <c:pt idx="92">
                  <c:v>45834</c:v>
                </c:pt>
                <c:pt idx="93">
                  <c:v>45835</c:v>
                </c:pt>
                <c:pt idx="94">
                  <c:v>45838</c:v>
                </c:pt>
                <c:pt idx="95">
                  <c:v>45839</c:v>
                </c:pt>
                <c:pt idx="96">
                  <c:v>45840</c:v>
                </c:pt>
                <c:pt idx="97">
                  <c:v>45841</c:v>
                </c:pt>
                <c:pt idx="98">
                  <c:v>45845</c:v>
                </c:pt>
                <c:pt idx="99">
                  <c:v>45846</c:v>
                </c:pt>
                <c:pt idx="100">
                  <c:v>45847</c:v>
                </c:pt>
                <c:pt idx="101">
                  <c:v>45848</c:v>
                </c:pt>
                <c:pt idx="102">
                  <c:v>45849</c:v>
                </c:pt>
                <c:pt idx="103">
                  <c:v>45852</c:v>
                </c:pt>
                <c:pt idx="104">
                  <c:v>45853</c:v>
                </c:pt>
                <c:pt idx="105">
                  <c:v>45854</c:v>
                </c:pt>
                <c:pt idx="106">
                  <c:v>45855</c:v>
                </c:pt>
                <c:pt idx="107">
                  <c:v>45856</c:v>
                </c:pt>
                <c:pt idx="108">
                  <c:v>45859</c:v>
                </c:pt>
                <c:pt idx="109">
                  <c:v>45860</c:v>
                </c:pt>
                <c:pt idx="110">
                  <c:v>45861</c:v>
                </c:pt>
                <c:pt idx="111">
                  <c:v>45862</c:v>
                </c:pt>
                <c:pt idx="112">
                  <c:v>45863</c:v>
                </c:pt>
                <c:pt idx="113">
                  <c:v>45866</c:v>
                </c:pt>
                <c:pt idx="114">
                  <c:v>45867</c:v>
                </c:pt>
                <c:pt idx="115">
                  <c:v>45868</c:v>
                </c:pt>
                <c:pt idx="116">
                  <c:v>45869</c:v>
                </c:pt>
                <c:pt idx="117">
                  <c:v>45870</c:v>
                </c:pt>
                <c:pt idx="118">
                  <c:v>45873</c:v>
                </c:pt>
                <c:pt idx="119">
                  <c:v>45874</c:v>
                </c:pt>
                <c:pt idx="120">
                  <c:v>45875</c:v>
                </c:pt>
                <c:pt idx="121">
                  <c:v>45876</c:v>
                </c:pt>
                <c:pt idx="122">
                  <c:v>45877</c:v>
                </c:pt>
                <c:pt idx="123">
                  <c:v>45880</c:v>
                </c:pt>
                <c:pt idx="124">
                  <c:v>45881</c:v>
                </c:pt>
                <c:pt idx="125">
                  <c:v>45882</c:v>
                </c:pt>
                <c:pt idx="126">
                  <c:v>45883</c:v>
                </c:pt>
                <c:pt idx="127">
                  <c:v>45884</c:v>
                </c:pt>
                <c:pt idx="128">
                  <c:v>45887</c:v>
                </c:pt>
                <c:pt idx="129">
                  <c:v>45888</c:v>
                </c:pt>
                <c:pt idx="130">
                  <c:v>45889</c:v>
                </c:pt>
                <c:pt idx="131">
                  <c:v>45890</c:v>
                </c:pt>
                <c:pt idx="132">
                  <c:v>45891</c:v>
                </c:pt>
                <c:pt idx="133">
                  <c:v>45894</c:v>
                </c:pt>
                <c:pt idx="134">
                  <c:v>45895</c:v>
                </c:pt>
                <c:pt idx="135">
                  <c:v>45896</c:v>
                </c:pt>
                <c:pt idx="136">
                  <c:v>45897</c:v>
                </c:pt>
                <c:pt idx="137">
                  <c:v>45898</c:v>
                </c:pt>
                <c:pt idx="138">
                  <c:v>45902</c:v>
                </c:pt>
                <c:pt idx="139">
                  <c:v>45903</c:v>
                </c:pt>
                <c:pt idx="140">
                  <c:v>45904</c:v>
                </c:pt>
                <c:pt idx="141">
                  <c:v>45905</c:v>
                </c:pt>
                <c:pt idx="142">
                  <c:v>45908</c:v>
                </c:pt>
                <c:pt idx="143">
                  <c:v>45909</c:v>
                </c:pt>
                <c:pt idx="144">
                  <c:v>45910</c:v>
                </c:pt>
                <c:pt idx="145">
                  <c:v>45911</c:v>
                </c:pt>
                <c:pt idx="146">
                  <c:v>45912</c:v>
                </c:pt>
                <c:pt idx="147">
                  <c:v>45915</c:v>
                </c:pt>
                <c:pt idx="148">
                  <c:v>45916</c:v>
                </c:pt>
                <c:pt idx="149">
                  <c:v>45917</c:v>
                </c:pt>
                <c:pt idx="150">
                  <c:v>45918</c:v>
                </c:pt>
                <c:pt idx="151">
                  <c:v>45919</c:v>
                </c:pt>
                <c:pt idx="152">
                  <c:v>45922</c:v>
                </c:pt>
                <c:pt idx="153">
                  <c:v>45923</c:v>
                </c:pt>
                <c:pt idx="154">
                  <c:v>45924</c:v>
                </c:pt>
                <c:pt idx="155">
                  <c:v>45925</c:v>
                </c:pt>
                <c:pt idx="156">
                  <c:v>45926</c:v>
                </c:pt>
                <c:pt idx="157">
                  <c:v>45929</c:v>
                </c:pt>
                <c:pt idx="158">
                  <c:v>45930</c:v>
                </c:pt>
                <c:pt idx="159">
                  <c:v>45931</c:v>
                </c:pt>
                <c:pt idx="160">
                  <c:v>45932</c:v>
                </c:pt>
                <c:pt idx="161">
                  <c:v>45933</c:v>
                </c:pt>
                <c:pt idx="162">
                  <c:v>45936</c:v>
                </c:pt>
                <c:pt idx="163">
                  <c:v>45937</c:v>
                </c:pt>
                <c:pt idx="164">
                  <c:v>45938</c:v>
                </c:pt>
                <c:pt idx="165">
                  <c:v>45939</c:v>
                </c:pt>
                <c:pt idx="166">
                  <c:v>45940</c:v>
                </c:pt>
                <c:pt idx="167">
                  <c:v>45943</c:v>
                </c:pt>
                <c:pt idx="168">
                  <c:v>45944</c:v>
                </c:pt>
                <c:pt idx="169">
                  <c:v>45945</c:v>
                </c:pt>
                <c:pt idx="170">
                  <c:v>45946</c:v>
                </c:pt>
                <c:pt idx="171">
                  <c:v>45947</c:v>
                </c:pt>
                <c:pt idx="172">
                  <c:v>45950</c:v>
                </c:pt>
                <c:pt idx="173">
                  <c:v>45951</c:v>
                </c:pt>
                <c:pt idx="174">
                  <c:v>45952</c:v>
                </c:pt>
                <c:pt idx="175">
                  <c:v>45953</c:v>
                </c:pt>
                <c:pt idx="176">
                  <c:v>45954</c:v>
                </c:pt>
                <c:pt idx="177">
                  <c:v>45957</c:v>
                </c:pt>
                <c:pt idx="178">
                  <c:v>45958</c:v>
                </c:pt>
                <c:pt idx="179">
                  <c:v>45959</c:v>
                </c:pt>
                <c:pt idx="180">
                  <c:v>45960</c:v>
                </c:pt>
                <c:pt idx="181">
                  <c:v>45961</c:v>
                </c:pt>
                <c:pt idx="182">
                  <c:v>45964</c:v>
                </c:pt>
                <c:pt idx="183">
                  <c:v>45965</c:v>
                </c:pt>
                <c:pt idx="184">
                  <c:v>45966</c:v>
                </c:pt>
                <c:pt idx="185">
                  <c:v>45967</c:v>
                </c:pt>
                <c:pt idx="186">
                  <c:v>45968</c:v>
                </c:pt>
                <c:pt idx="187">
                  <c:v>45971</c:v>
                </c:pt>
                <c:pt idx="188">
                  <c:v>45972</c:v>
                </c:pt>
                <c:pt idx="189">
                  <c:v>45973</c:v>
                </c:pt>
                <c:pt idx="190">
                  <c:v>45974</c:v>
                </c:pt>
                <c:pt idx="191">
                  <c:v>45975</c:v>
                </c:pt>
                <c:pt idx="192">
                  <c:v>45978</c:v>
                </c:pt>
                <c:pt idx="193">
                  <c:v>45979</c:v>
                </c:pt>
                <c:pt idx="194">
                  <c:v>45980</c:v>
                </c:pt>
                <c:pt idx="195">
                  <c:v>45981</c:v>
                </c:pt>
                <c:pt idx="196">
                  <c:v>45982</c:v>
                </c:pt>
                <c:pt idx="197">
                  <c:v>45985</c:v>
                </c:pt>
                <c:pt idx="198">
                  <c:v>45986</c:v>
                </c:pt>
                <c:pt idx="199">
                  <c:v>45987</c:v>
                </c:pt>
                <c:pt idx="200">
                  <c:v>45989</c:v>
                </c:pt>
                <c:pt idx="201">
                  <c:v>45992</c:v>
                </c:pt>
                <c:pt idx="202">
                  <c:v>45993</c:v>
                </c:pt>
                <c:pt idx="203">
                  <c:v>45994</c:v>
                </c:pt>
                <c:pt idx="204">
                  <c:v>45995</c:v>
                </c:pt>
                <c:pt idx="205">
                  <c:v>45996</c:v>
                </c:pt>
                <c:pt idx="206">
                  <c:v>45999</c:v>
                </c:pt>
                <c:pt idx="207">
                  <c:v>46000</c:v>
                </c:pt>
                <c:pt idx="208">
                  <c:v>46001</c:v>
                </c:pt>
                <c:pt idx="209">
                  <c:v>46002</c:v>
                </c:pt>
                <c:pt idx="210">
                  <c:v>46003</c:v>
                </c:pt>
                <c:pt idx="211">
                  <c:v>46006</c:v>
                </c:pt>
                <c:pt idx="212">
                  <c:v>46007</c:v>
                </c:pt>
                <c:pt idx="213">
                  <c:v>46008</c:v>
                </c:pt>
                <c:pt idx="214">
                  <c:v>46009</c:v>
                </c:pt>
                <c:pt idx="215">
                  <c:v>46010</c:v>
                </c:pt>
                <c:pt idx="216">
                  <c:v>46013</c:v>
                </c:pt>
                <c:pt idx="217">
                  <c:v>46014</c:v>
                </c:pt>
                <c:pt idx="218">
                  <c:v>46015</c:v>
                </c:pt>
                <c:pt idx="219">
                  <c:v>46017</c:v>
                </c:pt>
                <c:pt idx="220">
                  <c:v>46020</c:v>
                </c:pt>
                <c:pt idx="221">
                  <c:v>46021</c:v>
                </c:pt>
                <c:pt idx="222">
                  <c:v>46022</c:v>
                </c:pt>
                <c:pt idx="223">
                  <c:v>46024</c:v>
                </c:pt>
                <c:pt idx="224">
                  <c:v>46027</c:v>
                </c:pt>
                <c:pt idx="225">
                  <c:v>46028</c:v>
                </c:pt>
                <c:pt idx="226">
                  <c:v>46029</c:v>
                </c:pt>
                <c:pt idx="227">
                  <c:v>46030</c:v>
                </c:pt>
                <c:pt idx="228">
                  <c:v>46031</c:v>
                </c:pt>
                <c:pt idx="229">
                  <c:v>46034</c:v>
                </c:pt>
                <c:pt idx="230">
                  <c:v>46035</c:v>
                </c:pt>
                <c:pt idx="231">
                  <c:v>46036</c:v>
                </c:pt>
                <c:pt idx="232">
                  <c:v>46037</c:v>
                </c:pt>
                <c:pt idx="233">
                  <c:v>46038</c:v>
                </c:pt>
                <c:pt idx="234">
                  <c:v>46042</c:v>
                </c:pt>
                <c:pt idx="235">
                  <c:v>46043</c:v>
                </c:pt>
                <c:pt idx="236">
                  <c:v>46044</c:v>
                </c:pt>
                <c:pt idx="237">
                  <c:v>46045</c:v>
                </c:pt>
                <c:pt idx="238">
                  <c:v>46048</c:v>
                </c:pt>
                <c:pt idx="239">
                  <c:v>46049</c:v>
                </c:pt>
                <c:pt idx="240">
                  <c:v>46050</c:v>
                </c:pt>
                <c:pt idx="241">
                  <c:v>46051</c:v>
                </c:pt>
                <c:pt idx="242">
                  <c:v>46052</c:v>
                </c:pt>
                <c:pt idx="243">
                  <c:v>46055</c:v>
                </c:pt>
                <c:pt idx="244">
                  <c:v>46056</c:v>
                </c:pt>
                <c:pt idx="245">
                  <c:v>46057</c:v>
                </c:pt>
                <c:pt idx="246">
                  <c:v>46058</c:v>
                </c:pt>
                <c:pt idx="247">
                  <c:v>46059</c:v>
                </c:pt>
                <c:pt idx="248">
                  <c:v>46062</c:v>
                </c:pt>
                <c:pt idx="249">
                  <c:v>46063</c:v>
                </c:pt>
                <c:pt idx="250">
                  <c:v>46064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-1.0474949108540303</c:v>
                </c:pt>
                <c:pt idx="35">
                  <c:v>-0.97032976633761592</c:v>
                </c:pt>
                <c:pt idx="36">
                  <c:v>-1.029831578101001</c:v>
                </c:pt>
                <c:pt idx="37">
                  <c:v>-1.1988833379630517</c:v>
                </c:pt>
                <c:pt idx="38">
                  <c:v>-1.3623035580241707</c:v>
                </c:pt>
                <c:pt idx="39">
                  <c:v>-1.4907388389065184</c:v>
                </c:pt>
                <c:pt idx="40">
                  <c:v>-1.5336684592227945</c:v>
                </c:pt>
                <c:pt idx="41">
                  <c:v>-1.4818400023147595</c:v>
                </c:pt>
                <c:pt idx="42">
                  <c:v>-1.380488453144356</c:v>
                </c:pt>
                <c:pt idx="43">
                  <c:v>-1.2834485776049949</c:v>
                </c:pt>
                <c:pt idx="44">
                  <c:v>-1.1236262036231055</c:v>
                </c:pt>
                <c:pt idx="45">
                  <c:v>-1.0081277073079105</c:v>
                </c:pt>
                <c:pt idx="46">
                  <c:v>-0.8901845478959306</c:v>
                </c:pt>
                <c:pt idx="47">
                  <c:v>-0.80916497997560255</c:v>
                </c:pt>
                <c:pt idx="48">
                  <c:v>-0.85260871175304709</c:v>
                </c:pt>
                <c:pt idx="49">
                  <c:v>-0.946070888827931</c:v>
                </c:pt>
                <c:pt idx="50">
                  <c:v>-1.0505857644674776</c:v>
                </c:pt>
                <c:pt idx="51">
                  <c:v>-1.1476136069471523</c:v>
                </c:pt>
                <c:pt idx="52">
                  <c:v>-1.2273008497619959</c:v>
                </c:pt>
                <c:pt idx="53">
                  <c:v>-1.3304666741327769</c:v>
                </c:pt>
                <c:pt idx="54">
                  <c:v>-1.4312925082886787</c:v>
                </c:pt>
                <c:pt idx="55">
                  <c:v>-1.5490669828936641</c:v>
                </c:pt>
                <c:pt idx="56">
                  <c:v>-1.6610591127116161</c:v>
                </c:pt>
                <c:pt idx="57">
                  <c:v>-1.7591321019826553</c:v>
                </c:pt>
                <c:pt idx="58">
                  <c:v>-1.8495411037764975</c:v>
                </c:pt>
                <c:pt idx="59">
                  <c:v>-1.9419864709235886</c:v>
                </c:pt>
                <c:pt idx="60">
                  <c:v>-1.9747435658355477</c:v>
                </c:pt>
                <c:pt idx="61">
                  <c:v>-1.9984922696056986</c:v>
                </c:pt>
                <c:pt idx="62">
                  <c:v>-2.0221224092269723</c:v>
                </c:pt>
                <c:pt idx="63">
                  <c:v>-1.9697907921269735</c:v>
                </c:pt>
                <c:pt idx="64">
                  <c:v>-1.8542212338368316</c:v>
                </c:pt>
                <c:pt idx="65">
                  <c:v>-1.6770754813120334</c:v>
                </c:pt>
                <c:pt idx="66">
                  <c:v>-1.4529185000971576</c:v>
                </c:pt>
                <c:pt idx="67">
                  <c:v>-1.2110854030488403</c:v>
                </c:pt>
                <c:pt idx="68">
                  <c:v>-0.97447200736772788</c:v>
                </c:pt>
                <c:pt idx="69">
                  <c:v>-0.73807070050549273</c:v>
                </c:pt>
                <c:pt idx="70">
                  <c:v>-0.48219927121024608</c:v>
                </c:pt>
                <c:pt idx="71">
                  <c:v>-0.23282028620788342</c:v>
                </c:pt>
                <c:pt idx="72">
                  <c:v>1.9092445690460369E-2</c:v>
                </c:pt>
                <c:pt idx="73">
                  <c:v>0.2805634570578428</c:v>
                </c:pt>
                <c:pt idx="74">
                  <c:v>0.50001539181092602</c:v>
                </c:pt>
                <c:pt idx="75">
                  <c:v>0.66564930728181926</c:v>
                </c:pt>
                <c:pt idx="76">
                  <c:v>0.77299220357159126</c:v>
                </c:pt>
                <c:pt idx="77">
                  <c:v>0.78615411047551431</c:v>
                </c:pt>
                <c:pt idx="78">
                  <c:v>0.75726781213641592</c:v>
                </c:pt>
                <c:pt idx="79">
                  <c:v>0.67852136703454879</c:v>
                </c:pt>
                <c:pt idx="80">
                  <c:v>0.57557231568890221</c:v>
                </c:pt>
                <c:pt idx="81">
                  <c:v>0.44989172963835278</c:v>
                </c:pt>
                <c:pt idx="82">
                  <c:v>0.33259767283150865</c:v>
                </c:pt>
                <c:pt idx="83">
                  <c:v>0.17968301471582687</c:v>
                </c:pt>
                <c:pt idx="84">
                  <c:v>2.1621208479376236E-2</c:v>
                </c:pt>
                <c:pt idx="85">
                  <c:v>-0.16908257017474665</c:v>
                </c:pt>
                <c:pt idx="86">
                  <c:v>-0.37784053215795743</c:v>
                </c:pt>
                <c:pt idx="87">
                  <c:v>-0.56919821324710529</c:v>
                </c:pt>
                <c:pt idx="88">
                  <c:v>-0.70721002054897886</c:v>
                </c:pt>
                <c:pt idx="89">
                  <c:v>-0.81362844464859552</c:v>
                </c:pt>
                <c:pt idx="90">
                  <c:v>-0.91498833295433624</c:v>
                </c:pt>
                <c:pt idx="91">
                  <c:v>-1.011203234120932</c:v>
                </c:pt>
                <c:pt idx="92">
                  <c:v>-1.0772209445770595</c:v>
                </c:pt>
                <c:pt idx="93">
                  <c:v>-1.1270110636247657</c:v>
                </c:pt>
                <c:pt idx="94">
                  <c:v>-1.1311378859453116</c:v>
                </c:pt>
                <c:pt idx="95">
                  <c:v>-1.1041684999483985</c:v>
                </c:pt>
                <c:pt idx="96">
                  <c:v>-1.0625089033319439</c:v>
                </c:pt>
                <c:pt idx="97">
                  <c:v>-1.016668916740507</c:v>
                </c:pt>
                <c:pt idx="98">
                  <c:v>-1.0099355820732685</c:v>
                </c:pt>
                <c:pt idx="99">
                  <c:v>-1.0316677981625619</c:v>
                </c:pt>
                <c:pt idx="100">
                  <c:v>-1.0522752682457703</c:v>
                </c:pt>
                <c:pt idx="101">
                  <c:v>-1.0916735024729447</c:v>
                </c:pt>
                <c:pt idx="102">
                  <c:v>-1.1907859868423327</c:v>
                </c:pt>
                <c:pt idx="103">
                  <c:v>-1.3366472932328439</c:v>
                </c:pt>
                <c:pt idx="104">
                  <c:v>-1.4843649385762723</c:v>
                </c:pt>
                <c:pt idx="105">
                  <c:v>-1.5919654840463708</c:v>
                </c:pt>
                <c:pt idx="106">
                  <c:v>-1.6734486950548799</c:v>
                </c:pt>
                <c:pt idx="107">
                  <c:v>-1.7315932632709348</c:v>
                </c:pt>
                <c:pt idx="108">
                  <c:v>-1.7156249081817783</c:v>
                </c:pt>
                <c:pt idx="109">
                  <c:v>-1.6507690165682545</c:v>
                </c:pt>
                <c:pt idx="110">
                  <c:v>-1.5464529402170455</c:v>
                </c:pt>
                <c:pt idx="111">
                  <c:v>-1.4274844787102792</c:v>
                </c:pt>
                <c:pt idx="112">
                  <c:v>-1.3213009384984808</c:v>
                </c:pt>
                <c:pt idx="113">
                  <c:v>-1.2336627517738346</c:v>
                </c:pt>
                <c:pt idx="114">
                  <c:v>-1.2189407764494373</c:v>
                </c:pt>
                <c:pt idx="115">
                  <c:v>-1.2863649499366214</c:v>
                </c:pt>
                <c:pt idx="116">
                  <c:v>-1.3959385706786027</c:v>
                </c:pt>
                <c:pt idx="117">
                  <c:v>-1.5212500060013843</c:v>
                </c:pt>
                <c:pt idx="118">
                  <c:v>-1.6503779336120119</c:v>
                </c:pt>
                <c:pt idx="119">
                  <c:v>-1.7338744426710766</c:v>
                </c:pt>
                <c:pt idx="120">
                  <c:v>-1.7703899050003171</c:v>
                </c:pt>
                <c:pt idx="121">
                  <c:v>-1.771190191513548</c:v>
                </c:pt>
                <c:pt idx="122">
                  <c:v>-1.7220730532274224</c:v>
                </c:pt>
                <c:pt idx="123">
                  <c:v>-1.6385635031066017</c:v>
                </c:pt>
                <c:pt idx="124">
                  <c:v>-1.5290351333735477</c:v>
                </c:pt>
                <c:pt idx="125">
                  <c:v>-1.4320992239872172</c:v>
                </c:pt>
                <c:pt idx="126">
                  <c:v>-1.3349817836316407</c:v>
                </c:pt>
                <c:pt idx="127">
                  <c:v>-1.2181009206618287</c:v>
                </c:pt>
                <c:pt idx="128">
                  <c:v>-1.0494256820993737</c:v>
                </c:pt>
                <c:pt idx="129">
                  <c:v>-0.83702771195142278</c:v>
                </c:pt>
                <c:pt idx="130">
                  <c:v>-0.6188961222375281</c:v>
                </c:pt>
                <c:pt idx="131">
                  <c:v>-0.40815230474139963</c:v>
                </c:pt>
                <c:pt idx="132">
                  <c:v>-0.25236140543912605</c:v>
                </c:pt>
                <c:pt idx="133">
                  <c:v>-0.14147735920084423</c:v>
                </c:pt>
                <c:pt idx="134">
                  <c:v>-4.843545608934717E-2</c:v>
                </c:pt>
                <c:pt idx="135">
                  <c:v>7.756036366097889E-3</c:v>
                </c:pt>
                <c:pt idx="136">
                  <c:v>6.0063715047745075E-2</c:v>
                </c:pt>
                <c:pt idx="137">
                  <c:v>0.12221483734758046</c:v>
                </c:pt>
                <c:pt idx="138">
                  <c:v>0.18987081741324466</c:v>
                </c:pt>
                <c:pt idx="139">
                  <c:v>0.27327124768217537</c:v>
                </c:pt>
                <c:pt idx="140">
                  <c:v>0.37478733074204973</c:v>
                </c:pt>
                <c:pt idx="141">
                  <c:v>0.46536813693899542</c:v>
                </c:pt>
                <c:pt idx="142">
                  <c:v>0.55046534697235394</c:v>
                </c:pt>
                <c:pt idx="143">
                  <c:v>0.59274616926160351</c:v>
                </c:pt>
                <c:pt idx="144">
                  <c:v>0.62504474263565846</c:v>
                </c:pt>
                <c:pt idx="145">
                  <c:v>0.63632216414209775</c:v>
                </c:pt>
                <c:pt idx="146">
                  <c:v>0.61531122183683129</c:v>
                </c:pt>
                <c:pt idx="147">
                  <c:v>0.59322595566368186</c:v>
                </c:pt>
                <c:pt idx="148">
                  <c:v>0.6066490566760635</c:v>
                </c:pt>
                <c:pt idx="149">
                  <c:v>0.59221898525781402</c:v>
                </c:pt>
                <c:pt idx="150">
                  <c:v>0.53931609387132529</c:v>
                </c:pt>
                <c:pt idx="151">
                  <c:v>0.41645861540051571</c:v>
                </c:pt>
                <c:pt idx="152">
                  <c:v>0.24615213850517592</c:v>
                </c:pt>
                <c:pt idx="153">
                  <c:v>5.3195911782701638E-2</c:v>
                </c:pt>
                <c:pt idx="154">
                  <c:v>-0.14827059163408179</c:v>
                </c:pt>
                <c:pt idx="155">
                  <c:v>-0.33858798034025417</c:v>
                </c:pt>
                <c:pt idx="156">
                  <c:v>-0.49473580900994729</c:v>
                </c:pt>
                <c:pt idx="157">
                  <c:v>-0.61823915932421436</c:v>
                </c:pt>
                <c:pt idx="158">
                  <c:v>-0.72089681672840922</c:v>
                </c:pt>
                <c:pt idx="159">
                  <c:v>-0.82149273399062128</c:v>
                </c:pt>
                <c:pt idx="160">
                  <c:v>-0.91014066864299048</c:v>
                </c:pt>
                <c:pt idx="161">
                  <c:v>-1.0142535870370144</c:v>
                </c:pt>
                <c:pt idx="162">
                  <c:v>-1.0863072913429532</c:v>
                </c:pt>
                <c:pt idx="163">
                  <c:v>-1.1615294825671743</c:v>
                </c:pt>
                <c:pt idx="164">
                  <c:v>-1.2339019735561911</c:v>
                </c:pt>
                <c:pt idx="165">
                  <c:v>-1.3120815600871236</c:v>
                </c:pt>
                <c:pt idx="166">
                  <c:v>-1.4219118343074635</c:v>
                </c:pt>
                <c:pt idx="167">
                  <c:v>-1.5159379625978018</c:v>
                </c:pt>
                <c:pt idx="168">
                  <c:v>-1.6194349078818095</c:v>
                </c:pt>
                <c:pt idx="169">
                  <c:v>-1.6849708503711716</c:v>
                </c:pt>
                <c:pt idx="170">
                  <c:v>-1.6907197312168756</c:v>
                </c:pt>
                <c:pt idx="171">
                  <c:v>-1.6459059090593275</c:v>
                </c:pt>
                <c:pt idx="172">
                  <c:v>-1.5734227277557333</c:v>
                </c:pt>
                <c:pt idx="173">
                  <c:v>-1.4745569063998569</c:v>
                </c:pt>
                <c:pt idx="174">
                  <c:v>-1.3608173094779623</c:v>
                </c:pt>
                <c:pt idx="175">
                  <c:v>-1.2361487214200482</c:v>
                </c:pt>
                <c:pt idx="176">
                  <c:v>-1.1203137658214055</c:v>
                </c:pt>
                <c:pt idx="177">
                  <c:v>-1.019437531907657</c:v>
                </c:pt>
                <c:pt idx="178">
                  <c:v>-0.97238321095449698</c:v>
                </c:pt>
                <c:pt idx="179">
                  <c:v>-0.94639075264550443</c:v>
                </c:pt>
                <c:pt idx="180">
                  <c:v>-0.92020102485640676</c:v>
                </c:pt>
                <c:pt idx="181">
                  <c:v>-0.93065611440580631</c:v>
                </c:pt>
                <c:pt idx="182">
                  <c:v>-0.97497149248864035</c:v>
                </c:pt>
                <c:pt idx="183">
                  <c:v>-1.0579816948638938</c:v>
                </c:pt>
                <c:pt idx="184">
                  <c:v>-1.1530576757711652</c:v>
                </c:pt>
                <c:pt idx="185">
                  <c:v>-1.2345229076406379</c:v>
                </c:pt>
                <c:pt idx="186">
                  <c:v>-1.3239854518154455</c:v>
                </c:pt>
                <c:pt idx="187">
                  <c:v>-1.3622517268532304</c:v>
                </c:pt>
                <c:pt idx="188">
                  <c:v>-1.3717741840781343</c:v>
                </c:pt>
                <c:pt idx="189">
                  <c:v>-1.3604525601661863</c:v>
                </c:pt>
                <c:pt idx="190">
                  <c:v>-1.3381858022990845</c:v>
                </c:pt>
                <c:pt idx="191">
                  <c:v>-1.3366917801379126</c:v>
                </c:pt>
                <c:pt idx="192">
                  <c:v>-1.3265827677743411</c:v>
                </c:pt>
                <c:pt idx="193">
                  <c:v>-1.3085804271165906</c:v>
                </c:pt>
                <c:pt idx="194">
                  <c:v>-1.2644465950106583</c:v>
                </c:pt>
                <c:pt idx="195">
                  <c:v>-1.1598101336059907</c:v>
                </c:pt>
                <c:pt idx="196">
                  <c:v>-1.08295396945841</c:v>
                </c:pt>
                <c:pt idx="197">
                  <c:v>-1.0009794453145573</c:v>
                </c:pt>
                <c:pt idx="198">
                  <c:v>-0.92164169749211278</c:v>
                </c:pt>
                <c:pt idx="199">
                  <c:v>-0.84745093540370797</c:v>
                </c:pt>
                <c:pt idx="200">
                  <c:v>-0.7899310739865153</c:v>
                </c:pt>
                <c:pt idx="201">
                  <c:v>-0.76928306082730247</c:v>
                </c:pt>
                <c:pt idx="202">
                  <c:v>-0.75751340553197555</c:v>
                </c:pt>
                <c:pt idx="203">
                  <c:v>-0.77173745298042196</c:v>
                </c:pt>
                <c:pt idx="204">
                  <c:v>-0.83022219036674094</c:v>
                </c:pt>
                <c:pt idx="205">
                  <c:v>-0.99301762537736027</c:v>
                </c:pt>
                <c:pt idx="206">
                  <c:v>-1.1898144944986639</c:v>
                </c:pt>
                <c:pt idx="207">
                  <c:v>-1.3918632197935277</c:v>
                </c:pt>
                <c:pt idx="208">
                  <c:v>-1.5684424899229323</c:v>
                </c:pt>
                <c:pt idx="209">
                  <c:v>-1.6830414389733583</c:v>
                </c:pt>
                <c:pt idx="210">
                  <c:v>-1.7124132528355147</c:v>
                </c:pt>
                <c:pt idx="211">
                  <c:v>-1.6816473410032224</c:v>
                </c:pt>
                <c:pt idx="212">
                  <c:v>-1.5694867717695975</c:v>
                </c:pt>
                <c:pt idx="213">
                  <c:v>-1.4451476852373677</c:v>
                </c:pt>
                <c:pt idx="214">
                  <c:v>-1.3333112973897827</c:v>
                </c:pt>
                <c:pt idx="215">
                  <c:v>-1.260374437203466</c:v>
                </c:pt>
                <c:pt idx="216">
                  <c:v>-1.2049522059719828</c:v>
                </c:pt>
                <c:pt idx="217">
                  <c:v>-1.1397665150822247</c:v>
                </c:pt>
                <c:pt idx="218">
                  <c:v>-1.0652920560314521</c:v>
                </c:pt>
                <c:pt idx="219">
                  <c:v>-0.98918388588747308</c:v>
                </c:pt>
                <c:pt idx="220">
                  <c:v>-0.92208319945128414</c:v>
                </c:pt>
                <c:pt idx="221">
                  <c:v>-0.8738504118372572</c:v>
                </c:pt>
                <c:pt idx="222">
                  <c:v>-0.86223113050101896</c:v>
                </c:pt>
                <c:pt idx="223">
                  <c:v>-0.89485965900324493</c:v>
                </c:pt>
                <c:pt idx="224">
                  <c:v>-0.9588108812741778</c:v>
                </c:pt>
                <c:pt idx="225">
                  <c:v>-1.0666915663209318</c:v>
                </c:pt>
                <c:pt idx="226">
                  <c:v>-1.1383389862758391</c:v>
                </c:pt>
                <c:pt idx="227">
                  <c:v>-1.1755012152438598</c:v>
                </c:pt>
                <c:pt idx="228">
                  <c:v>-1.161053962723785</c:v>
                </c:pt>
                <c:pt idx="229">
                  <c:v>-1.0999255146162747</c:v>
                </c:pt>
                <c:pt idx="230">
                  <c:v>-0.97657188133567918</c:v>
                </c:pt>
                <c:pt idx="231">
                  <c:v>-0.84589889936339613</c:v>
                </c:pt>
                <c:pt idx="232">
                  <c:v>-0.71715585196839549</c:v>
                </c:pt>
                <c:pt idx="233">
                  <c:v>-0.55532942279987996</c:v>
                </c:pt>
                <c:pt idx="234">
                  <c:v>-0.39498162260084729</c:v>
                </c:pt>
                <c:pt idx="235">
                  <c:v>-0.18132246228463095</c:v>
                </c:pt>
                <c:pt idx="236">
                  <c:v>5.8474101580841015E-2</c:v>
                </c:pt>
                <c:pt idx="237">
                  <c:v>0.29141936266696511</c:v>
                </c:pt>
                <c:pt idx="238">
                  <c:v>0.48884720236968127</c:v>
                </c:pt>
                <c:pt idx="239">
                  <c:v>0.6365953192325815</c:v>
                </c:pt>
                <c:pt idx="240">
                  <c:v>0.78485232318829368</c:v>
                </c:pt>
                <c:pt idx="241">
                  <c:v>0.95370233121546799</c:v>
                </c:pt>
                <c:pt idx="242">
                  <c:v>1.1470898289379368</c:v>
                </c:pt>
                <c:pt idx="243">
                  <c:v>1.3770877138732946</c:v>
                </c:pt>
                <c:pt idx="244">
                  <c:v>1.6395660943440538</c:v>
                </c:pt>
                <c:pt idx="245">
                  <c:v>1.9326668507169464</c:v>
                </c:pt>
                <c:pt idx="246">
                  <c:v>2.234125827319569</c:v>
                </c:pt>
                <c:pt idx="247">
                  <c:v>2.490572446711925</c:v>
                </c:pt>
                <c:pt idx="248">
                  <c:v>2.7276065466158248</c:v>
                </c:pt>
                <c:pt idx="249">
                  <c:v>2.9485088318103698</c:v>
                </c:pt>
                <c:pt idx="250">
                  <c:v>2.3588070654482958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0-4D55-9C7F-61ED9D3A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892799"/>
        <c:axId val="996897599"/>
      </c:lineChart>
      <c:dateAx>
        <c:axId val="996892799"/>
        <c:scaling>
          <c:orientation val="minMax"/>
          <c:max val="46062"/>
          <c:min val="459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7599"/>
        <c:crosses val="autoZero"/>
        <c:auto val="1"/>
        <c:lblOffset val="100"/>
        <c:baseTimeUnit val="days"/>
      </c:dateAx>
      <c:valAx>
        <c:axId val="996897599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2799"/>
        <c:crosses val="autoZero"/>
        <c:crossBetween val="between"/>
      </c:valAx>
      <c:valAx>
        <c:axId val="996888959"/>
        <c:scaling>
          <c:orientation val="minMax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05759"/>
        <c:crosses val="max"/>
        <c:crossBetween val="between"/>
      </c:valAx>
      <c:dateAx>
        <c:axId val="9969057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688895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Average Closer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46118</c:v>
                </c:pt>
              </c:numCache>
            </c:numRef>
          </c:cat>
          <c:val>
            <c:numRef>
              <c:f>Forecast!$B$2:$B$62</c:f>
              <c:numCache>
                <c:formatCode>General</c:formatCode>
                <c:ptCount val="61"/>
                <c:pt idx="0">
                  <c:v>167.83</c:v>
                </c:pt>
                <c:pt idx="1">
                  <c:v>167.34</c:v>
                </c:pt>
                <c:pt idx="2">
                  <c:v>172.06</c:v>
                </c:pt>
                <c:pt idx="3">
                  <c:v>174.798</c:v>
                </c:pt>
                <c:pt idx="4">
                  <c:v>170.86199999999999</c:v>
                </c:pt>
                <c:pt idx="5">
                  <c:v>168.05600000000001</c:v>
                </c:pt>
                <c:pt idx="6">
                  <c:v>166.364</c:v>
                </c:pt>
                <c:pt idx="7">
                  <c:v>169.32399999999998</c:v>
                </c:pt>
                <c:pt idx="8">
                  <c:v>162.28199999999998</c:v>
                </c:pt>
                <c:pt idx="9">
                  <c:v>168.655</c:v>
                </c:pt>
                <c:pt idx="10">
                  <c:v>163.982</c:v>
                </c:pt>
                <c:pt idx="11">
                  <c:v>161.43600000000001</c:v>
                </c:pt>
                <c:pt idx="12">
                  <c:v>158.73599999999999</c:v>
                </c:pt>
                <c:pt idx="13">
                  <c:v>160.66800000000001</c:v>
                </c:pt>
                <c:pt idx="14">
                  <c:v>165.346</c:v>
                </c:pt>
                <c:pt idx="15">
                  <c:v>168.39249999999998</c:v>
                </c:pt>
                <c:pt idx="16">
                  <c:v>165.48</c:v>
                </c:pt>
                <c:pt idx="17">
                  <c:v>162.19400000000002</c:v>
                </c:pt>
                <c:pt idx="18">
                  <c:v>159.125</c:v>
                </c:pt>
                <c:pt idx="19">
                  <c:v>159.77000000000001</c:v>
                </c:pt>
                <c:pt idx="20">
                  <c:v>160.64249999999998</c:v>
                </c:pt>
                <c:pt idx="21">
                  <c:v>158.29</c:v>
                </c:pt>
                <c:pt idx="22">
                  <c:v>154.178</c:v>
                </c:pt>
                <c:pt idx="23">
                  <c:v>157.74799999999999</c:v>
                </c:pt>
                <c:pt idx="24">
                  <c:v>153.54400000000001</c:v>
                </c:pt>
                <c:pt idx="25">
                  <c:v>152.226</c:v>
                </c:pt>
                <c:pt idx="26">
                  <c:v>154.71600000000001</c:v>
                </c:pt>
                <c:pt idx="27">
                  <c:v>158.20599999999999</c:v>
                </c:pt>
                <c:pt idx="28">
                  <c:v>156.35400000000001</c:v>
                </c:pt>
                <c:pt idx="29">
                  <c:v>158.8425</c:v>
                </c:pt>
                <c:pt idx="30">
                  <c:v>158.47</c:v>
                </c:pt>
                <c:pt idx="31">
                  <c:v>157.714</c:v>
                </c:pt>
                <c:pt idx="32">
                  <c:v>152.52799999999999</c:v>
                </c:pt>
                <c:pt idx="33">
                  <c:v>152.93600000000001</c:v>
                </c:pt>
                <c:pt idx="34">
                  <c:v>150.78200000000001</c:v>
                </c:pt>
                <c:pt idx="35">
                  <c:v>149.01400000000001</c:v>
                </c:pt>
                <c:pt idx="36">
                  <c:v>152.096</c:v>
                </c:pt>
                <c:pt idx="37">
                  <c:v>150.36600000000001</c:v>
                </c:pt>
                <c:pt idx="38">
                  <c:v>146.81799999999998</c:v>
                </c:pt>
                <c:pt idx="39">
                  <c:v>147.536</c:v>
                </c:pt>
                <c:pt idx="40">
                  <c:v>147.78200000000001</c:v>
                </c:pt>
                <c:pt idx="41">
                  <c:v>147.97</c:v>
                </c:pt>
                <c:pt idx="42">
                  <c:v>145.76400000000001</c:v>
                </c:pt>
                <c:pt idx="43">
                  <c:v>140.27799999999999</c:v>
                </c:pt>
                <c:pt idx="44">
                  <c:v>145.626</c:v>
                </c:pt>
                <c:pt idx="45">
                  <c:v>143.77500000000001</c:v>
                </c:pt>
                <c:pt idx="46">
                  <c:v>143.43</c:v>
                </c:pt>
                <c:pt idx="47">
                  <c:v>140.34399999999999</c:v>
                </c:pt>
                <c:pt idx="48">
                  <c:v>144.642</c:v>
                </c:pt>
                <c:pt idx="49">
                  <c:v>148.285</c:v>
                </c:pt>
                <c:pt idx="50">
                  <c:v>149.36799999999999</c:v>
                </c:pt>
                <c:pt idx="51">
                  <c:v>156.63200000000001</c:v>
                </c:pt>
                <c:pt idx="52">
                  <c:v>158.80333333333334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3-4B03-A0EA-DE2A06091931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46118</c:v>
                </c:pt>
              </c:numCache>
            </c:numRef>
          </c:cat>
          <c:val>
            <c:numRef>
              <c:f>Forecast!$C$2:$C$62</c:f>
              <c:numCache>
                <c:formatCode>General</c:formatCode>
                <c:ptCount val="61"/>
                <c:pt idx="53">
                  <c:v>158.30610261785733</c:v>
                </c:pt>
                <c:pt idx="54">
                  <c:v>158.48356018051658</c:v>
                </c:pt>
                <c:pt idx="55">
                  <c:v>144.07474981876658</c:v>
                </c:pt>
                <c:pt idx="56">
                  <c:v>140.25251439824942</c:v>
                </c:pt>
                <c:pt idx="57">
                  <c:v>143.5962228011943</c:v>
                </c:pt>
                <c:pt idx="58">
                  <c:v>140.93850494185315</c:v>
                </c:pt>
                <c:pt idx="59">
                  <c:v>141.56122153959765</c:v>
                </c:pt>
                <c:pt idx="60">
                  <c:v>144.70596821735347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3-4B03-A0EA-DE2A06091931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46118</c:v>
                </c:pt>
              </c:numCache>
            </c:numRef>
          </c:cat>
          <c:val>
            <c:numRef>
              <c:f>Forecast!$D$2:$D$62</c:f>
              <c:numCache>
                <c:formatCode>General</c:formatCode>
                <c:ptCount val="61"/>
                <c:pt idx="53">
                  <c:v>154.26854510439099</c:v>
                </c:pt>
                <c:pt idx="54">
                  <c:v>152.420819675221</c:v>
                </c:pt>
                <c:pt idx="55">
                  <c:v>153.23806325212499</c:v>
                </c:pt>
                <c:pt idx="56">
                  <c:v>157.30526622462699</c:v>
                </c:pt>
                <c:pt idx="57">
                  <c:v>161.38372573151199</c:v>
                </c:pt>
                <c:pt idx="58">
                  <c:v>158.85424595733201</c:v>
                </c:pt>
                <c:pt idx="59">
                  <c:v>155.38165771577701</c:v>
                </c:pt>
                <c:pt idx="60">
                  <c:v>152.991597282691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3-4B03-A0EA-DE2A06091931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GS Simple 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Forecast!$A$2:$A$62</c:f>
              <c:numCache>
                <c:formatCode>m/d/yyyy</c:formatCode>
                <c:ptCount val="61"/>
                <c:pt idx="0">
                  <c:v>45698</c:v>
                </c:pt>
                <c:pt idx="1">
                  <c:v>45705</c:v>
                </c:pt>
                <c:pt idx="2">
                  <c:v>45712</c:v>
                </c:pt>
                <c:pt idx="3">
                  <c:v>45719</c:v>
                </c:pt>
                <c:pt idx="4">
                  <c:v>45726</c:v>
                </c:pt>
                <c:pt idx="5">
                  <c:v>45733</c:v>
                </c:pt>
                <c:pt idx="6">
                  <c:v>45740</c:v>
                </c:pt>
                <c:pt idx="7">
                  <c:v>45747</c:v>
                </c:pt>
                <c:pt idx="8">
                  <c:v>45754</c:v>
                </c:pt>
                <c:pt idx="9">
                  <c:v>45761</c:v>
                </c:pt>
                <c:pt idx="10">
                  <c:v>45768</c:v>
                </c:pt>
                <c:pt idx="11">
                  <c:v>45775</c:v>
                </c:pt>
                <c:pt idx="12">
                  <c:v>45782</c:v>
                </c:pt>
                <c:pt idx="13">
                  <c:v>45789</c:v>
                </c:pt>
                <c:pt idx="14">
                  <c:v>45796</c:v>
                </c:pt>
                <c:pt idx="15">
                  <c:v>45803</c:v>
                </c:pt>
                <c:pt idx="16">
                  <c:v>45810</c:v>
                </c:pt>
                <c:pt idx="17">
                  <c:v>45817</c:v>
                </c:pt>
                <c:pt idx="18">
                  <c:v>45824</c:v>
                </c:pt>
                <c:pt idx="19">
                  <c:v>45831</c:v>
                </c:pt>
                <c:pt idx="20">
                  <c:v>45838</c:v>
                </c:pt>
                <c:pt idx="21">
                  <c:v>45845</c:v>
                </c:pt>
                <c:pt idx="22">
                  <c:v>45852</c:v>
                </c:pt>
                <c:pt idx="23">
                  <c:v>45859</c:v>
                </c:pt>
                <c:pt idx="24">
                  <c:v>45866</c:v>
                </c:pt>
                <c:pt idx="25">
                  <c:v>45873</c:v>
                </c:pt>
                <c:pt idx="26">
                  <c:v>45880</c:v>
                </c:pt>
                <c:pt idx="27">
                  <c:v>45887</c:v>
                </c:pt>
                <c:pt idx="28">
                  <c:v>45894</c:v>
                </c:pt>
                <c:pt idx="29">
                  <c:v>45901</c:v>
                </c:pt>
                <c:pt idx="30">
                  <c:v>45908</c:v>
                </c:pt>
                <c:pt idx="31">
                  <c:v>45915</c:v>
                </c:pt>
                <c:pt idx="32">
                  <c:v>45922</c:v>
                </c:pt>
                <c:pt idx="33">
                  <c:v>45929</c:v>
                </c:pt>
                <c:pt idx="34">
                  <c:v>45936</c:v>
                </c:pt>
                <c:pt idx="35">
                  <c:v>45943</c:v>
                </c:pt>
                <c:pt idx="36">
                  <c:v>45950</c:v>
                </c:pt>
                <c:pt idx="37">
                  <c:v>45957</c:v>
                </c:pt>
                <c:pt idx="38">
                  <c:v>45964</c:v>
                </c:pt>
                <c:pt idx="39">
                  <c:v>45971</c:v>
                </c:pt>
                <c:pt idx="40">
                  <c:v>45978</c:v>
                </c:pt>
                <c:pt idx="41">
                  <c:v>45985</c:v>
                </c:pt>
                <c:pt idx="42">
                  <c:v>45992</c:v>
                </c:pt>
                <c:pt idx="43">
                  <c:v>45999</c:v>
                </c:pt>
                <c:pt idx="44">
                  <c:v>46006</c:v>
                </c:pt>
                <c:pt idx="45">
                  <c:v>46013</c:v>
                </c:pt>
                <c:pt idx="46">
                  <c:v>46020</c:v>
                </c:pt>
                <c:pt idx="47">
                  <c:v>46027</c:v>
                </c:pt>
                <c:pt idx="48">
                  <c:v>46034</c:v>
                </c:pt>
                <c:pt idx="49">
                  <c:v>46041</c:v>
                </c:pt>
                <c:pt idx="50">
                  <c:v>46048</c:v>
                </c:pt>
                <c:pt idx="51">
                  <c:v>46055</c:v>
                </c:pt>
                <c:pt idx="52">
                  <c:v>46062</c:v>
                </c:pt>
                <c:pt idx="53">
                  <c:v>46069</c:v>
                </c:pt>
                <c:pt idx="54">
                  <c:v>46076</c:v>
                </c:pt>
                <c:pt idx="55">
                  <c:v>46083</c:v>
                </c:pt>
                <c:pt idx="56">
                  <c:v>46090</c:v>
                </c:pt>
                <c:pt idx="57">
                  <c:v>46097</c:v>
                </c:pt>
                <c:pt idx="58">
                  <c:v>46104</c:v>
                </c:pt>
                <c:pt idx="59">
                  <c:v>46111</c:v>
                </c:pt>
                <c:pt idx="60">
                  <c:v>46118</c:v>
                </c:pt>
              </c:numCache>
            </c:numRef>
          </c:cat>
          <c:val>
            <c:numRef>
              <c:f>Forecast!$E$2:$E$62</c:f>
              <c:numCache>
                <c:formatCode>General</c:formatCode>
                <c:ptCount val="61"/>
                <c:pt idx="53">
                  <c:v>155.765366</c:v>
                </c:pt>
                <c:pt idx="54">
                  <c:v>156.173224</c:v>
                </c:pt>
                <c:pt idx="55">
                  <c:v>155.75557800000001</c:v>
                </c:pt>
                <c:pt idx="56">
                  <c:v>157.44350900000001</c:v>
                </c:pt>
                <c:pt idx="57">
                  <c:v>155.50744700000001</c:v>
                </c:pt>
                <c:pt idx="58">
                  <c:v>158.64289400000001</c:v>
                </c:pt>
                <c:pt idx="59">
                  <c:v>158.519732</c:v>
                </c:pt>
                <c:pt idx="60">
                  <c:v>153.54790800000001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3-4B03-A0EA-DE2A060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38335"/>
        <c:axId val="147441695"/>
      </c:lineChart>
      <c:dateAx>
        <c:axId val="147438335"/>
        <c:scaling>
          <c:orientation val="minMax"/>
          <c:min val="4587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1695"/>
        <c:crosses val="autoZero"/>
        <c:auto val="1"/>
        <c:lblOffset val="100"/>
        <c:baseTimeUnit val="days"/>
      </c:dateAx>
      <c:valAx>
        <c:axId val="147441695"/>
        <c:scaling>
          <c:orientation val="minMax"/>
          <c:max val="16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Dividends!$A$2:$A$1000</c:f>
              <c:numCache>
                <c:formatCode>yyyy\-mm\-dd;@</c:formatCode>
                <c:ptCount val="999"/>
                <c:pt idx="0">
                  <c:v>36544</c:v>
                </c:pt>
                <c:pt idx="1">
                  <c:v>36634</c:v>
                </c:pt>
                <c:pt idx="2">
                  <c:v>36726</c:v>
                </c:pt>
                <c:pt idx="3">
                  <c:v>36817</c:v>
                </c:pt>
                <c:pt idx="4">
                  <c:v>36908</c:v>
                </c:pt>
                <c:pt idx="5">
                  <c:v>36999</c:v>
                </c:pt>
                <c:pt idx="6">
                  <c:v>37090</c:v>
                </c:pt>
                <c:pt idx="7">
                  <c:v>37181</c:v>
                </c:pt>
                <c:pt idx="8">
                  <c:v>37272</c:v>
                </c:pt>
                <c:pt idx="9">
                  <c:v>37363</c:v>
                </c:pt>
                <c:pt idx="10">
                  <c:v>37410</c:v>
                </c:pt>
                <c:pt idx="11">
                  <c:v>37454</c:v>
                </c:pt>
                <c:pt idx="12">
                  <c:v>37545</c:v>
                </c:pt>
                <c:pt idx="13">
                  <c:v>37643</c:v>
                </c:pt>
                <c:pt idx="14">
                  <c:v>37726</c:v>
                </c:pt>
                <c:pt idx="15">
                  <c:v>37818</c:v>
                </c:pt>
                <c:pt idx="16">
                  <c:v>37916</c:v>
                </c:pt>
                <c:pt idx="17">
                  <c:v>38007</c:v>
                </c:pt>
                <c:pt idx="18">
                  <c:v>38098</c:v>
                </c:pt>
                <c:pt idx="19">
                  <c:v>38189</c:v>
                </c:pt>
                <c:pt idx="20">
                  <c:v>38280</c:v>
                </c:pt>
                <c:pt idx="21">
                  <c:v>38371</c:v>
                </c:pt>
                <c:pt idx="22">
                  <c:v>38462</c:v>
                </c:pt>
                <c:pt idx="23">
                  <c:v>38553</c:v>
                </c:pt>
                <c:pt idx="24">
                  <c:v>38644</c:v>
                </c:pt>
                <c:pt idx="25">
                  <c:v>38735</c:v>
                </c:pt>
                <c:pt idx="26">
                  <c:v>38826</c:v>
                </c:pt>
                <c:pt idx="27">
                  <c:v>38917</c:v>
                </c:pt>
                <c:pt idx="28">
                  <c:v>39008</c:v>
                </c:pt>
                <c:pt idx="29">
                  <c:v>39099</c:v>
                </c:pt>
                <c:pt idx="30">
                  <c:v>39197</c:v>
                </c:pt>
                <c:pt idx="31">
                  <c:v>39281</c:v>
                </c:pt>
                <c:pt idx="32">
                  <c:v>39372</c:v>
                </c:pt>
                <c:pt idx="33">
                  <c:v>39463</c:v>
                </c:pt>
                <c:pt idx="34">
                  <c:v>39554</c:v>
                </c:pt>
                <c:pt idx="35">
                  <c:v>39645</c:v>
                </c:pt>
                <c:pt idx="36">
                  <c:v>39743</c:v>
                </c:pt>
                <c:pt idx="37">
                  <c:v>39834</c:v>
                </c:pt>
                <c:pt idx="38">
                  <c:v>39925</c:v>
                </c:pt>
                <c:pt idx="39">
                  <c:v>40016</c:v>
                </c:pt>
                <c:pt idx="40">
                  <c:v>40107</c:v>
                </c:pt>
                <c:pt idx="41">
                  <c:v>40198</c:v>
                </c:pt>
                <c:pt idx="42">
                  <c:v>40296</c:v>
                </c:pt>
                <c:pt idx="43">
                  <c:v>40380</c:v>
                </c:pt>
                <c:pt idx="44">
                  <c:v>40471</c:v>
                </c:pt>
                <c:pt idx="45">
                  <c:v>40562</c:v>
                </c:pt>
                <c:pt idx="46">
                  <c:v>40660</c:v>
                </c:pt>
                <c:pt idx="47">
                  <c:v>40744</c:v>
                </c:pt>
                <c:pt idx="48">
                  <c:v>40835</c:v>
                </c:pt>
                <c:pt idx="49">
                  <c:v>40926</c:v>
                </c:pt>
                <c:pt idx="50">
                  <c:v>41024</c:v>
                </c:pt>
                <c:pt idx="51">
                  <c:v>41108</c:v>
                </c:pt>
                <c:pt idx="52">
                  <c:v>41199</c:v>
                </c:pt>
                <c:pt idx="53">
                  <c:v>41290</c:v>
                </c:pt>
                <c:pt idx="54">
                  <c:v>41388</c:v>
                </c:pt>
                <c:pt idx="55">
                  <c:v>41472</c:v>
                </c:pt>
                <c:pt idx="56">
                  <c:v>41563</c:v>
                </c:pt>
                <c:pt idx="57">
                  <c:v>41661</c:v>
                </c:pt>
                <c:pt idx="58">
                  <c:v>41752</c:v>
                </c:pt>
                <c:pt idx="59">
                  <c:v>41836</c:v>
                </c:pt>
                <c:pt idx="60">
                  <c:v>41934</c:v>
                </c:pt>
                <c:pt idx="61">
                  <c:v>42025</c:v>
                </c:pt>
                <c:pt idx="62">
                  <c:v>42117</c:v>
                </c:pt>
                <c:pt idx="63">
                  <c:v>42207</c:v>
                </c:pt>
                <c:pt idx="64">
                  <c:v>42298</c:v>
                </c:pt>
                <c:pt idx="65">
                  <c:v>42389</c:v>
                </c:pt>
                <c:pt idx="66">
                  <c:v>42474</c:v>
                </c:pt>
                <c:pt idx="67">
                  <c:v>42571</c:v>
                </c:pt>
                <c:pt idx="68">
                  <c:v>42662</c:v>
                </c:pt>
                <c:pt idx="69">
                  <c:v>42753</c:v>
                </c:pt>
                <c:pt idx="70">
                  <c:v>42844</c:v>
                </c:pt>
                <c:pt idx="71">
                  <c:v>42935</c:v>
                </c:pt>
                <c:pt idx="72">
                  <c:v>43027</c:v>
                </c:pt>
                <c:pt idx="73">
                  <c:v>43118</c:v>
                </c:pt>
                <c:pt idx="74">
                  <c:v>43209</c:v>
                </c:pt>
                <c:pt idx="75">
                  <c:v>43300</c:v>
                </c:pt>
                <c:pt idx="76">
                  <c:v>43391</c:v>
                </c:pt>
                <c:pt idx="77">
                  <c:v>43482</c:v>
                </c:pt>
                <c:pt idx="78">
                  <c:v>43572</c:v>
                </c:pt>
                <c:pt idx="79">
                  <c:v>43664</c:v>
                </c:pt>
                <c:pt idx="80">
                  <c:v>43755</c:v>
                </c:pt>
                <c:pt idx="81">
                  <c:v>43853</c:v>
                </c:pt>
                <c:pt idx="82">
                  <c:v>43944</c:v>
                </c:pt>
                <c:pt idx="83">
                  <c:v>44035</c:v>
                </c:pt>
                <c:pt idx="84">
                  <c:v>44126</c:v>
                </c:pt>
                <c:pt idx="85">
                  <c:v>44217</c:v>
                </c:pt>
                <c:pt idx="86">
                  <c:v>44308</c:v>
                </c:pt>
                <c:pt idx="87">
                  <c:v>44399</c:v>
                </c:pt>
                <c:pt idx="88">
                  <c:v>44490</c:v>
                </c:pt>
                <c:pt idx="89">
                  <c:v>44581</c:v>
                </c:pt>
                <c:pt idx="90">
                  <c:v>44672</c:v>
                </c:pt>
                <c:pt idx="91">
                  <c:v>44763</c:v>
                </c:pt>
                <c:pt idx="92">
                  <c:v>44854</c:v>
                </c:pt>
                <c:pt idx="93">
                  <c:v>44945</c:v>
                </c:pt>
                <c:pt idx="94">
                  <c:v>45036</c:v>
                </c:pt>
                <c:pt idx="95">
                  <c:v>45127</c:v>
                </c:pt>
                <c:pt idx="96">
                  <c:v>45218</c:v>
                </c:pt>
                <c:pt idx="97">
                  <c:v>45309</c:v>
                </c:pt>
                <c:pt idx="98">
                  <c:v>45400</c:v>
                </c:pt>
                <c:pt idx="99">
                  <c:v>45492</c:v>
                </c:pt>
                <c:pt idx="100">
                  <c:v>45583</c:v>
                </c:pt>
                <c:pt idx="101">
                  <c:v>45681</c:v>
                </c:pt>
                <c:pt idx="102">
                  <c:v>45768</c:v>
                </c:pt>
                <c:pt idx="103">
                  <c:v>45856</c:v>
                </c:pt>
                <c:pt idx="104">
                  <c:v>45954</c:v>
                </c:pt>
                <c:pt idx="105">
                  <c:v>46045</c:v>
                </c:pt>
              </c:numCache>
            </c:numRef>
          </c:cat>
          <c:val>
            <c:numRef>
              <c:f>Dividends!$B$2:$B$1000</c:f>
              <c:numCache>
                <c:formatCode>"$"#,##0.00_);[Red]\("$"#,##0.00\)</c:formatCode>
                <c:ptCount val="999"/>
                <c:pt idx="0">
                  <c:v>0.16</c:v>
                </c:pt>
                <c:pt idx="1">
                  <c:v>0.16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0.35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0.31</c:v>
                </c:pt>
                <c:pt idx="27">
                  <c:v>0.31</c:v>
                </c:pt>
                <c:pt idx="28">
                  <c:v>0.31</c:v>
                </c:pt>
                <c:pt idx="29">
                  <c:v>0.31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0.48</c:v>
                </c:pt>
                <c:pt idx="46">
                  <c:v>0.53</c:v>
                </c:pt>
                <c:pt idx="47">
                  <c:v>0.53</c:v>
                </c:pt>
                <c:pt idx="48">
                  <c:v>0.53</c:v>
                </c:pt>
                <c:pt idx="49">
                  <c:v>0.53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0.67</c:v>
                </c:pt>
                <c:pt idx="67">
                  <c:v>0.67</c:v>
                </c:pt>
                <c:pt idx="68">
                  <c:v>0.67</c:v>
                </c:pt>
                <c:pt idx="69">
                  <c:v>0.67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0.79</c:v>
                </c:pt>
                <c:pt idx="83">
                  <c:v>0.79</c:v>
                </c:pt>
                <c:pt idx="84">
                  <c:v>0.79</c:v>
                </c:pt>
                <c:pt idx="85">
                  <c:v>0.79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0.91</c:v>
                </c:pt>
                <c:pt idx="91">
                  <c:v>0.91</c:v>
                </c:pt>
                <c:pt idx="92">
                  <c:v>0.91</c:v>
                </c:pt>
                <c:pt idx="93">
                  <c:v>0.91</c:v>
                </c:pt>
                <c:pt idx="94">
                  <c:v>0.94</c:v>
                </c:pt>
                <c:pt idx="95">
                  <c:v>0.94</c:v>
                </c:pt>
                <c:pt idx="96">
                  <c:v>0.94</c:v>
                </c:pt>
                <c:pt idx="97">
                  <c:v>0.94</c:v>
                </c:pt>
                <c:pt idx="98">
                  <c:v>1.01</c:v>
                </c:pt>
                <c:pt idx="99">
                  <c:v>1.01</c:v>
                </c:pt>
                <c:pt idx="100">
                  <c:v>1.01</c:v>
                </c:pt>
                <c:pt idx="101">
                  <c:v>1.01</c:v>
                </c:pt>
                <c:pt idx="102">
                  <c:v>1.06</c:v>
                </c:pt>
                <c:pt idx="103">
                  <c:v>1.06</c:v>
                </c:pt>
                <c:pt idx="104">
                  <c:v>1.06</c:v>
                </c:pt>
                <c:pt idx="105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B-4A09-ACBF-D907D7C3C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674063"/>
        <c:axId val="151764847"/>
      </c:barChart>
      <c:dateAx>
        <c:axId val="100067406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4847"/>
        <c:crosses val="autoZero"/>
        <c:auto val="1"/>
        <c:lblOffset val="100"/>
        <c:baseTimeUnit val="months"/>
      </c:dateAx>
      <c:valAx>
        <c:axId val="1517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7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9525</xdr:rowOff>
    </xdr:from>
    <xdr:to>
      <xdr:col>12</xdr:col>
      <xdr:colOff>361950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AD59E-0DC5-44C4-BBC8-9148F0B0F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9525</xdr:rowOff>
    </xdr:from>
    <xdr:to>
      <xdr:col>12</xdr:col>
      <xdr:colOff>390525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6D354-F52B-42C8-B840-BDB1B23BD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34</xdr:row>
      <xdr:rowOff>9525</xdr:rowOff>
    </xdr:from>
    <xdr:to>
      <xdr:col>12</xdr:col>
      <xdr:colOff>419100</xdr:colOff>
      <xdr:row>48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F84D78-E375-4AE1-A4D3-9A7FA8EB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50</xdr:row>
      <xdr:rowOff>104775</xdr:rowOff>
    </xdr:from>
    <xdr:to>
      <xdr:col>12</xdr:col>
      <xdr:colOff>476250</xdr:colOff>
      <xdr:row>64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1AB4EE-9005-47C0-94E8-8D671F2F7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</xdr:colOff>
      <xdr:row>66</xdr:row>
      <xdr:rowOff>66675</xdr:rowOff>
    </xdr:from>
    <xdr:to>
      <xdr:col>12</xdr:col>
      <xdr:colOff>476250</xdr:colOff>
      <xdr:row>80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13B982-F99C-46EC-BFAE-53CD16353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38100</xdr:colOff>
      <xdr:row>82</xdr:row>
      <xdr:rowOff>19050</xdr:rowOff>
    </xdr:from>
    <xdr:to>
      <xdr:col>12</xdr:col>
      <xdr:colOff>514350</xdr:colOff>
      <xdr:row>95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DA22AD-B848-454E-9FEA-86CBBC8C5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CF7D5A-DFF4-4325-8431-D6DF00F06139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0</v>
    <v t="i">1</v>
    <v t="i">2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51</v>
    <v t="i">54</v>
    <v t="i">55</v>
    <v t="i">56</v>
    <v t="i">57</v>
    <v t="i">58</v>
    <v t="i">61</v>
    <v t="i">62</v>
    <v t="i">63</v>
    <v t="i">64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104</v>
    <v t="i">105</v>
    <v t="i">106</v>
    <v t="i">107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128</v>
    <v t="i">131</v>
    <v t="i">132</v>
    <v t="i">133</v>
    <v t="i">134</v>
    <v t="i">135</v>
    <v t="i">138</v>
    <v t="i">139</v>
    <v t="i">140</v>
    <v t="i">141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187</v>
    <v t="i">188</v>
    <v t="i">189</v>
    <v t="i">190</v>
    <v t="i">191</v>
    <v t="i">194</v>
    <v t="i">195</v>
    <v t="i">196</v>
    <v t="i">197</v>
    <v t="i">198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317</v>
    <v t="i">320</v>
    <v t="i">321</v>
    <v t="i">322</v>
    <v t="i">324</v>
    <v t="i">327</v>
    <v t="i">328</v>
    <v t="i">329</v>
    <v t="i">330</v>
    <v t="i">331</v>
    <v t="i">334</v>
    <v t="i">335</v>
    <v t="i">336</v>
    <v t="i">337</v>
    <v t="i">338</v>
    <v t="i">342</v>
    <v t="i">343</v>
    <v t="i">344</v>
    <v t="i">345</v>
    <v t="i">348</v>
    <v t="i">349</v>
    <v t="i">350</v>
    <v t="i">351</v>
    <v t="i">352</v>
    <v t="i">355</v>
    <v t="i">356</v>
    <v t="i">357</v>
    <v t="i">358</v>
    <v t="i">359</v>
    <v t="i">362</v>
    <v t="i">363</v>
    <v t="i">364</v>
  </a>
  <a r="1" c="251">
    <v>169.58</v>
    <v>171.02</v>
    <v>162.88999999999999</v>
    <v>165.43</v>
    <v>166.49</v>
    <v>167.21</v>
    <v>170.23</v>
    <v>170.54</v>
    <v>172.65</v>
    <v>171.3</v>
    <v>171.97</v>
    <v>173.84</v>
    <v>175.59</v>
    <v>173.18</v>
    <v>174.61</v>
    <v>174.66</v>
    <v>175.95</v>
    <v>176.26</v>
    <v>173.12</v>
    <v>168.37</v>
    <v>168.59</v>
    <v>167.97</v>
    <v>169.76</v>
    <v>167.71</v>
    <v>168.57</v>
    <v>167.55</v>
    <v>166.69</v>
    <v>165.65</v>
    <v>162.85</v>
    <v>166.58</v>
    <v>168.71</v>
    <v>168.03</v>
    <v>170.42</v>
    <v>170.56</v>
    <v>169.5</v>
    <v>172.39</v>
    <v>163.75</v>
    <v>160.22999999999999</v>
    <v>158.38999999999999</v>
    <v>162.32</v>
    <v>163.56</v>
    <v>166.91</v>
    <v>169.13</v>
    <v>168.47</v>
    <v>166.39</v>
    <v>170.63</v>
    <v>165.75</v>
    <v>167.88</v>
    <v>165.73</v>
    <v>159.53</v>
    <v>161.02000000000001</v>
    <v>161.85</v>
    <v>162.26</v>
    <v>162.57</v>
    <v>159.97999999999999</v>
    <v>160.52000000000001</v>
    <v>158.83000000000001</v>
    <v>159.25</v>
    <v>159.29</v>
    <v>158.65</v>
    <v>157.66</v>
    <v>160.9</v>
    <v>158.72999999999999</v>
    <v>158.02000000000001</v>
    <v>162.41</v>
    <v>163.28</v>
    <v>164.77</v>
    <v>165.64</v>
    <v>165.43</v>
    <v>165.03</v>
    <v>165.86</v>
    <v>167.76</v>
    <v>167.36</v>
    <v>168.56</v>
    <v>169.89</v>
    <v>167.78</v>
    <v>166.85</v>
    <v>165.95</v>
    <v>162.80000000000001</v>
    <v>164.02</v>
    <v>162.56</v>
    <v>162.84</v>
    <v>162.11000000000001</v>
    <v>163.18</v>
    <v>160.28</v>
    <v>160.88</v>
    <v>158.52000000000001</v>
    <v>158.02000000000001</v>
    <v>159.08000000000001</v>
    <v>161.03</v>
    <v>160.36000000000001</v>
    <v>158.97</v>
    <v>158.63</v>
    <v>159.86000000000001</v>
    <v>159.32</v>
    <v>161.22</v>
    <v>161.19999999999999</v>
    <v>160.83000000000001</v>
    <v>160.5</v>
    <v>157.88999999999999</v>
    <v>157.52000000000001</v>
    <v>158.49</v>
    <v>157.05000000000001</v>
    <v>153.76</v>
    <v>152.68</v>
    <v>153.72999999999999</v>
    <v>155.62</v>
    <v>155.1</v>
    <v>155.03</v>
    <v>158.32</v>
    <v>158.28</v>
    <v>158.81</v>
    <v>158.30000000000001</v>
    <v>157.11000000000001</v>
    <v>156.61000000000001</v>
    <v>152.88</v>
    <v>150.47</v>
    <v>150.65</v>
    <v>150.76</v>
    <v>150.51</v>
    <v>152.86000000000001</v>
    <v>153.49</v>
    <v>153.51</v>
    <v>154.97999999999999</v>
    <v>155.09</v>
    <v>155.41</v>
    <v>153.74</v>
    <v>154.36000000000001</v>
    <v>155.72</v>
    <v>158.4</v>
    <v>159.51</v>
    <v>158.72999999999999</v>
    <v>158.66999999999999</v>
    <v>156.15</v>
    <v>155.97</v>
    <v>156.96</v>
    <v>155.65</v>
    <v>157.04</v>
    <v>157.99</v>
    <v>158.16999999999999</v>
    <v>159.19</v>
    <v>160.02000000000001</v>
    <v>159.01</v>
    <v>159.46</v>
    <v>157.35</v>
    <v>158.63</v>
    <v>157.9</v>
    <v>156.83000000000001</v>
    <v>158.05000000000001</v>
    <v>160.33000000000001</v>
    <v>157.32</v>
    <v>156.04</v>
    <v>153.07</v>
    <v>152.5</v>
    <v>152.41999999999999</v>
    <v>152.15</v>
    <v>152.5</v>
    <v>153.53</v>
    <v>153.65</v>
    <v>153.18</v>
    <v>152.05000000000001</v>
    <v>152.27000000000001</v>
    <v>150.41</v>
    <v>152.54</v>
    <v>150.69</v>
    <v>150.58000000000001</v>
    <v>149.69</v>
    <v>147.49</v>
    <v>149.16</v>
    <v>147.41999999999999</v>
    <v>149.6</v>
    <v>151.4</v>
    <v>151.96</v>
    <v>151.62</v>
    <v>152.19999999999999</v>
    <v>152.21</v>
    <v>152.49</v>
    <v>151.74</v>
    <v>151.37</v>
    <v>148.77000000000001</v>
    <v>149.58000000000001</v>
    <v>150.37</v>
    <v>148.02000000000001</v>
    <v>147.16999999999999</v>
    <v>145.79</v>
    <v>146.13</v>
    <v>146.97999999999999</v>
    <v>145.5</v>
    <v>148.54</v>
    <v>148.01</v>
    <v>147.96</v>
    <v>147.66999999999999</v>
    <v>145.82</v>
    <v>146.99</v>
    <v>146.99</v>
    <v>148.19</v>
    <v>150.91999999999999</v>
    <v>146.97999999999999</v>
    <v>148.49</v>
    <v>148.25</v>
    <v>148.16</v>
    <v>147.44</v>
    <v>145.86000000000001</v>
    <v>146.71</v>
    <v>145.36000000000001</v>
    <v>143.44999999999999</v>
    <v>138.34</v>
    <v>139.63</v>
    <v>139.82</v>
    <v>140.76</v>
    <v>142.84</v>
    <v>145.13</v>
    <v>145.21</v>
    <v>147.81</v>
    <v>145.52000000000001</v>
    <v>144.46</v>
    <v>142.69</v>
    <v>143.18</v>
    <v>144.49</v>
    <v>144.74</v>
    <v>144.57</v>
    <v>144.05000000000001</v>
    <v>143.31</v>
    <v>141.79</v>
    <v>140.37</v>
    <v>139.91</v>
    <v>138.04</v>
    <v>141.53</v>
    <v>141.87</v>
    <v>143.46</v>
    <v>144.24</v>
    <v>146.35</v>
    <v>144.63</v>
    <v>144.53</v>
    <v>147</v>
    <v>146.06</v>
    <v>149.93</v>
    <v>150.15</v>
    <v>149.49</v>
    <v>148.34</v>
    <v>147.34</v>
    <v>149.9</v>
    <v>151.77000000000001</v>
    <v>153.19</v>
    <v>155.32</v>
    <v>156.87</v>
    <v>158.61000000000001</v>
    <v>159.16999999999999</v>
    <v>157.33000000000001</v>
    <v>159.08000000000001</v>
    <v>160</v>
  </a>
  <a r="1" c="251">
    <v>6037671</v>
    <v>6328365</v>
    <v>13179478</v>
    <v>7075681</v>
    <v>7910823</v>
    <v>6162601</v>
    <v>9813720</v>
    <v>8564057</v>
    <v>7314856</v>
    <v>5519041</v>
    <v>5466965</v>
    <v>10240069</v>
    <v>7615570</v>
    <v>12118023</v>
    <v>6989086</v>
    <v>6702490</v>
    <v>9566763</v>
    <v>11047022</v>
    <v>11032285</v>
    <v>10159136</v>
    <v>6609126</v>
    <v>6790624</v>
    <v>9931678</v>
    <v>6100242</v>
    <v>7569165</v>
    <v>8789167</v>
    <v>16027251</v>
    <v>6102109</v>
    <v>8366736</v>
    <v>7757259</v>
    <v>6211735</v>
    <v>5479306</v>
    <v>11520451</v>
    <v>7021507</v>
    <v>6274548</v>
    <v>9393270</v>
    <v>13454205</v>
    <v>15708009</v>
    <v>11541114</v>
    <v>10670212</v>
    <v>10581571</v>
    <v>8603200</v>
    <v>9877411</v>
    <v>8764978</v>
    <v>5897634</v>
    <v>7227061</v>
    <v>8062360</v>
    <v>7907421</v>
    <v>9309164</v>
    <v>20077665</v>
    <v>12893200</v>
    <v>8126981</v>
    <v>8266154</v>
    <v>12475539</v>
    <v>6792815</v>
    <v>5750165</v>
    <v>7576219</v>
    <v>7703843</v>
    <v>6430156</v>
    <v>7230806</v>
    <v>6453232</v>
    <v>7378380</v>
    <v>7780827</v>
    <v>5988905</v>
    <v>8727316</v>
    <v>7100784</v>
    <v>8120219</v>
    <v>5576561</v>
    <v>6424153</v>
    <v>6245571</v>
    <v>5349868</v>
    <v>11423794</v>
    <v>5385942</v>
    <v>4842554</v>
    <v>12587537</v>
    <v>7574428</v>
    <v>6223447</v>
    <v>4939333</v>
    <v>10352288</v>
    <v>5697877</v>
    <v>6544199</v>
    <v>7680015</v>
    <v>5960052</v>
    <v>6509891</v>
    <v>7104547</v>
    <v>6331961</v>
    <v>6809747</v>
    <v>7211225</v>
    <v>16173371</v>
    <v>6588223</v>
    <v>7470052</v>
    <v>5933715</v>
    <v>7410446</v>
    <v>19256955</v>
    <v>11238201</v>
    <v>10664891</v>
    <v>8848744</v>
    <v>6999589</v>
    <v>7225695</v>
    <v>12034764</v>
    <v>18770894</v>
    <v>7201748</v>
    <v>8053808</v>
    <v>11491688</v>
    <v>9142615</v>
    <v>8478997</v>
    <v>8319996</v>
    <v>7337252</v>
    <v>6328370</v>
    <v>8186970</v>
    <v>4804795</v>
    <v>7027392</v>
    <v>5800248</v>
    <v>7885026</v>
    <v>11466058</v>
    <v>8162888</v>
    <v>11845443</v>
    <v>8594220</v>
    <v>7679361</v>
    <v>6670065</v>
    <v>7376213</v>
    <v>6719044</v>
    <v>5811281</v>
    <v>7331707</v>
    <v>6938336</v>
    <v>5812356</v>
    <v>6343715</v>
    <v>7121700</v>
    <v>8274726</v>
    <v>7868129</v>
    <v>7840355</v>
    <v>6417695</v>
    <v>5797325</v>
    <v>4692505</v>
    <v>6337977</v>
    <v>4551219</v>
    <v>5857727</v>
    <v>5318179</v>
    <v>6432837</v>
    <v>6592451</v>
    <v>6935245</v>
    <v>6436150</v>
    <v>7178356</v>
    <v>4984936</v>
    <v>6205463</v>
    <v>5819875</v>
    <v>5957021</v>
    <v>5994966</v>
    <v>6559608</v>
    <v>6764169</v>
    <v>7651487</v>
    <v>17224774</v>
    <v>8712910</v>
    <v>8853418</v>
    <v>6483264</v>
    <v>7511415</v>
    <v>5721092</v>
    <v>8139711</v>
    <v>7762609</v>
    <v>7566014</v>
    <v>6892089</v>
    <v>5212584</v>
    <v>6736960</v>
    <v>6844361</v>
    <v>5254728</v>
    <v>6134461</v>
    <v>7374046</v>
    <v>7511103</v>
    <v>8585346</v>
    <v>10003073</v>
    <v>8809673</v>
    <v>8612894</v>
    <v>5601287</v>
    <v>6013379</v>
    <v>6394378</v>
    <v>8205353</v>
    <v>11968491</v>
    <v>7775323</v>
    <v>5819257</v>
    <v>7405466</v>
    <v>6760702</v>
    <v>7930334</v>
    <v>8946383</v>
    <v>9295449</v>
    <v>11199878</v>
    <v>10024549</v>
    <v>8500097</v>
    <v>10208085</v>
    <v>7332540</v>
    <v>7851052</v>
    <v>7566789</v>
    <v>9151066</v>
    <v>9902310</v>
    <v>10735177</v>
    <v>6367038</v>
    <v>9021325</v>
    <v>12017986</v>
    <v>13846906</v>
    <v>10477661</v>
    <v>9238450</v>
    <v>4707161</v>
    <v>8240689</v>
    <v>16376769</v>
    <v>9125320</v>
    <v>10479267</v>
    <v>12791745</v>
    <v>17507504</v>
    <v>10375688</v>
    <v>13650378</v>
    <v>11797981</v>
    <v>10268768</v>
    <v>13877674</v>
    <v>10251720</v>
    <v>9833261</v>
    <v>12239860</v>
    <v>19345622</v>
    <v>11731360</v>
    <v>9541563</v>
    <v>3259209</v>
    <v>4711505</v>
    <v>7662127</v>
    <v>6006432</v>
    <v>5293220</v>
    <v>8946091</v>
    <v>12297334</v>
    <v>10421756</v>
    <v>14369142</v>
    <v>9297080</v>
    <v>9528476</v>
    <v>12812014</v>
    <v>15549150</v>
    <v>13474983</v>
    <v>10102757</v>
    <v>11729334</v>
    <v>12901430</v>
    <v>14126814</v>
    <v>18501854</v>
    <v>14562626</v>
    <v>12655663</v>
    <v>9546000</v>
    <v>7465812</v>
    <v>11035563</v>
    <v>12651426</v>
    <v>10554872</v>
    <v>12424740</v>
    <v>12178463</v>
    <v>13077657</v>
    <v>10441737</v>
    <v>11439942</v>
    <v>9910099</v>
    <v>10217309</v>
  </a>
</arrayData>
</file>

<file path=xl/richData/rdrichvalue.xml><?xml version="1.0" encoding="utf-8"?>
<rvData xmlns="http://schemas.microsoft.com/office/spreadsheetml/2017/richdata" count="746">
  <rv s="0">
    <fb>45700</fb>
    <v>0</v>
  </rv>
  <rv s="0">
    <fb>169.58</fb>
    <v>1</v>
  </rv>
  <rv s="0">
    <fb>6037671</fb>
    <v>2</v>
  </rv>
  <rv s="0">
    <fb>45701</fb>
    <v>0</v>
  </rv>
  <rv s="0">
    <fb>171.02</fb>
    <v>1</v>
  </rv>
  <rv s="0">
    <fb>6328365</fb>
    <v>2</v>
  </rv>
  <rv s="0">
    <fb>45702</fb>
    <v>0</v>
  </rv>
  <rv s="0">
    <fb>162.88999999999999</fb>
    <v>1</v>
  </rv>
  <rv s="0">
    <fb>13179478</fb>
    <v>2</v>
  </rv>
  <rv s="0">
    <fb>45706</fb>
    <v>0</v>
  </rv>
  <rv s="0">
    <fb>165.43</fb>
    <v>1</v>
  </rv>
  <rv s="0">
    <fb>7075681</fb>
    <v>2</v>
  </rv>
  <rv s="0">
    <fb>45707</fb>
    <v>0</v>
  </rv>
  <rv s="0">
    <fb>166.49</fb>
    <v>1</v>
  </rv>
  <rv s="0">
    <fb>7910823</fb>
    <v>2</v>
  </rv>
  <rv s="0">
    <fb>45708</fb>
    <v>0</v>
  </rv>
  <rv s="0">
    <fb>167.21</fb>
    <v>1</v>
  </rv>
  <rv s="0">
    <fb>6162601</fb>
    <v>2</v>
  </rv>
  <rv s="0">
    <fb>45709</fb>
    <v>0</v>
  </rv>
  <rv s="0">
    <fb>170.23</fb>
    <v>1</v>
  </rv>
  <rv s="0">
    <fb>9813720</fb>
    <v>2</v>
  </rv>
  <rv s="0">
    <fb>45712</fb>
    <v>0</v>
  </rv>
  <rv s="0">
    <fb>170.54</fb>
    <v>1</v>
  </rv>
  <rv s="0">
    <fb>8564057</fb>
    <v>2</v>
  </rv>
  <rv s="0">
    <fb>45713</fb>
    <v>0</v>
  </rv>
  <rv s="0">
    <fb>172.65</fb>
    <v>1</v>
  </rv>
  <rv s="0">
    <fb>7314856</fb>
    <v>2</v>
  </rv>
  <rv s="0">
    <fb>45714</fb>
    <v>0</v>
  </rv>
  <rv s="0">
    <fb>171.3</fb>
    <v>1</v>
  </rv>
  <rv s="0">
    <fb>5519041</fb>
    <v>2</v>
  </rv>
  <rv s="0">
    <fb>45715</fb>
    <v>0</v>
  </rv>
  <rv s="0">
    <fb>171.97</fb>
    <v>1</v>
  </rv>
  <rv s="0">
    <fb>5466965</fb>
    <v>2</v>
  </rv>
  <rv s="0">
    <fb>45716</fb>
    <v>0</v>
  </rv>
  <rv s="0">
    <fb>173.84</fb>
    <v>1</v>
  </rv>
  <rv s="0">
    <fb>10240069</fb>
    <v>2</v>
  </rv>
  <rv s="0">
    <fb>45719</fb>
    <v>0</v>
  </rv>
  <rv s="0">
    <fb>175.59</fb>
    <v>1</v>
  </rv>
  <rv s="0">
    <fb>7615570</fb>
    <v>2</v>
  </rv>
  <rv s="0">
    <fb>45720</fb>
    <v>0</v>
  </rv>
  <rv s="0">
    <fb>173.18</fb>
    <v>1</v>
  </rv>
  <rv s="0">
    <fb>12118023</fb>
    <v>2</v>
  </rv>
  <rv s="0">
    <fb>45721</fb>
    <v>0</v>
  </rv>
  <rv s="0">
    <fb>174.61</fb>
    <v>1</v>
  </rv>
  <rv s="0">
    <fb>6989086</fb>
    <v>2</v>
  </rv>
  <rv s="0">
    <fb>45722</fb>
    <v>0</v>
  </rv>
  <rv s="0">
    <fb>174.66</fb>
    <v>1</v>
  </rv>
  <rv s="0">
    <fb>6702490</fb>
    <v>2</v>
  </rv>
  <rv s="0">
    <fb>45723</fb>
    <v>0</v>
  </rv>
  <rv s="0">
    <fb>175.95</fb>
    <v>1</v>
  </rv>
  <rv s="0">
    <fb>9566763</fb>
    <v>2</v>
  </rv>
  <rv s="0">
    <fb>45726</fb>
    <v>0</v>
  </rv>
  <rv s="0">
    <fb>176.26</fb>
    <v>1</v>
  </rv>
  <rv s="0">
    <fb>11047022</fb>
    <v>2</v>
  </rv>
  <rv s="0">
    <fb>45727</fb>
    <v>0</v>
  </rv>
  <rv s="0">
    <fb>173.12</fb>
    <v>1</v>
  </rv>
  <rv s="0">
    <fb>11032285</fb>
    <v>2</v>
  </rv>
  <rv s="0">
    <fb>45728</fb>
    <v>0</v>
  </rv>
  <rv s="0">
    <fb>168.37</fb>
    <v>1</v>
  </rv>
  <rv s="0">
    <fb>10159136</fb>
    <v>2</v>
  </rv>
  <rv s="0">
    <fb>45729</fb>
    <v>0</v>
  </rv>
  <rv s="0">
    <fb>168.59</fb>
    <v>1</v>
  </rv>
  <rv s="0">
    <fb>6609126</fb>
    <v>2</v>
  </rv>
  <rv s="0">
    <fb>45730</fb>
    <v>0</v>
  </rv>
  <rv s="0">
    <fb>167.97</fb>
    <v>1</v>
  </rv>
  <rv s="0">
    <fb>6790624</fb>
    <v>2</v>
  </rv>
  <rv s="0">
    <fb>45733</fb>
    <v>0</v>
  </rv>
  <rv s="0">
    <fb>169.76</fb>
    <v>1</v>
  </rv>
  <rv s="0">
    <fb>9931678</fb>
    <v>2</v>
  </rv>
  <rv s="0">
    <fb>45734</fb>
    <v>0</v>
  </rv>
  <rv s="0">
    <fb>167.71</fb>
    <v>1</v>
  </rv>
  <rv s="0">
    <fb>6100242</fb>
    <v>2</v>
  </rv>
  <rv s="0">
    <fb>45735</fb>
    <v>0</v>
  </rv>
  <rv s="0">
    <fb>168.57</fb>
    <v>1</v>
  </rv>
  <rv s="0">
    <fb>7569165</fb>
    <v>2</v>
  </rv>
  <rv s="0">
    <fb>45736</fb>
    <v>0</v>
  </rv>
  <rv s="0">
    <fb>167.55</fb>
    <v>1</v>
  </rv>
  <rv s="0">
    <fb>8789167</fb>
    <v>2</v>
  </rv>
  <rv s="0">
    <fb>45737</fb>
    <v>0</v>
  </rv>
  <rv s="0">
    <fb>166.69</fb>
    <v>1</v>
  </rv>
  <rv s="0">
    <fb>16027251</fb>
    <v>2</v>
  </rv>
  <rv s="0">
    <fb>45740</fb>
    <v>0</v>
  </rv>
  <rv s="0">
    <fb>165.65</fb>
    <v>1</v>
  </rv>
  <rv s="0">
    <fb>6102109</fb>
    <v>2</v>
  </rv>
  <rv s="0">
    <fb>45741</fb>
    <v>0</v>
  </rv>
  <rv s="0">
    <fb>162.85</fb>
    <v>1</v>
  </rv>
  <rv s="0">
    <fb>8366736</fb>
    <v>2</v>
  </rv>
  <rv s="0">
    <fb>45742</fb>
    <v>0</v>
  </rv>
  <rv s="0">
    <fb>166.58</fb>
    <v>1</v>
  </rv>
  <rv s="0">
    <fb>7757259</fb>
    <v>2</v>
  </rv>
  <rv s="0">
    <fb>45743</fb>
    <v>0</v>
  </rv>
  <rv s="0">
    <fb>168.71</fb>
    <v>1</v>
  </rv>
  <rv s="0">
    <fb>6211735</fb>
    <v>2</v>
  </rv>
  <rv s="0">
    <fb>45744</fb>
    <v>0</v>
  </rv>
  <rv s="0">
    <fb>168.03</fb>
    <v>1</v>
  </rv>
  <rv s="0">
    <fb>5479306</fb>
    <v>2</v>
  </rv>
  <rv s="0">
    <fb>45747</fb>
    <v>0</v>
  </rv>
  <rv s="0">
    <fb>170.42</fb>
    <v>1</v>
  </rv>
  <rv s="0">
    <fb>11520451</fb>
    <v>2</v>
  </rv>
  <rv s="0">
    <fb>45748</fb>
    <v>0</v>
  </rv>
  <rv s="0">
    <fb>170.56</fb>
    <v>1</v>
  </rv>
  <rv s="0">
    <fb>7021507</fb>
    <v>2</v>
  </rv>
  <rv s="0">
    <fb>45749</fb>
    <v>0</v>
  </rv>
  <rv s="0">
    <fb>169.5</fb>
    <v>1</v>
  </rv>
  <rv s="0">
    <fb>6274548</fb>
    <v>2</v>
  </rv>
  <rv s="0">
    <fb>45750</fb>
    <v>0</v>
  </rv>
  <rv s="0">
    <fb>172.39</fb>
    <v>1</v>
  </rv>
  <rv s="0">
    <fb>9393270</fb>
    <v>2</v>
  </rv>
  <rv s="0">
    <fb>45751</fb>
    <v>0</v>
  </rv>
  <rv s="0">
    <fb>163.75</fb>
    <v>1</v>
  </rv>
  <rv s="0">
    <fb>13454205</fb>
    <v>2</v>
  </rv>
  <rv s="0">
    <fb>45754</fb>
    <v>0</v>
  </rv>
  <rv s="0">
    <fb>160.22999999999999</fb>
    <v>1</v>
  </rv>
  <rv s="0">
    <fb>15708009</fb>
    <v>2</v>
  </rv>
  <rv s="0">
    <fb>45755</fb>
    <v>0</v>
  </rv>
  <rv s="0">
    <fb>158.38999999999999</fb>
    <v>1</v>
  </rv>
  <rv s="0">
    <fb>11541114</fb>
    <v>2</v>
  </rv>
  <rv s="0">
    <fb>45756</fb>
    <v>0</v>
  </rv>
  <rv s="0">
    <fb>162.32</fb>
    <v>1</v>
  </rv>
  <rv s="0">
    <fb>10670212</fb>
    <v>2</v>
  </rv>
  <rv s="0">
    <fb>45757</fb>
    <v>0</v>
  </rv>
  <rv s="0">
    <fb>163.56</fb>
    <v>1</v>
  </rv>
  <rv s="0">
    <fb>10581571</fb>
    <v>2</v>
  </rv>
  <rv s="0">
    <fb>45758</fb>
    <v>0</v>
  </rv>
  <rv s="0">
    <fb>166.91</fb>
    <v>1</v>
  </rv>
  <rv s="0">
    <fb>8603200</fb>
    <v>2</v>
  </rv>
  <rv s="0">
    <fb>45761</fb>
    <v>0</v>
  </rv>
  <rv s="0">
    <fb>169.13</fb>
    <v>1</v>
  </rv>
  <rv s="0">
    <fb>9877411</fb>
    <v>2</v>
  </rv>
  <rv s="0">
    <fb>45762</fb>
    <v>0</v>
  </rv>
  <rv s="0">
    <fb>168.47</fb>
    <v>1</v>
  </rv>
  <rv s="0">
    <fb>8764978</fb>
    <v>2</v>
  </rv>
  <rv s="0">
    <fb>45763</fb>
    <v>0</v>
  </rv>
  <rv s="0">
    <fb>166.39</fb>
    <v>1</v>
  </rv>
  <rv s="0">
    <fb>5897634</fb>
    <v>2</v>
  </rv>
  <rv s="0">
    <fb>45764</fb>
    <v>0</v>
  </rv>
  <rv s="0">
    <fb>170.63</fb>
    <v>1</v>
  </rv>
  <rv s="0">
    <fb>7227061</fb>
    <v>2</v>
  </rv>
  <rv s="0">
    <fb>45768</fb>
    <v>0</v>
  </rv>
  <rv s="0">
    <fb>165.75</fb>
    <v>1</v>
  </rv>
  <rv s="0">
    <fb>8062360</fb>
    <v>2</v>
  </rv>
  <rv s="0">
    <fb>45769</fb>
    <v>0</v>
  </rv>
  <rv s="0">
    <fb>167.88</fb>
    <v>1</v>
  </rv>
  <rv s="0">
    <fb>7907421</fb>
    <v>2</v>
  </rv>
  <rv s="0">
    <fb>45770</fb>
    <v>0</v>
  </rv>
  <rv s="0">
    <fb>165.73</fb>
    <v>1</v>
  </rv>
  <rv s="0">
    <fb>9309164</fb>
    <v>2</v>
  </rv>
  <rv s="0">
    <fb>45771</fb>
    <v>0</v>
  </rv>
  <rv s="0">
    <fb>159.53</fb>
    <v>1</v>
  </rv>
  <rv s="0">
    <fb>20077665</fb>
    <v>2</v>
  </rv>
  <rv s="0">
    <fb>45772</fb>
    <v>0</v>
  </rv>
  <rv s="0">
    <fb>161.02000000000001</fb>
    <v>1</v>
  </rv>
  <rv s="0">
    <fb>12893200</fb>
    <v>2</v>
  </rv>
  <rv s="0">
    <fb>45775</fb>
    <v>0</v>
  </rv>
  <rv s="0">
    <fb>161.85</fb>
    <v>1</v>
  </rv>
  <rv s="0">
    <fb>8126981</fb>
    <v>2</v>
  </rv>
  <rv s="0">
    <fb>45776</fb>
    <v>0</v>
  </rv>
  <rv s="0">
    <fb>162.26</fb>
    <v>1</v>
  </rv>
  <rv s="0">
    <fb>8266154</fb>
    <v>2</v>
  </rv>
  <rv s="0">
    <fb>45777</fb>
    <v>0</v>
  </rv>
  <rv s="0">
    <fb>162.57</fb>
    <v>1</v>
  </rv>
  <rv s="0">
    <fb>12475539</fb>
    <v>2</v>
  </rv>
  <rv s="0">
    <fb>45778</fb>
    <v>0</v>
  </rv>
  <rv s="0">
    <fb>159.97999999999999</fb>
    <v>1</v>
  </rv>
  <rv s="0">
    <fb>6792815</fb>
    <v>2</v>
  </rv>
  <rv s="0">
    <fb>45779</fb>
    <v>0</v>
  </rv>
  <rv s="0">
    <fb>160.52000000000001</fb>
    <v>1</v>
  </rv>
  <rv s="0">
    <fb>5750165</fb>
    <v>2</v>
  </rv>
  <rv s="0">
    <fb>45782</fb>
    <v>0</v>
  </rv>
  <rv s="0">
    <fb>158.83000000000001</fb>
    <v>1</v>
  </rv>
  <rv s="0">
    <fb>7576219</fb>
    <v>2</v>
  </rv>
  <rv s="0">
    <fb>45783</fb>
    <v>0</v>
  </rv>
  <rv s="0">
    <fb>159.25</fb>
    <v>1</v>
  </rv>
  <rv s="0">
    <fb>7703843</fb>
    <v>2</v>
  </rv>
  <rv s="0">
    <fb>45784</fb>
    <v>0</v>
  </rv>
  <rv s="0">
    <fb>159.29</fb>
    <v>1</v>
  </rv>
  <rv s="0">
    <fb>6430156</fb>
    <v>2</v>
  </rv>
  <rv s="0">
    <fb>45785</fb>
    <v>0</v>
  </rv>
  <rv s="0">
    <fb>158.65</fb>
    <v>1</v>
  </rv>
  <rv s="0">
    <fb>7230806</fb>
    <v>2</v>
  </rv>
  <rv s="0">
    <fb>45786</fb>
    <v>0</v>
  </rv>
  <rv s="0">
    <fb>157.66</fb>
    <v>1</v>
  </rv>
  <rv s="0">
    <fb>6453232</fb>
    <v>2</v>
  </rv>
  <rv s="0">
    <fb>45789</fb>
    <v>0</v>
  </rv>
  <rv s="0">
    <fb>160.9</fb>
    <v>1</v>
  </rv>
  <rv s="0">
    <fb>7378380</fb>
    <v>2</v>
  </rv>
  <rv s="0">
    <fb>45790</fb>
    <v>0</v>
  </rv>
  <rv s="0">
    <fb>158.72999999999999</fb>
    <v>1</v>
  </rv>
  <rv s="0">
    <fb>7780827</fb>
    <v>2</v>
  </rv>
  <rv s="0">
    <fb>45791</fb>
    <v>0</v>
  </rv>
  <rv s="0">
    <fb>158.02000000000001</fb>
    <v>1</v>
  </rv>
  <rv s="0">
    <fb>5988905</fb>
    <v>2</v>
  </rv>
  <rv s="0">
    <fb>45792</fb>
    <v>0</v>
  </rv>
  <rv s="0">
    <fb>162.41</fb>
    <v>1</v>
  </rv>
  <rv s="0">
    <fb>8727316</fb>
    <v>2</v>
  </rv>
  <rv s="0">
    <fb>45793</fb>
    <v>0</v>
  </rv>
  <rv s="0">
    <fb>163.28</fb>
    <v>1</v>
  </rv>
  <rv s="0">
    <fb>7100784</fb>
    <v>2</v>
  </rv>
  <rv s="0">
    <fb>45796</fb>
    <v>0</v>
  </rv>
  <rv s="0">
    <fb>164.77</fb>
    <v>1</v>
  </rv>
  <rv s="0">
    <fb>8120219</fb>
    <v>2</v>
  </rv>
  <rv s="0">
    <fb>45797</fb>
    <v>0</v>
  </rv>
  <rv s="0">
    <fb>165.64</fb>
    <v>1</v>
  </rv>
  <rv s="0">
    <fb>5576561</fb>
    <v>2</v>
  </rv>
  <rv s="0">
    <fb>45798</fb>
    <v>0</v>
  </rv>
  <rv s="0">
    <fb>6424153</fb>
    <v>2</v>
  </rv>
  <rv s="0">
    <fb>45799</fb>
    <v>0</v>
  </rv>
  <rv s="0">
    <fb>165.03</fb>
    <v>1</v>
  </rv>
  <rv s="0">
    <fb>6245571</fb>
    <v>2</v>
  </rv>
  <rv s="0">
    <fb>45800</fb>
    <v>0</v>
  </rv>
  <rv s="0">
    <fb>165.86</fb>
    <v>1</v>
  </rv>
  <rv s="0">
    <fb>5349868</fb>
    <v>2</v>
  </rv>
  <rv s="0">
    <fb>45804</fb>
    <v>0</v>
  </rv>
  <rv s="0">
    <fb>167.76</fb>
    <v>1</v>
  </rv>
  <rv s="0">
    <fb>11423794</fb>
    <v>2</v>
  </rv>
  <rv s="0">
    <fb>45805</fb>
    <v>0</v>
  </rv>
  <rv s="0">
    <fb>167.36</fb>
    <v>1</v>
  </rv>
  <rv s="0">
    <fb>5385942</fb>
    <v>2</v>
  </rv>
  <rv s="0">
    <fb>45806</fb>
    <v>0</v>
  </rv>
  <rv s="0">
    <fb>168.56</fb>
    <v>1</v>
  </rv>
  <rv s="0">
    <fb>4842554</fb>
    <v>2</v>
  </rv>
  <rv s="0">
    <fb>45807</fb>
    <v>0</v>
  </rv>
  <rv s="0">
    <fb>169.89</fb>
    <v>1</v>
  </rv>
  <rv s="0">
    <fb>12587537</fb>
    <v>2</v>
  </rv>
  <rv s="0">
    <fb>45810</fb>
    <v>0</v>
  </rv>
  <rv s="0">
    <fb>167.78</fb>
    <v>1</v>
  </rv>
  <rv s="0">
    <fb>7574428</fb>
    <v>2</v>
  </rv>
  <rv s="0">
    <fb>45811</fb>
    <v>0</v>
  </rv>
  <rv s="0">
    <fb>166.85</fb>
    <v>1</v>
  </rv>
  <rv s="0">
    <fb>6223447</fb>
    <v>2</v>
  </rv>
  <rv s="0">
    <fb>45812</fb>
    <v>0</v>
  </rv>
  <rv s="0">
    <fb>165.95</fb>
    <v>1</v>
  </rv>
  <rv s="0">
    <fb>4939333</fb>
    <v>2</v>
  </rv>
  <rv s="0">
    <fb>45813</fb>
    <v>0</v>
  </rv>
  <rv s="0">
    <fb>162.80000000000001</fb>
    <v>1</v>
  </rv>
  <rv s="0">
    <fb>10352288</fb>
    <v>2</v>
  </rv>
  <rv s="0">
    <fb>45814</fb>
    <v>0</v>
  </rv>
  <rv s="0">
    <fb>164.02</fb>
    <v>1</v>
  </rv>
  <rv s="0">
    <fb>5697877</fb>
    <v>2</v>
  </rv>
  <rv s="0">
    <fb>45817</fb>
    <v>0</v>
  </rv>
  <rv s="0">
    <fb>162.56</fb>
    <v>1</v>
  </rv>
  <rv s="0">
    <fb>6544199</fb>
    <v>2</v>
  </rv>
  <rv s="0">
    <fb>45818</fb>
    <v>0</v>
  </rv>
  <rv s="0">
    <fb>162.84</fb>
    <v>1</v>
  </rv>
  <rv s="0">
    <fb>7680015</fb>
    <v>2</v>
  </rv>
  <rv s="0">
    <fb>45819</fb>
    <v>0</v>
  </rv>
  <rv s="0">
    <fb>162.11000000000001</fb>
    <v>1</v>
  </rv>
  <rv s="0">
    <fb>5960052</fb>
    <v>2</v>
  </rv>
  <rv s="0">
    <fb>45820</fb>
    <v>0</v>
  </rv>
  <rv s="0">
    <fb>163.18</fb>
    <v>1</v>
  </rv>
  <rv s="0">
    <fb>6509891</fb>
    <v>2</v>
  </rv>
  <rv s="0">
    <fb>45821</fb>
    <v>0</v>
  </rv>
  <rv s="0">
    <fb>160.28</fb>
    <v>1</v>
  </rv>
  <rv s="0">
    <fb>7104547</fb>
    <v>2</v>
  </rv>
  <rv s="0">
    <fb>45824</fb>
    <v>0</v>
  </rv>
  <rv s="0">
    <fb>160.88</fb>
    <v>1</v>
  </rv>
  <rv s="0">
    <fb>6331961</fb>
    <v>2</v>
  </rv>
  <rv s="0">
    <fb>45825</fb>
    <v>0</v>
  </rv>
  <rv s="0">
    <fb>158.52000000000001</fb>
    <v>1</v>
  </rv>
  <rv s="0">
    <fb>6809747</fb>
    <v>2</v>
  </rv>
  <rv s="0">
    <fb>45826</fb>
    <v>0</v>
  </rv>
  <rv s="0">
    <fb>7211225</fb>
    <v>2</v>
  </rv>
  <rv s="0">
    <fb>45828</fb>
    <v>0</v>
  </rv>
  <rv s="0">
    <fb>159.08000000000001</fb>
    <v>1</v>
  </rv>
  <rv s="0">
    <fb>16173371</fb>
    <v>2</v>
  </rv>
  <rv s="0">
    <fb>45831</fb>
    <v>0</v>
  </rv>
  <rv s="0">
    <fb>161.03</fb>
    <v>1</v>
  </rv>
  <rv s="0">
    <fb>6588223</fb>
    <v>2</v>
  </rv>
  <rv s="0">
    <fb>45832</fb>
    <v>0</v>
  </rv>
  <rv s="0">
    <fb>160.36000000000001</fb>
    <v>1</v>
  </rv>
  <rv s="0">
    <fb>7470052</fb>
    <v>2</v>
  </rv>
  <rv s="0">
    <fb>45833</fb>
    <v>0</v>
  </rv>
  <rv s="0">
    <fb>158.97</fb>
    <v>1</v>
  </rv>
  <rv s="0">
    <fb>5933715</fb>
    <v>2</v>
  </rv>
  <rv s="0">
    <fb>45834</fb>
    <v>0</v>
  </rv>
  <rv s="0">
    <fb>158.63</fb>
    <v>1</v>
  </rv>
  <rv s="0">
    <fb>7410446</fb>
    <v>2</v>
  </rv>
  <rv s="0">
    <fb>45835</fb>
    <v>0</v>
  </rv>
  <rv s="0">
    <fb>159.86000000000001</fb>
    <v>1</v>
  </rv>
  <rv s="0">
    <fb>19256955</fb>
    <v>2</v>
  </rv>
  <rv s="0">
    <fb>45838</fb>
    <v>0</v>
  </rv>
  <rv s="0">
    <fb>159.32</fb>
    <v>1</v>
  </rv>
  <rv s="0">
    <fb>11238201</fb>
    <v>2</v>
  </rv>
  <rv s="0">
    <fb>45839</fb>
    <v>0</v>
  </rv>
  <rv s="0">
    <fb>161.22</fb>
    <v>1</v>
  </rv>
  <rv s="0">
    <fb>10664891</fb>
    <v>2</v>
  </rv>
  <rv s="0">
    <fb>45840</fb>
    <v>0</v>
  </rv>
  <rv s="0">
    <fb>161.19999999999999</fb>
    <v>1</v>
  </rv>
  <rv s="0">
    <fb>8848744</fb>
    <v>2</v>
  </rv>
  <rv s="0">
    <fb>45841</fb>
    <v>0</v>
  </rv>
  <rv s="0">
    <fb>160.83000000000001</fb>
    <v>1</v>
  </rv>
  <rv s="0">
    <fb>6999589</fb>
    <v>2</v>
  </rv>
  <rv s="0">
    <fb>45845</fb>
    <v>0</v>
  </rv>
  <rv s="0">
    <fb>160.5</fb>
    <v>1</v>
  </rv>
  <rv s="0">
    <fb>7225695</fb>
    <v>2</v>
  </rv>
  <rv s="0">
    <fb>45846</fb>
    <v>0</v>
  </rv>
  <rv s="0">
    <fb>157.88999999999999</fb>
    <v>1</v>
  </rv>
  <rv s="0">
    <fb>12034764</fb>
    <v>2</v>
  </rv>
  <rv s="0">
    <fb>45847</fb>
    <v>0</v>
  </rv>
  <rv s="0">
    <fb>157.52000000000001</fb>
    <v>1</v>
  </rv>
  <rv s="0">
    <fb>18770894</fb>
    <v>2</v>
  </rv>
  <rv s="0">
    <fb>45848</fb>
    <v>0</v>
  </rv>
  <rv s="0">
    <fb>158.49</fb>
    <v>1</v>
  </rv>
  <rv s="0">
    <fb>7201748</fb>
    <v>2</v>
  </rv>
  <rv s="0">
    <fb>45849</fb>
    <v>0</v>
  </rv>
  <rv s="0">
    <fb>157.05000000000001</fb>
    <v>1</v>
  </rv>
  <rv s="0">
    <fb>8053808</fb>
    <v>2</v>
  </rv>
  <rv s="0">
    <fb>45852</fb>
    <v>0</v>
  </rv>
  <rv s="0">
    <fb>153.76</fb>
    <v>1</v>
  </rv>
  <rv s="0">
    <fb>11491688</fb>
    <v>2</v>
  </rv>
  <rv s="0">
    <fb>45853</fb>
    <v>0</v>
  </rv>
  <rv s="0">
    <fb>152.68</fb>
    <v>1</v>
  </rv>
  <rv s="0">
    <fb>9142615</fb>
    <v>2</v>
  </rv>
  <rv s="0">
    <fb>45854</fb>
    <v>0</v>
  </rv>
  <rv s="0">
    <fb>153.72999999999999</fb>
    <v>1</v>
  </rv>
  <rv s="0">
    <fb>8478997</fb>
    <v>2</v>
  </rv>
  <rv s="0">
    <fb>45855</fb>
    <v>0</v>
  </rv>
  <rv s="0">
    <fb>155.62</fb>
    <v>1</v>
  </rv>
  <rv s="0">
    <fb>8319996</fb>
    <v>2</v>
  </rv>
  <rv s="0">
    <fb>45856</fb>
    <v>0</v>
  </rv>
  <rv s="0">
    <fb>155.1</fb>
    <v>1</v>
  </rv>
  <rv s="0">
    <fb>7337252</fb>
    <v>2</v>
  </rv>
  <rv s="0">
    <fb>45859</fb>
    <v>0</v>
  </rv>
  <rv s="0">
    <fb>155.03</fb>
    <v>1</v>
  </rv>
  <rv s="0">
    <fb>6328370</fb>
    <v>2</v>
  </rv>
  <rv s="0">
    <fb>45860</fb>
    <v>0</v>
  </rv>
  <rv s="0">
    <fb>158.32</fb>
    <v>1</v>
  </rv>
  <rv s="0">
    <fb>8186970</fb>
    <v>2</v>
  </rv>
  <rv s="0">
    <fb>45861</fb>
    <v>0</v>
  </rv>
  <rv s="0">
    <fb>158.28</fb>
    <v>1</v>
  </rv>
  <rv s="0">
    <fb>4804795</fb>
    <v>2</v>
  </rv>
  <rv s="0">
    <fb>45862</fb>
    <v>0</v>
  </rv>
  <rv s="0">
    <fb>158.81</fb>
    <v>1</v>
  </rv>
  <rv s="0">
    <fb>7027392</fb>
    <v>2</v>
  </rv>
  <rv s="0">
    <fb>45863</fb>
    <v>0</v>
  </rv>
  <rv s="0">
    <fb>158.30000000000001</fb>
    <v>1</v>
  </rv>
  <rv s="0">
    <fb>5800248</fb>
    <v>2</v>
  </rv>
  <rv s="0">
    <fb>45866</fb>
    <v>0</v>
  </rv>
  <rv s="0">
    <fb>157.11000000000001</fb>
    <v>1</v>
  </rv>
  <rv s="0">
    <fb>7885026</fb>
    <v>2</v>
  </rv>
  <rv s="0">
    <fb>45867</fb>
    <v>0</v>
  </rv>
  <rv s="0">
    <fb>156.61000000000001</fb>
    <v>1</v>
  </rv>
  <rv s="0">
    <fb>11466058</fb>
    <v>2</v>
  </rv>
  <rv s="0">
    <fb>45868</fb>
    <v>0</v>
  </rv>
  <rv s="0">
    <fb>152.88</fb>
    <v>1</v>
  </rv>
  <rv s="0">
    <fb>8162888</fb>
    <v>2</v>
  </rv>
  <rv s="0">
    <fb>45869</fb>
    <v>0</v>
  </rv>
  <rv s="0">
    <fb>150.47</fb>
    <v>1</v>
  </rv>
  <rv s="0">
    <fb>11845443</fb>
    <v>2</v>
  </rv>
  <rv s="0">
    <fb>45870</fb>
    <v>0</v>
  </rv>
  <rv s="0">
    <fb>150.65</fb>
    <v>1</v>
  </rv>
  <rv s="0">
    <fb>8594220</fb>
    <v>2</v>
  </rv>
  <rv s="0">
    <fb>45873</fb>
    <v>0</v>
  </rv>
  <rv s="0">
    <fb>150.76</fb>
    <v>1</v>
  </rv>
  <rv s="0">
    <fb>7679361</fb>
    <v>2</v>
  </rv>
  <rv s="0">
    <fb>45874</fb>
    <v>0</v>
  </rv>
  <rv s="0">
    <fb>150.51</fb>
    <v>1</v>
  </rv>
  <rv s="0">
    <fb>6670065</fb>
    <v>2</v>
  </rv>
  <rv s="0">
    <fb>45875</fb>
    <v>0</v>
  </rv>
  <rv s="0">
    <fb>152.86000000000001</fb>
    <v>1</v>
  </rv>
  <rv s="0">
    <fb>7376213</fb>
    <v>2</v>
  </rv>
  <rv s="0">
    <fb>45876</fb>
    <v>0</v>
  </rv>
  <rv s="0">
    <fb>153.49</fb>
    <v>1</v>
  </rv>
  <rv s="0">
    <fb>6719044</fb>
    <v>2</v>
  </rv>
  <rv s="0">
    <fb>45877</fb>
    <v>0</v>
  </rv>
  <rv s="0">
    <fb>153.51</fb>
    <v>1</v>
  </rv>
  <rv s="0">
    <fb>5811281</fb>
    <v>2</v>
  </rv>
  <rv s="0">
    <fb>45880</fb>
    <v>0</v>
  </rv>
  <rv s="0">
    <fb>154.97999999999999</fb>
    <v>1</v>
  </rv>
  <rv s="0">
    <fb>7331707</fb>
    <v>2</v>
  </rv>
  <rv s="0">
    <fb>45881</fb>
    <v>0</v>
  </rv>
  <rv s="0">
    <fb>155.09</fb>
    <v>1</v>
  </rv>
  <rv s="0">
    <fb>6938336</fb>
    <v>2</v>
  </rv>
  <rv s="0">
    <fb>45882</fb>
    <v>0</v>
  </rv>
  <rv s="0">
    <fb>155.41</fb>
    <v>1</v>
  </rv>
  <rv s="0">
    <fb>5812356</fb>
    <v>2</v>
  </rv>
  <rv s="0">
    <fb>45883</fb>
    <v>0</v>
  </rv>
  <rv s="0">
    <fb>153.74</fb>
    <v>1</v>
  </rv>
  <rv s="0">
    <fb>6343715</fb>
    <v>2</v>
  </rv>
  <rv s="0">
    <fb>45884</fb>
    <v>0</v>
  </rv>
  <rv s="0">
    <fb>154.36000000000001</fb>
    <v>1</v>
  </rv>
  <rv s="0">
    <fb>7121700</fb>
    <v>2</v>
  </rv>
  <rv s="0">
    <fb>45887</fb>
    <v>0</v>
  </rv>
  <rv s="0">
    <fb>155.72</fb>
    <v>1</v>
  </rv>
  <rv s="0">
    <fb>8274726</fb>
    <v>2</v>
  </rv>
  <rv s="0">
    <fb>45888</fb>
    <v>0</v>
  </rv>
  <rv s="0">
    <fb>158.4</fb>
    <v>1</v>
  </rv>
  <rv s="0">
    <fb>7868129</fb>
    <v>2</v>
  </rv>
  <rv s="0">
    <fb>45889</fb>
    <v>0</v>
  </rv>
  <rv s="0">
    <fb>159.51</fb>
    <v>1</v>
  </rv>
  <rv s="0">
    <fb>7840355</fb>
    <v>2</v>
  </rv>
  <rv s="0">
    <fb>45890</fb>
    <v>0</v>
  </rv>
  <rv s="0">
    <fb>6417695</fb>
    <v>2</v>
  </rv>
  <rv s="0">
    <fb>45891</fb>
    <v>0</v>
  </rv>
  <rv s="0">
    <fb>158.66999999999999</fb>
    <v>1</v>
  </rv>
  <rv s="0">
    <fb>5797325</fb>
    <v>2</v>
  </rv>
  <rv s="0">
    <fb>45894</fb>
    <v>0</v>
  </rv>
  <rv s="0">
    <fb>156.15</fb>
    <v>1</v>
  </rv>
  <rv s="0">
    <fb>4692505</fb>
    <v>2</v>
  </rv>
  <rv s="0">
    <fb>45895</fb>
    <v>0</v>
  </rv>
  <rv s="0">
    <fb>155.97</fb>
    <v>1</v>
  </rv>
  <rv s="0">
    <fb>6337977</fb>
    <v>2</v>
  </rv>
  <rv s="0">
    <fb>45896</fb>
    <v>0</v>
  </rv>
  <rv s="0">
    <fb>156.96</fb>
    <v>1</v>
  </rv>
  <rv s="0">
    <fb>4551219</fb>
    <v>2</v>
  </rv>
  <rv s="0">
    <fb>45897</fb>
    <v>0</v>
  </rv>
  <rv s="0">
    <fb>155.65</fb>
    <v>1</v>
  </rv>
  <rv s="0">
    <fb>5857727</fb>
    <v>2</v>
  </rv>
  <rv s="0">
    <fb>45898</fb>
    <v>0</v>
  </rv>
  <rv s="0">
    <fb>157.04</fb>
    <v>1</v>
  </rv>
  <rv s="0">
    <fb>5318179</fb>
    <v>2</v>
  </rv>
  <rv s="0">
    <fb>45902</fb>
    <v>0</v>
  </rv>
  <rv s="0">
    <fb>157.99</fb>
    <v>1</v>
  </rv>
  <rv s="0">
    <fb>6432837</fb>
    <v>2</v>
  </rv>
  <rv s="0">
    <fb>45903</fb>
    <v>0</v>
  </rv>
  <rv s="0">
    <fb>158.16999999999999</fb>
    <v>1</v>
  </rv>
  <rv s="0">
    <fb>6592451</fb>
    <v>2</v>
  </rv>
  <rv s="0">
    <fb>45904</fb>
    <v>0</v>
  </rv>
  <rv s="0">
    <fb>159.19</fb>
    <v>1</v>
  </rv>
  <rv s="0">
    <fb>6935245</fb>
    <v>2</v>
  </rv>
  <rv s="0">
    <fb>45905</fb>
    <v>0</v>
  </rv>
  <rv s="0">
    <fb>160.02000000000001</fb>
    <v>1</v>
  </rv>
  <rv s="0">
    <fb>6436150</fb>
    <v>2</v>
  </rv>
  <rv s="0">
    <fb>45908</fb>
    <v>0</v>
  </rv>
  <rv s="0">
    <fb>159.01</fb>
    <v>1</v>
  </rv>
  <rv s="0">
    <fb>7178356</fb>
    <v>2</v>
  </rv>
  <rv s="0">
    <fb>45909</fb>
    <v>0</v>
  </rv>
  <rv s="0">
    <fb>159.46</fb>
    <v>1</v>
  </rv>
  <rv s="0">
    <fb>4984936</fb>
    <v>2</v>
  </rv>
  <rv s="0">
    <fb>45910</fb>
    <v>0</v>
  </rv>
  <rv s="0">
    <fb>157.35</fb>
    <v>1</v>
  </rv>
  <rv s="0">
    <fb>6205463</fb>
    <v>2</v>
  </rv>
  <rv s="0">
    <fb>45911</fb>
    <v>0</v>
  </rv>
  <rv s="0">
    <fb>5819875</fb>
    <v>2</v>
  </rv>
  <rv s="0">
    <fb>45912</fb>
    <v>0</v>
  </rv>
  <rv s="0">
    <fb>157.9</fb>
    <v>1</v>
  </rv>
  <rv s="0">
    <fb>5957021</fb>
    <v>2</v>
  </rv>
  <rv s="0">
    <fb>45915</fb>
    <v>0</v>
  </rv>
  <rv s="0">
    <fb>156.83000000000001</fb>
    <v>1</v>
  </rv>
  <rv s="0">
    <fb>5994966</fb>
    <v>2</v>
  </rv>
  <rv s="0">
    <fb>45916</fb>
    <v>0</v>
  </rv>
  <rv s="0">
    <fb>158.05000000000001</fb>
    <v>1</v>
  </rv>
  <rv s="0">
    <fb>6559608</fb>
    <v>2</v>
  </rv>
  <rv s="0">
    <fb>45917</fb>
    <v>0</v>
  </rv>
  <rv s="0">
    <fb>160.33000000000001</fb>
    <v>1</v>
  </rv>
  <rv s="0">
    <fb>6764169</fb>
    <v>2</v>
  </rv>
  <rv s="0">
    <fb>45918</fb>
    <v>0</v>
  </rv>
  <rv s="0">
    <fb>157.32</fb>
    <v>1</v>
  </rv>
  <rv s="0">
    <fb>7651487</fb>
    <v>2</v>
  </rv>
  <rv s="0">
    <fb>45919</fb>
    <v>0</v>
  </rv>
  <rv s="0">
    <fb>156.04</fb>
    <v>1</v>
  </rv>
  <rv s="0">
    <fb>17224774</fb>
    <v>2</v>
  </rv>
  <rv s="0">
    <fb>45922</fb>
    <v>0</v>
  </rv>
  <rv s="0">
    <fb>153.07</fb>
    <v>1</v>
  </rv>
  <rv s="0">
    <fb>8712910</fb>
    <v>2</v>
  </rv>
  <rv s="0">
    <fb>45923</fb>
    <v>0</v>
  </rv>
  <rv s="0">
    <fb>152.5</fb>
    <v>1</v>
  </rv>
  <rv s="0">
    <fb>8853418</fb>
    <v>2</v>
  </rv>
  <rv s="0">
    <fb>45924</fb>
    <v>0</v>
  </rv>
  <rv s="0">
    <fb>152.41999999999999</fb>
    <v>1</v>
  </rv>
  <rv s="0">
    <fb>6483264</fb>
    <v>2</v>
  </rv>
  <rv s="0">
    <fb>45925</fb>
    <v>0</v>
  </rv>
  <rv s="0">
    <fb>152.15</fb>
    <v>1</v>
  </rv>
  <rv s="0">
    <fb>7511415</fb>
    <v>2</v>
  </rv>
  <rv s="0">
    <fb>45926</fb>
    <v>0</v>
  </rv>
  <rv s="0">
    <fb>5721092</fb>
    <v>2</v>
  </rv>
  <rv s="0">
    <fb>45929</fb>
    <v>0</v>
  </rv>
  <rv s="0">
    <fb>153.53</fb>
    <v>1</v>
  </rv>
  <rv s="0">
    <fb>8139711</fb>
    <v>2</v>
  </rv>
  <rv s="0">
    <fb>45930</fb>
    <v>0</v>
  </rv>
  <rv s="0">
    <fb>153.65</fb>
    <v>1</v>
  </rv>
  <rv s="0">
    <fb>7762609</fb>
    <v>2</v>
  </rv>
  <rv s="0">
    <fb>45931</fb>
    <v>0</v>
  </rv>
  <rv s="0">
    <fb>153.18</fb>
    <v>1</v>
  </rv>
  <rv s="0">
    <fb>7566014</fb>
    <v>2</v>
  </rv>
  <rv s="0">
    <fb>45932</fb>
    <v>0</v>
  </rv>
  <rv s="0">
    <fb>152.05000000000001</fb>
    <v>1</v>
  </rv>
  <rv s="0">
    <fb>6892089</fb>
    <v>2</v>
  </rv>
  <rv s="0">
    <fb>45933</fb>
    <v>0</v>
  </rv>
  <rv s="0">
    <fb>152.27000000000001</fb>
    <v>1</v>
  </rv>
  <rv s="0">
    <fb>5212584</fb>
    <v>2</v>
  </rv>
  <rv s="0">
    <fb>45936</fb>
    <v>0</v>
  </rv>
  <rv s="0">
    <fb>150.41</fb>
    <v>1</v>
  </rv>
  <rv s="0">
    <fb>6736960</fb>
    <v>2</v>
  </rv>
  <rv s="0">
    <fb>45937</fb>
    <v>0</v>
  </rv>
  <rv s="0">
    <fb>152.54</fb>
    <v>1</v>
  </rv>
  <rv s="0">
    <fb>6844361</fb>
    <v>2</v>
  </rv>
  <rv s="0">
    <fb>45938</fb>
    <v>0</v>
  </rv>
  <rv s="0">
    <fb>150.69</fb>
    <v>1</v>
  </rv>
  <rv s="0">
    <fb>5254728</fb>
    <v>2</v>
  </rv>
  <rv s="0">
    <fb>45939</fb>
    <v>0</v>
  </rv>
  <rv s="0">
    <fb>150.58000000000001</fb>
    <v>1</v>
  </rv>
  <rv s="0">
    <fb>6134461</fb>
    <v>2</v>
  </rv>
  <rv s="0">
    <fb>45940</fb>
    <v>0</v>
  </rv>
  <rv s="0">
    <fb>149.69</fb>
    <v>1</v>
  </rv>
  <rv s="0">
    <fb>7374046</fb>
    <v>2</v>
  </rv>
  <rv s="0">
    <fb>45943</fb>
    <v>0</v>
  </rv>
  <rv s="0">
    <fb>147.49</fb>
    <v>1</v>
  </rv>
  <rv s="0">
    <fb>7511103</fb>
    <v>2</v>
  </rv>
  <rv s="0">
    <fb>45944</fb>
    <v>0</v>
  </rv>
  <rv s="0">
    <fb>149.16</fb>
    <v>1</v>
  </rv>
  <rv s="0">
    <fb>8585346</fb>
    <v>2</v>
  </rv>
  <rv s="0">
    <fb>45945</fb>
    <v>0</v>
  </rv>
  <rv s="0">
    <fb>147.41999999999999</fb>
    <v>1</v>
  </rv>
  <rv s="0">
    <fb>10003073</fb>
    <v>2</v>
  </rv>
  <rv s="0">
    <fb>45946</fb>
    <v>0</v>
  </rv>
  <rv s="0">
    <fb>149.6</fb>
    <v>1</v>
  </rv>
  <rv s="0">
    <fb>8809673</fb>
    <v>2</v>
  </rv>
  <rv s="0">
    <fb>45947</fb>
    <v>0</v>
  </rv>
  <rv s="0">
    <fb>151.4</fb>
    <v>1</v>
  </rv>
  <rv s="0">
    <fb>8612894</fb>
    <v>2</v>
  </rv>
  <rv s="0">
    <fb>45950</fb>
    <v>0</v>
  </rv>
  <rv s="0">
    <fb>151.96</fb>
    <v>1</v>
  </rv>
  <rv s="0">
    <fb>5601287</fb>
    <v>2</v>
  </rv>
  <rv s="0">
    <fb>45951</fb>
    <v>0</v>
  </rv>
  <rv s="0">
    <fb>151.62</fb>
    <v>1</v>
  </rv>
  <rv s="0">
    <fb>6013379</fb>
    <v>2</v>
  </rv>
  <rv s="0">
    <fb>45952</fb>
    <v>0</v>
  </rv>
  <rv s="0">
    <fb>152.19999999999999</fb>
    <v>1</v>
  </rv>
  <rv s="0">
    <fb>6394378</fb>
    <v>2</v>
  </rv>
  <rv s="0">
    <fb>45953</fb>
    <v>0</v>
  </rv>
  <rv s="0">
    <fb>152.21</fb>
    <v>1</v>
  </rv>
  <rv s="0">
    <fb>8205353</fb>
    <v>2</v>
  </rv>
  <rv s="0">
    <fb>45954</fb>
    <v>0</v>
  </rv>
  <rv s="0">
    <fb>152.49</fb>
    <v>1</v>
  </rv>
  <rv s="0">
    <fb>11968491</fb>
    <v>2</v>
  </rv>
  <rv s="0">
    <fb>45957</fb>
    <v>0</v>
  </rv>
  <rv s="0">
    <fb>151.74</fb>
    <v>1</v>
  </rv>
  <rv s="0">
    <fb>7775323</fb>
    <v>2</v>
  </rv>
  <rv s="0">
    <fb>45958</fb>
    <v>0</v>
  </rv>
  <rv s="0">
    <fb>151.37</fb>
    <v>1</v>
  </rv>
  <rv s="0">
    <fb>5819257</fb>
    <v>2</v>
  </rv>
  <rv s="0">
    <fb>45959</fb>
    <v>0</v>
  </rv>
  <rv s="0">
    <fb>148.77000000000001</fb>
    <v>1</v>
  </rv>
  <rv s="0">
    <fb>7405466</fb>
    <v>2</v>
  </rv>
  <rv s="0">
    <fb>45960</fb>
    <v>0</v>
  </rv>
  <rv s="0">
    <fb>149.58000000000001</fb>
    <v>1</v>
  </rv>
  <rv s="0">
    <fb>6760702</fb>
    <v>2</v>
  </rv>
  <rv s="0">
    <fb>45961</fb>
    <v>0</v>
  </rv>
  <rv s="0">
    <fb>150.37</fb>
    <v>1</v>
  </rv>
  <rv s="0">
    <fb>7930334</fb>
    <v>2</v>
  </rv>
  <rv s="0">
    <fb>45964</fb>
    <v>0</v>
  </rv>
  <rv s="0">
    <fb>148.02000000000001</fb>
    <v>1</v>
  </rv>
  <rv s="0">
    <fb>8946383</fb>
    <v>2</v>
  </rv>
  <rv s="0">
    <fb>45965</fb>
    <v>0</v>
  </rv>
  <rv s="0">
    <fb>147.16999999999999</fb>
    <v>1</v>
  </rv>
  <rv s="0">
    <fb>9295449</fb>
    <v>2</v>
  </rv>
  <rv s="0">
    <fb>45966</fb>
    <v>0</v>
  </rv>
  <rv s="0">
    <fb>145.79</fb>
    <v>1</v>
  </rv>
  <rv s="0">
    <fb>11199878</fb>
    <v>2</v>
  </rv>
  <rv s="0">
    <fb>45967</fb>
    <v>0</v>
  </rv>
  <rv s="0">
    <fb>146.13</fb>
    <v>1</v>
  </rv>
  <rv s="0">
    <fb>10024549</fb>
    <v>2</v>
  </rv>
  <rv s="0">
    <fb>45968</fb>
    <v>0</v>
  </rv>
  <rv s="0">
    <fb>146.97999999999999</fb>
    <v>1</v>
  </rv>
  <rv s="0">
    <fb>8500097</fb>
    <v>2</v>
  </rv>
  <rv s="0">
    <fb>45971</fb>
    <v>0</v>
  </rv>
  <rv s="0">
    <fb>145.5</fb>
    <v>1</v>
  </rv>
  <rv s="0">
    <fb>10208085</fb>
    <v>2</v>
  </rv>
  <rv s="0">
    <fb>45972</fb>
    <v>0</v>
  </rv>
  <rv s="0">
    <fb>148.54</fb>
    <v>1</v>
  </rv>
  <rv s="0">
    <fb>7332540</fb>
    <v>2</v>
  </rv>
  <rv s="0">
    <fb>45973</fb>
    <v>0</v>
  </rv>
  <rv s="0">
    <fb>148.01</fb>
    <v>1</v>
  </rv>
  <rv s="0">
    <fb>7851052</fb>
    <v>2</v>
  </rv>
  <rv s="0">
    <fb>45974</fb>
    <v>0</v>
  </rv>
  <rv s="0">
    <fb>147.96</fb>
    <v>1</v>
  </rv>
  <rv s="0">
    <fb>7566789</fb>
    <v>2</v>
  </rv>
  <rv s="0">
    <fb>45975</fb>
    <v>0</v>
  </rv>
  <rv s="0">
    <fb>147.66999999999999</fb>
    <v>1</v>
  </rv>
  <rv s="0">
    <fb>9151066</fb>
    <v>2</v>
  </rv>
  <rv s="0">
    <fb>45978</fb>
    <v>0</v>
  </rv>
  <rv s="0">
    <fb>145.82</fb>
    <v>1</v>
  </rv>
  <rv s="0">
    <fb>9902310</fb>
    <v>2</v>
  </rv>
  <rv s="0">
    <fb>45979</fb>
    <v>0</v>
  </rv>
  <rv s="0">
    <fb>146.99</fb>
    <v>1</v>
  </rv>
  <rv s="0">
    <fb>10735177</fb>
    <v>2</v>
  </rv>
  <rv s="0">
    <fb>45980</fb>
    <v>0</v>
  </rv>
  <rv s="0">
    <fb>6367038</fb>
    <v>2</v>
  </rv>
  <rv s="0">
    <fb>45981</fb>
    <v>0</v>
  </rv>
  <rv s="0">
    <fb>148.19</fb>
    <v>1</v>
  </rv>
  <rv s="0">
    <fb>9021325</fb>
    <v>2</v>
  </rv>
  <rv s="0">
    <fb>45982</fb>
    <v>0</v>
  </rv>
  <rv s="0">
    <fb>150.91999999999999</fb>
    <v>1</v>
  </rv>
  <rv s="0">
    <fb>12017986</fb>
    <v>2</v>
  </rv>
  <rv s="0">
    <fb>45985</fb>
    <v>0</v>
  </rv>
  <rv s="0">
    <fb>13846906</fb>
    <v>2</v>
  </rv>
  <rv s="0">
    <fb>45986</fb>
    <v>0</v>
  </rv>
  <rv s="0">
    <fb>148.49</fb>
    <v>1</v>
  </rv>
  <rv s="0">
    <fb>10477661</fb>
    <v>2</v>
  </rv>
  <rv s="0">
    <fb>45987</fb>
    <v>0</v>
  </rv>
  <rv s="0">
    <fb>148.25</fb>
    <v>1</v>
  </rv>
  <rv s="0">
    <fb>9238450</fb>
    <v>2</v>
  </rv>
  <rv s="0">
    <fb>45989</fb>
    <v>0</v>
  </rv>
  <rv s="0">
    <fb>148.16</fb>
    <v>1</v>
  </rv>
  <rv s="0">
    <fb>4707161</fb>
    <v>2</v>
  </rv>
  <rv s="0">
    <fb>45992</fb>
    <v>0</v>
  </rv>
  <rv s="0">
    <fb>147.44</fb>
    <v>1</v>
  </rv>
  <rv s="0">
    <fb>8240689</fb>
    <v>2</v>
  </rv>
  <rv s="0">
    <fb>45993</fb>
    <v>0</v>
  </rv>
  <rv s="0">
    <fb>145.86000000000001</fb>
    <v>1</v>
  </rv>
  <rv s="0">
    <fb>16376769</fb>
    <v>2</v>
  </rv>
  <rv s="0">
    <fb>45994</fb>
    <v>0</v>
  </rv>
  <rv s="0">
    <fb>146.71</fb>
    <v>1</v>
  </rv>
  <rv s="0">
    <fb>9125320</fb>
    <v>2</v>
  </rv>
  <rv s="0">
    <fb>45995</fb>
    <v>0</v>
  </rv>
  <rv s="0">
    <fb>145.36000000000001</fb>
    <v>1</v>
  </rv>
  <rv s="0">
    <fb>10479267</fb>
    <v>2</v>
  </rv>
  <rv s="0">
    <fb>45996</fb>
    <v>0</v>
  </rv>
  <rv s="0">
    <fb>143.44999999999999</fb>
    <v>1</v>
  </rv>
  <rv s="0">
    <fb>12791745</fb>
    <v>2</v>
  </rv>
  <rv s="0">
    <fb>45999</fb>
    <v>0</v>
  </rv>
  <rv s="0">
    <fb>138.34</fb>
    <v>1</v>
  </rv>
  <rv s="0">
    <fb>17507504</fb>
    <v>2</v>
  </rv>
  <rv s="0">
    <fb>46000</fb>
    <v>0</v>
  </rv>
  <rv s="0">
    <fb>139.63</fb>
    <v>1</v>
  </rv>
  <rv s="0">
    <fb>10375688</fb>
    <v>2</v>
  </rv>
  <rv s="0">
    <fb>46001</fb>
    <v>0</v>
  </rv>
  <rv s="0">
    <fb>139.82</fb>
    <v>1</v>
  </rv>
  <rv s="0">
    <fb>13650378</fb>
    <v>2</v>
  </rv>
  <rv s="0">
    <fb>46002</fb>
    <v>0</v>
  </rv>
  <rv s="0">
    <fb>140.76</fb>
    <v>1</v>
  </rv>
  <rv s="0">
    <fb>11797981</fb>
    <v>2</v>
  </rv>
  <rv s="0">
    <fb>46003</fb>
    <v>0</v>
  </rv>
  <rv s="0">
    <fb>142.84</fb>
    <v>1</v>
  </rv>
  <rv s="0">
    <fb>10268768</fb>
    <v>2</v>
  </rv>
  <rv s="0">
    <fb>46006</fb>
    <v>0</v>
  </rv>
  <rv s="0">
    <fb>145.13</fb>
    <v>1</v>
  </rv>
  <rv s="0">
    <fb>13877674</fb>
    <v>2</v>
  </rv>
  <rv s="0">
    <fb>46007</fb>
    <v>0</v>
  </rv>
  <rv s="0">
    <fb>145.21</fb>
    <v>1</v>
  </rv>
  <rv s="0">
    <fb>10251720</fb>
    <v>2</v>
  </rv>
  <rv s="0">
    <fb>46008</fb>
    <v>0</v>
  </rv>
  <rv s="0">
    <fb>147.81</fb>
    <v>1</v>
  </rv>
  <rv s="0">
    <fb>9833261</fb>
    <v>2</v>
  </rv>
  <rv s="0">
    <fb>46009</fb>
    <v>0</v>
  </rv>
  <rv s="0">
    <fb>145.52000000000001</fb>
    <v>1</v>
  </rv>
  <rv s="0">
    <fb>12239860</fb>
    <v>2</v>
  </rv>
  <rv s="0">
    <fb>46010</fb>
    <v>0</v>
  </rv>
  <rv s="0">
    <fb>144.46</fb>
    <v>1</v>
  </rv>
  <rv s="0">
    <fb>19345622</fb>
    <v>2</v>
  </rv>
  <rv s="0">
    <fb>46013</fb>
    <v>0</v>
  </rv>
  <rv s="0">
    <fb>142.69</fb>
    <v>1</v>
  </rv>
  <rv s="0">
    <fb>11731360</fb>
    <v>2</v>
  </rv>
  <rv s="0">
    <fb>46014</fb>
    <v>0</v>
  </rv>
  <rv s="0">
    <fb>143.18</fb>
    <v>1</v>
  </rv>
  <rv s="0">
    <fb>9541563</fb>
    <v>2</v>
  </rv>
  <rv s="0">
    <fb>46015</fb>
    <v>0</v>
  </rv>
  <rv s="0">
    <fb>144.49</fb>
    <v>1</v>
  </rv>
  <rv s="0">
    <fb>3259209</fb>
    <v>2</v>
  </rv>
  <rv s="0">
    <fb>46017</fb>
    <v>0</v>
  </rv>
  <rv s="0">
    <fb>144.74</fb>
    <v>1</v>
  </rv>
  <rv s="0">
    <fb>4711505</fb>
    <v>2</v>
  </rv>
  <rv s="0">
    <fb>46020</fb>
    <v>0</v>
  </rv>
  <rv s="0">
    <fb>144.57</fb>
    <v>1</v>
  </rv>
  <rv s="0">
    <fb>7662127</fb>
    <v>2</v>
  </rv>
  <rv s="0">
    <fb>46021</fb>
    <v>0</v>
  </rv>
  <rv s="0">
    <fb>144.05000000000001</fb>
    <v>1</v>
  </rv>
  <rv s="0">
    <fb>6006432</fb>
    <v>2</v>
  </rv>
  <rv s="0">
    <fb>46022</fb>
    <v>0</v>
  </rv>
  <rv s="0">
    <fb>143.31</fb>
    <v>1</v>
  </rv>
  <rv s="0">
    <fb>5293220</fb>
    <v>2</v>
  </rv>
  <rv s="0">
    <fb>46024</fb>
    <v>0</v>
  </rv>
  <rv s="0">
    <fb>141.79</fb>
    <v>1</v>
  </rv>
  <rv s="0">
    <fb>8946091</fb>
    <v>2</v>
  </rv>
  <rv s="0">
    <fb>46027</fb>
    <v>0</v>
  </rv>
  <rv s="0">
    <fb>140.37</fb>
    <v>1</v>
  </rv>
  <rv s="0">
    <fb>12297334</fb>
    <v>2</v>
  </rv>
  <rv s="0">
    <fb>46028</fb>
    <v>0</v>
  </rv>
  <rv s="0">
    <fb>139.91</fb>
    <v>1</v>
  </rv>
  <rv s="0">
    <fb>10421756</fb>
    <v>2</v>
  </rv>
  <rv s="0">
    <fb>46029</fb>
    <v>0</v>
  </rv>
  <rv s="0">
    <fb>138.04</fb>
    <v>1</v>
  </rv>
  <rv s="0">
    <fb>14369142</fb>
    <v>2</v>
  </rv>
  <rv s="0">
    <fb>46030</fb>
    <v>0</v>
  </rv>
  <rv s="0">
    <fb>141.53</fb>
    <v>1</v>
  </rv>
  <rv s="0">
    <fb>9297080</fb>
    <v>2</v>
  </rv>
  <rv s="0">
    <fb>46031</fb>
    <v>0</v>
  </rv>
  <rv s="0">
    <fb>141.87</fb>
    <v>1</v>
  </rv>
  <rv s="0">
    <fb>9528476</fb>
    <v>2</v>
  </rv>
  <rv s="0">
    <fb>46034</fb>
    <v>0</v>
  </rv>
  <rv s="0">
    <fb>143.46</fb>
    <v>1</v>
  </rv>
  <rv s="0">
    <fb>12812014</fb>
    <v>2</v>
  </rv>
  <rv s="0">
    <fb>46035</fb>
    <v>0</v>
  </rv>
  <rv s="0">
    <fb>144.24</fb>
    <v>1</v>
  </rv>
  <rv s="0">
    <fb>15549150</fb>
    <v>2</v>
  </rv>
  <rv s="0">
    <fb>46036</fb>
    <v>0</v>
  </rv>
  <rv s="0">
    <fb>146.35</fb>
    <v>1</v>
  </rv>
  <rv s="0">
    <fb>13474983</fb>
    <v>2</v>
  </rv>
  <rv s="0">
    <fb>46037</fb>
    <v>0</v>
  </rv>
  <rv s="0">
    <fb>144.63</fb>
    <v>1</v>
  </rv>
  <rv s="0">
    <fb>10102757</fb>
    <v>2</v>
  </rv>
  <rv s="0">
    <fb>46038</fb>
    <v>0</v>
  </rv>
  <rv s="0">
    <fb>144.53</fb>
    <v>1</v>
  </rv>
  <rv s="0">
    <fb>11729334</fb>
    <v>2</v>
  </rv>
  <rv s="0">
    <fb>46042</fb>
    <v>0</v>
  </rv>
  <rv s="0">
    <fb>147</fb>
    <v>1</v>
  </rv>
  <rv s="0">
    <fb>12901430</fb>
    <v>2</v>
  </rv>
  <rv s="0">
    <fb>46043</fb>
    <v>0</v>
  </rv>
  <rv s="0">
    <fb>146.06</fb>
    <v>1</v>
  </rv>
  <rv s="0">
    <fb>14126814</fb>
    <v>2</v>
  </rv>
  <rv s="0">
    <fb>46044</fb>
    <v>0</v>
  </rv>
  <rv s="0">
    <fb>149.93</fb>
    <v>1</v>
  </rv>
  <rv s="0">
    <fb>18501854</fb>
    <v>2</v>
  </rv>
  <rv s="0">
    <fb>46045</fb>
    <v>0</v>
  </rv>
  <rv s="0">
    <fb>150.15</fb>
    <v>1</v>
  </rv>
  <rv s="0">
    <fb>14562626</fb>
    <v>2</v>
  </rv>
  <rv s="0">
    <fb>46048</fb>
    <v>0</v>
  </rv>
  <rv s="0">
    <fb>149.49</fb>
    <v>1</v>
  </rv>
  <rv s="0">
    <fb>12655663</fb>
    <v>2</v>
  </rv>
  <rv s="0">
    <fb>46049</fb>
    <v>0</v>
  </rv>
  <rv s="0">
    <fb>148.34</fb>
    <v>1</v>
  </rv>
  <rv s="0">
    <fb>9546000</fb>
    <v>2</v>
  </rv>
  <rv s="0">
    <fb>46050</fb>
    <v>0</v>
  </rv>
  <rv s="0">
    <fb>147.34</fb>
    <v>1</v>
  </rv>
  <rv s="0">
    <fb>7465812</fb>
    <v>2</v>
  </rv>
  <rv s="0">
    <fb>46051</fb>
    <v>0</v>
  </rv>
  <rv s="0">
    <fb>149.9</fb>
    <v>1</v>
  </rv>
  <rv s="0">
    <fb>11035563</fb>
    <v>2</v>
  </rv>
  <rv s="0">
    <fb>46052</fb>
    <v>0</v>
  </rv>
  <rv s="0">
    <fb>151.77000000000001</fb>
    <v>1</v>
  </rv>
  <rv s="0">
    <fb>12651426</fb>
    <v>2</v>
  </rv>
  <rv s="0">
    <fb>46055</fb>
    <v>0</v>
  </rv>
  <rv s="0">
    <fb>153.19</fb>
    <v>1</v>
  </rv>
  <rv s="0">
    <fb>10554872</fb>
    <v>2</v>
  </rv>
  <rv s="0">
    <fb>46056</fb>
    <v>0</v>
  </rv>
  <rv s="0">
    <fb>155.32</fb>
    <v>1</v>
  </rv>
  <rv s="0">
    <fb>12424740</fb>
    <v>2</v>
  </rv>
  <rv s="0">
    <fb>46057</fb>
    <v>0</v>
  </rv>
  <rv s="0">
    <fb>156.87</fb>
    <v>1</v>
  </rv>
  <rv s="0">
    <fb>12178463</fb>
    <v>2</v>
  </rv>
  <rv s="0">
    <fb>46058</fb>
    <v>0</v>
  </rv>
  <rv s="0">
    <fb>158.61000000000001</fb>
    <v>1</v>
  </rv>
  <rv s="0">
    <fb>13077657</fb>
    <v>2</v>
  </rv>
  <rv s="0">
    <fb>46059</fb>
    <v>0</v>
  </rv>
  <rv s="0">
    <fb>159.16999999999999</fb>
    <v>1</v>
  </rv>
  <rv s="0">
    <fb>10441737</fb>
    <v>2</v>
  </rv>
  <rv s="0">
    <fb>46062</fb>
    <v>0</v>
  </rv>
  <rv s="0">
    <fb>157.33000000000001</fb>
    <v>1</v>
  </rv>
  <rv s="0">
    <fb>11439942</fb>
    <v>2</v>
  </rv>
  <rv s="0">
    <fb>46063</fb>
    <v>0</v>
  </rv>
  <rv s="0">
    <fb>9910099</fb>
    <v>2</v>
  </rv>
  <rv s="0">
    <fb>46064</fb>
    <v>0</v>
  </rv>
  <rv s="0">
    <fb>160</fb>
    <v>1</v>
  </rv>
  <rv s="0">
    <fb>10217309</fb>
    <v>2</v>
  </rv>
  <rv s="1">
    <v>3</v>
    <v>PG</v>
    <v>Daily</v>
    <v>45700</v>
    <v>46065</v>
    <v>0</v>
    <v>1</v>
    <v>639063648000000000,639065384365523121,0</v>
    <v>0</v>
    <v>a1zsjc</v>
    <v>XNYS:PG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19" formatCode="m/d/yyyy"/>
    </x:dxf>
    <x:dxf>
      <x:numFmt numFmtId="3" formatCode="#,##0"/>
    </x:dxf>
  </dxfs>
  <richProperties>
    <rPr n="NumberFormat" t="s"/>
  </richProperties>
  <richStyles>
    <rSty dxfid="1"/>
    <rSty dxfid="0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B76EA-C6D2-4500-8D2E-68445CD280AE}" name="Forecast" displayName="Forecast" ref="A1:E62" tableType="queryTable" totalsRowShown="0">
  <autoFilter ref="A1:E62" xr:uid="{6DDB76EA-C6D2-4500-8D2E-68445CD280AE}"/>
  <tableColumns count="5">
    <tableColumn id="1" xr3:uid="{045A1E96-2A79-47D7-B175-82D3A5D48613}" uniqueName="1" name="Week" queryTableFieldId="1" dataDxfId="0"/>
    <tableColumn id="2" xr3:uid="{6167D14A-6D35-45F6-8CC9-462EE9EAF51D}" uniqueName="2" name="Average" queryTableFieldId="2"/>
    <tableColumn id="3" xr3:uid="{A550376D-586C-4F13-BD70-48C9381F0338}" uniqueName="3" name="XL Forecast" queryTableFieldId="3"/>
    <tableColumn id="4" xr3:uid="{EDD51A7E-FE57-4DB2-B072-20C0892549A2}" uniqueName="4" name="Calc Forecast" queryTableFieldId="4"/>
    <tableColumn id="5" xr3:uid="{828E3786-00C9-4027-A977-E7D293154C7E}" uniqueName="5" name="GS Simple ML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2A248-013F-4DCA-803E-56639AB8A5EC}" name="Table1" displayName="Table1" ref="A1:B252" totalsRowShown="0">
  <autoFilter ref="A1:B252" xr:uid="{8A22A248-013F-4DCA-803E-56639AB8A5EC}"/>
  <tableColumns count="2">
    <tableColumn id="1" xr3:uid="{AA9B7CD5-F5A0-40D1-9EC9-E0777976641A}" name="Week" dataDxfId="1"/>
    <tableColumn id="2" xr3:uid="{4D2E6CBE-3CCF-4DC0-ACF8-E1228F0C5FA7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67" workbookViewId="0">
      <selection activeCell="O89" sqref="O89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2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28515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2" ca="1">_xlfn.STOCKHISTORY("PG",TODAY()-365,TODAY(),0,1,0,1,5)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45698</v>
      </c>
      <c r="B2" vm="1">
        <f ca="1"/>
        <v>45700</v>
      </c>
      <c r="C2" vm="2">
        <f ca="1"/>
        <v>169.58</v>
      </c>
      <c r="D2" vm="3">
        <f ca="1"/>
        <v>6037671</v>
      </c>
      <c r="E2">
        <f ca="1">C2*D2</f>
        <v>1023868248.1800001</v>
      </c>
      <c r="F2">
        <f ca="1">SUM($E$2:E2)/SUM($D$2:D2)</f>
        <v>169.58</v>
      </c>
      <c r="G2">
        <f ca="1">_xlfn.STDEV.P($C$2:C2)</f>
        <v>0</v>
      </c>
      <c r="H2">
        <f ca="1">F2 + G2</f>
        <v>169.58</v>
      </c>
      <c r="I2">
        <f ca="1">F2 - G2</f>
        <v>169.58</v>
      </c>
      <c r="AC2" t="s">
        <v>39</v>
      </c>
      <c r="AD2">
        <f ca="1">MIN(C:C)</f>
        <v>138.04</v>
      </c>
      <c r="AE2" s="18">
        <f ca="1">MIN(D:D)</f>
        <v>3259209</v>
      </c>
    </row>
    <row r="3" spans="1:31" x14ac:dyDescent="0.25">
      <c r="A3" s="20">
        <f t="shared" ref="A3:A66" ca="1" si="0">B3 - WEEKDAY(B3, 2) + 1</f>
        <v>45698</v>
      </c>
      <c r="B3" vm="4">
        <f ca="1"/>
        <v>45701</v>
      </c>
      <c r="C3" vm="5">
        <f ca="1"/>
        <v>171.02</v>
      </c>
      <c r="D3" vm="6">
        <f ca="1"/>
        <v>6328365</v>
      </c>
      <c r="E3">
        <f t="shared" ref="E3:E66" ca="1" si="1">C3*D3</f>
        <v>1082276982.3</v>
      </c>
      <c r="F3">
        <f ca="1">SUM($E$2:E3)/SUM($D$2:D3)</f>
        <v>170.31692536557389</v>
      </c>
      <c r="G3">
        <f ca="1">_xlfn.STDEV.P($C$2:C3)</f>
        <v>0.71999999999999886</v>
      </c>
      <c r="H3">
        <f t="shared" ref="H3:H66" ca="1" si="2">F3 + G3</f>
        <v>171.03692536557389</v>
      </c>
      <c r="I3">
        <f t="shared" ref="I3:I66" ca="1" si="3">F3 - G3</f>
        <v>169.5969253655739</v>
      </c>
      <c r="N3">
        <f ca="1">C3-C2</f>
        <v>1.4399999999999977</v>
      </c>
      <c r="O3">
        <f ca="1">MAX(N3,0)</f>
        <v>1.4399999999999977</v>
      </c>
      <c r="P3">
        <f ca="1">MAX(-N3,0)</f>
        <v>0</v>
      </c>
      <c r="AC3" t="s">
        <v>40</v>
      </c>
      <c r="AD3">
        <f ca="1">MAX(C:C)</f>
        <v>176.26</v>
      </c>
      <c r="AE3" s="18">
        <f ca="1">MAX(D:D)</f>
        <v>20077665</v>
      </c>
    </row>
    <row r="4" spans="1:31" x14ac:dyDescent="0.25">
      <c r="A4" s="20">
        <f t="shared" ca="1" si="0"/>
        <v>45698</v>
      </c>
      <c r="B4" vm="7">
        <f ca="1"/>
        <v>45702</v>
      </c>
      <c r="C4" vm="8">
        <f ca="1"/>
        <v>162.88999999999999</v>
      </c>
      <c r="D4" vm="9">
        <f ca="1"/>
        <v>13179478</v>
      </c>
      <c r="E4">
        <f t="shared" ca="1" si="1"/>
        <v>2146805171.4199998</v>
      </c>
      <c r="F4">
        <f ca="1">SUM($E$2:E4)/SUM($D$2:D4)</f>
        <v>166.4852154433064</v>
      </c>
      <c r="G4">
        <f ca="1">_xlfn.STDEV.P($C$2:C4)</f>
        <v>3.5422309354416859</v>
      </c>
      <c r="H4">
        <f t="shared" ca="1" si="2"/>
        <v>170.0274463787481</v>
      </c>
      <c r="I4">
        <f t="shared" ca="1" si="3"/>
        <v>162.94298450786471</v>
      </c>
      <c r="N4">
        <f t="shared" ref="N4:N67" ca="1" si="4">C4-C3</f>
        <v>-8.1300000000000239</v>
      </c>
      <c r="O4">
        <f t="shared" ref="O4:O67" ca="1" si="5">MAX(N4,0)</f>
        <v>0</v>
      </c>
      <c r="P4">
        <f t="shared" ref="P4:P67" ca="1" si="6">MAX(-N4,0)</f>
        <v>8.1300000000000239</v>
      </c>
      <c r="AC4" t="s">
        <v>41</v>
      </c>
      <c r="AD4">
        <f ca="1">MEDIAN(C:C)</f>
        <v>157.33000000000001</v>
      </c>
      <c r="AE4" s="18">
        <f ca="1">MEDIAN(D:D)</f>
        <v>7868129</v>
      </c>
    </row>
    <row r="5" spans="1:31" x14ac:dyDescent="0.25">
      <c r="A5" s="20">
        <f t="shared" ca="1" si="0"/>
        <v>45705</v>
      </c>
      <c r="B5" vm="10">
        <f ca="1"/>
        <v>45706</v>
      </c>
      <c r="C5" vm="11">
        <f ca="1"/>
        <v>165.43</v>
      </c>
      <c r="D5" vm="12">
        <f ca="1"/>
        <v>7075681</v>
      </c>
      <c r="E5">
        <f t="shared" ca="1" si="1"/>
        <v>1170529907.8300002</v>
      </c>
      <c r="F5">
        <f ca="1">SUM($E$2:E5)/SUM($D$2:D5)</f>
        <v>166.25633456193128</v>
      </c>
      <c r="G5">
        <f ca="1">_xlfn.STDEV.P($C$2:C5)</f>
        <v>3.2389118543115765</v>
      </c>
      <c r="H5">
        <f t="shared" ca="1" si="2"/>
        <v>169.49524641624285</v>
      </c>
      <c r="I5">
        <f t="shared" ca="1" si="3"/>
        <v>163.01742270761972</v>
      </c>
      <c r="N5">
        <f t="shared" ca="1" si="4"/>
        <v>2.5400000000000205</v>
      </c>
      <c r="O5">
        <f t="shared" ca="1" si="5"/>
        <v>2.5400000000000205</v>
      </c>
      <c r="P5">
        <f t="shared" ca="1" si="6"/>
        <v>0</v>
      </c>
      <c r="AC5" t="s">
        <v>42</v>
      </c>
      <c r="AD5">
        <f ca="1">AVERAGE(C:C)</f>
        <v>156.66258964143421</v>
      </c>
      <c r="AE5" s="18">
        <f ca="1">AVERAGE(D:D)</f>
        <v>8780294.1354581676</v>
      </c>
    </row>
    <row r="6" spans="1:31" x14ac:dyDescent="0.25">
      <c r="A6" s="20">
        <f t="shared" ca="1" si="0"/>
        <v>45705</v>
      </c>
      <c r="B6" vm="13">
        <f ca="1"/>
        <v>45707</v>
      </c>
      <c r="C6" vm="14">
        <f ca="1"/>
        <v>166.49</v>
      </c>
      <c r="D6" vm="15">
        <f ca="1"/>
        <v>7910823</v>
      </c>
      <c r="E6">
        <f t="shared" ca="1" si="1"/>
        <v>1317072921.27</v>
      </c>
      <c r="F6">
        <f ca="1">SUM($E$2:E6)/SUM($D$2:D6)</f>
        <v>166.3019401353271</v>
      </c>
      <c r="G6">
        <f ca="1">_xlfn.STDEV.P($C$2:C6)</f>
        <v>2.9120535709358171</v>
      </c>
      <c r="H6">
        <f t="shared" ca="1" si="2"/>
        <v>169.21399370626293</v>
      </c>
      <c r="I6">
        <f t="shared" ca="1" si="3"/>
        <v>163.38988656439128</v>
      </c>
      <c r="N6">
        <f t="shared" ca="1" si="4"/>
        <v>1.0600000000000023</v>
      </c>
      <c r="O6">
        <f t="shared" ca="1" si="5"/>
        <v>1.0600000000000023</v>
      </c>
      <c r="P6">
        <f t="shared" ca="1" si="6"/>
        <v>0</v>
      </c>
    </row>
    <row r="7" spans="1:31" x14ac:dyDescent="0.25">
      <c r="A7" s="20">
        <f t="shared" ca="1" si="0"/>
        <v>45705</v>
      </c>
      <c r="B7" vm="16">
        <f ca="1"/>
        <v>45708</v>
      </c>
      <c r="C7" vm="17">
        <f ca="1"/>
        <v>167.21</v>
      </c>
      <c r="D7" vm="18">
        <f ca="1"/>
        <v>6162601</v>
      </c>
      <c r="E7">
        <f t="shared" ca="1" si="1"/>
        <v>1030448513.21</v>
      </c>
      <c r="F7">
        <f ca="1">SUM($E$2:E7)/SUM($D$2:D7)</f>
        <v>166.4217828656017</v>
      </c>
      <c r="G7">
        <f ca="1">_xlfn.STDEV.P($C$2:C7)</f>
        <v>2.6587570195279082</v>
      </c>
      <c r="H7">
        <f t="shared" ca="1" si="2"/>
        <v>169.08053988512961</v>
      </c>
      <c r="I7">
        <f t="shared" ca="1" si="3"/>
        <v>163.76302584607379</v>
      </c>
      <c r="N7">
        <f t="shared" ca="1" si="4"/>
        <v>0.71999999999999886</v>
      </c>
      <c r="O7">
        <f t="shared" ca="1" si="5"/>
        <v>0.71999999999999886</v>
      </c>
      <c r="P7">
        <f t="shared" ca="1" si="6"/>
        <v>0</v>
      </c>
    </row>
    <row r="8" spans="1:31" x14ac:dyDescent="0.25">
      <c r="A8" s="20">
        <f t="shared" ca="1" si="0"/>
        <v>45705</v>
      </c>
      <c r="B8" vm="19">
        <f ca="1"/>
        <v>45709</v>
      </c>
      <c r="C8" vm="20">
        <f ca="1"/>
        <v>170.23</v>
      </c>
      <c r="D8" vm="21">
        <f ca="1"/>
        <v>9813720</v>
      </c>
      <c r="E8">
        <f t="shared" ca="1" si="1"/>
        <v>1670589555.5999999</v>
      </c>
      <c r="F8">
        <f ca="1">SUM($E$2:E8)/SUM($D$2:D8)</f>
        <v>167.08315032600763</v>
      </c>
      <c r="G8">
        <f ca="1">_xlfn.STDEV.P($C$2:C8)</f>
        <v>2.693733468626772</v>
      </c>
      <c r="H8">
        <f t="shared" ca="1" si="2"/>
        <v>169.77688379463439</v>
      </c>
      <c r="I8">
        <f t="shared" ca="1" si="3"/>
        <v>164.38941685738087</v>
      </c>
      <c r="N8">
        <f t="shared" ca="1" si="4"/>
        <v>3.0199999999999818</v>
      </c>
      <c r="O8">
        <f t="shared" ca="1" si="5"/>
        <v>3.0199999999999818</v>
      </c>
      <c r="P8">
        <f t="shared" ca="1" si="6"/>
        <v>0</v>
      </c>
    </row>
    <row r="9" spans="1:31" x14ac:dyDescent="0.25">
      <c r="A9" s="20">
        <f t="shared" ca="1" si="0"/>
        <v>45712</v>
      </c>
      <c r="B9" vm="22">
        <f ca="1"/>
        <v>45712</v>
      </c>
      <c r="C9" vm="23">
        <f ca="1"/>
        <v>170.54</v>
      </c>
      <c r="D9" vm="24">
        <f ca="1"/>
        <v>8564057</v>
      </c>
      <c r="E9">
        <f t="shared" ca="1" si="1"/>
        <v>1460514280.78</v>
      </c>
      <c r="F9">
        <f ca="1">SUM($E$2:E9)/SUM($D$2:D9)</f>
        <v>167.53809988170713</v>
      </c>
      <c r="G9">
        <f ca="1">_xlfn.STDEV.P($C$2:C9)</f>
        <v>2.706842891174146</v>
      </c>
      <c r="H9">
        <f t="shared" ca="1" si="2"/>
        <v>170.24494277288127</v>
      </c>
      <c r="I9">
        <f t="shared" ca="1" si="3"/>
        <v>164.83125699053298</v>
      </c>
      <c r="N9">
        <f t="shared" ca="1" si="4"/>
        <v>0.31000000000000227</v>
      </c>
      <c r="O9">
        <f t="shared" ca="1" si="5"/>
        <v>0.31000000000000227</v>
      </c>
      <c r="P9">
        <f t="shared" ca="1" si="6"/>
        <v>0</v>
      </c>
    </row>
    <row r="10" spans="1:31" x14ac:dyDescent="0.25">
      <c r="A10" s="20">
        <f t="shared" ca="1" si="0"/>
        <v>45712</v>
      </c>
      <c r="B10" vm="25">
        <f ca="1"/>
        <v>45713</v>
      </c>
      <c r="C10" vm="26">
        <f ca="1"/>
        <v>172.65</v>
      </c>
      <c r="D10" vm="27">
        <f ca="1"/>
        <v>7314856</v>
      </c>
      <c r="E10">
        <f t="shared" ca="1" si="1"/>
        <v>1262909888.4000001</v>
      </c>
      <c r="F10">
        <f ca="1">SUM($E$2:E10)/SUM($D$2:D10)</f>
        <v>168.05466615848326</v>
      </c>
      <c r="G10">
        <f ca="1">_xlfn.STDEV.P($C$2:C10)</f>
        <v>2.9528044840435452</v>
      </c>
      <c r="H10">
        <f t="shared" ca="1" si="2"/>
        <v>171.00747064252681</v>
      </c>
      <c r="I10">
        <f t="shared" ca="1" si="3"/>
        <v>165.1018616744397</v>
      </c>
      <c r="N10">
        <f t="shared" ca="1" si="4"/>
        <v>2.1100000000000136</v>
      </c>
      <c r="O10">
        <f t="shared" ca="1" si="5"/>
        <v>2.1100000000000136</v>
      </c>
      <c r="P10">
        <f t="shared" ca="1" si="6"/>
        <v>0</v>
      </c>
    </row>
    <row r="11" spans="1:31" x14ac:dyDescent="0.25">
      <c r="A11" s="20">
        <f t="shared" ca="1" si="0"/>
        <v>45712</v>
      </c>
      <c r="B11" vm="28">
        <f ca="1"/>
        <v>45714</v>
      </c>
      <c r="C11" vm="29">
        <f ca="1"/>
        <v>171.3</v>
      </c>
      <c r="D11" vm="30">
        <f ca="1"/>
        <v>5519041</v>
      </c>
      <c r="E11">
        <f t="shared" ca="1" si="1"/>
        <v>945411723.30000007</v>
      </c>
      <c r="F11">
        <f ca="1">SUM($E$2:E11)/SUM($D$2:D11)</f>
        <v>168.28457223975474</v>
      </c>
      <c r="G11">
        <f ca="1">_xlfn.STDEV.P($C$2:C11)</f>
        <v>2.9289492996636213</v>
      </c>
      <c r="H11">
        <f t="shared" ca="1" si="2"/>
        <v>171.21352153941837</v>
      </c>
      <c r="I11">
        <f t="shared" ca="1" si="3"/>
        <v>165.35562294009111</v>
      </c>
      <c r="N11">
        <f t="shared" ca="1" si="4"/>
        <v>-1.3499999999999943</v>
      </c>
      <c r="O11">
        <f t="shared" ca="1" si="5"/>
        <v>0</v>
      </c>
      <c r="P11">
        <f t="shared" ca="1" si="6"/>
        <v>1.3499999999999943</v>
      </c>
    </row>
    <row r="12" spans="1:31" x14ac:dyDescent="0.25">
      <c r="A12" s="20">
        <f t="shared" ca="1" si="0"/>
        <v>45712</v>
      </c>
      <c r="B12" vm="31">
        <f ca="1"/>
        <v>45715</v>
      </c>
      <c r="C12" vm="32">
        <f ca="1"/>
        <v>171.97</v>
      </c>
      <c r="D12" vm="33">
        <f ca="1"/>
        <v>5466965</v>
      </c>
      <c r="E12">
        <f t="shared" ca="1" si="1"/>
        <v>940153971.04999995</v>
      </c>
      <c r="F12">
        <f ca="1">SUM($E$2:E12)/SUM($D$2:D12)</f>
        <v>168.52623371561177</v>
      </c>
      <c r="G12">
        <f ca="1">_xlfn.STDEV.P($C$2:C12)</f>
        <v>2.9435161972215811</v>
      </c>
      <c r="H12">
        <f t="shared" ca="1" si="2"/>
        <v>171.46974991283335</v>
      </c>
      <c r="I12">
        <f t="shared" ca="1" si="3"/>
        <v>165.58271751839018</v>
      </c>
      <c r="N12">
        <f t="shared" ca="1" si="4"/>
        <v>0.66999999999998749</v>
      </c>
      <c r="O12">
        <f t="shared" ca="1" si="5"/>
        <v>0.66999999999998749</v>
      </c>
      <c r="P12">
        <f t="shared" ca="1" si="6"/>
        <v>0</v>
      </c>
    </row>
    <row r="13" spans="1:31" x14ac:dyDescent="0.25">
      <c r="A13" s="20">
        <f t="shared" ca="1" si="0"/>
        <v>45712</v>
      </c>
      <c r="B13" vm="34">
        <f ca="1"/>
        <v>45716</v>
      </c>
      <c r="C13" vm="35">
        <f ca="1"/>
        <v>173.84</v>
      </c>
      <c r="D13" vm="36">
        <f ca="1"/>
        <v>10240069</v>
      </c>
      <c r="E13">
        <f t="shared" ca="1" si="1"/>
        <v>1780133594.96</v>
      </c>
      <c r="F13">
        <f ca="1">SUM($E$2:E13)/SUM($D$2:D13)</f>
        <v>169.10748998697588</v>
      </c>
      <c r="G13">
        <f ca="1">_xlfn.STDEV.P($C$2:C13)</f>
        <v>3.1162382726971045</v>
      </c>
      <c r="H13">
        <f t="shared" ca="1" si="2"/>
        <v>172.22372825967298</v>
      </c>
      <c r="I13">
        <f t="shared" ca="1" si="3"/>
        <v>165.99125171427877</v>
      </c>
      <c r="N13">
        <f t="shared" ca="1" si="4"/>
        <v>1.8700000000000045</v>
      </c>
      <c r="O13">
        <f t="shared" ca="1" si="5"/>
        <v>1.8700000000000045</v>
      </c>
      <c r="P13">
        <f t="shared" ca="1" si="6"/>
        <v>0</v>
      </c>
      <c r="W13" s="9">
        <f ca="1">AVERAGE(C2:C13)</f>
        <v>169.42916666666667</v>
      </c>
    </row>
    <row r="14" spans="1:31" x14ac:dyDescent="0.25">
      <c r="A14" s="20">
        <f t="shared" ca="1" si="0"/>
        <v>45719</v>
      </c>
      <c r="B14" vm="37">
        <f ca="1"/>
        <v>45719</v>
      </c>
      <c r="C14" vm="38">
        <f ca="1"/>
        <v>175.59</v>
      </c>
      <c r="D14" vm="39">
        <f ca="1"/>
        <v>7615570</v>
      </c>
      <c r="E14">
        <f t="shared" ca="1" si="1"/>
        <v>1337217936.3</v>
      </c>
      <c r="F14">
        <f ca="1">SUM($E$2:E14)/SUM($D$2:D14)</f>
        <v>169.59517690487132</v>
      </c>
      <c r="G14">
        <f ca="1">_xlfn.STDEV.P($C$2:C14)</f>
        <v>3.4145331578988278</v>
      </c>
      <c r="H14">
        <f t="shared" ca="1" si="2"/>
        <v>173.00971006277015</v>
      </c>
      <c r="I14">
        <f t="shared" ca="1" si="3"/>
        <v>166.18064374697249</v>
      </c>
      <c r="N14">
        <f t="shared" ca="1" si="4"/>
        <v>1.75</v>
      </c>
      <c r="O14">
        <f t="shared" ca="1" si="5"/>
        <v>1.75</v>
      </c>
      <c r="P14">
        <f t="shared" ca="1" si="6"/>
        <v>0</v>
      </c>
      <c r="W14">
        <f ca="1">C14*(2/(12+1)) + W13*(1-(2/(12+1)))</f>
        <v>170.37698717948717</v>
      </c>
    </row>
    <row r="15" spans="1:31" x14ac:dyDescent="0.25">
      <c r="A15" s="20">
        <f t="shared" ca="1" si="0"/>
        <v>45719</v>
      </c>
      <c r="B15" vm="40">
        <f ca="1"/>
        <v>45720</v>
      </c>
      <c r="C15" vm="41">
        <f ca="1"/>
        <v>173.18</v>
      </c>
      <c r="D15" vm="42">
        <f ca="1"/>
        <v>12118023</v>
      </c>
      <c r="E15">
        <f t="shared" ca="1" si="1"/>
        <v>2098599223.1400001</v>
      </c>
      <c r="F15">
        <f ca="1">SUM($E$2:E15)/SUM($D$2:D15)</f>
        <v>169.97843362431018</v>
      </c>
      <c r="G15">
        <f ca="1">_xlfn.STDEV.P($C$2:C15)</f>
        <v>3.396833459417818</v>
      </c>
      <c r="H15">
        <f t="shared" ca="1" si="2"/>
        <v>173.375267083728</v>
      </c>
      <c r="I15">
        <f t="shared" ca="1" si="3"/>
        <v>166.58160016489236</v>
      </c>
      <c r="N15">
        <f t="shared" ca="1" si="4"/>
        <v>-2.4099999999999966</v>
      </c>
      <c r="O15">
        <f t="shared" ca="1" si="5"/>
        <v>0</v>
      </c>
      <c r="P15">
        <f t="shared" ca="1" si="6"/>
        <v>2.4099999999999966</v>
      </c>
      <c r="Q15" s="2">
        <f ca="1">AVERAGE(O3:O16)</f>
        <v>1.2085714285714297</v>
      </c>
      <c r="R15" s="2">
        <f ca="1">AVERAGE(P3:P16)</f>
        <v>0.84928571428571531</v>
      </c>
      <c r="S15">
        <f ca="1">IF(R15=0,NA(),Q15/R15)</f>
        <v>1.4230445752733385</v>
      </c>
      <c r="T15">
        <f ca="1">100-(100/(1+S15))</f>
        <v>58.729607775078087</v>
      </c>
      <c r="U15">
        <f>70</f>
        <v>70</v>
      </c>
      <c r="V15">
        <f>30</f>
        <v>30</v>
      </c>
      <c r="W15">
        <f t="shared" ref="W15:W78" ca="1" si="7">C15*(2/(12+1)) + W14*(1-(2/(12+1)))</f>
        <v>170.80821992110455</v>
      </c>
    </row>
    <row r="16" spans="1:31" x14ac:dyDescent="0.25">
      <c r="A16" s="20">
        <f t="shared" ca="1" si="0"/>
        <v>45719</v>
      </c>
      <c r="B16" vm="43">
        <f ca="1"/>
        <v>45721</v>
      </c>
      <c r="C16" vm="44">
        <f ca="1"/>
        <v>174.61</v>
      </c>
      <c r="D16" vm="45">
        <f ca="1"/>
        <v>6989086</v>
      </c>
      <c r="E16">
        <f t="shared" ca="1" si="1"/>
        <v>1220364306.46</v>
      </c>
      <c r="F16">
        <f ca="1">SUM($E$2:E16)/SUM($D$2:D16)</f>
        <v>170.2474338744465</v>
      </c>
      <c r="G16">
        <f ca="1">_xlfn.STDEV.P($C$2:C16)</f>
        <v>3.4661349592241173</v>
      </c>
      <c r="H16">
        <f t="shared" ca="1" si="2"/>
        <v>173.71356883367062</v>
      </c>
      <c r="I16">
        <f t="shared" ca="1" si="3"/>
        <v>166.78129891522238</v>
      </c>
      <c r="N16">
        <f t="shared" ca="1" si="4"/>
        <v>1.4300000000000068</v>
      </c>
      <c r="O16">
        <f t="shared" ca="1" si="5"/>
        <v>1.4300000000000068</v>
      </c>
      <c r="P16">
        <f t="shared" ca="1" si="6"/>
        <v>0</v>
      </c>
      <c r="Q16">
        <f ca="1">(Q15*13+O16)/14</f>
        <v>1.2243877551020421</v>
      </c>
      <c r="R16">
        <f ca="1">(R15*13+P16)/14</f>
        <v>0.78862244897959288</v>
      </c>
      <c r="S16">
        <f t="shared" ref="S16:S79" ca="1" si="8">IF(R16=0,NA(),Q16/R16)</f>
        <v>1.5525651808242216</v>
      </c>
      <c r="T16">
        <f t="shared" ref="T16:T79" ca="1" si="9">100-(100/(1+S16))</f>
        <v>60.823723228995057</v>
      </c>
      <c r="U16">
        <f>70</f>
        <v>70</v>
      </c>
      <c r="V16">
        <f>30</f>
        <v>30</v>
      </c>
      <c r="W16">
        <f t="shared" ca="1" si="7"/>
        <v>171.39310916401155</v>
      </c>
    </row>
    <row r="17" spans="1:25" x14ac:dyDescent="0.25">
      <c r="A17" s="20">
        <f t="shared" ca="1" si="0"/>
        <v>45719</v>
      </c>
      <c r="B17" vm="46">
        <f ca="1"/>
        <v>45722</v>
      </c>
      <c r="C17" vm="47">
        <f ca="1"/>
        <v>174.66</v>
      </c>
      <c r="D17" vm="48">
        <f ca="1"/>
        <v>6702490</v>
      </c>
      <c r="E17">
        <f t="shared" ca="1" si="1"/>
        <v>1170656903.4000001</v>
      </c>
      <c r="F17">
        <f ca="1">SUM($E$2:E17)/SUM($D$2:D17)</f>
        <v>170.48023874275086</v>
      </c>
      <c r="G17">
        <f ca="1">_xlfn.STDEV.P($C$2:C17)</f>
        <v>3.5084157192919734</v>
      </c>
      <c r="H17">
        <f t="shared" ca="1" si="2"/>
        <v>173.98865446204283</v>
      </c>
      <c r="I17">
        <f t="shared" ca="1" si="3"/>
        <v>166.97182302345888</v>
      </c>
      <c r="N17">
        <f t="shared" ca="1" si="4"/>
        <v>4.9999999999982947E-2</v>
      </c>
      <c r="O17">
        <f t="shared" ca="1" si="5"/>
        <v>4.9999999999982947E-2</v>
      </c>
      <c r="P17">
        <f t="shared" ca="1" si="6"/>
        <v>0</v>
      </c>
      <c r="Q17">
        <f t="shared" ref="Q17:Q80" ca="1" si="10">(Q16*13+O17)/14</f>
        <v>1.1405029154518951</v>
      </c>
      <c r="R17">
        <f t="shared" ref="R17:R80" ca="1" si="11">(R16*13+P17)/14</f>
        <v>0.73229227405247921</v>
      </c>
      <c r="S17">
        <f t="shared" ca="1" si="8"/>
        <v>1.5574422342876741</v>
      </c>
      <c r="T17">
        <f t="shared" ca="1" si="9"/>
        <v>60.898432559180343</v>
      </c>
      <c r="U17">
        <f>70</f>
        <v>70</v>
      </c>
      <c r="V17">
        <f>30</f>
        <v>30</v>
      </c>
      <c r="W17">
        <f t="shared" ca="1" si="7"/>
        <v>171.89570775416362</v>
      </c>
    </row>
    <row r="18" spans="1:25" x14ac:dyDescent="0.25">
      <c r="A18" s="20">
        <f t="shared" ca="1" si="0"/>
        <v>45719</v>
      </c>
      <c r="B18" vm="49">
        <f ca="1"/>
        <v>45723</v>
      </c>
      <c r="C18" vm="50">
        <f ca="1"/>
        <v>175.95</v>
      </c>
      <c r="D18" vm="51">
        <f ca="1"/>
        <v>9566763</v>
      </c>
      <c r="E18">
        <f t="shared" ca="1" si="1"/>
        <v>1683271949.8499999</v>
      </c>
      <c r="F18">
        <f ca="1">SUM($E$2:E18)/SUM($D$2:D18)</f>
        <v>170.86329800414197</v>
      </c>
      <c r="G18">
        <f ca="1">_xlfn.STDEV.P($C$2:C18)</f>
        <v>3.620944360561722</v>
      </c>
      <c r="H18">
        <f t="shared" ca="1" si="2"/>
        <v>174.48424236470368</v>
      </c>
      <c r="I18">
        <f t="shared" ca="1" si="3"/>
        <v>167.24235364358026</v>
      </c>
      <c r="N18">
        <f t="shared" ca="1" si="4"/>
        <v>1.289999999999992</v>
      </c>
      <c r="O18">
        <f t="shared" ca="1" si="5"/>
        <v>1.289999999999992</v>
      </c>
      <c r="P18">
        <f t="shared" ca="1" si="6"/>
        <v>0</v>
      </c>
      <c r="Q18">
        <f t="shared" ca="1" si="10"/>
        <v>1.1511812786339017</v>
      </c>
      <c r="R18">
        <f t="shared" ca="1" si="11"/>
        <v>0.67998568304873075</v>
      </c>
      <c r="S18">
        <f t="shared" ca="1" si="8"/>
        <v>1.6929492889799609</v>
      </c>
      <c r="T18">
        <f t="shared" ca="1" si="9"/>
        <v>62.865992163603593</v>
      </c>
      <c r="U18">
        <f>70</f>
        <v>70</v>
      </c>
      <c r="V18">
        <f>30</f>
        <v>30</v>
      </c>
      <c r="W18">
        <f t="shared" ca="1" si="7"/>
        <v>172.51944502275381</v>
      </c>
    </row>
    <row r="19" spans="1:25" x14ac:dyDescent="0.25">
      <c r="A19" s="20">
        <f t="shared" ca="1" si="0"/>
        <v>45726</v>
      </c>
      <c r="B19" vm="52">
        <f ca="1"/>
        <v>45726</v>
      </c>
      <c r="C19" vm="53">
        <f ca="1"/>
        <v>176.26</v>
      </c>
      <c r="D19" vm="54">
        <f ca="1"/>
        <v>11047022</v>
      </c>
      <c r="E19">
        <f t="shared" ca="1" si="1"/>
        <v>1947148097.7199998</v>
      </c>
      <c r="F19">
        <f ca="1">SUM($E$2:E19)/SUM($D$2:D19)</f>
        <v>171.2670674906133</v>
      </c>
      <c r="G19">
        <f ca="1">_xlfn.STDEV.P($C$2:C19)</f>
        <v>3.7188693024747299</v>
      </c>
      <c r="H19">
        <f t="shared" ca="1" si="2"/>
        <v>174.98593679308803</v>
      </c>
      <c r="I19">
        <f t="shared" ca="1" si="3"/>
        <v>167.54819818813857</v>
      </c>
      <c r="N19">
        <f t="shared" ca="1" si="4"/>
        <v>0.31000000000000227</v>
      </c>
      <c r="O19">
        <f t="shared" ca="1" si="5"/>
        <v>0.31000000000000227</v>
      </c>
      <c r="P19">
        <f t="shared" ca="1" si="6"/>
        <v>0</v>
      </c>
      <c r="Q19">
        <f t="shared" ca="1" si="10"/>
        <v>1.0910969015886232</v>
      </c>
      <c r="R19">
        <f t="shared" ca="1" si="11"/>
        <v>0.63141527711667855</v>
      </c>
      <c r="S19">
        <f t="shared" ca="1" si="8"/>
        <v>1.728017900629605</v>
      </c>
      <c r="T19">
        <f t="shared" ca="1" si="9"/>
        <v>63.343349038537909</v>
      </c>
      <c r="U19">
        <f>70</f>
        <v>70</v>
      </c>
      <c r="V19">
        <f>30</f>
        <v>30</v>
      </c>
      <c r="W19">
        <f t="shared" ca="1" si="7"/>
        <v>173.09491501925322</v>
      </c>
    </row>
    <row r="20" spans="1:25" x14ac:dyDescent="0.25">
      <c r="A20" s="20">
        <f t="shared" ca="1" si="0"/>
        <v>45726</v>
      </c>
      <c r="B20" vm="55">
        <f ca="1"/>
        <v>45727</v>
      </c>
      <c r="C20" vm="56">
        <f ca="1"/>
        <v>173.12</v>
      </c>
      <c r="D20" vm="57">
        <f ca="1"/>
        <v>11032285</v>
      </c>
      <c r="E20">
        <f t="shared" ca="1" si="1"/>
        <v>1909909179.2</v>
      </c>
      <c r="F20">
        <f ca="1">SUM($E$2:E20)/SUM($D$2:D20)</f>
        <v>171.39588959376175</v>
      </c>
      <c r="G20">
        <f ca="1">_xlfn.STDEV.P($C$2:C20)</f>
        <v>3.6424244612179222</v>
      </c>
      <c r="H20">
        <f t="shared" ca="1" si="2"/>
        <v>175.03831405497968</v>
      </c>
      <c r="I20">
        <f t="shared" ca="1" si="3"/>
        <v>167.75346513254382</v>
      </c>
      <c r="N20">
        <f t="shared" ca="1" si="4"/>
        <v>-3.1399999999999864</v>
      </c>
      <c r="O20">
        <f t="shared" ca="1" si="5"/>
        <v>0</v>
      </c>
      <c r="P20">
        <f t="shared" ca="1" si="6"/>
        <v>3.1399999999999864</v>
      </c>
      <c r="Q20">
        <f t="shared" ca="1" si="10"/>
        <v>1.0131614086180072</v>
      </c>
      <c r="R20">
        <f t="shared" ca="1" si="11"/>
        <v>0.81059990017977201</v>
      </c>
      <c r="S20">
        <f t="shared" ca="1" si="8"/>
        <v>1.2498908627959513</v>
      </c>
      <c r="T20">
        <f t="shared" ca="1" si="9"/>
        <v>55.553399654359467</v>
      </c>
      <c r="U20">
        <f>70</f>
        <v>70</v>
      </c>
      <c r="V20">
        <f>30</f>
        <v>30</v>
      </c>
      <c r="W20">
        <f t="shared" ca="1" si="7"/>
        <v>173.09877424706042</v>
      </c>
    </row>
    <row r="21" spans="1:25" x14ac:dyDescent="0.25">
      <c r="A21" s="20">
        <f t="shared" ca="1" si="0"/>
        <v>45726</v>
      </c>
      <c r="B21" vm="58">
        <f ca="1"/>
        <v>45728</v>
      </c>
      <c r="C21" vm="59">
        <f ca="1"/>
        <v>168.37</v>
      </c>
      <c r="D21" vm="60">
        <f ca="1"/>
        <v>10159136</v>
      </c>
      <c r="E21">
        <f t="shared" ca="1" si="1"/>
        <v>1710493728.3199999</v>
      </c>
      <c r="F21">
        <f ca="1">SUM($E$2:E21)/SUM($D$2:D21)</f>
        <v>171.21382521386553</v>
      </c>
      <c r="G21">
        <f ca="1">_xlfn.STDEV.P($C$2:C21)</f>
        <v>3.6109243622651523</v>
      </c>
      <c r="H21">
        <f t="shared" ca="1" si="2"/>
        <v>174.8247495761307</v>
      </c>
      <c r="I21">
        <f t="shared" ca="1" si="3"/>
        <v>167.60290085160037</v>
      </c>
      <c r="J21">
        <f ca="1">AVERAGE(C2:C21)</f>
        <v>171.24449999999996</v>
      </c>
      <c r="K21">
        <f ca="1">_xlfn.STDEV.S(C2:C21)</f>
        <v>3.7047302267009372</v>
      </c>
      <c r="L21">
        <f ca="1">J21 + 2*K21</f>
        <v>178.65396045340182</v>
      </c>
      <c r="M21">
        <f ca="1">J21-2*K21</f>
        <v>163.8350395465981</v>
      </c>
      <c r="N21">
        <f t="shared" ca="1" si="4"/>
        <v>-4.75</v>
      </c>
      <c r="O21">
        <f t="shared" ca="1" si="5"/>
        <v>0</v>
      </c>
      <c r="P21">
        <f t="shared" ca="1" si="6"/>
        <v>4.75</v>
      </c>
      <c r="Q21">
        <f t="shared" ca="1" si="10"/>
        <v>0.94079273657386386</v>
      </c>
      <c r="R21">
        <f t="shared" ca="1" si="11"/>
        <v>1.0919856215955026</v>
      </c>
      <c r="S21">
        <f t="shared" ca="1" si="8"/>
        <v>0.8615431540199856</v>
      </c>
      <c r="T21">
        <f t="shared" ca="1" si="9"/>
        <v>46.281127147629697</v>
      </c>
      <c r="U21">
        <f>70</f>
        <v>70</v>
      </c>
      <c r="V21">
        <f>30</f>
        <v>30</v>
      </c>
      <c r="W21">
        <f t="shared" ca="1" si="7"/>
        <v>172.37127051674344</v>
      </c>
    </row>
    <row r="22" spans="1:25" x14ac:dyDescent="0.25">
      <c r="A22" s="20">
        <f t="shared" ca="1" si="0"/>
        <v>45726</v>
      </c>
      <c r="B22" vm="61">
        <f ca="1"/>
        <v>45729</v>
      </c>
      <c r="C22" vm="62">
        <f ca="1"/>
        <v>168.59</v>
      </c>
      <c r="D22" vm="63">
        <f ca="1"/>
        <v>6609126</v>
      </c>
      <c r="E22">
        <f t="shared" ca="1" si="1"/>
        <v>1114232552.3399999</v>
      </c>
      <c r="F22">
        <f ca="1">SUM($E$2:E22)/SUM($D$2:D22)</f>
        <v>171.11498844025471</v>
      </c>
      <c r="G22">
        <f ca="1">_xlfn.STDEV.P($C$2:C22)</f>
        <v>3.5689555882540347</v>
      </c>
      <c r="H22">
        <f t="shared" ca="1" si="2"/>
        <v>174.68394402850873</v>
      </c>
      <c r="I22">
        <f t="shared" ca="1" si="3"/>
        <v>167.54603285200068</v>
      </c>
      <c r="J22">
        <f t="shared" ref="J22:J85" ca="1" si="12">AVERAGE(C3:C22)</f>
        <v>171.19499999999999</v>
      </c>
      <c r="K22">
        <f t="shared" ref="K22:K85" ca="1" si="13">_xlfn.STDEV.S(C3:C22)</f>
        <v>3.7346337803972438</v>
      </c>
      <c r="L22">
        <f t="shared" ref="L22:L85" ca="1" si="14">J22 + 2*K22</f>
        <v>178.66426756079449</v>
      </c>
      <c r="M22">
        <f t="shared" ref="M22:M85" ca="1" si="15">J22-2*K22</f>
        <v>163.7257324392055</v>
      </c>
      <c r="N22">
        <f t="shared" ca="1" si="4"/>
        <v>0.21999999999999886</v>
      </c>
      <c r="O22">
        <f t="shared" ca="1" si="5"/>
        <v>0.21999999999999886</v>
      </c>
      <c r="P22">
        <f t="shared" ca="1" si="6"/>
        <v>0</v>
      </c>
      <c r="Q22">
        <f t="shared" ca="1" si="10"/>
        <v>0.8893075411043021</v>
      </c>
      <c r="R22">
        <f t="shared" ca="1" si="11"/>
        <v>1.0139866486243954</v>
      </c>
      <c r="S22">
        <f t="shared" ca="1" si="8"/>
        <v>0.87704068126613244</v>
      </c>
      <c r="T22">
        <f t="shared" ca="1" si="9"/>
        <v>46.72464960506538</v>
      </c>
      <c r="U22">
        <f>70</f>
        <v>70</v>
      </c>
      <c r="V22">
        <f>30</f>
        <v>30</v>
      </c>
      <c r="W22">
        <f t="shared" ca="1" si="7"/>
        <v>171.78953659109061</v>
      </c>
    </row>
    <row r="23" spans="1:25" x14ac:dyDescent="0.25">
      <c r="A23" s="20">
        <f t="shared" ca="1" si="0"/>
        <v>45726</v>
      </c>
      <c r="B23" vm="64">
        <f ca="1"/>
        <v>45730</v>
      </c>
      <c r="C23" vm="65">
        <f ca="1"/>
        <v>167.97</v>
      </c>
      <c r="D23" vm="66">
        <f ca="1"/>
        <v>6790624</v>
      </c>
      <c r="E23">
        <f t="shared" ca="1" si="1"/>
        <v>1140621113.28</v>
      </c>
      <c r="F23">
        <f ca="1">SUM($E$2:E23)/SUM($D$2:D23)</f>
        <v>170.99780215044433</v>
      </c>
      <c r="G23">
        <f ca="1">_xlfn.STDEV.P($C$2:C23)</f>
        <v>3.5480234574401353</v>
      </c>
      <c r="H23">
        <f t="shared" ca="1" si="2"/>
        <v>174.54582560788447</v>
      </c>
      <c r="I23">
        <f t="shared" ca="1" si="3"/>
        <v>167.44977869300419</v>
      </c>
      <c r="J23">
        <f t="shared" ca="1" si="12"/>
        <v>171.04249999999996</v>
      </c>
      <c r="K23">
        <f t="shared" ca="1" si="13"/>
        <v>3.8037874131200504</v>
      </c>
      <c r="L23">
        <f t="shared" ca="1" si="14"/>
        <v>178.65007482624006</v>
      </c>
      <c r="M23">
        <f t="shared" ca="1" si="15"/>
        <v>163.43492517375986</v>
      </c>
      <c r="N23">
        <f t="shared" ca="1" si="4"/>
        <v>-0.62000000000000455</v>
      </c>
      <c r="O23">
        <f t="shared" ca="1" si="5"/>
        <v>0</v>
      </c>
      <c r="P23">
        <f t="shared" ca="1" si="6"/>
        <v>0.62000000000000455</v>
      </c>
      <c r="Q23">
        <f t="shared" ca="1" si="10"/>
        <v>0.82578557388256624</v>
      </c>
      <c r="R23">
        <f t="shared" ca="1" si="11"/>
        <v>0.98584474515122456</v>
      </c>
      <c r="S23">
        <f t="shared" ca="1" si="8"/>
        <v>0.83764261862134703</v>
      </c>
      <c r="T23">
        <f t="shared" ca="1" si="9"/>
        <v>45.58245494163446</v>
      </c>
      <c r="U23">
        <f>70</f>
        <v>70</v>
      </c>
      <c r="V23">
        <f>30</f>
        <v>30</v>
      </c>
      <c r="W23">
        <f t="shared" ca="1" si="7"/>
        <v>171.20191557707665</v>
      </c>
    </row>
    <row r="24" spans="1:25" x14ac:dyDescent="0.25">
      <c r="A24" s="20">
        <f t="shared" ca="1" si="0"/>
        <v>45733</v>
      </c>
      <c r="B24" vm="67">
        <f ca="1"/>
        <v>45733</v>
      </c>
      <c r="C24" vm="68">
        <f ca="1"/>
        <v>169.76</v>
      </c>
      <c r="D24" vm="69">
        <f ca="1"/>
        <v>9931678</v>
      </c>
      <c r="E24">
        <f t="shared" ca="1" si="1"/>
        <v>1686001657.28</v>
      </c>
      <c r="F24">
        <f ca="1">SUM($E$2:E24)/SUM($D$2:D24)</f>
        <v>170.93383210194781</v>
      </c>
      <c r="G24">
        <f ca="1">_xlfn.STDEV.P($C$2:C24)</f>
        <v>3.4788703270405099</v>
      </c>
      <c r="H24">
        <f t="shared" ca="1" si="2"/>
        <v>174.41270242898833</v>
      </c>
      <c r="I24">
        <f t="shared" ca="1" si="3"/>
        <v>167.4549617749073</v>
      </c>
      <c r="J24">
        <f t="shared" ca="1" si="12"/>
        <v>171.38599999999997</v>
      </c>
      <c r="K24">
        <f t="shared" ca="1" si="13"/>
        <v>3.306523695267948</v>
      </c>
      <c r="L24">
        <f t="shared" ca="1" si="14"/>
        <v>177.99904739053585</v>
      </c>
      <c r="M24">
        <f t="shared" ca="1" si="15"/>
        <v>164.77295260946408</v>
      </c>
      <c r="N24">
        <f t="shared" ca="1" si="4"/>
        <v>1.789999999999992</v>
      </c>
      <c r="O24">
        <f t="shared" ca="1" si="5"/>
        <v>1.789999999999992</v>
      </c>
      <c r="P24">
        <f t="shared" ca="1" si="6"/>
        <v>0</v>
      </c>
      <c r="Q24">
        <f t="shared" ca="1" si="10"/>
        <v>0.8946580328909538</v>
      </c>
      <c r="R24">
        <f t="shared" ca="1" si="11"/>
        <v>0.91542726335470859</v>
      </c>
      <c r="S24">
        <f t="shared" ca="1" si="8"/>
        <v>0.97731198174321021</v>
      </c>
      <c r="T24">
        <f t="shared" ca="1" si="9"/>
        <v>49.426291387846952</v>
      </c>
      <c r="U24">
        <f>70</f>
        <v>70</v>
      </c>
      <c r="V24">
        <f>30</f>
        <v>30</v>
      </c>
      <c r="W24">
        <f t="shared" ca="1" si="7"/>
        <v>170.98008241137256</v>
      </c>
    </row>
    <row r="25" spans="1:25" x14ac:dyDescent="0.25">
      <c r="A25" s="20">
        <f t="shared" ca="1" si="0"/>
        <v>45733</v>
      </c>
      <c r="B25" vm="70">
        <f ca="1"/>
        <v>45734</v>
      </c>
      <c r="C25" vm="71">
        <f ca="1"/>
        <v>167.71</v>
      </c>
      <c r="D25" vm="72">
        <f ca="1"/>
        <v>6100242</v>
      </c>
      <c r="E25">
        <f t="shared" ca="1" si="1"/>
        <v>1023071585.8200001</v>
      </c>
      <c r="F25">
        <f ca="1">SUM($E$2:E25)/SUM($D$2:D25)</f>
        <v>170.83464602658768</v>
      </c>
      <c r="G25">
        <f ca="1">_xlfn.STDEV.P($C$2:C25)</f>
        <v>3.4655839655420584</v>
      </c>
      <c r="H25">
        <f t="shared" ca="1" si="2"/>
        <v>174.30022999212974</v>
      </c>
      <c r="I25">
        <f t="shared" ca="1" si="3"/>
        <v>167.36906206104561</v>
      </c>
      <c r="J25">
        <f t="shared" ca="1" si="12"/>
        <v>171.49999999999994</v>
      </c>
      <c r="K25">
        <f t="shared" ca="1" si="13"/>
        <v>3.1246726144299357</v>
      </c>
      <c r="L25">
        <f t="shared" ca="1" si="14"/>
        <v>177.74934522885982</v>
      </c>
      <c r="M25">
        <f t="shared" ca="1" si="15"/>
        <v>165.25065477114006</v>
      </c>
      <c r="N25">
        <f t="shared" ca="1" si="4"/>
        <v>-2.0499999999999829</v>
      </c>
      <c r="O25">
        <f t="shared" ca="1" si="5"/>
        <v>0</v>
      </c>
      <c r="P25">
        <f t="shared" ca="1" si="6"/>
        <v>2.0499999999999829</v>
      </c>
      <c r="Q25">
        <f t="shared" ca="1" si="10"/>
        <v>0.83075388768445713</v>
      </c>
      <c r="R25">
        <f t="shared" ca="1" si="11"/>
        <v>0.99646817311508529</v>
      </c>
      <c r="S25">
        <f t="shared" ca="1" si="8"/>
        <v>0.8336983659873608</v>
      </c>
      <c r="T25">
        <f t="shared" ca="1" si="9"/>
        <v>45.465403768217534</v>
      </c>
      <c r="U25">
        <f>70</f>
        <v>70</v>
      </c>
      <c r="V25">
        <f>30</f>
        <v>30</v>
      </c>
      <c r="W25">
        <f t="shared" ca="1" si="7"/>
        <v>170.47699280962294</v>
      </c>
    </row>
    <row r="26" spans="1:25" x14ac:dyDescent="0.25">
      <c r="A26" s="20">
        <f t="shared" ca="1" si="0"/>
        <v>45733</v>
      </c>
      <c r="B26" vm="73">
        <f ca="1"/>
        <v>45735</v>
      </c>
      <c r="C26" vm="74">
        <f ca="1"/>
        <v>168.57</v>
      </c>
      <c r="D26" vm="75">
        <f ca="1"/>
        <v>7569165</v>
      </c>
      <c r="E26">
        <f t="shared" ca="1" si="1"/>
        <v>1275934144.05</v>
      </c>
      <c r="F26">
        <f ca="1">SUM($E$2:E26)/SUM($D$2:D26)</f>
        <v>170.75137211661828</v>
      </c>
      <c r="G26">
        <f ca="1">_xlfn.STDEV.P($C$2:C26)</f>
        <v>3.4232773536481091</v>
      </c>
      <c r="H26">
        <f t="shared" ca="1" si="2"/>
        <v>174.17464947026639</v>
      </c>
      <c r="I26">
        <f t="shared" ca="1" si="3"/>
        <v>167.32809476297018</v>
      </c>
      <c r="J26">
        <f t="shared" ca="1" si="12"/>
        <v>171.60399999999998</v>
      </c>
      <c r="K26">
        <f t="shared" ca="1" si="13"/>
        <v>2.9804316183363344</v>
      </c>
      <c r="L26">
        <f t="shared" ca="1" si="14"/>
        <v>177.56486323667266</v>
      </c>
      <c r="M26">
        <f t="shared" ca="1" si="15"/>
        <v>165.64313676332731</v>
      </c>
      <c r="N26">
        <f t="shared" ca="1" si="4"/>
        <v>0.85999999999998522</v>
      </c>
      <c r="O26">
        <f t="shared" ca="1" si="5"/>
        <v>0.85999999999998522</v>
      </c>
      <c r="P26">
        <f t="shared" ca="1" si="6"/>
        <v>0</v>
      </c>
      <c r="Q26">
        <f t="shared" ca="1" si="10"/>
        <v>0.83284289570699488</v>
      </c>
      <c r="R26">
        <f t="shared" ca="1" si="11"/>
        <v>0.92529187503543642</v>
      </c>
      <c r="S26">
        <f t="shared" ca="1" si="8"/>
        <v>0.90008668418827198</v>
      </c>
      <c r="T26">
        <f t="shared" ca="1" si="9"/>
        <v>47.370822167136772</v>
      </c>
      <c r="U26">
        <f>70</f>
        <v>70</v>
      </c>
      <c r="V26">
        <f>30</f>
        <v>30</v>
      </c>
      <c r="W26">
        <f t="shared" ca="1" si="7"/>
        <v>170.1836093004502</v>
      </c>
    </row>
    <row r="27" spans="1:25" x14ac:dyDescent="0.25">
      <c r="A27" s="20">
        <f t="shared" ca="1" si="0"/>
        <v>45733</v>
      </c>
      <c r="B27" vm="76">
        <f ca="1"/>
        <v>45736</v>
      </c>
      <c r="C27" vm="77">
        <f ca="1"/>
        <v>167.55</v>
      </c>
      <c r="D27" vm="78">
        <f ca="1"/>
        <v>8789167</v>
      </c>
      <c r="E27">
        <f t="shared" ca="1" si="1"/>
        <v>1472624930.8500001</v>
      </c>
      <c r="F27">
        <f ca="1">SUM($E$2:E27)/SUM($D$2:D27)</f>
        <v>170.62027716909733</v>
      </c>
      <c r="G27">
        <f ca="1">_xlfn.STDEV.P($C$2:C27)</f>
        <v>3.4110067229346419</v>
      </c>
      <c r="H27">
        <f t="shared" ca="1" si="2"/>
        <v>174.03128389203198</v>
      </c>
      <c r="I27">
        <f t="shared" ca="1" si="3"/>
        <v>167.20927044616269</v>
      </c>
      <c r="J27">
        <f t="shared" ca="1" si="12"/>
        <v>171.62099999999998</v>
      </c>
      <c r="K27">
        <f t="shared" ca="1" si="13"/>
        <v>2.9549100974835967</v>
      </c>
      <c r="L27">
        <f t="shared" ca="1" si="14"/>
        <v>177.53082019496716</v>
      </c>
      <c r="M27">
        <f t="shared" ca="1" si="15"/>
        <v>165.7111798050328</v>
      </c>
      <c r="N27">
        <f t="shared" ca="1" si="4"/>
        <v>-1.0199999999999818</v>
      </c>
      <c r="O27">
        <f t="shared" ca="1" si="5"/>
        <v>0</v>
      </c>
      <c r="P27">
        <f t="shared" ca="1" si="6"/>
        <v>1.0199999999999818</v>
      </c>
      <c r="Q27">
        <f t="shared" ca="1" si="10"/>
        <v>0.7733541174422095</v>
      </c>
      <c r="R27">
        <f t="shared" ca="1" si="11"/>
        <v>0.93205674110433256</v>
      </c>
      <c r="S27">
        <f t="shared" ca="1" si="8"/>
        <v>0.82972858125130156</v>
      </c>
      <c r="T27">
        <f t="shared" ca="1" si="9"/>
        <v>45.347085341142389</v>
      </c>
      <c r="U27">
        <f>70</f>
        <v>70</v>
      </c>
      <c r="V27">
        <f>30</f>
        <v>30</v>
      </c>
      <c r="W27">
        <f t="shared" ca="1" si="7"/>
        <v>169.77843863884249</v>
      </c>
      <c r="X27" s="9">
        <f ca="1">AVERAGE(C2:C27)</f>
        <v>170.57846153846151</v>
      </c>
      <c r="Y27">
        <f ca="1">W28-X28</f>
        <v>-0.98713311756063149</v>
      </c>
    </row>
    <row r="28" spans="1:25" x14ac:dyDescent="0.25">
      <c r="A28" s="20">
        <f t="shared" ca="1" si="0"/>
        <v>45733</v>
      </c>
      <c r="B28" vm="79">
        <f ca="1"/>
        <v>45737</v>
      </c>
      <c r="C28" vm="80">
        <f ca="1"/>
        <v>166.69</v>
      </c>
      <c r="D28" vm="81">
        <f ca="1"/>
        <v>16027251</v>
      </c>
      <c r="E28">
        <f t="shared" ca="1" si="1"/>
        <v>2671582469.1900001</v>
      </c>
      <c r="F28">
        <f ca="1">SUM($E$2:E28)/SUM($D$2:D28)</f>
        <v>170.3471857016286</v>
      </c>
      <c r="G28">
        <f ca="1">_xlfn.STDEV.P($C$2:C28)</f>
        <v>3.4268507660590513</v>
      </c>
      <c r="H28">
        <f t="shared" ca="1" si="2"/>
        <v>173.77403646768767</v>
      </c>
      <c r="I28">
        <f t="shared" ca="1" si="3"/>
        <v>166.92033493556954</v>
      </c>
      <c r="J28">
        <f t="shared" ca="1" si="12"/>
        <v>171.44400000000005</v>
      </c>
      <c r="K28">
        <f t="shared" ca="1" si="13"/>
        <v>3.1426746905345309</v>
      </c>
      <c r="L28">
        <f t="shared" ca="1" si="14"/>
        <v>177.72934938106911</v>
      </c>
      <c r="M28">
        <f t="shared" ca="1" si="15"/>
        <v>165.15865061893098</v>
      </c>
      <c r="N28">
        <f t="shared" ca="1" si="4"/>
        <v>-0.86000000000001364</v>
      </c>
      <c r="O28">
        <f t="shared" ca="1" si="5"/>
        <v>0</v>
      </c>
      <c r="P28">
        <f t="shared" ca="1" si="6"/>
        <v>0.86000000000001364</v>
      </c>
      <c r="Q28">
        <f t="shared" ca="1" si="10"/>
        <v>0.71811453762490884</v>
      </c>
      <c r="R28">
        <f t="shared" ca="1" si="11"/>
        <v>0.92690983102545255</v>
      </c>
      <c r="S28">
        <f t="shared" ca="1" si="8"/>
        <v>0.77474044787123386</v>
      </c>
      <c r="T28">
        <f t="shared" ca="1" si="9"/>
        <v>43.653732510605693</v>
      </c>
      <c r="U28">
        <f>70</f>
        <v>70</v>
      </c>
      <c r="V28">
        <f>30</f>
        <v>30</v>
      </c>
      <c r="W28">
        <f t="shared" ca="1" si="7"/>
        <v>169.3032942328667</v>
      </c>
      <c r="X28">
        <f ca="1">C28*(2/(26+1)) + X27*(1-(2/(26+1)))</f>
        <v>170.29042735042734</v>
      </c>
      <c r="Y28">
        <f t="shared" ref="Y28:Y91" ca="1" si="16">W29-X29</f>
        <v>-1.2054430248645929</v>
      </c>
    </row>
    <row r="29" spans="1:25" x14ac:dyDescent="0.25">
      <c r="A29" s="20">
        <f t="shared" ca="1" si="0"/>
        <v>45740</v>
      </c>
      <c r="B29" vm="82">
        <f ca="1"/>
        <v>45740</v>
      </c>
      <c r="C29" vm="83">
        <f ca="1"/>
        <v>165.65</v>
      </c>
      <c r="D29" vm="84">
        <f ca="1"/>
        <v>6102109</v>
      </c>
      <c r="E29">
        <f t="shared" ca="1" si="1"/>
        <v>1010814355.85</v>
      </c>
      <c r="F29">
        <f ca="1">SUM($E$2:E29)/SUM($D$2:D29)</f>
        <v>170.22612484585011</v>
      </c>
      <c r="G29">
        <f ca="1">_xlfn.STDEV.P($C$2:C29)</f>
        <v>3.4802639619571902</v>
      </c>
      <c r="H29">
        <f t="shared" ca="1" si="2"/>
        <v>173.70638880780729</v>
      </c>
      <c r="I29">
        <f t="shared" ca="1" si="3"/>
        <v>166.74586088389293</v>
      </c>
      <c r="J29">
        <f t="shared" ca="1" si="12"/>
        <v>171.19950000000006</v>
      </c>
      <c r="K29">
        <f t="shared" ca="1" si="13"/>
        <v>3.3966647340868752</v>
      </c>
      <c r="L29">
        <f t="shared" ca="1" si="14"/>
        <v>177.9928294681738</v>
      </c>
      <c r="M29">
        <f t="shared" ca="1" si="15"/>
        <v>164.40617053182632</v>
      </c>
      <c r="N29">
        <f t="shared" ca="1" si="4"/>
        <v>-1.039999999999992</v>
      </c>
      <c r="O29">
        <f t="shared" ca="1" si="5"/>
        <v>0</v>
      </c>
      <c r="P29">
        <f t="shared" ca="1" si="6"/>
        <v>1.039999999999992</v>
      </c>
      <c r="Q29">
        <f t="shared" ca="1" si="10"/>
        <v>0.66682064208027259</v>
      </c>
      <c r="R29">
        <f t="shared" ca="1" si="11"/>
        <v>0.93498770023791966</v>
      </c>
      <c r="S29">
        <f t="shared" ca="1" si="8"/>
        <v>0.71318653914975727</v>
      </c>
      <c r="T29">
        <f t="shared" ca="1" si="9"/>
        <v>41.629240182082377</v>
      </c>
      <c r="U29">
        <f>70</f>
        <v>70</v>
      </c>
      <c r="V29">
        <f>30</f>
        <v>30</v>
      </c>
      <c r="W29">
        <f t="shared" ca="1" si="7"/>
        <v>168.74124896627183</v>
      </c>
      <c r="X29">
        <f t="shared" ref="X29:X92" ca="1" si="17">C29*(2/(26+1)) + X28*(1-(2/(26+1)))</f>
        <v>169.94669199113642</v>
      </c>
      <c r="Y29">
        <f t="shared" ca="1" si="16"/>
        <v>-1.5861081314432965</v>
      </c>
    </row>
    <row r="30" spans="1:25" x14ac:dyDescent="0.25">
      <c r="A30" s="20">
        <f t="shared" ca="1" si="0"/>
        <v>45740</v>
      </c>
      <c r="B30" vm="85">
        <f ca="1"/>
        <v>45741</v>
      </c>
      <c r="C30" vm="86">
        <f ca="1"/>
        <v>162.85</v>
      </c>
      <c r="D30" vm="87">
        <f ca="1"/>
        <v>8366736</v>
      </c>
      <c r="E30">
        <f t="shared" ca="1" si="1"/>
        <v>1362522957.5999999</v>
      </c>
      <c r="F30">
        <f ca="1">SUM($E$2:E30)/SUM($D$2:D30)</f>
        <v>169.97436398573325</v>
      </c>
      <c r="G30">
        <f ca="1">_xlfn.STDEV.P($C$2:C30)</f>
        <v>3.6775576408997739</v>
      </c>
      <c r="H30">
        <f t="shared" ca="1" si="2"/>
        <v>173.65192162663303</v>
      </c>
      <c r="I30">
        <f t="shared" ca="1" si="3"/>
        <v>166.29680634483347</v>
      </c>
      <c r="J30">
        <f t="shared" ca="1" si="12"/>
        <v>170.70950000000002</v>
      </c>
      <c r="K30">
        <f t="shared" ca="1" si="13"/>
        <v>3.8526647988933029</v>
      </c>
      <c r="L30">
        <f t="shared" ca="1" si="14"/>
        <v>178.41482959778662</v>
      </c>
      <c r="M30">
        <f t="shared" ca="1" si="15"/>
        <v>163.00417040221342</v>
      </c>
      <c r="N30">
        <f t="shared" ca="1" si="4"/>
        <v>-2.8000000000000114</v>
      </c>
      <c r="O30">
        <f t="shared" ca="1" si="5"/>
        <v>0</v>
      </c>
      <c r="P30">
        <f t="shared" ca="1" si="6"/>
        <v>2.8000000000000114</v>
      </c>
      <c r="Q30">
        <f t="shared" ca="1" si="10"/>
        <v>0.61919059621739603</v>
      </c>
      <c r="R30">
        <f t="shared" ca="1" si="11"/>
        <v>1.0682028645066404</v>
      </c>
      <c r="S30">
        <f t="shared" ca="1" si="8"/>
        <v>0.57965637126743252</v>
      </c>
      <c r="T30">
        <f t="shared" ca="1" si="9"/>
        <v>36.69509279428582</v>
      </c>
      <c r="U30">
        <f>70</f>
        <v>70</v>
      </c>
      <c r="V30">
        <f>30</f>
        <v>30</v>
      </c>
      <c r="W30">
        <f t="shared" ca="1" si="7"/>
        <v>167.83490297146079</v>
      </c>
      <c r="X30">
        <f t="shared" ca="1" si="17"/>
        <v>169.42101110290409</v>
      </c>
      <c r="Y30">
        <f t="shared" ca="1" si="16"/>
        <v>-1.5687248601708461</v>
      </c>
    </row>
    <row r="31" spans="1:25" x14ac:dyDescent="0.25">
      <c r="A31" s="20">
        <f t="shared" ca="1" si="0"/>
        <v>45740</v>
      </c>
      <c r="B31" vm="88">
        <f ca="1"/>
        <v>45742</v>
      </c>
      <c r="C31" vm="89">
        <f ca="1"/>
        <v>166.58</v>
      </c>
      <c r="D31" vm="90">
        <f ca="1"/>
        <v>7757259</v>
      </c>
      <c r="E31">
        <f t="shared" ca="1" si="1"/>
        <v>1292204204.22</v>
      </c>
      <c r="F31">
        <f ca="1">SUM($E$2:E31)/SUM($D$2:D31)</f>
        <v>169.87024256219453</v>
      </c>
      <c r="G31">
        <f ca="1">_xlfn.STDEV.P($C$2:C31)</f>
        <v>3.66773089101271</v>
      </c>
      <c r="H31">
        <f t="shared" ca="1" si="2"/>
        <v>173.53797345320726</v>
      </c>
      <c r="I31">
        <f t="shared" ca="1" si="3"/>
        <v>166.20251167118181</v>
      </c>
      <c r="J31">
        <f t="shared" ca="1" si="12"/>
        <v>170.4735</v>
      </c>
      <c r="K31">
        <f t="shared" ca="1" si="13"/>
        <v>3.9577216664987538</v>
      </c>
      <c r="L31">
        <f t="shared" ca="1" si="14"/>
        <v>178.38894333299751</v>
      </c>
      <c r="M31">
        <f t="shared" ca="1" si="15"/>
        <v>162.55805666700249</v>
      </c>
      <c r="N31">
        <f t="shared" ca="1" si="4"/>
        <v>3.7300000000000182</v>
      </c>
      <c r="O31">
        <f t="shared" ca="1" si="5"/>
        <v>3.7300000000000182</v>
      </c>
      <c r="P31">
        <f t="shared" ca="1" si="6"/>
        <v>0</v>
      </c>
      <c r="Q31">
        <f t="shared" ca="1" si="10"/>
        <v>0.84139126791615482</v>
      </c>
      <c r="R31">
        <f t="shared" ca="1" si="11"/>
        <v>0.99190265989902315</v>
      </c>
      <c r="S31">
        <f t="shared" ca="1" si="8"/>
        <v>0.84825991695778835</v>
      </c>
      <c r="T31">
        <f t="shared" ca="1" si="9"/>
        <v>45.895055623670785</v>
      </c>
      <c r="U31">
        <f>70</f>
        <v>70</v>
      </c>
      <c r="V31">
        <f>30</f>
        <v>30</v>
      </c>
      <c r="W31">
        <f t="shared" ca="1" si="7"/>
        <v>167.64184097585144</v>
      </c>
      <c r="X31">
        <f t="shared" ca="1" si="17"/>
        <v>169.21056583602228</v>
      </c>
      <c r="Y31">
        <f t="shared" ca="1" si="16"/>
        <v>-1.3673137517930627</v>
      </c>
    </row>
    <row r="32" spans="1:25" x14ac:dyDescent="0.25">
      <c r="A32" s="20">
        <f t="shared" ca="1" si="0"/>
        <v>45740</v>
      </c>
      <c r="B32" vm="91">
        <f ca="1"/>
        <v>45743</v>
      </c>
      <c r="C32" vm="92">
        <f ca="1"/>
        <v>168.71</v>
      </c>
      <c r="D32" vm="93">
        <f ca="1"/>
        <v>6211735</v>
      </c>
      <c r="E32">
        <f t="shared" ca="1" si="1"/>
        <v>1047981811.85</v>
      </c>
      <c r="F32">
        <f ca="1">SUM($E$2:E32)/SUM($D$2:D32)</f>
        <v>169.84242645691356</v>
      </c>
      <c r="G32">
        <f ca="1">_xlfn.STDEV.P($C$2:C32)</f>
        <v>3.6141450054899007</v>
      </c>
      <c r="H32">
        <f t="shared" ca="1" si="2"/>
        <v>173.45657146240345</v>
      </c>
      <c r="I32">
        <f t="shared" ca="1" si="3"/>
        <v>166.22828145142367</v>
      </c>
      <c r="J32">
        <f t="shared" ca="1" si="12"/>
        <v>170.31049999999999</v>
      </c>
      <c r="K32">
        <f t="shared" ca="1" si="13"/>
        <v>3.959975378711337</v>
      </c>
      <c r="L32">
        <f t="shared" ca="1" si="14"/>
        <v>178.23045075742266</v>
      </c>
      <c r="M32">
        <f t="shared" ca="1" si="15"/>
        <v>162.39054924257732</v>
      </c>
      <c r="N32">
        <f t="shared" ca="1" si="4"/>
        <v>2.1299999999999955</v>
      </c>
      <c r="O32">
        <f t="shared" ca="1" si="5"/>
        <v>2.1299999999999955</v>
      </c>
      <c r="P32">
        <f t="shared" ca="1" si="6"/>
        <v>0</v>
      </c>
      <c r="Q32">
        <f t="shared" ca="1" si="10"/>
        <v>0.93343474877928634</v>
      </c>
      <c r="R32">
        <f t="shared" ca="1" si="11"/>
        <v>0.92105246990623579</v>
      </c>
      <c r="S32">
        <f t="shared" ca="1" si="8"/>
        <v>1.0134436194219327</v>
      </c>
      <c r="T32">
        <f t="shared" ca="1" si="9"/>
        <v>50.333846433350658</v>
      </c>
      <c r="U32">
        <f>70</f>
        <v>70</v>
      </c>
      <c r="V32">
        <f>30</f>
        <v>30</v>
      </c>
      <c r="W32">
        <f t="shared" ca="1" si="7"/>
        <v>167.80617313341276</v>
      </c>
      <c r="X32">
        <f t="shared" ca="1" si="17"/>
        <v>169.17348688520582</v>
      </c>
      <c r="Y32">
        <f t="shared" ca="1" si="16"/>
        <v>-1.2481761170037089</v>
      </c>
    </row>
    <row r="33" spans="1:27" x14ac:dyDescent="0.25">
      <c r="A33" s="20">
        <f t="shared" ca="1" si="0"/>
        <v>45740</v>
      </c>
      <c r="B33" vm="94">
        <f ca="1"/>
        <v>45744</v>
      </c>
      <c r="C33" vm="95">
        <f ca="1"/>
        <v>168.03</v>
      </c>
      <c r="D33" vm="96">
        <f ca="1"/>
        <v>5479306</v>
      </c>
      <c r="E33">
        <f t="shared" ca="1" si="1"/>
        <v>920687787.17999995</v>
      </c>
      <c r="F33">
        <f ca="1">SUM($E$2:E33)/SUM($D$2:D33)</f>
        <v>169.80489183420698</v>
      </c>
      <c r="G33">
        <f ca="1">_xlfn.STDEV.P($C$2:C33)</f>
        <v>3.571377631054121</v>
      </c>
      <c r="H33">
        <f t="shared" ca="1" si="2"/>
        <v>173.37626946526112</v>
      </c>
      <c r="I33">
        <f t="shared" ca="1" si="3"/>
        <v>166.23351420315285</v>
      </c>
      <c r="J33">
        <f t="shared" ca="1" si="12"/>
        <v>170.02</v>
      </c>
      <c r="K33">
        <f t="shared" ca="1" si="13"/>
        <v>3.9000823203187833</v>
      </c>
      <c r="L33">
        <f t="shared" ca="1" si="14"/>
        <v>177.82016464063759</v>
      </c>
      <c r="M33">
        <f t="shared" ca="1" si="15"/>
        <v>162.21983535936243</v>
      </c>
      <c r="N33">
        <f t="shared" ca="1" si="4"/>
        <v>-0.68000000000000682</v>
      </c>
      <c r="O33">
        <f t="shared" ca="1" si="5"/>
        <v>0</v>
      </c>
      <c r="P33">
        <f t="shared" ca="1" si="6"/>
        <v>0.68000000000000682</v>
      </c>
      <c r="Q33">
        <f t="shared" ca="1" si="10"/>
        <v>0.8667608381521944</v>
      </c>
      <c r="R33">
        <f t="shared" ca="1" si="11"/>
        <v>0.90383443634150518</v>
      </c>
      <c r="S33">
        <f t="shared" ca="1" si="8"/>
        <v>0.95898187024232517</v>
      </c>
      <c r="T33">
        <f t="shared" ca="1" si="9"/>
        <v>48.953075309660704</v>
      </c>
      <c r="U33">
        <f>70</f>
        <v>70</v>
      </c>
      <c r="V33">
        <f>30</f>
        <v>30</v>
      </c>
      <c r="W33">
        <f t="shared" ca="1" si="7"/>
        <v>167.84060803596464</v>
      </c>
      <c r="X33">
        <f t="shared" ca="1" si="17"/>
        <v>169.08878415296834</v>
      </c>
      <c r="Y33">
        <f t="shared" ca="1" si="16"/>
        <v>-0.94995516533680302</v>
      </c>
    </row>
    <row r="34" spans="1:27" x14ac:dyDescent="0.25">
      <c r="A34" s="20">
        <f t="shared" ca="1" si="0"/>
        <v>45747</v>
      </c>
      <c r="B34" vm="97">
        <f ca="1"/>
        <v>45747</v>
      </c>
      <c r="C34" vm="98">
        <f ca="1"/>
        <v>170.42</v>
      </c>
      <c r="D34" vm="99">
        <f ca="1"/>
        <v>11520451</v>
      </c>
      <c r="E34">
        <f t="shared" ca="1" si="1"/>
        <v>1963315259.4199998</v>
      </c>
      <c r="F34">
        <f ca="1">SUM($E$2:E34)/SUM($D$2:D34)</f>
        <v>169.83055775479241</v>
      </c>
      <c r="G34">
        <f ca="1">_xlfn.STDEV.P($C$2:C34)</f>
        <v>3.518463225766951</v>
      </c>
      <c r="H34">
        <f t="shared" ca="1" si="2"/>
        <v>173.34902098055937</v>
      </c>
      <c r="I34">
        <f t="shared" ca="1" si="3"/>
        <v>166.31209452902544</v>
      </c>
      <c r="J34">
        <f t="shared" ca="1" si="12"/>
        <v>169.76150000000001</v>
      </c>
      <c r="K34">
        <f t="shared" ca="1" si="13"/>
        <v>3.6763887816285425</v>
      </c>
      <c r="L34">
        <f t="shared" ca="1" si="14"/>
        <v>177.1142775632571</v>
      </c>
      <c r="M34">
        <f t="shared" ca="1" si="15"/>
        <v>162.40872243674292</v>
      </c>
      <c r="N34">
        <f t="shared" ca="1" si="4"/>
        <v>2.3899999999999864</v>
      </c>
      <c r="O34">
        <f t="shared" ca="1" si="5"/>
        <v>2.3899999999999864</v>
      </c>
      <c r="P34">
        <f t="shared" ca="1" si="6"/>
        <v>0</v>
      </c>
      <c r="Q34">
        <f t="shared" ca="1" si="10"/>
        <v>0.97556363542703661</v>
      </c>
      <c r="R34">
        <f t="shared" ca="1" si="11"/>
        <v>0.83927483374568346</v>
      </c>
      <c r="S34">
        <f t="shared" ca="1" si="8"/>
        <v>1.1623887625381262</v>
      </c>
      <c r="T34">
        <f t="shared" ca="1" si="9"/>
        <v>53.754846615728816</v>
      </c>
      <c r="U34">
        <f>70</f>
        <v>70</v>
      </c>
      <c r="V34">
        <f>30</f>
        <v>30</v>
      </c>
      <c r="W34">
        <f t="shared" ca="1" si="7"/>
        <v>168.23743756889314</v>
      </c>
      <c r="X34">
        <f t="shared" ca="1" si="17"/>
        <v>169.18739273422995</v>
      </c>
      <c r="Y34">
        <f t="shared" ca="1" si="16"/>
        <v>-0.69431248052271144</v>
      </c>
    </row>
    <row r="35" spans="1:27" x14ac:dyDescent="0.25">
      <c r="A35" s="20">
        <f t="shared" ca="1" si="0"/>
        <v>45747</v>
      </c>
      <c r="B35" vm="100">
        <f ca="1"/>
        <v>45748</v>
      </c>
      <c r="C35" vm="101">
        <f ca="1"/>
        <v>170.56</v>
      </c>
      <c r="D35" vm="102">
        <f ca="1"/>
        <v>7021507</v>
      </c>
      <c r="E35">
        <f t="shared" ca="1" si="1"/>
        <v>1197588233.9200001</v>
      </c>
      <c r="F35">
        <f ca="1">SUM($E$2:E35)/SUM($D$2:D35)</f>
        <v>169.84864825628142</v>
      </c>
      <c r="G35">
        <f ca="1">_xlfn.STDEV.P($C$2:C35)</f>
        <v>3.4686057273840625</v>
      </c>
      <c r="H35">
        <f t="shared" ca="1" si="2"/>
        <v>173.31725398366549</v>
      </c>
      <c r="I35">
        <f t="shared" ca="1" si="3"/>
        <v>166.38004252889735</v>
      </c>
      <c r="J35">
        <f t="shared" ca="1" si="12"/>
        <v>169.63050000000001</v>
      </c>
      <c r="K35">
        <f t="shared" ca="1" si="13"/>
        <v>3.5939210005083195</v>
      </c>
      <c r="L35">
        <f t="shared" ca="1" si="14"/>
        <v>176.81834200101665</v>
      </c>
      <c r="M35">
        <f t="shared" ca="1" si="15"/>
        <v>162.44265799898338</v>
      </c>
      <c r="N35">
        <f t="shared" ca="1" si="4"/>
        <v>0.14000000000001478</v>
      </c>
      <c r="O35">
        <f t="shared" ca="1" si="5"/>
        <v>0.14000000000001478</v>
      </c>
      <c r="P35">
        <f t="shared" ca="1" si="6"/>
        <v>0</v>
      </c>
      <c r="Q35">
        <f t="shared" ca="1" si="10"/>
        <v>0.91588051861082076</v>
      </c>
      <c r="R35">
        <f t="shared" ca="1" si="11"/>
        <v>0.77932663133527746</v>
      </c>
      <c r="S35">
        <f t="shared" ca="1" si="8"/>
        <v>1.1752203527827292</v>
      </c>
      <c r="T35">
        <f t="shared" ca="1" si="9"/>
        <v>54.027646039597144</v>
      </c>
      <c r="U35">
        <f>70</f>
        <v>70</v>
      </c>
      <c r="V35">
        <f>30</f>
        <v>30</v>
      </c>
      <c r="W35">
        <f t="shared" ca="1" si="7"/>
        <v>168.59475486598652</v>
      </c>
      <c r="X35">
        <f t="shared" ca="1" si="17"/>
        <v>169.28906734650923</v>
      </c>
      <c r="Y35">
        <f t="shared" ca="1" si="16"/>
        <v>-0.57066863936611867</v>
      </c>
    </row>
    <row r="36" spans="1:27" x14ac:dyDescent="0.25">
      <c r="A36" s="20">
        <f t="shared" ca="1" si="0"/>
        <v>45747</v>
      </c>
      <c r="B36" vm="103">
        <f ca="1"/>
        <v>45749</v>
      </c>
      <c r="C36" vm="104">
        <f ca="1"/>
        <v>169.5</v>
      </c>
      <c r="D36" vm="105">
        <f ca="1"/>
        <v>6274548</v>
      </c>
      <c r="E36">
        <f t="shared" ca="1" si="1"/>
        <v>1063535886</v>
      </c>
      <c r="F36">
        <f ca="1">SUM($E$2:E36)/SUM($D$2:D36)</f>
        <v>169.84108899230827</v>
      </c>
      <c r="G36">
        <f ca="1">_xlfn.STDEV.P($C$2:C36)</f>
        <v>3.4191619214213822</v>
      </c>
      <c r="H36">
        <f t="shared" ca="1" si="2"/>
        <v>173.26025091372966</v>
      </c>
      <c r="I36">
        <f t="shared" ca="1" si="3"/>
        <v>166.42192707088688</v>
      </c>
      <c r="J36">
        <f t="shared" ca="1" si="12"/>
        <v>169.375</v>
      </c>
      <c r="K36">
        <f t="shared" ca="1" si="13"/>
        <v>3.3975618192741468</v>
      </c>
      <c r="L36">
        <f t="shared" ca="1" si="14"/>
        <v>176.17012363854829</v>
      </c>
      <c r="M36">
        <f t="shared" ca="1" si="15"/>
        <v>162.57987636145171</v>
      </c>
      <c r="N36">
        <f t="shared" ca="1" si="4"/>
        <v>-1.0600000000000023</v>
      </c>
      <c r="O36">
        <f t="shared" ca="1" si="5"/>
        <v>0</v>
      </c>
      <c r="P36">
        <f t="shared" ca="1" si="6"/>
        <v>1.0600000000000023</v>
      </c>
      <c r="Q36">
        <f t="shared" ca="1" si="10"/>
        <v>0.85046048156719067</v>
      </c>
      <c r="R36">
        <f t="shared" ca="1" si="11"/>
        <v>0.79937472909704355</v>
      </c>
      <c r="S36">
        <f t="shared" ca="1" si="8"/>
        <v>1.0639071396813513</v>
      </c>
      <c r="T36">
        <f t="shared" ca="1" si="9"/>
        <v>51.548207728260927</v>
      </c>
      <c r="U36">
        <f>70</f>
        <v>70</v>
      </c>
      <c r="V36">
        <f>30</f>
        <v>30</v>
      </c>
      <c r="W36">
        <f t="shared" ca="1" si="7"/>
        <v>168.73402334814241</v>
      </c>
      <c r="X36">
        <f t="shared" ca="1" si="17"/>
        <v>169.30469198750853</v>
      </c>
      <c r="Y36">
        <f t="shared" ca="1" si="16"/>
        <v>-0.23675202718513333</v>
      </c>
      <c r="Z36" s="9">
        <f ca="1">AVERAGE(Y28:Y36)</f>
        <v>-1.0474949108540303</v>
      </c>
    </row>
    <row r="37" spans="1:27" x14ac:dyDescent="0.25">
      <c r="A37" s="20">
        <f t="shared" ca="1" si="0"/>
        <v>45747</v>
      </c>
      <c r="B37" vm="106">
        <f ca="1"/>
        <v>45750</v>
      </c>
      <c r="C37" vm="107">
        <f ca="1"/>
        <v>172.39</v>
      </c>
      <c r="D37" vm="108">
        <f ca="1"/>
        <v>9393270</v>
      </c>
      <c r="E37">
        <f t="shared" ca="1" si="1"/>
        <v>1619305815.3</v>
      </c>
      <c r="F37">
        <f ca="1">SUM($E$2:E37)/SUM($D$2:D37)</f>
        <v>169.92122145826292</v>
      </c>
      <c r="G37">
        <f ca="1">_xlfn.STDEV.P($C$2:C37)</f>
        <v>3.3974982171890047</v>
      </c>
      <c r="H37">
        <f t="shared" ca="1" si="2"/>
        <v>173.31871967545192</v>
      </c>
      <c r="I37">
        <f t="shared" ca="1" si="3"/>
        <v>166.52372324107392</v>
      </c>
      <c r="J37">
        <f t="shared" ca="1" si="12"/>
        <v>169.26150000000001</v>
      </c>
      <c r="K37">
        <f t="shared" ca="1" si="13"/>
        <v>3.2462646955669197</v>
      </c>
      <c r="L37">
        <f t="shared" ca="1" si="14"/>
        <v>175.75402939113386</v>
      </c>
      <c r="M37">
        <f t="shared" ca="1" si="15"/>
        <v>162.76897060886617</v>
      </c>
      <c r="N37">
        <f t="shared" ca="1" si="4"/>
        <v>2.8899999999999864</v>
      </c>
      <c r="O37">
        <f t="shared" ca="1" si="5"/>
        <v>2.8899999999999864</v>
      </c>
      <c r="P37">
        <f t="shared" ca="1" si="6"/>
        <v>0</v>
      </c>
      <c r="Q37">
        <f t="shared" ca="1" si="10"/>
        <v>0.9961418757409618</v>
      </c>
      <c r="R37">
        <f t="shared" ca="1" si="11"/>
        <v>0.74227653416154038</v>
      </c>
      <c r="S37">
        <f t="shared" ca="1" si="8"/>
        <v>1.3420091164085932</v>
      </c>
      <c r="T37">
        <f t="shared" ca="1" si="9"/>
        <v>57.301617957257456</v>
      </c>
      <c r="U37">
        <f>70</f>
        <v>70</v>
      </c>
      <c r="V37">
        <f>30</f>
        <v>30</v>
      </c>
      <c r="W37">
        <f t="shared" ca="1" si="7"/>
        <v>169.29648129458204</v>
      </c>
      <c r="X37">
        <f t="shared" ca="1" si="17"/>
        <v>169.53323332176717</v>
      </c>
      <c r="Y37">
        <f t="shared" ca="1" si="16"/>
        <v>-0.66166918827195786</v>
      </c>
      <c r="Z37">
        <f ca="1">Y37*(2/(9+1)) + Z36*(1-(2/(9+1)))</f>
        <v>-0.97032976633761592</v>
      </c>
      <c r="AA37">
        <f ca="1">Y37-Z37</f>
        <v>0.30866057806565805</v>
      </c>
    </row>
    <row r="38" spans="1:27" x14ac:dyDescent="0.25">
      <c r="A38" s="20">
        <f t="shared" ca="1" si="0"/>
        <v>45747</v>
      </c>
      <c r="B38" vm="109">
        <f ca="1"/>
        <v>45751</v>
      </c>
      <c r="C38" vm="110">
        <f ca="1"/>
        <v>163.75</v>
      </c>
      <c r="D38" vm="111">
        <f ca="1"/>
        <v>13454205</v>
      </c>
      <c r="E38">
        <f t="shared" ca="1" si="1"/>
        <v>2203126068.75</v>
      </c>
      <c r="F38">
        <f ca="1">SUM($E$2:E38)/SUM($D$2:D38)</f>
        <v>169.65530957882001</v>
      </c>
      <c r="G38">
        <f ca="1">_xlfn.STDEV.P($C$2:C38)</f>
        <v>3.4965415658677297</v>
      </c>
      <c r="H38">
        <f t="shared" ca="1" si="2"/>
        <v>173.15185114468773</v>
      </c>
      <c r="I38">
        <f t="shared" ca="1" si="3"/>
        <v>166.15876801295229</v>
      </c>
      <c r="J38">
        <f t="shared" ca="1" si="12"/>
        <v>168.6515</v>
      </c>
      <c r="K38">
        <f t="shared" ca="1" si="13"/>
        <v>3.0644399763123173</v>
      </c>
      <c r="L38">
        <f t="shared" ca="1" si="14"/>
        <v>174.78037995262463</v>
      </c>
      <c r="M38">
        <f t="shared" ca="1" si="15"/>
        <v>162.52262004737537</v>
      </c>
      <c r="N38">
        <f t="shared" ca="1" si="4"/>
        <v>-8.6399999999999864</v>
      </c>
      <c r="O38">
        <f t="shared" ca="1" si="5"/>
        <v>0</v>
      </c>
      <c r="P38">
        <f t="shared" ca="1" si="6"/>
        <v>8.6399999999999864</v>
      </c>
      <c r="Q38">
        <f t="shared" ca="1" si="10"/>
        <v>0.92498888461660744</v>
      </c>
      <c r="R38">
        <f t="shared" ca="1" si="11"/>
        <v>1.3063996388642864</v>
      </c>
      <c r="S38">
        <f t="shared" ca="1" si="8"/>
        <v>0.70804435113036546</v>
      </c>
      <c r="T38">
        <f t="shared" ca="1" si="9"/>
        <v>41.453510891669133</v>
      </c>
      <c r="U38">
        <f>70</f>
        <v>70</v>
      </c>
      <c r="V38">
        <f>30</f>
        <v>30</v>
      </c>
      <c r="W38">
        <f t="shared" ca="1" si="7"/>
        <v>168.44317648003096</v>
      </c>
      <c r="X38">
        <f t="shared" ca="1" si="17"/>
        <v>169.10484566830291</v>
      </c>
      <c r="Y38">
        <f t="shared" ca="1" si="16"/>
        <v>-1.2678388251545414</v>
      </c>
      <c r="Z38">
        <f t="shared" ref="Z38:Z101" ca="1" si="18">Y38*(2/(9+1)) + Z37*(1-(2/(9+1)))</f>
        <v>-1.029831578101001</v>
      </c>
      <c r="AA38">
        <f t="shared" ref="AA38:AA101" ca="1" si="19">Y38-Z38</f>
        <v>-0.23800724705354037</v>
      </c>
    </row>
    <row r="39" spans="1:27" x14ac:dyDescent="0.25">
      <c r="A39" s="20">
        <f t="shared" ca="1" si="0"/>
        <v>45754</v>
      </c>
      <c r="B39" vm="112">
        <f ca="1"/>
        <v>45754</v>
      </c>
      <c r="C39" vm="113">
        <f ca="1"/>
        <v>160.22999999999999</v>
      </c>
      <c r="D39" vm="114">
        <f ca="1"/>
        <v>15708009</v>
      </c>
      <c r="E39">
        <f t="shared" ca="1" si="1"/>
        <v>2516894282.0699997</v>
      </c>
      <c r="F39">
        <f ca="1">SUM($E$2:E39)/SUM($D$2:D39)</f>
        <v>169.20386025099123</v>
      </c>
      <c r="G39">
        <f ca="1">_xlfn.STDEV.P($C$2:C39)</f>
        <v>3.7707661036333522</v>
      </c>
      <c r="H39">
        <f t="shared" ca="1" si="2"/>
        <v>172.97462635462458</v>
      </c>
      <c r="I39">
        <f t="shared" ca="1" si="3"/>
        <v>165.43309414735788</v>
      </c>
      <c r="J39">
        <f t="shared" ca="1" si="12"/>
        <v>167.85</v>
      </c>
      <c r="K39">
        <f t="shared" ca="1" si="13"/>
        <v>3.0660226249723119</v>
      </c>
      <c r="L39">
        <f t="shared" ca="1" si="14"/>
        <v>173.9820452499446</v>
      </c>
      <c r="M39">
        <f t="shared" ca="1" si="15"/>
        <v>161.71795475005538</v>
      </c>
      <c r="N39">
        <f t="shared" ca="1" si="4"/>
        <v>-3.5200000000000102</v>
      </c>
      <c r="O39">
        <f t="shared" ca="1" si="5"/>
        <v>0</v>
      </c>
      <c r="P39">
        <f t="shared" ca="1" si="6"/>
        <v>3.5200000000000102</v>
      </c>
      <c r="Q39">
        <f t="shared" ca="1" si="10"/>
        <v>0.85891825000113542</v>
      </c>
      <c r="R39">
        <f t="shared" ca="1" si="11"/>
        <v>1.464513950373981</v>
      </c>
      <c r="S39">
        <f t="shared" ca="1" si="8"/>
        <v>0.58648690221202771</v>
      </c>
      <c r="T39">
        <f t="shared" ca="1" si="9"/>
        <v>36.967648544358795</v>
      </c>
      <c r="U39">
        <f>70</f>
        <v>70</v>
      </c>
      <c r="V39">
        <f>30</f>
        <v>30</v>
      </c>
      <c r="W39">
        <f t="shared" ca="1" si="7"/>
        <v>167.17961086771851</v>
      </c>
      <c r="X39">
        <f t="shared" ca="1" si="17"/>
        <v>168.44744969287305</v>
      </c>
      <c r="Y39">
        <f t="shared" ca="1" si="16"/>
        <v>-1.8750903774112544</v>
      </c>
      <c r="Z39">
        <f t="shared" ca="1" si="18"/>
        <v>-1.1988833379630517</v>
      </c>
      <c r="AA39">
        <f t="shared" ca="1" si="19"/>
        <v>-0.67620703944820271</v>
      </c>
    </row>
    <row r="40" spans="1:27" x14ac:dyDescent="0.25">
      <c r="A40" s="20">
        <f t="shared" ca="1" si="0"/>
        <v>45754</v>
      </c>
      <c r="B40" vm="115">
        <f ca="1"/>
        <v>45755</v>
      </c>
      <c r="C40" vm="116">
        <f ca="1"/>
        <v>158.38999999999999</v>
      </c>
      <c r="D40" vm="117">
        <f ca="1"/>
        <v>11541114</v>
      </c>
      <c r="E40">
        <f t="shared" ca="1" si="1"/>
        <v>1827997046.4599998</v>
      </c>
      <c r="F40">
        <f ca="1">SUM($E$2:E40)/SUM($D$2:D40)</f>
        <v>168.83623955134931</v>
      </c>
      <c r="G40">
        <f ca="1">_xlfn.STDEV.P($C$2:C40)</f>
        <v>4.1144999927894093</v>
      </c>
      <c r="H40">
        <f t="shared" ca="1" si="2"/>
        <v>172.95073954413871</v>
      </c>
      <c r="I40">
        <f t="shared" ca="1" si="3"/>
        <v>164.7217395585599</v>
      </c>
      <c r="J40">
        <f t="shared" ca="1" si="12"/>
        <v>167.11349999999999</v>
      </c>
      <c r="K40">
        <f t="shared" ca="1" si="13"/>
        <v>3.4753224386568204</v>
      </c>
      <c r="L40">
        <f t="shared" ca="1" si="14"/>
        <v>174.06414487731362</v>
      </c>
      <c r="M40">
        <f t="shared" ca="1" si="15"/>
        <v>160.16285512268635</v>
      </c>
      <c r="N40">
        <f t="shared" ca="1" si="4"/>
        <v>-1.8400000000000034</v>
      </c>
      <c r="O40">
        <f t="shared" ca="1" si="5"/>
        <v>0</v>
      </c>
      <c r="P40">
        <f t="shared" ca="1" si="6"/>
        <v>1.8400000000000034</v>
      </c>
      <c r="Q40">
        <f t="shared" ca="1" si="10"/>
        <v>0.79756694642962578</v>
      </c>
      <c r="R40">
        <f t="shared" ca="1" si="11"/>
        <v>1.4913343824901255</v>
      </c>
      <c r="S40">
        <f t="shared" ca="1" si="8"/>
        <v>0.53480088422417005</v>
      </c>
      <c r="T40">
        <f t="shared" ca="1" si="9"/>
        <v>34.844968472539534</v>
      </c>
      <c r="U40">
        <f>70</f>
        <v>70</v>
      </c>
      <c r="V40">
        <f>30</f>
        <v>30</v>
      </c>
      <c r="W40">
        <f t="shared" ca="1" si="7"/>
        <v>165.82736304191565</v>
      </c>
      <c r="X40">
        <f t="shared" ca="1" si="17"/>
        <v>167.7024534193269</v>
      </c>
      <c r="Y40">
        <f t="shared" ca="1" si="16"/>
        <v>-2.0159844382686458</v>
      </c>
      <c r="Z40">
        <f t="shared" ca="1" si="18"/>
        <v>-1.3623035580241707</v>
      </c>
      <c r="AA40">
        <f t="shared" ca="1" si="19"/>
        <v>-0.65368088024447513</v>
      </c>
    </row>
    <row r="41" spans="1:27" x14ac:dyDescent="0.25">
      <c r="A41" s="20">
        <f t="shared" ca="1" si="0"/>
        <v>45754</v>
      </c>
      <c r="B41" vm="118">
        <f ca="1"/>
        <v>45756</v>
      </c>
      <c r="C41" vm="119">
        <f ca="1"/>
        <v>162.32</v>
      </c>
      <c r="D41" vm="120">
        <f ca="1"/>
        <v>10670212</v>
      </c>
      <c r="E41">
        <f t="shared" ca="1" si="1"/>
        <v>1731988811.8399999</v>
      </c>
      <c r="F41">
        <f ca="1">SUM($E$2:E41)/SUM($D$2:D41)</f>
        <v>168.63767496290907</v>
      </c>
      <c r="G41">
        <f ca="1">_xlfn.STDEV.P($C$2:C41)</f>
        <v>4.2023294061151386</v>
      </c>
      <c r="H41">
        <f t="shared" ca="1" si="2"/>
        <v>172.8400043690242</v>
      </c>
      <c r="I41">
        <f t="shared" ca="1" si="3"/>
        <v>164.43534555679395</v>
      </c>
      <c r="J41">
        <f t="shared" ca="1" si="12"/>
        <v>166.81099999999998</v>
      </c>
      <c r="K41">
        <f t="shared" ca="1" si="13"/>
        <v>3.6204694374305153</v>
      </c>
      <c r="L41">
        <f t="shared" ca="1" si="14"/>
        <v>174.05193887486101</v>
      </c>
      <c r="M41">
        <f t="shared" ca="1" si="15"/>
        <v>159.57006112513895</v>
      </c>
      <c r="N41">
        <f t="shared" ca="1" si="4"/>
        <v>3.9300000000000068</v>
      </c>
      <c r="O41">
        <f t="shared" ca="1" si="5"/>
        <v>3.9300000000000068</v>
      </c>
      <c r="P41">
        <f t="shared" ca="1" si="6"/>
        <v>0</v>
      </c>
      <c r="Q41">
        <f t="shared" ca="1" si="10"/>
        <v>1.0213121645417957</v>
      </c>
      <c r="R41">
        <f t="shared" ca="1" si="11"/>
        <v>1.384810498026545</v>
      </c>
      <c r="S41">
        <f t="shared" ca="1" si="8"/>
        <v>0.73751041459986</v>
      </c>
      <c r="T41">
        <f t="shared" ca="1" si="9"/>
        <v>42.446388142640572</v>
      </c>
      <c r="U41">
        <f>70</f>
        <v>70</v>
      </c>
      <c r="V41">
        <f>30</f>
        <v>30</v>
      </c>
      <c r="W41">
        <f t="shared" ca="1" si="7"/>
        <v>165.28776872777476</v>
      </c>
      <c r="X41">
        <f t="shared" ca="1" si="17"/>
        <v>167.30375316604341</v>
      </c>
      <c r="Y41">
        <f t="shared" ca="1" si="16"/>
        <v>-2.0044799624359086</v>
      </c>
      <c r="Z41">
        <f t="shared" ca="1" si="18"/>
        <v>-1.4907388389065184</v>
      </c>
      <c r="AA41">
        <f t="shared" ca="1" si="19"/>
        <v>-0.51374112352939028</v>
      </c>
    </row>
    <row r="42" spans="1:27" x14ac:dyDescent="0.25">
      <c r="A42" s="20">
        <f t="shared" ca="1" si="0"/>
        <v>45754</v>
      </c>
      <c r="B42" vm="121">
        <f ca="1"/>
        <v>45757</v>
      </c>
      <c r="C42" vm="122">
        <f ca="1"/>
        <v>163.56</v>
      </c>
      <c r="D42" vm="123">
        <f ca="1"/>
        <v>10581571</v>
      </c>
      <c r="E42">
        <f t="shared" ca="1" si="1"/>
        <v>1730721752.76</v>
      </c>
      <c r="F42">
        <f ca="1">SUM($E$2:E42)/SUM($D$2:D42)</f>
        <v>168.48873297353938</v>
      </c>
      <c r="G42">
        <f ca="1">_xlfn.STDEV.P($C$2:C42)</f>
        <v>4.2355925371065419</v>
      </c>
      <c r="H42">
        <f t="shared" ca="1" si="2"/>
        <v>172.72432551064594</v>
      </c>
      <c r="I42">
        <f t="shared" ca="1" si="3"/>
        <v>164.25314043643283</v>
      </c>
      <c r="J42">
        <f t="shared" ca="1" si="12"/>
        <v>166.55950000000001</v>
      </c>
      <c r="K42">
        <f t="shared" ca="1" si="13"/>
        <v>3.6648206317851222</v>
      </c>
      <c r="L42">
        <f t="shared" ca="1" si="14"/>
        <v>173.88914126357025</v>
      </c>
      <c r="M42">
        <f t="shared" ca="1" si="15"/>
        <v>159.22985873642978</v>
      </c>
      <c r="N42">
        <f t="shared" ca="1" si="4"/>
        <v>1.2400000000000091</v>
      </c>
      <c r="O42">
        <f t="shared" ca="1" si="5"/>
        <v>1.2400000000000091</v>
      </c>
      <c r="P42">
        <f t="shared" ca="1" si="6"/>
        <v>0</v>
      </c>
      <c r="Q42">
        <f t="shared" ca="1" si="10"/>
        <v>1.0369327242173825</v>
      </c>
      <c r="R42">
        <f t="shared" ca="1" si="11"/>
        <v>1.2858954624532204</v>
      </c>
      <c r="S42">
        <f t="shared" ca="1" si="8"/>
        <v>0.80638959736208349</v>
      </c>
      <c r="T42">
        <f t="shared" ca="1" si="9"/>
        <v>44.640956665144373</v>
      </c>
      <c r="U42">
        <f>70</f>
        <v>70</v>
      </c>
      <c r="V42">
        <f>30</f>
        <v>30</v>
      </c>
      <c r="W42">
        <f t="shared" ca="1" si="7"/>
        <v>165.02195815427095</v>
      </c>
      <c r="X42">
        <f t="shared" ca="1" si="17"/>
        <v>167.02643811670686</v>
      </c>
      <c r="Y42">
        <f t="shared" ca="1" si="16"/>
        <v>-1.7053869404878981</v>
      </c>
      <c r="Z42">
        <f t="shared" ca="1" si="18"/>
        <v>-1.5336684592227945</v>
      </c>
      <c r="AA42">
        <f t="shared" ca="1" si="19"/>
        <v>-0.17171848126510358</v>
      </c>
    </row>
    <row r="43" spans="1:27" x14ac:dyDescent="0.25">
      <c r="A43" s="20">
        <f t="shared" ca="1" si="0"/>
        <v>45754</v>
      </c>
      <c r="B43" vm="124">
        <f ca="1"/>
        <v>45758</v>
      </c>
      <c r="C43" vm="125">
        <f ca="1"/>
        <v>166.91</v>
      </c>
      <c r="D43" vm="126">
        <f ca="1"/>
        <v>8603200</v>
      </c>
      <c r="E43">
        <f t="shared" ca="1" si="1"/>
        <v>1435960112</v>
      </c>
      <c r="F43">
        <f ca="1">SUM($E$2:E43)/SUM($D$2:D43)</f>
        <v>168.45195946403527</v>
      </c>
      <c r="G43">
        <f ca="1">_xlfn.STDEV.P($C$2:C43)</f>
        <v>4.1957860298355634</v>
      </c>
      <c r="H43">
        <f t="shared" ca="1" si="2"/>
        <v>172.64774549387084</v>
      </c>
      <c r="I43">
        <f t="shared" ca="1" si="3"/>
        <v>164.2561734341997</v>
      </c>
      <c r="J43">
        <f t="shared" ca="1" si="12"/>
        <v>166.50649999999999</v>
      </c>
      <c r="K43">
        <f t="shared" ca="1" si="13"/>
        <v>3.6509872853647063</v>
      </c>
      <c r="L43">
        <f t="shared" ca="1" si="14"/>
        <v>173.8084745707294</v>
      </c>
      <c r="M43">
        <f t="shared" ca="1" si="15"/>
        <v>159.20452542927057</v>
      </c>
      <c r="N43">
        <f t="shared" ca="1" si="4"/>
        <v>3.3499999999999943</v>
      </c>
      <c r="O43">
        <f t="shared" ca="1" si="5"/>
        <v>3.3499999999999943</v>
      </c>
      <c r="P43">
        <f t="shared" ca="1" si="6"/>
        <v>0</v>
      </c>
      <c r="Q43">
        <f t="shared" ca="1" si="10"/>
        <v>1.2021518153447117</v>
      </c>
      <c r="R43">
        <f t="shared" ca="1" si="11"/>
        <v>1.1940457865637046</v>
      </c>
      <c r="S43">
        <f t="shared" ca="1" si="8"/>
        <v>1.0067887085003122</v>
      </c>
      <c r="T43">
        <f t="shared" ca="1" si="9"/>
        <v>50.169143579280579</v>
      </c>
      <c r="U43">
        <f>70</f>
        <v>70</v>
      </c>
      <c r="V43">
        <f>30</f>
        <v>30</v>
      </c>
      <c r="W43">
        <f t="shared" ca="1" si="7"/>
        <v>165.31242613053695</v>
      </c>
      <c r="X43">
        <f t="shared" ca="1" si="17"/>
        <v>167.01781307102485</v>
      </c>
      <c r="Y43">
        <f t="shared" ca="1" si="16"/>
        <v>-1.2745261746826202</v>
      </c>
      <c r="Z43">
        <f t="shared" ca="1" si="18"/>
        <v>-1.4818400023147595</v>
      </c>
      <c r="AA43">
        <f t="shared" ca="1" si="19"/>
        <v>0.20731382763213935</v>
      </c>
    </row>
    <row r="44" spans="1:27" x14ac:dyDescent="0.25">
      <c r="A44" s="20">
        <f t="shared" ca="1" si="0"/>
        <v>45761</v>
      </c>
      <c r="B44" vm="127">
        <f ca="1"/>
        <v>45761</v>
      </c>
      <c r="C44" vm="128">
        <f ca="1"/>
        <v>169.13</v>
      </c>
      <c r="D44" vm="129">
        <f ca="1"/>
        <v>9877411</v>
      </c>
      <c r="E44">
        <f t="shared" ca="1" si="1"/>
        <v>1670566522.4300001</v>
      </c>
      <c r="F44">
        <f ca="1">SUM($E$2:E44)/SUM($D$2:D44)</f>
        <v>168.46961998169215</v>
      </c>
      <c r="G44">
        <f ca="1">_xlfn.STDEV.P($C$2:C44)</f>
        <v>4.1469299505951787</v>
      </c>
      <c r="H44">
        <f t="shared" ca="1" si="2"/>
        <v>172.61654993228731</v>
      </c>
      <c r="I44">
        <f t="shared" ca="1" si="3"/>
        <v>164.32269003109698</v>
      </c>
      <c r="J44">
        <f t="shared" ca="1" si="12"/>
        <v>166.47499999999999</v>
      </c>
      <c r="K44">
        <f t="shared" ca="1" si="13"/>
        <v>3.6240577722826268</v>
      </c>
      <c r="L44">
        <f t="shared" ca="1" si="14"/>
        <v>173.72311554456525</v>
      </c>
      <c r="M44">
        <f t="shared" ca="1" si="15"/>
        <v>159.22688445543474</v>
      </c>
      <c r="N44">
        <f t="shared" ca="1" si="4"/>
        <v>2.2199999999999989</v>
      </c>
      <c r="O44">
        <f t="shared" ca="1" si="5"/>
        <v>2.2199999999999989</v>
      </c>
      <c r="P44">
        <f t="shared" ca="1" si="6"/>
        <v>0</v>
      </c>
      <c r="Q44">
        <f t="shared" ca="1" si="10"/>
        <v>1.2748552571058036</v>
      </c>
      <c r="R44">
        <f t="shared" ca="1" si="11"/>
        <v>1.1087568018091543</v>
      </c>
      <c r="S44">
        <f t="shared" ca="1" si="8"/>
        <v>1.1498060305250233</v>
      </c>
      <c r="T44">
        <f t="shared" ca="1" si="9"/>
        <v>53.484175511602736</v>
      </c>
      <c r="U44">
        <f>70</f>
        <v>70</v>
      </c>
      <c r="V44">
        <f>30</f>
        <v>30</v>
      </c>
      <c r="W44">
        <f t="shared" ca="1" si="7"/>
        <v>165.89974518737742</v>
      </c>
      <c r="X44">
        <f t="shared" ca="1" si="17"/>
        <v>167.17427136206004</v>
      </c>
      <c r="Y44">
        <f t="shared" ca="1" si="16"/>
        <v>-0.97508225646274127</v>
      </c>
      <c r="Z44">
        <f t="shared" ca="1" si="18"/>
        <v>-1.380488453144356</v>
      </c>
      <c r="AA44">
        <f t="shared" ca="1" si="19"/>
        <v>0.40540619668161471</v>
      </c>
    </row>
    <row r="45" spans="1:27" x14ac:dyDescent="0.25">
      <c r="A45" s="20">
        <f t="shared" ca="1" si="0"/>
        <v>45761</v>
      </c>
      <c r="B45" vm="130">
        <f ca="1"/>
        <v>45762</v>
      </c>
      <c r="C45" vm="131">
        <f ca="1"/>
        <v>168.47</v>
      </c>
      <c r="D45" vm="132">
        <f ca="1"/>
        <v>8764978</v>
      </c>
      <c r="E45">
        <f t="shared" ca="1" si="1"/>
        <v>1476635843.6600001</v>
      </c>
      <c r="F45">
        <f ca="1">SUM($E$2:E45)/SUM($D$2:D45)</f>
        <v>168.46962856661531</v>
      </c>
      <c r="G45">
        <f ca="1">_xlfn.STDEV.P($C$2:C45)</f>
        <v>4.0999337577797315</v>
      </c>
      <c r="H45">
        <f t="shared" ca="1" si="2"/>
        <v>172.56956232439504</v>
      </c>
      <c r="I45">
        <f t="shared" ca="1" si="3"/>
        <v>164.36969480883559</v>
      </c>
      <c r="J45">
        <f t="shared" ca="1" si="12"/>
        <v>166.51299999999998</v>
      </c>
      <c r="K45">
        <f t="shared" ca="1" si="13"/>
        <v>3.6416307798625214</v>
      </c>
      <c r="L45">
        <f t="shared" ca="1" si="14"/>
        <v>173.79626155972502</v>
      </c>
      <c r="M45">
        <f t="shared" ca="1" si="15"/>
        <v>159.22973844027493</v>
      </c>
      <c r="N45">
        <f t="shared" ca="1" si="4"/>
        <v>-0.65999999999999659</v>
      </c>
      <c r="O45">
        <f t="shared" ca="1" si="5"/>
        <v>0</v>
      </c>
      <c r="P45">
        <f t="shared" ca="1" si="6"/>
        <v>0.65999999999999659</v>
      </c>
      <c r="Q45">
        <f t="shared" ca="1" si="10"/>
        <v>1.1837941673125321</v>
      </c>
      <c r="R45">
        <f t="shared" ca="1" si="11"/>
        <v>1.0767027445370716</v>
      </c>
      <c r="S45">
        <f t="shared" ca="1" si="8"/>
        <v>1.0994623848771783</v>
      </c>
      <c r="T45">
        <f t="shared" ca="1" si="9"/>
        <v>52.368758440104102</v>
      </c>
      <c r="U45">
        <f>70</f>
        <v>70</v>
      </c>
      <c r="V45">
        <f>30</f>
        <v>30</v>
      </c>
      <c r="W45">
        <f t="shared" ca="1" si="7"/>
        <v>166.29516900470398</v>
      </c>
      <c r="X45">
        <f t="shared" ca="1" si="17"/>
        <v>167.27025126116672</v>
      </c>
      <c r="Y45">
        <f t="shared" ca="1" si="16"/>
        <v>-0.89528907544755043</v>
      </c>
      <c r="Z45">
        <f t="shared" ca="1" si="18"/>
        <v>-1.2834485776049949</v>
      </c>
      <c r="AA45">
        <f t="shared" ca="1" si="19"/>
        <v>0.38815950215744444</v>
      </c>
    </row>
    <row r="46" spans="1:27" x14ac:dyDescent="0.25">
      <c r="A46" s="20">
        <f t="shared" ca="1" si="0"/>
        <v>45761</v>
      </c>
      <c r="B46" vm="133">
        <f ca="1"/>
        <v>45763</v>
      </c>
      <c r="C46" vm="134">
        <f ca="1"/>
        <v>166.39</v>
      </c>
      <c r="D46" vm="135">
        <f ca="1"/>
        <v>5897634</v>
      </c>
      <c r="E46">
        <f t="shared" ca="1" si="1"/>
        <v>981307321.25999987</v>
      </c>
      <c r="F46">
        <f ca="1">SUM($E$2:E46)/SUM($D$2:D46)</f>
        <v>168.43849041597571</v>
      </c>
      <c r="G46">
        <f ca="1">_xlfn.STDEV.P($C$2:C46)</f>
        <v>4.0702421197737433</v>
      </c>
      <c r="H46">
        <f t="shared" ca="1" si="2"/>
        <v>172.50873253574946</v>
      </c>
      <c r="I46">
        <f t="shared" ca="1" si="3"/>
        <v>164.36824829620195</v>
      </c>
      <c r="J46">
        <f t="shared" ca="1" si="12"/>
        <v>166.404</v>
      </c>
      <c r="K46">
        <f t="shared" ca="1" si="13"/>
        <v>3.6093028923077464</v>
      </c>
      <c r="L46">
        <f t="shared" ca="1" si="14"/>
        <v>173.6226057846155</v>
      </c>
      <c r="M46">
        <f t="shared" ca="1" si="15"/>
        <v>159.18539421538449</v>
      </c>
      <c r="N46">
        <f t="shared" ca="1" si="4"/>
        <v>-2.0800000000000125</v>
      </c>
      <c r="O46">
        <f t="shared" ca="1" si="5"/>
        <v>0</v>
      </c>
      <c r="P46">
        <f t="shared" ca="1" si="6"/>
        <v>2.0800000000000125</v>
      </c>
      <c r="Q46">
        <f t="shared" ca="1" si="10"/>
        <v>1.0992374410759227</v>
      </c>
      <c r="R46">
        <f t="shared" ca="1" si="11"/>
        <v>1.148366834212996</v>
      </c>
      <c r="S46">
        <f t="shared" ca="1" si="8"/>
        <v>0.95721803201435807</v>
      </c>
      <c r="T46">
        <f t="shared" ca="1" si="9"/>
        <v>48.907071994896476</v>
      </c>
      <c r="U46">
        <f>70</f>
        <v>70</v>
      </c>
      <c r="V46">
        <f>30</f>
        <v>30</v>
      </c>
      <c r="W46">
        <f t="shared" ca="1" si="7"/>
        <v>166.3097583885957</v>
      </c>
      <c r="X46">
        <f t="shared" ca="1" si="17"/>
        <v>167.20504746404325</v>
      </c>
      <c r="Y46">
        <f t="shared" ca="1" si="16"/>
        <v>-0.48433670769554737</v>
      </c>
      <c r="Z46">
        <f t="shared" ca="1" si="18"/>
        <v>-1.1236262036231055</v>
      </c>
      <c r="AA46">
        <f t="shared" ca="1" si="19"/>
        <v>0.63928949592755813</v>
      </c>
    </row>
    <row r="47" spans="1:27" x14ac:dyDescent="0.25">
      <c r="A47" s="20">
        <f t="shared" ca="1" si="0"/>
        <v>45761</v>
      </c>
      <c r="B47" vm="136">
        <f ca="1"/>
        <v>45764</v>
      </c>
      <c r="C47" vm="137">
        <f ca="1"/>
        <v>170.63</v>
      </c>
      <c r="D47" vm="138">
        <f ca="1"/>
        <v>7227061</v>
      </c>
      <c r="E47">
        <f t="shared" ca="1" si="1"/>
        <v>1233153418.4300001</v>
      </c>
      <c r="F47">
        <f ca="1">SUM($E$2:E47)/SUM($D$2:D47)</f>
        <v>168.47797595432837</v>
      </c>
      <c r="G47">
        <f ca="1">_xlfn.STDEV.P($C$2:C47)</f>
        <v>4.034685460786978</v>
      </c>
      <c r="H47">
        <f t="shared" ca="1" si="2"/>
        <v>172.51266141511536</v>
      </c>
      <c r="I47">
        <f t="shared" ca="1" si="3"/>
        <v>164.44329049354138</v>
      </c>
      <c r="J47">
        <f t="shared" ca="1" si="12"/>
        <v>166.55799999999999</v>
      </c>
      <c r="K47">
        <f t="shared" ca="1" si="13"/>
        <v>3.7246385907331945</v>
      </c>
      <c r="L47">
        <f t="shared" ca="1" si="14"/>
        <v>174.00727718146638</v>
      </c>
      <c r="M47">
        <f t="shared" ca="1" si="15"/>
        <v>159.10872281853361</v>
      </c>
      <c r="N47">
        <f t="shared" ca="1" si="4"/>
        <v>4.2400000000000091</v>
      </c>
      <c r="O47">
        <f t="shared" ca="1" si="5"/>
        <v>4.2400000000000091</v>
      </c>
      <c r="P47">
        <f t="shared" ca="1" si="6"/>
        <v>0</v>
      </c>
      <c r="Q47">
        <f t="shared" ca="1" si="10"/>
        <v>1.3235776238562147</v>
      </c>
      <c r="R47">
        <f t="shared" ca="1" si="11"/>
        <v>1.0663406317692106</v>
      </c>
      <c r="S47">
        <f t="shared" ca="1" si="8"/>
        <v>1.2412334149362867</v>
      </c>
      <c r="T47">
        <f t="shared" ca="1" si="9"/>
        <v>55.38171109998251</v>
      </c>
      <c r="U47">
        <f>70</f>
        <v>70</v>
      </c>
      <c r="V47">
        <f>30</f>
        <v>30</v>
      </c>
      <c r="W47">
        <f t="shared" ca="1" si="7"/>
        <v>166.97441094419636</v>
      </c>
      <c r="X47">
        <f t="shared" ca="1" si="17"/>
        <v>167.45874765189191</v>
      </c>
      <c r="Y47">
        <f t="shared" ca="1" si="16"/>
        <v>-0.54613372204713073</v>
      </c>
      <c r="Z47">
        <f t="shared" ca="1" si="18"/>
        <v>-1.0081277073079105</v>
      </c>
      <c r="AA47">
        <f t="shared" ca="1" si="19"/>
        <v>0.46199398526077973</v>
      </c>
    </row>
    <row r="48" spans="1:27" x14ac:dyDescent="0.25">
      <c r="A48" s="20">
        <f t="shared" ca="1" si="0"/>
        <v>45768</v>
      </c>
      <c r="B48" vm="139">
        <f ca="1"/>
        <v>45768</v>
      </c>
      <c r="C48" vm="140">
        <f ca="1"/>
        <v>165.75</v>
      </c>
      <c r="D48" vm="141">
        <f ca="1"/>
        <v>8062360</v>
      </c>
      <c r="E48">
        <f t="shared" ca="1" si="1"/>
        <v>1336336170</v>
      </c>
      <c r="F48">
        <f ca="1">SUM($E$2:E48)/SUM($D$2:D48)</f>
        <v>168.42422416035816</v>
      </c>
      <c r="G48">
        <f ca="1">_xlfn.STDEV.P($C$2:C48)</f>
        <v>4.0162085816926139</v>
      </c>
      <c r="H48">
        <f t="shared" ca="1" si="2"/>
        <v>172.44043274205077</v>
      </c>
      <c r="I48">
        <f t="shared" ca="1" si="3"/>
        <v>164.40801557866556</v>
      </c>
      <c r="J48">
        <f t="shared" ca="1" si="12"/>
        <v>166.511</v>
      </c>
      <c r="K48">
        <f t="shared" ca="1" si="13"/>
        <v>3.7288136959289582</v>
      </c>
      <c r="L48">
        <f t="shared" ca="1" si="14"/>
        <v>173.96862739185792</v>
      </c>
      <c r="M48">
        <f t="shared" ca="1" si="15"/>
        <v>159.05337260814207</v>
      </c>
      <c r="N48">
        <f t="shared" ca="1" si="4"/>
        <v>-4.8799999999999955</v>
      </c>
      <c r="O48">
        <f t="shared" ca="1" si="5"/>
        <v>0</v>
      </c>
      <c r="P48">
        <f t="shared" ca="1" si="6"/>
        <v>4.8799999999999955</v>
      </c>
      <c r="Q48">
        <f t="shared" ca="1" si="10"/>
        <v>1.2290363650093423</v>
      </c>
      <c r="R48">
        <f t="shared" ca="1" si="11"/>
        <v>1.3387448723571238</v>
      </c>
      <c r="S48">
        <f t="shared" ca="1" si="8"/>
        <v>0.918051221249783</v>
      </c>
      <c r="T48">
        <f t="shared" ca="1" si="9"/>
        <v>47.863748948872704</v>
      </c>
      <c r="U48">
        <f>70</f>
        <v>70</v>
      </c>
      <c r="V48">
        <f>30</f>
        <v>30</v>
      </c>
      <c r="W48">
        <f t="shared" ca="1" si="7"/>
        <v>166.78604002970462</v>
      </c>
      <c r="X48">
        <f t="shared" ca="1" si="17"/>
        <v>167.33217375175175</v>
      </c>
      <c r="Y48">
        <f t="shared" ca="1" si="16"/>
        <v>-0.41841191024801105</v>
      </c>
      <c r="Z48">
        <f t="shared" ca="1" si="18"/>
        <v>-0.8901845478959306</v>
      </c>
      <c r="AA48">
        <f t="shared" ca="1" si="19"/>
        <v>0.47177263764791955</v>
      </c>
    </row>
    <row r="49" spans="1:27" x14ac:dyDescent="0.25">
      <c r="A49" s="20">
        <f t="shared" ca="1" si="0"/>
        <v>45768</v>
      </c>
      <c r="B49" vm="142">
        <f ca="1"/>
        <v>45769</v>
      </c>
      <c r="C49" vm="143">
        <f ca="1"/>
        <v>167.88</v>
      </c>
      <c r="D49" vm="144">
        <f ca="1"/>
        <v>7907421</v>
      </c>
      <c r="E49">
        <f t="shared" ca="1" si="1"/>
        <v>1327497837.48</v>
      </c>
      <c r="F49">
        <f ca="1">SUM($E$2:E49)/SUM($D$2:D49)</f>
        <v>168.41390628833318</v>
      </c>
      <c r="G49">
        <f ca="1">_xlfn.STDEV.P($C$2:C49)</f>
        <v>3.9761620364279122</v>
      </c>
      <c r="H49">
        <f t="shared" ca="1" si="2"/>
        <v>172.3900683247611</v>
      </c>
      <c r="I49">
        <f t="shared" ca="1" si="3"/>
        <v>164.43774425190526</v>
      </c>
      <c r="J49">
        <f t="shared" ca="1" si="12"/>
        <v>166.6225</v>
      </c>
      <c r="K49">
        <f t="shared" ca="1" si="13"/>
        <v>3.7350486151983011</v>
      </c>
      <c r="L49">
        <f t="shared" ca="1" si="14"/>
        <v>174.09259723039659</v>
      </c>
      <c r="M49">
        <f t="shared" ca="1" si="15"/>
        <v>159.15240276960341</v>
      </c>
      <c r="N49">
        <f t="shared" ca="1" si="4"/>
        <v>2.1299999999999955</v>
      </c>
      <c r="O49">
        <f t="shared" ca="1" si="5"/>
        <v>2.1299999999999955</v>
      </c>
      <c r="P49">
        <f t="shared" ca="1" si="6"/>
        <v>0</v>
      </c>
      <c r="Q49">
        <f t="shared" ca="1" si="10"/>
        <v>1.2933909103658174</v>
      </c>
      <c r="R49">
        <f t="shared" ca="1" si="11"/>
        <v>1.2431202386173292</v>
      </c>
      <c r="S49">
        <f t="shared" ca="1" si="8"/>
        <v>1.0404391065215077</v>
      </c>
      <c r="T49">
        <f t="shared" ca="1" si="9"/>
        <v>50.990941273186223</v>
      </c>
      <c r="U49">
        <f>70</f>
        <v>70</v>
      </c>
      <c r="V49">
        <f>30</f>
        <v>30</v>
      </c>
      <c r="W49">
        <f t="shared" ca="1" si="7"/>
        <v>166.95434156359622</v>
      </c>
      <c r="X49">
        <f t="shared" ca="1" si="17"/>
        <v>167.37275347384423</v>
      </c>
      <c r="Y49">
        <f t="shared" ca="1" si="16"/>
        <v>-0.48508670829428979</v>
      </c>
      <c r="Z49">
        <f t="shared" ca="1" si="18"/>
        <v>-0.80916497997560255</v>
      </c>
      <c r="AA49">
        <f t="shared" ca="1" si="19"/>
        <v>0.32407827168131276</v>
      </c>
    </row>
    <row r="50" spans="1:27" x14ac:dyDescent="0.25">
      <c r="A50" s="20">
        <f t="shared" ca="1" si="0"/>
        <v>45768</v>
      </c>
      <c r="B50" vm="145">
        <f ca="1"/>
        <v>45770</v>
      </c>
      <c r="C50" vm="146">
        <f ca="1"/>
        <v>165.73</v>
      </c>
      <c r="D50" vm="147">
        <f ca="1"/>
        <v>9309164</v>
      </c>
      <c r="E50">
        <f t="shared" ca="1" si="1"/>
        <v>1542807749.7199998</v>
      </c>
      <c r="F50">
        <f ca="1">SUM($E$2:E50)/SUM($D$2:D50)</f>
        <v>168.35531018160049</v>
      </c>
      <c r="G50">
        <f ca="1">_xlfn.STDEV.P($C$2:C50)</f>
        <v>3.9584237856928235</v>
      </c>
      <c r="H50">
        <f t="shared" ca="1" si="2"/>
        <v>172.3137339672933</v>
      </c>
      <c r="I50">
        <f t="shared" ca="1" si="3"/>
        <v>164.39688639590767</v>
      </c>
      <c r="J50">
        <f t="shared" ca="1" si="12"/>
        <v>166.76650000000001</v>
      </c>
      <c r="K50">
        <f t="shared" ca="1" si="13"/>
        <v>3.6361579998674434</v>
      </c>
      <c r="L50">
        <f t="shared" ca="1" si="14"/>
        <v>174.03881599973491</v>
      </c>
      <c r="M50">
        <f t="shared" ca="1" si="15"/>
        <v>159.49418400026511</v>
      </c>
      <c r="N50">
        <f t="shared" ca="1" si="4"/>
        <v>-2.1500000000000057</v>
      </c>
      <c r="O50">
        <f t="shared" ca="1" si="5"/>
        <v>0</v>
      </c>
      <c r="P50">
        <f t="shared" ca="1" si="6"/>
        <v>2.1500000000000057</v>
      </c>
      <c r="Q50">
        <f t="shared" ca="1" si="10"/>
        <v>1.2010058453396877</v>
      </c>
      <c r="R50">
        <f t="shared" ca="1" si="11"/>
        <v>1.3078973644303775</v>
      </c>
      <c r="S50">
        <f t="shared" ca="1" si="8"/>
        <v>0.91827224215162795</v>
      </c>
      <c r="T50">
        <f t="shared" ca="1" si="9"/>
        <v>47.869756021785989</v>
      </c>
      <c r="U50">
        <f>70</f>
        <v>70</v>
      </c>
      <c r="V50">
        <f>30</f>
        <v>30</v>
      </c>
      <c r="W50">
        <f t="shared" ca="1" si="7"/>
        <v>166.76598132304295</v>
      </c>
      <c r="X50">
        <f t="shared" ca="1" si="17"/>
        <v>167.25106803133724</v>
      </c>
      <c r="Y50">
        <f t="shared" ca="1" si="16"/>
        <v>-1.0263836388628249</v>
      </c>
      <c r="Z50">
        <f t="shared" ca="1" si="18"/>
        <v>-0.85260871175304709</v>
      </c>
      <c r="AA50">
        <f t="shared" ca="1" si="19"/>
        <v>-0.17377492710977782</v>
      </c>
    </row>
    <row r="51" spans="1:27" x14ac:dyDescent="0.25">
      <c r="A51" s="20">
        <f t="shared" ca="1" si="0"/>
        <v>45768</v>
      </c>
      <c r="B51" vm="148">
        <f ca="1"/>
        <v>45771</v>
      </c>
      <c r="C51" vm="149">
        <f ca="1"/>
        <v>159.53</v>
      </c>
      <c r="D51" vm="150">
        <f ca="1"/>
        <v>20077665</v>
      </c>
      <c r="E51">
        <f t="shared" ca="1" si="1"/>
        <v>3202989897.4499998</v>
      </c>
      <c r="F51">
        <f ca="1">SUM($E$2:E51)/SUM($D$2:D51)</f>
        <v>167.95843767376101</v>
      </c>
      <c r="G51">
        <f ca="1">_xlfn.STDEV.P($C$2:C51)</f>
        <v>4.1229182334846284</v>
      </c>
      <c r="H51">
        <f t="shared" ca="1" si="2"/>
        <v>172.08135590724564</v>
      </c>
      <c r="I51">
        <f t="shared" ca="1" si="3"/>
        <v>163.83551944027639</v>
      </c>
      <c r="J51">
        <f t="shared" ca="1" si="12"/>
        <v>166.41400000000002</v>
      </c>
      <c r="K51">
        <f t="shared" ca="1" si="13"/>
        <v>3.9805995316759697</v>
      </c>
      <c r="L51">
        <f t="shared" ca="1" si="14"/>
        <v>174.37519906335194</v>
      </c>
      <c r="M51">
        <f t="shared" ca="1" si="15"/>
        <v>158.45280093664809</v>
      </c>
      <c r="N51">
        <f t="shared" ca="1" si="4"/>
        <v>-6.1999999999999886</v>
      </c>
      <c r="O51">
        <f t="shared" ca="1" si="5"/>
        <v>0</v>
      </c>
      <c r="P51">
        <f t="shared" ca="1" si="6"/>
        <v>6.1999999999999886</v>
      </c>
      <c r="Q51">
        <f t="shared" ca="1" si="10"/>
        <v>1.1152197135297099</v>
      </c>
      <c r="R51">
        <f t="shared" ca="1" si="11"/>
        <v>1.6573332669710639</v>
      </c>
      <c r="S51">
        <f t="shared" ca="1" si="8"/>
        <v>0.67290009544542684</v>
      </c>
      <c r="T51">
        <f t="shared" ca="1" si="9"/>
        <v>40.223567281599102</v>
      </c>
      <c r="U51">
        <f>70</f>
        <v>70</v>
      </c>
      <c r="V51">
        <f>30</f>
        <v>30</v>
      </c>
      <c r="W51">
        <f t="shared" ca="1" si="7"/>
        <v>165.65275342719019</v>
      </c>
      <c r="X51">
        <f t="shared" ca="1" si="17"/>
        <v>166.67913706605302</v>
      </c>
      <c r="Y51">
        <f t="shared" ca="1" si="16"/>
        <v>-1.3199195971274662</v>
      </c>
      <c r="Z51">
        <f t="shared" ca="1" si="18"/>
        <v>-0.946070888827931</v>
      </c>
      <c r="AA51">
        <f t="shared" ca="1" si="19"/>
        <v>-0.3738487082995352</v>
      </c>
    </row>
    <row r="52" spans="1:27" x14ac:dyDescent="0.25">
      <c r="A52" s="20">
        <f t="shared" ca="1" si="0"/>
        <v>45768</v>
      </c>
      <c r="B52" vm="151">
        <f ca="1"/>
        <v>45772</v>
      </c>
      <c r="C52" vm="152">
        <f ca="1"/>
        <v>161.02000000000001</v>
      </c>
      <c r="D52" vm="153">
        <f ca="1"/>
        <v>12893200</v>
      </c>
      <c r="E52">
        <f t="shared" ca="1" si="1"/>
        <v>2076063064.0000002</v>
      </c>
      <c r="F52">
        <f ca="1">SUM($E$2:E52)/SUM($D$2:D52)</f>
        <v>167.76369267070027</v>
      </c>
      <c r="G52">
        <f ca="1">_xlfn.STDEV.P($C$2:C52)</f>
        <v>4.2120333558019603</v>
      </c>
      <c r="H52">
        <f t="shared" ca="1" si="2"/>
        <v>171.97572602650223</v>
      </c>
      <c r="I52">
        <f t="shared" ca="1" si="3"/>
        <v>163.5516593148983</v>
      </c>
      <c r="J52">
        <f t="shared" ca="1" si="12"/>
        <v>166.02950000000001</v>
      </c>
      <c r="K52">
        <f t="shared" ca="1" si="13"/>
        <v>4.1162393094463754</v>
      </c>
      <c r="L52">
        <f t="shared" ca="1" si="14"/>
        <v>174.26197861889275</v>
      </c>
      <c r="M52">
        <f t="shared" ca="1" si="15"/>
        <v>157.79702138110727</v>
      </c>
      <c r="N52">
        <f t="shared" ca="1" si="4"/>
        <v>1.4900000000000091</v>
      </c>
      <c r="O52">
        <f t="shared" ca="1" si="5"/>
        <v>1.4900000000000091</v>
      </c>
      <c r="P52">
        <f t="shared" ca="1" si="6"/>
        <v>0</v>
      </c>
      <c r="Q52">
        <f t="shared" ca="1" si="10"/>
        <v>1.1419897339918743</v>
      </c>
      <c r="R52">
        <f t="shared" ca="1" si="11"/>
        <v>1.5389523193302737</v>
      </c>
      <c r="S52">
        <f t="shared" ca="1" si="8"/>
        <v>0.74205660542416885</v>
      </c>
      <c r="T52">
        <f t="shared" ca="1" si="9"/>
        <v>42.596584009592924</v>
      </c>
      <c r="U52">
        <f>70</f>
        <v>70</v>
      </c>
      <c r="V52">
        <f>30</f>
        <v>30</v>
      </c>
      <c r="W52">
        <f t="shared" ca="1" si="7"/>
        <v>164.94002213069939</v>
      </c>
      <c r="X52">
        <f t="shared" ca="1" si="17"/>
        <v>166.25994172782686</v>
      </c>
      <c r="Y52">
        <f t="shared" ca="1" si="16"/>
        <v>-1.4686452670256642</v>
      </c>
      <c r="Z52">
        <f t="shared" ca="1" si="18"/>
        <v>-1.0505857644674776</v>
      </c>
      <c r="AA52">
        <f t="shared" ca="1" si="19"/>
        <v>-0.41805950255818658</v>
      </c>
    </row>
    <row r="53" spans="1:27" x14ac:dyDescent="0.25">
      <c r="A53" s="20">
        <f t="shared" ca="1" si="0"/>
        <v>45775</v>
      </c>
      <c r="B53" vm="154">
        <f ca="1"/>
        <v>45775</v>
      </c>
      <c r="C53" vm="155">
        <f ca="1"/>
        <v>161.85</v>
      </c>
      <c r="D53" vm="156">
        <f ca="1"/>
        <v>8126981</v>
      </c>
      <c r="E53">
        <f t="shared" ca="1" si="1"/>
        <v>1315351874.8499999</v>
      </c>
      <c r="F53">
        <f ca="1">SUM($E$2:E53)/SUM($D$2:D53)</f>
        <v>167.66088734523728</v>
      </c>
      <c r="G53">
        <f ca="1">_xlfn.STDEV.P($C$2:C53)</f>
        <v>4.2659316774795029</v>
      </c>
      <c r="H53">
        <f t="shared" ca="1" si="2"/>
        <v>171.92681902271678</v>
      </c>
      <c r="I53">
        <f t="shared" ca="1" si="3"/>
        <v>163.39495566775778</v>
      </c>
      <c r="J53">
        <f t="shared" ca="1" si="12"/>
        <v>165.72050000000002</v>
      </c>
      <c r="K53">
        <f t="shared" ca="1" si="13"/>
        <v>4.1894711071798465</v>
      </c>
      <c r="L53">
        <f t="shared" ca="1" si="14"/>
        <v>174.0994422143597</v>
      </c>
      <c r="M53">
        <f t="shared" ca="1" si="15"/>
        <v>157.34155778564033</v>
      </c>
      <c r="N53">
        <f t="shared" ca="1" si="4"/>
        <v>0.82999999999998408</v>
      </c>
      <c r="O53">
        <f t="shared" ca="1" si="5"/>
        <v>0.82999999999998408</v>
      </c>
      <c r="P53">
        <f t="shared" ca="1" si="6"/>
        <v>0</v>
      </c>
      <c r="Q53">
        <f t="shared" ca="1" si="10"/>
        <v>1.1197047529924535</v>
      </c>
      <c r="R53">
        <f t="shared" ca="1" si="11"/>
        <v>1.4290271536638257</v>
      </c>
      <c r="S53">
        <f t="shared" ca="1" si="8"/>
        <v>0.78354337083216874</v>
      </c>
      <c r="T53">
        <f t="shared" ca="1" si="9"/>
        <v>43.931837242992401</v>
      </c>
      <c r="U53">
        <f>70</f>
        <v>70</v>
      </c>
      <c r="V53">
        <f>30</f>
        <v>30</v>
      </c>
      <c r="W53">
        <f t="shared" ca="1" si="7"/>
        <v>164.46463411059179</v>
      </c>
      <c r="X53">
        <f t="shared" ca="1" si="17"/>
        <v>165.93327937761745</v>
      </c>
      <c r="Y53">
        <f t="shared" ca="1" si="16"/>
        <v>-1.5357249768658505</v>
      </c>
      <c r="Z53">
        <f t="shared" ca="1" si="18"/>
        <v>-1.1476136069471523</v>
      </c>
      <c r="AA53">
        <f t="shared" ca="1" si="19"/>
        <v>-0.38811136991869821</v>
      </c>
    </row>
    <row r="54" spans="1:27" x14ac:dyDescent="0.25">
      <c r="A54" s="20">
        <f t="shared" ca="1" si="0"/>
        <v>45775</v>
      </c>
      <c r="B54" vm="157">
        <f ca="1"/>
        <v>45776</v>
      </c>
      <c r="C54" vm="158">
        <f ca="1"/>
        <v>162.26</v>
      </c>
      <c r="D54" vm="159">
        <f ca="1"/>
        <v>8266154</v>
      </c>
      <c r="E54">
        <f t="shared" ca="1" si="1"/>
        <v>1341266148.04</v>
      </c>
      <c r="F54">
        <f ca="1">SUM($E$2:E54)/SUM($D$2:D54)</f>
        <v>167.56704817922966</v>
      </c>
      <c r="G54">
        <f ca="1">_xlfn.STDEV.P($C$2:C54)</f>
        <v>4.3028587035165256</v>
      </c>
      <c r="H54">
        <f t="shared" ca="1" si="2"/>
        <v>171.86990688274619</v>
      </c>
      <c r="I54">
        <f t="shared" ca="1" si="3"/>
        <v>163.26418947571312</v>
      </c>
      <c r="J54">
        <f t="shared" ca="1" si="12"/>
        <v>165.31250000000006</v>
      </c>
      <c r="K54">
        <f t="shared" ca="1" si="13"/>
        <v>4.1041838409116123</v>
      </c>
      <c r="L54">
        <f t="shared" ca="1" si="14"/>
        <v>173.52086768182329</v>
      </c>
      <c r="M54">
        <f t="shared" ca="1" si="15"/>
        <v>157.10413231817682</v>
      </c>
      <c r="N54">
        <f t="shared" ca="1" si="4"/>
        <v>0.40999999999999659</v>
      </c>
      <c r="O54">
        <f t="shared" ca="1" si="5"/>
        <v>0.40999999999999659</v>
      </c>
      <c r="P54">
        <f t="shared" ca="1" si="6"/>
        <v>0</v>
      </c>
      <c r="Q54">
        <f t="shared" ca="1" si="10"/>
        <v>1.0690115563501352</v>
      </c>
      <c r="R54">
        <f t="shared" ca="1" si="11"/>
        <v>1.3269537855449811</v>
      </c>
      <c r="S54">
        <f t="shared" ca="1" si="8"/>
        <v>0.80561325344958512</v>
      </c>
      <c r="T54">
        <f t="shared" ca="1" si="9"/>
        <v>44.617154416123071</v>
      </c>
      <c r="U54">
        <f>70</f>
        <v>70</v>
      </c>
      <c r="V54">
        <f>30</f>
        <v>30</v>
      </c>
      <c r="W54">
        <f t="shared" ca="1" si="7"/>
        <v>164.1254596320392</v>
      </c>
      <c r="X54">
        <f t="shared" ca="1" si="17"/>
        <v>165.66118460890505</v>
      </c>
      <c r="Y54">
        <f t="shared" ca="1" si="16"/>
        <v>-1.54604982102137</v>
      </c>
      <c r="Z54">
        <f t="shared" ca="1" si="18"/>
        <v>-1.2273008497619959</v>
      </c>
      <c r="AA54">
        <f t="shared" ca="1" si="19"/>
        <v>-0.31874897125937407</v>
      </c>
    </row>
    <row r="55" spans="1:27" x14ac:dyDescent="0.25">
      <c r="A55" s="20">
        <f t="shared" ca="1" si="0"/>
        <v>45775</v>
      </c>
      <c r="B55" vm="160">
        <f ca="1"/>
        <v>45777</v>
      </c>
      <c r="C55" vm="161">
        <f ca="1"/>
        <v>162.57</v>
      </c>
      <c r="D55" vm="162">
        <f ca="1"/>
        <v>12475539</v>
      </c>
      <c r="E55">
        <f t="shared" ca="1" si="1"/>
        <v>2028148375.23</v>
      </c>
      <c r="F55">
        <f ca="1">SUM($E$2:E55)/SUM($D$2:D55)</f>
        <v>167.43936113551234</v>
      </c>
      <c r="G55">
        <f ca="1">_xlfn.STDEV.P($C$2:C55)</f>
        <v>4.327938399371198</v>
      </c>
      <c r="H55">
        <f t="shared" ca="1" si="2"/>
        <v>171.76729953488353</v>
      </c>
      <c r="I55">
        <f t="shared" ca="1" si="3"/>
        <v>163.11142273614115</v>
      </c>
      <c r="J55">
        <f t="shared" ca="1" si="12"/>
        <v>164.91300000000004</v>
      </c>
      <c r="K55">
        <f t="shared" ca="1" si="13"/>
        <v>3.952582233906015</v>
      </c>
      <c r="L55">
        <f t="shared" ca="1" si="14"/>
        <v>172.81816446781207</v>
      </c>
      <c r="M55">
        <f t="shared" ca="1" si="15"/>
        <v>157.00783553218801</v>
      </c>
      <c r="N55">
        <f t="shared" ca="1" si="4"/>
        <v>0.31000000000000227</v>
      </c>
      <c r="O55">
        <f t="shared" ca="1" si="5"/>
        <v>0.31000000000000227</v>
      </c>
      <c r="P55">
        <f t="shared" ca="1" si="6"/>
        <v>0</v>
      </c>
      <c r="Q55">
        <f t="shared" ca="1" si="10"/>
        <v>1.0147964451822686</v>
      </c>
      <c r="R55">
        <f t="shared" ca="1" si="11"/>
        <v>1.2321713722917682</v>
      </c>
      <c r="S55">
        <f t="shared" ca="1" si="8"/>
        <v>0.82358385205363549</v>
      </c>
      <c r="T55">
        <f t="shared" ca="1" si="9"/>
        <v>45.162927447846918</v>
      </c>
      <c r="U55">
        <f>70</f>
        <v>70</v>
      </c>
      <c r="V55">
        <f>30</f>
        <v>30</v>
      </c>
      <c r="W55">
        <f t="shared" ca="1" si="7"/>
        <v>163.88615815018701</v>
      </c>
      <c r="X55">
        <f t="shared" ca="1" si="17"/>
        <v>165.43220797120838</v>
      </c>
      <c r="Y55">
        <f t="shared" ca="1" si="16"/>
        <v>-1.7431299716159003</v>
      </c>
      <c r="Z55">
        <f t="shared" ca="1" si="18"/>
        <v>-1.3304666741327769</v>
      </c>
      <c r="AA55">
        <f t="shared" ca="1" si="19"/>
        <v>-0.41266329748312347</v>
      </c>
    </row>
    <row r="56" spans="1:27" x14ac:dyDescent="0.25">
      <c r="A56" s="20">
        <f t="shared" ca="1" si="0"/>
        <v>45775</v>
      </c>
      <c r="B56" vm="163">
        <f ca="1"/>
        <v>45778</v>
      </c>
      <c r="C56" vm="164">
        <f ca="1"/>
        <v>159.97999999999999</v>
      </c>
      <c r="D56" vm="165">
        <f ca="1"/>
        <v>6792815</v>
      </c>
      <c r="E56">
        <f t="shared" ca="1" si="1"/>
        <v>1086714543.7</v>
      </c>
      <c r="F56">
        <f ca="1">SUM($E$2:E56)/SUM($D$2:D56)</f>
        <v>167.33700245822138</v>
      </c>
      <c r="G56">
        <f ca="1">_xlfn.STDEV.P($C$2:C56)</f>
        <v>4.4207327316065532</v>
      </c>
      <c r="H56">
        <f t="shared" ca="1" si="2"/>
        <v>171.75773518982794</v>
      </c>
      <c r="I56">
        <f t="shared" ca="1" si="3"/>
        <v>162.91626972661481</v>
      </c>
      <c r="J56">
        <f t="shared" ca="1" si="12"/>
        <v>164.43700000000004</v>
      </c>
      <c r="K56">
        <f t="shared" ca="1" si="13"/>
        <v>3.94433384409639</v>
      </c>
      <c r="L56">
        <f t="shared" ca="1" si="14"/>
        <v>172.32566768819282</v>
      </c>
      <c r="M56">
        <f t="shared" ca="1" si="15"/>
        <v>156.54833231180726</v>
      </c>
      <c r="N56">
        <f t="shared" ca="1" si="4"/>
        <v>-2.5900000000000034</v>
      </c>
      <c r="O56">
        <f t="shared" ca="1" si="5"/>
        <v>0</v>
      </c>
      <c r="P56">
        <f t="shared" ca="1" si="6"/>
        <v>2.5900000000000034</v>
      </c>
      <c r="Q56">
        <f t="shared" ca="1" si="10"/>
        <v>0.94231098481210662</v>
      </c>
      <c r="R56">
        <f t="shared" ca="1" si="11"/>
        <v>1.3291591314137849</v>
      </c>
      <c r="S56">
        <f t="shared" ca="1" si="8"/>
        <v>0.70895272247033347</v>
      </c>
      <c r="T56">
        <f t="shared" ca="1" si="9"/>
        <v>41.484630507830822</v>
      </c>
      <c r="U56">
        <f>70</f>
        <v>70</v>
      </c>
      <c r="V56">
        <f>30</f>
        <v>30</v>
      </c>
      <c r="W56">
        <f t="shared" ca="1" si="7"/>
        <v>163.28521074246595</v>
      </c>
      <c r="X56">
        <f t="shared" ca="1" si="17"/>
        <v>165.02834071408185</v>
      </c>
      <c r="Y56">
        <f t="shared" ca="1" si="16"/>
        <v>-1.8345958449122861</v>
      </c>
      <c r="Z56">
        <f t="shared" ca="1" si="18"/>
        <v>-1.4312925082886787</v>
      </c>
      <c r="AA56">
        <f t="shared" ca="1" si="19"/>
        <v>-0.4033033366236074</v>
      </c>
    </row>
    <row r="57" spans="1:27" x14ac:dyDescent="0.25">
      <c r="A57" s="20">
        <f t="shared" ca="1" si="0"/>
        <v>45775</v>
      </c>
      <c r="B57" vm="166">
        <f ca="1"/>
        <v>45779</v>
      </c>
      <c r="C57" vm="167">
        <f ca="1"/>
        <v>160.52000000000001</v>
      </c>
      <c r="D57" vm="168">
        <f ca="1"/>
        <v>5750165</v>
      </c>
      <c r="E57">
        <f t="shared" ca="1" si="1"/>
        <v>923016485.80000007</v>
      </c>
      <c r="F57">
        <f ca="1">SUM($E$2:E57)/SUM($D$2:D57)</f>
        <v>167.25872596741524</v>
      </c>
      <c r="G57">
        <f ca="1">_xlfn.STDEV.P($C$2:C57)</f>
        <v>4.4878707531170816</v>
      </c>
      <c r="H57">
        <f t="shared" ca="1" si="2"/>
        <v>171.74659672053232</v>
      </c>
      <c r="I57">
        <f t="shared" ca="1" si="3"/>
        <v>162.77085521429817</v>
      </c>
      <c r="J57">
        <f t="shared" ca="1" si="12"/>
        <v>163.84350000000001</v>
      </c>
      <c r="K57">
        <f t="shared" ca="1" si="13"/>
        <v>3.5588692394014552</v>
      </c>
      <c r="L57">
        <f t="shared" ca="1" si="14"/>
        <v>170.96123847880293</v>
      </c>
      <c r="M57">
        <f t="shared" ca="1" si="15"/>
        <v>156.72576152119709</v>
      </c>
      <c r="N57">
        <f t="shared" ca="1" si="4"/>
        <v>0.54000000000002046</v>
      </c>
      <c r="O57">
        <f t="shared" ca="1" si="5"/>
        <v>0.54000000000002046</v>
      </c>
      <c r="P57">
        <f t="shared" ca="1" si="6"/>
        <v>0</v>
      </c>
      <c r="Q57">
        <f t="shared" ca="1" si="10"/>
        <v>0.91357448589695767</v>
      </c>
      <c r="R57">
        <f t="shared" ca="1" si="11"/>
        <v>1.2342191934556574</v>
      </c>
      <c r="S57">
        <f t="shared" ca="1" si="8"/>
        <v>0.74020440675457722</v>
      </c>
      <c r="T57">
        <f t="shared" ca="1" si="9"/>
        <v>42.535486284340216</v>
      </c>
      <c r="U57">
        <f>70</f>
        <v>70</v>
      </c>
      <c r="V57">
        <f>30</f>
        <v>30</v>
      </c>
      <c r="W57">
        <f t="shared" ca="1" si="7"/>
        <v>162.8597937051635</v>
      </c>
      <c r="X57">
        <f t="shared" ca="1" si="17"/>
        <v>164.69438955007578</v>
      </c>
      <c r="Y57">
        <f t="shared" ca="1" si="16"/>
        <v>-2.0201648813136046</v>
      </c>
      <c r="Z57">
        <f t="shared" ca="1" si="18"/>
        <v>-1.5490669828936641</v>
      </c>
      <c r="AA57">
        <f t="shared" ca="1" si="19"/>
        <v>-0.47109789841994054</v>
      </c>
    </row>
    <row r="58" spans="1:27" x14ac:dyDescent="0.25">
      <c r="A58" s="20">
        <f t="shared" ca="1" si="0"/>
        <v>45782</v>
      </c>
      <c r="B58" vm="169">
        <f ca="1"/>
        <v>45782</v>
      </c>
      <c r="C58" vm="170">
        <f ca="1"/>
        <v>158.83000000000001</v>
      </c>
      <c r="D58" vm="171">
        <f ca="1"/>
        <v>7576219</v>
      </c>
      <c r="E58">
        <f t="shared" ca="1" si="1"/>
        <v>1203330863.77</v>
      </c>
      <c r="F58">
        <f ca="1">SUM($E$2:E58)/SUM($D$2:D58)</f>
        <v>167.13310827491827</v>
      </c>
      <c r="G58">
        <f ca="1">_xlfn.STDEV.P($C$2:C58)</f>
        <v>4.5994727707814249</v>
      </c>
      <c r="H58">
        <f t="shared" ca="1" si="2"/>
        <v>171.7325810456997</v>
      </c>
      <c r="I58">
        <f t="shared" ca="1" si="3"/>
        <v>162.53363550413684</v>
      </c>
      <c r="J58">
        <f t="shared" ca="1" si="12"/>
        <v>163.59750000000003</v>
      </c>
      <c r="K58">
        <f t="shared" ca="1" si="13"/>
        <v>3.7315269556915469</v>
      </c>
      <c r="L58">
        <f t="shared" ca="1" si="14"/>
        <v>171.06055391138312</v>
      </c>
      <c r="M58">
        <f t="shared" ca="1" si="15"/>
        <v>156.13444608861693</v>
      </c>
      <c r="N58">
        <f t="shared" ca="1" si="4"/>
        <v>-1.6899999999999977</v>
      </c>
      <c r="O58">
        <f t="shared" ca="1" si="5"/>
        <v>0</v>
      </c>
      <c r="P58">
        <f t="shared" ca="1" si="6"/>
        <v>1.6899999999999977</v>
      </c>
      <c r="Q58">
        <f t="shared" ca="1" si="10"/>
        <v>0.84831916547574637</v>
      </c>
      <c r="R58">
        <f t="shared" ca="1" si="11"/>
        <v>1.2667749653516818</v>
      </c>
      <c r="S58">
        <f t="shared" ca="1" si="8"/>
        <v>0.66966840100146452</v>
      </c>
      <c r="T58">
        <f t="shared" ca="1" si="9"/>
        <v>40.107868161115015</v>
      </c>
      <c r="U58">
        <f>70</f>
        <v>70</v>
      </c>
      <c r="V58">
        <f>30</f>
        <v>30</v>
      </c>
      <c r="W58">
        <f t="shared" ca="1" si="7"/>
        <v>162.23982544283064</v>
      </c>
      <c r="X58">
        <f t="shared" ca="1" si="17"/>
        <v>164.25999032414424</v>
      </c>
      <c r="Y58">
        <f t="shared" ca="1" si="16"/>
        <v>-2.1090276319834231</v>
      </c>
      <c r="Z58">
        <f t="shared" ca="1" si="18"/>
        <v>-1.6610591127116161</v>
      </c>
      <c r="AA58">
        <f t="shared" ca="1" si="19"/>
        <v>-0.44796851927180703</v>
      </c>
    </row>
    <row r="59" spans="1:27" x14ac:dyDescent="0.25">
      <c r="A59" s="20">
        <f t="shared" ca="1" si="0"/>
        <v>45782</v>
      </c>
      <c r="B59" vm="172">
        <f ca="1"/>
        <v>45783</v>
      </c>
      <c r="C59" vm="173">
        <f ca="1"/>
        <v>159.25</v>
      </c>
      <c r="D59" vm="174">
        <f ca="1"/>
        <v>7703843</v>
      </c>
      <c r="E59">
        <f t="shared" ca="1" si="1"/>
        <v>1226836997.75</v>
      </c>
      <c r="F59">
        <f ca="1">SUM($E$2:E59)/SUM($D$2:D59)</f>
        <v>167.01542653093483</v>
      </c>
      <c r="G59">
        <f ca="1">_xlfn.STDEV.P($C$2:C59)</f>
        <v>4.686836503973888</v>
      </c>
      <c r="H59">
        <f t="shared" ca="1" si="2"/>
        <v>171.70226303490873</v>
      </c>
      <c r="I59">
        <f t="shared" ca="1" si="3"/>
        <v>162.32859002696094</v>
      </c>
      <c r="J59">
        <f t="shared" ca="1" si="12"/>
        <v>163.54850000000005</v>
      </c>
      <c r="K59">
        <f t="shared" ca="1" si="13"/>
        <v>3.7841376338049511</v>
      </c>
      <c r="L59">
        <f t="shared" ca="1" si="14"/>
        <v>171.11677526760994</v>
      </c>
      <c r="M59">
        <f t="shared" ca="1" si="15"/>
        <v>155.98022473239016</v>
      </c>
      <c r="N59">
        <f t="shared" ca="1" si="4"/>
        <v>0.41999999999998749</v>
      </c>
      <c r="O59">
        <f t="shared" ca="1" si="5"/>
        <v>0.41999999999998749</v>
      </c>
      <c r="P59">
        <f t="shared" ca="1" si="6"/>
        <v>0</v>
      </c>
      <c r="Q59">
        <f t="shared" ca="1" si="10"/>
        <v>0.81772493937033508</v>
      </c>
      <c r="R59">
        <f t="shared" ca="1" si="11"/>
        <v>1.1762910392551331</v>
      </c>
      <c r="S59">
        <f t="shared" ca="1" si="8"/>
        <v>0.69517229331964125</v>
      </c>
      <c r="T59">
        <f t="shared" ca="1" si="9"/>
        <v>41.008946173742103</v>
      </c>
      <c r="U59">
        <f>70</f>
        <v>70</v>
      </c>
      <c r="V59">
        <f>30</f>
        <v>30</v>
      </c>
      <c r="W59">
        <f t="shared" ca="1" si="7"/>
        <v>161.77985229777977</v>
      </c>
      <c r="X59">
        <f t="shared" ca="1" si="17"/>
        <v>163.88887992976319</v>
      </c>
      <c r="Y59">
        <f t="shared" ca="1" si="16"/>
        <v>-2.1514240590668123</v>
      </c>
      <c r="Z59">
        <f t="shared" ca="1" si="18"/>
        <v>-1.7591321019826553</v>
      </c>
      <c r="AA59">
        <f t="shared" ca="1" si="19"/>
        <v>-0.39229195708415698</v>
      </c>
    </row>
    <row r="60" spans="1:27" x14ac:dyDescent="0.25">
      <c r="A60" s="20">
        <f t="shared" ca="1" si="0"/>
        <v>45782</v>
      </c>
      <c r="B60" vm="175">
        <f ca="1"/>
        <v>45784</v>
      </c>
      <c r="C60" vm="176">
        <f ca="1"/>
        <v>159.29</v>
      </c>
      <c r="D60" vm="177">
        <f ca="1"/>
        <v>6430156</v>
      </c>
      <c r="E60">
        <f t="shared" ca="1" si="1"/>
        <v>1024259549.2399999</v>
      </c>
      <c r="F60">
        <f ca="1">SUM($E$2:E60)/SUM($D$2:D60)</f>
        <v>166.9203506871709</v>
      </c>
      <c r="G60">
        <f ca="1">_xlfn.STDEV.P($C$2:C60)</f>
        <v>4.7644669484711342</v>
      </c>
      <c r="H60">
        <f t="shared" ca="1" si="2"/>
        <v>171.68481763564202</v>
      </c>
      <c r="I60">
        <f t="shared" ca="1" si="3"/>
        <v>162.15588373869977</v>
      </c>
      <c r="J60">
        <f t="shared" ca="1" si="12"/>
        <v>163.59350000000001</v>
      </c>
      <c r="K60">
        <f t="shared" ca="1" si="13"/>
        <v>3.7244459496116908</v>
      </c>
      <c r="L60">
        <f t="shared" ca="1" si="14"/>
        <v>171.04239189922339</v>
      </c>
      <c r="M60">
        <f t="shared" ca="1" si="15"/>
        <v>156.14460810077662</v>
      </c>
      <c r="N60">
        <f t="shared" ca="1" si="4"/>
        <v>3.9999999999992042E-2</v>
      </c>
      <c r="O60">
        <f t="shared" ca="1" si="5"/>
        <v>3.9999999999992042E-2</v>
      </c>
      <c r="P60">
        <f t="shared" ca="1" si="6"/>
        <v>0</v>
      </c>
      <c r="Q60">
        <f t="shared" ca="1" si="10"/>
        <v>0.76217315798673912</v>
      </c>
      <c r="R60">
        <f t="shared" ca="1" si="11"/>
        <v>1.0922702507369093</v>
      </c>
      <c r="S60">
        <f t="shared" ca="1" si="8"/>
        <v>0.69778807714714608</v>
      </c>
      <c r="T60">
        <f t="shared" ca="1" si="9"/>
        <v>41.099833750727257</v>
      </c>
      <c r="U60">
        <f>70</f>
        <v>70</v>
      </c>
      <c r="V60">
        <f>30</f>
        <v>30</v>
      </c>
      <c r="W60">
        <f t="shared" ca="1" si="7"/>
        <v>161.39679809812134</v>
      </c>
      <c r="X60">
        <f t="shared" ca="1" si="17"/>
        <v>163.54822215718815</v>
      </c>
      <c r="Y60">
        <f t="shared" ca="1" si="16"/>
        <v>-2.2111771109518656</v>
      </c>
      <c r="Z60">
        <f t="shared" ca="1" si="18"/>
        <v>-1.8495411037764975</v>
      </c>
      <c r="AA60">
        <f t="shared" ca="1" si="19"/>
        <v>-0.36163600717536815</v>
      </c>
    </row>
    <row r="61" spans="1:27" x14ac:dyDescent="0.25">
      <c r="A61" s="20">
        <f t="shared" ca="1" si="0"/>
        <v>45782</v>
      </c>
      <c r="B61" vm="178">
        <f ca="1"/>
        <v>45785</v>
      </c>
      <c r="C61" vm="179">
        <f ca="1"/>
        <v>158.65</v>
      </c>
      <c r="D61" vm="180">
        <f ca="1"/>
        <v>7230806</v>
      </c>
      <c r="E61">
        <f t="shared" ca="1" si="1"/>
        <v>1147167371.9000001</v>
      </c>
      <c r="F61">
        <f ca="1">SUM($E$2:E61)/SUM($D$2:D61)</f>
        <v>166.80745749803148</v>
      </c>
      <c r="G61">
        <f ca="1">_xlfn.STDEV.P($C$2:C61)</f>
        <v>4.8526152713997668</v>
      </c>
      <c r="H61">
        <f t="shared" ca="1" si="2"/>
        <v>171.66007276943125</v>
      </c>
      <c r="I61">
        <f t="shared" ca="1" si="3"/>
        <v>161.95484222663171</v>
      </c>
      <c r="J61">
        <f t="shared" ca="1" si="12"/>
        <v>163.41000000000003</v>
      </c>
      <c r="K61">
        <f t="shared" ca="1" si="13"/>
        <v>3.8777462255121415</v>
      </c>
      <c r="L61">
        <f t="shared" ca="1" si="14"/>
        <v>171.16549245102431</v>
      </c>
      <c r="M61">
        <f t="shared" ca="1" si="15"/>
        <v>155.65450754897574</v>
      </c>
      <c r="N61">
        <f t="shared" ca="1" si="4"/>
        <v>-0.63999999999998636</v>
      </c>
      <c r="O61">
        <f t="shared" ca="1" si="5"/>
        <v>0</v>
      </c>
      <c r="P61">
        <f t="shared" ca="1" si="6"/>
        <v>0.63999999999998636</v>
      </c>
      <c r="Q61">
        <f t="shared" ca="1" si="10"/>
        <v>0.70773221813054354</v>
      </c>
      <c r="R61">
        <f t="shared" ca="1" si="11"/>
        <v>1.059965232827129</v>
      </c>
      <c r="S61">
        <f t="shared" ca="1" si="8"/>
        <v>0.66769380373249321</v>
      </c>
      <c r="T61">
        <f t="shared" ca="1" si="9"/>
        <v>40.036954160177167</v>
      </c>
      <c r="U61">
        <f>70</f>
        <v>70</v>
      </c>
      <c r="V61">
        <f>30</f>
        <v>30</v>
      </c>
      <c r="W61">
        <f t="shared" ca="1" si="7"/>
        <v>160.97421377533345</v>
      </c>
      <c r="X61">
        <f t="shared" ca="1" si="17"/>
        <v>163.18539088628532</v>
      </c>
      <c r="Y61">
        <f t="shared" ca="1" si="16"/>
        <v>-2.3117679395119524</v>
      </c>
      <c r="Z61">
        <f t="shared" ca="1" si="18"/>
        <v>-1.9419864709235886</v>
      </c>
      <c r="AA61">
        <f t="shared" ca="1" si="19"/>
        <v>-0.3697814685883638</v>
      </c>
    </row>
    <row r="62" spans="1:27" x14ac:dyDescent="0.25">
      <c r="A62" s="20">
        <f t="shared" ca="1" si="0"/>
        <v>45782</v>
      </c>
      <c r="B62" vm="181">
        <f ca="1"/>
        <v>45786</v>
      </c>
      <c r="C62" vm="182">
        <f ca="1"/>
        <v>157.66</v>
      </c>
      <c r="D62" vm="183">
        <f ca="1"/>
        <v>6453232</v>
      </c>
      <c r="E62">
        <f t="shared" ca="1" si="1"/>
        <v>1017416557.12</v>
      </c>
      <c r="F62">
        <f ca="1">SUM($E$2:E62)/SUM($D$2:D62)</f>
        <v>166.69736037112597</v>
      </c>
      <c r="G62">
        <f ca="1">_xlfn.STDEV.P($C$2:C62)</f>
        <v>4.9614128825281645</v>
      </c>
      <c r="H62">
        <f t="shared" ca="1" si="2"/>
        <v>171.65877325365412</v>
      </c>
      <c r="I62">
        <f t="shared" ca="1" si="3"/>
        <v>161.73594748859782</v>
      </c>
      <c r="J62">
        <f t="shared" ca="1" si="12"/>
        <v>163.11499999999998</v>
      </c>
      <c r="K62">
        <f t="shared" ca="1" si="13"/>
        <v>4.0846368130761421</v>
      </c>
      <c r="L62">
        <f t="shared" ca="1" si="14"/>
        <v>171.28427362615227</v>
      </c>
      <c r="M62">
        <f t="shared" ca="1" si="15"/>
        <v>154.94572637384769</v>
      </c>
      <c r="N62">
        <f t="shared" ca="1" si="4"/>
        <v>-0.99000000000000909</v>
      </c>
      <c r="O62">
        <f t="shared" ca="1" si="5"/>
        <v>0</v>
      </c>
      <c r="P62">
        <f t="shared" ca="1" si="6"/>
        <v>0.99000000000000909</v>
      </c>
      <c r="Q62">
        <f t="shared" ca="1" si="10"/>
        <v>0.6571799168355047</v>
      </c>
      <c r="R62">
        <f t="shared" ca="1" si="11"/>
        <v>1.0549677161966204</v>
      </c>
      <c r="S62">
        <f t="shared" ca="1" si="8"/>
        <v>0.62293841484057533</v>
      </c>
      <c r="T62">
        <f t="shared" ca="1" si="9"/>
        <v>38.383367424435995</v>
      </c>
      <c r="U62">
        <f>70</f>
        <v>70</v>
      </c>
      <c r="V62">
        <f>30</f>
        <v>30</v>
      </c>
      <c r="W62">
        <f t="shared" ca="1" si="7"/>
        <v>160.46433473297446</v>
      </c>
      <c r="X62">
        <f t="shared" ca="1" si="17"/>
        <v>162.77610267248642</v>
      </c>
      <c r="Y62">
        <f t="shared" ca="1" si="16"/>
        <v>-2.105771945483383</v>
      </c>
      <c r="Z62">
        <f t="shared" ca="1" si="18"/>
        <v>-1.9747435658355477</v>
      </c>
      <c r="AA62">
        <f t="shared" ca="1" si="19"/>
        <v>-0.13102837964783531</v>
      </c>
    </row>
    <row r="63" spans="1:27" x14ac:dyDescent="0.25">
      <c r="A63" s="20">
        <f t="shared" ca="1" si="0"/>
        <v>45789</v>
      </c>
      <c r="B63" vm="184">
        <f ca="1"/>
        <v>45789</v>
      </c>
      <c r="C63" vm="185">
        <f ca="1"/>
        <v>160.9</v>
      </c>
      <c r="D63" vm="186">
        <f ca="1"/>
        <v>7378380</v>
      </c>
      <c r="E63">
        <f t="shared" ca="1" si="1"/>
        <v>1187181342</v>
      </c>
      <c r="F63">
        <f ca="1">SUM($E$2:E63)/SUM($D$2:D63)</f>
        <v>166.61866414316626</v>
      </c>
      <c r="G63">
        <f ca="1">_xlfn.STDEV.P($C$2:C63)</f>
        <v>4.9808611461818755</v>
      </c>
      <c r="H63">
        <f t="shared" ca="1" si="2"/>
        <v>171.59952528934812</v>
      </c>
      <c r="I63">
        <f t="shared" ca="1" si="3"/>
        <v>161.63780299698439</v>
      </c>
      <c r="J63">
        <f t="shared" ca="1" si="12"/>
        <v>162.81449999999998</v>
      </c>
      <c r="K63">
        <f t="shared" ca="1" si="13"/>
        <v>4.01116268089834</v>
      </c>
      <c r="L63">
        <f t="shared" ca="1" si="14"/>
        <v>170.83682536179666</v>
      </c>
      <c r="M63">
        <f t="shared" ca="1" si="15"/>
        <v>154.79217463820331</v>
      </c>
      <c r="N63">
        <f t="shared" ca="1" si="4"/>
        <v>3.2400000000000091</v>
      </c>
      <c r="O63">
        <f t="shared" ca="1" si="5"/>
        <v>3.2400000000000091</v>
      </c>
      <c r="P63">
        <f t="shared" ca="1" si="6"/>
        <v>0</v>
      </c>
      <c r="Q63">
        <f t="shared" ca="1" si="10"/>
        <v>0.84166706563296934</v>
      </c>
      <c r="R63">
        <f t="shared" ca="1" si="11"/>
        <v>0.97961287932543328</v>
      </c>
      <c r="S63">
        <f t="shared" ca="1" si="8"/>
        <v>0.85918334006852359</v>
      </c>
      <c r="T63">
        <f t="shared" ca="1" si="9"/>
        <v>46.21294315367826</v>
      </c>
      <c r="U63">
        <f>70</f>
        <v>70</v>
      </c>
      <c r="V63">
        <f>30</f>
        <v>30</v>
      </c>
      <c r="W63">
        <f t="shared" ca="1" si="7"/>
        <v>160.53136015867071</v>
      </c>
      <c r="X63">
        <f t="shared" ca="1" si="17"/>
        <v>162.63713210415409</v>
      </c>
      <c r="Y63">
        <f t="shared" ca="1" si="16"/>
        <v>-2.0934870846863021</v>
      </c>
      <c r="Z63">
        <f t="shared" ca="1" si="18"/>
        <v>-1.9984922696056986</v>
      </c>
      <c r="AA63">
        <f t="shared" ca="1" si="19"/>
        <v>-9.4994815080603479E-2</v>
      </c>
    </row>
    <row r="64" spans="1:27" x14ac:dyDescent="0.25">
      <c r="A64" s="20">
        <f t="shared" ca="1" si="0"/>
        <v>45789</v>
      </c>
      <c r="B64" vm="187">
        <f ca="1"/>
        <v>45790</v>
      </c>
      <c r="C64" vm="188">
        <f ca="1"/>
        <v>158.72999999999999</v>
      </c>
      <c r="D64" vm="189">
        <f ca="1"/>
        <v>7780827</v>
      </c>
      <c r="E64">
        <f t="shared" ca="1" si="1"/>
        <v>1235050669.71</v>
      </c>
      <c r="F64">
        <f ca="1">SUM($E$2:E64)/SUM($D$2:D64)</f>
        <v>166.50733239706341</v>
      </c>
      <c r="G64">
        <f ca="1">_xlfn.STDEV.P($C$2:C64)</f>
        <v>5.0456081349275603</v>
      </c>
      <c r="H64">
        <f t="shared" ca="1" si="2"/>
        <v>171.55294053199097</v>
      </c>
      <c r="I64">
        <f t="shared" ca="1" si="3"/>
        <v>161.46172426213585</v>
      </c>
      <c r="J64">
        <f t="shared" ca="1" si="12"/>
        <v>162.2945</v>
      </c>
      <c r="K64">
        <f t="shared" ca="1" si="13"/>
        <v>3.8188500266854906</v>
      </c>
      <c r="L64">
        <f t="shared" ca="1" si="14"/>
        <v>169.93220005337099</v>
      </c>
      <c r="M64">
        <f t="shared" ca="1" si="15"/>
        <v>154.65679994662901</v>
      </c>
      <c r="N64">
        <f t="shared" ca="1" si="4"/>
        <v>-2.1700000000000159</v>
      </c>
      <c r="O64">
        <f t="shared" ca="1" si="5"/>
        <v>0</v>
      </c>
      <c r="P64">
        <f t="shared" ca="1" si="6"/>
        <v>2.1700000000000159</v>
      </c>
      <c r="Q64">
        <f t="shared" ca="1" si="10"/>
        <v>0.78154798951632876</v>
      </c>
      <c r="R64">
        <f t="shared" ca="1" si="11"/>
        <v>1.0646405308021891</v>
      </c>
      <c r="S64">
        <f t="shared" ca="1" si="8"/>
        <v>0.7340956566132657</v>
      </c>
      <c r="T64">
        <f t="shared" ca="1" si="9"/>
        <v>42.333054339515144</v>
      </c>
      <c r="U64">
        <f>70</f>
        <v>70</v>
      </c>
      <c r="V64">
        <f>30</f>
        <v>30</v>
      </c>
      <c r="W64">
        <f t="shared" ca="1" si="7"/>
        <v>160.2542278265675</v>
      </c>
      <c r="X64">
        <f t="shared" ca="1" si="17"/>
        <v>162.3477149112538</v>
      </c>
      <c r="Y64">
        <f t="shared" ca="1" si="16"/>
        <v>-2.1166429677120675</v>
      </c>
      <c r="Z64">
        <f t="shared" ca="1" si="18"/>
        <v>-2.0221224092269723</v>
      </c>
      <c r="AA64">
        <f t="shared" ca="1" si="19"/>
        <v>-9.4520558485095219E-2</v>
      </c>
    </row>
    <row r="65" spans="1:27" x14ac:dyDescent="0.25">
      <c r="A65" s="20">
        <f t="shared" ca="1" si="0"/>
        <v>45789</v>
      </c>
      <c r="B65" vm="190">
        <f ca="1"/>
        <v>45791</v>
      </c>
      <c r="C65" vm="191">
        <f ca="1"/>
        <v>158.02000000000001</v>
      </c>
      <c r="D65" vm="192">
        <f ca="1"/>
        <v>5988905</v>
      </c>
      <c r="E65">
        <f t="shared" ca="1" si="1"/>
        <v>946366768.10000002</v>
      </c>
      <c r="F65">
        <f ca="1">SUM($E$2:E65)/SUM($D$2:D65)</f>
        <v>166.4161278975858</v>
      </c>
      <c r="G65">
        <f ca="1">_xlfn.STDEV.P($C$2:C65)</f>
        <v>5.1223392387993751</v>
      </c>
      <c r="H65">
        <f t="shared" ca="1" si="2"/>
        <v>171.53846713638518</v>
      </c>
      <c r="I65">
        <f t="shared" ca="1" si="3"/>
        <v>161.29378865878641</v>
      </c>
      <c r="J65">
        <f t="shared" ca="1" si="12"/>
        <v>161.77199999999999</v>
      </c>
      <c r="K65">
        <f t="shared" ca="1" si="13"/>
        <v>3.6401497944886509</v>
      </c>
      <c r="L65">
        <f t="shared" ca="1" si="14"/>
        <v>169.05229958897729</v>
      </c>
      <c r="M65">
        <f t="shared" ca="1" si="15"/>
        <v>154.49170041102269</v>
      </c>
      <c r="N65">
        <f t="shared" ca="1" si="4"/>
        <v>-0.70999999999997954</v>
      </c>
      <c r="O65">
        <f t="shared" ca="1" si="5"/>
        <v>0</v>
      </c>
      <c r="P65">
        <f t="shared" ca="1" si="6"/>
        <v>0.70999999999997954</v>
      </c>
      <c r="Q65">
        <f t="shared" ca="1" si="10"/>
        <v>0.7257231331223053</v>
      </c>
      <c r="R65">
        <f t="shared" ca="1" si="11"/>
        <v>1.039309064316317</v>
      </c>
      <c r="S65">
        <f t="shared" ca="1" si="8"/>
        <v>0.69827461150808279</v>
      </c>
      <c r="T65">
        <f t="shared" ca="1" si="9"/>
        <v>41.11670790909421</v>
      </c>
      <c r="U65">
        <f>70</f>
        <v>70</v>
      </c>
      <c r="V65">
        <f>30</f>
        <v>30</v>
      </c>
      <c r="W65">
        <f t="shared" ca="1" si="7"/>
        <v>159.91050046863404</v>
      </c>
      <c r="X65">
        <f t="shared" ca="1" si="17"/>
        <v>162.02714343634611</v>
      </c>
      <c r="Y65">
        <f t="shared" ca="1" si="16"/>
        <v>-1.7604643237269784</v>
      </c>
      <c r="Z65">
        <f t="shared" ca="1" si="18"/>
        <v>-1.9697907921269735</v>
      </c>
      <c r="AA65">
        <f t="shared" ca="1" si="19"/>
        <v>0.20932646839999514</v>
      </c>
    </row>
    <row r="66" spans="1:27" x14ac:dyDescent="0.25">
      <c r="A66" s="20">
        <f t="shared" ca="1" si="0"/>
        <v>45789</v>
      </c>
      <c r="B66" vm="193">
        <f ca="1"/>
        <v>45792</v>
      </c>
      <c r="C66" vm="194">
        <f ca="1"/>
        <v>162.41</v>
      </c>
      <c r="D66" vm="195">
        <f ca="1"/>
        <v>8727316</v>
      </c>
      <c r="E66">
        <f t="shared" ca="1" si="1"/>
        <v>1417403391.5599999</v>
      </c>
      <c r="F66">
        <f ca="1">SUM($E$2:E66)/SUM($D$2:D66)</f>
        <v>166.35436111228577</v>
      </c>
      <c r="G66">
        <f ca="1">_xlfn.STDEV.P($C$2:C66)</f>
        <v>5.1093103461247837</v>
      </c>
      <c r="H66">
        <f t="shared" ca="1" si="2"/>
        <v>171.46367145841054</v>
      </c>
      <c r="I66">
        <f t="shared" ca="1" si="3"/>
        <v>161.245050766161</v>
      </c>
      <c r="J66">
        <f t="shared" ca="1" si="12"/>
        <v>161.57299999999998</v>
      </c>
      <c r="K66">
        <f t="shared" ca="1" si="13"/>
        <v>3.4796568191342305</v>
      </c>
      <c r="L66">
        <f t="shared" ca="1" si="14"/>
        <v>168.53231363826845</v>
      </c>
      <c r="M66">
        <f t="shared" ca="1" si="15"/>
        <v>154.61368636173151</v>
      </c>
      <c r="N66">
        <f t="shared" ca="1" si="4"/>
        <v>4.3899999999999864</v>
      </c>
      <c r="O66">
        <f t="shared" ca="1" si="5"/>
        <v>4.3899999999999864</v>
      </c>
      <c r="P66">
        <f t="shared" ca="1" si="6"/>
        <v>0</v>
      </c>
      <c r="Q66">
        <f t="shared" ca="1" si="10"/>
        <v>0.98745719504213969</v>
      </c>
      <c r="R66">
        <f t="shared" ca="1" si="11"/>
        <v>0.96507270257943722</v>
      </c>
      <c r="S66">
        <f t="shared" ca="1" si="8"/>
        <v>1.0231946177763327</v>
      </c>
      <c r="T66">
        <f t="shared" ca="1" si="9"/>
        <v>50.573217662120548</v>
      </c>
      <c r="U66">
        <f>70</f>
        <v>70</v>
      </c>
      <c r="V66">
        <f>30</f>
        <v>30</v>
      </c>
      <c r="W66">
        <f t="shared" ca="1" si="7"/>
        <v>160.29503885807497</v>
      </c>
      <c r="X66">
        <f t="shared" ca="1" si="17"/>
        <v>162.05550318180195</v>
      </c>
      <c r="Y66">
        <f t="shared" ca="1" si="16"/>
        <v>-1.3919430006762639</v>
      </c>
      <c r="Z66">
        <f t="shared" ca="1" si="18"/>
        <v>-1.8542212338368316</v>
      </c>
      <c r="AA66">
        <f t="shared" ca="1" si="19"/>
        <v>0.46227823316056771</v>
      </c>
    </row>
    <row r="67" spans="1:27" x14ac:dyDescent="0.25">
      <c r="A67" s="20">
        <f t="shared" ref="A67:A130" ca="1" si="20">B67 - WEEKDAY(B67, 2) + 1</f>
        <v>45789</v>
      </c>
      <c r="B67" vm="196">
        <f ca="1"/>
        <v>45793</v>
      </c>
      <c r="C67" vm="197">
        <f ca="1"/>
        <v>163.28</v>
      </c>
      <c r="D67" vm="198">
        <f ca="1"/>
        <v>7100784</v>
      </c>
      <c r="E67">
        <f t="shared" ref="E67:E130" ca="1" si="21">C67*D67</f>
        <v>1159416011.52</v>
      </c>
      <c r="F67">
        <f ca="1">SUM($E$2:E67)/SUM($D$2:D67)</f>
        <v>166.3162723800028</v>
      </c>
      <c r="G67">
        <f ca="1">_xlfn.STDEV.P($C$2:C67)</f>
        <v>5.0863550360548704</v>
      </c>
      <c r="H67">
        <f t="shared" ref="H67:H130" ca="1" si="22">F67 + G67</f>
        <v>171.40262741605767</v>
      </c>
      <c r="I67">
        <f t="shared" ref="I67:I130" ca="1" si="23">F67 - G67</f>
        <v>161.22991734394793</v>
      </c>
      <c r="J67">
        <f t="shared" ca="1" si="12"/>
        <v>161.2055</v>
      </c>
      <c r="K67">
        <f t="shared" ca="1" si="13"/>
        <v>2.7931843269305578</v>
      </c>
      <c r="L67">
        <f t="shared" ca="1" si="14"/>
        <v>166.79186865386112</v>
      </c>
      <c r="M67">
        <f t="shared" ca="1" si="15"/>
        <v>155.61913134613889</v>
      </c>
      <c r="N67">
        <f t="shared" ca="1" si="4"/>
        <v>0.87000000000000455</v>
      </c>
      <c r="O67">
        <f t="shared" ca="1" si="5"/>
        <v>0.87000000000000455</v>
      </c>
      <c r="P67">
        <f t="shared" ca="1" si="6"/>
        <v>0</v>
      </c>
      <c r="Q67">
        <f t="shared" ca="1" si="10"/>
        <v>0.97906739539627285</v>
      </c>
      <c r="R67">
        <f t="shared" ca="1" si="11"/>
        <v>0.89613893810947742</v>
      </c>
      <c r="S67">
        <f t="shared" ca="1" si="8"/>
        <v>1.0925397321332158</v>
      </c>
      <c r="T67">
        <f t="shared" ca="1" si="9"/>
        <v>52.211182199127876</v>
      </c>
      <c r="U67">
        <f>70</f>
        <v>70</v>
      </c>
      <c r="V67">
        <f>30</f>
        <v>30</v>
      </c>
      <c r="W67">
        <f t="shared" ca="1" si="7"/>
        <v>160.75426364914037</v>
      </c>
      <c r="X67">
        <f t="shared" ca="1" si="17"/>
        <v>162.14620664981663</v>
      </c>
      <c r="Y67">
        <f t="shared" ca="1" si="16"/>
        <v>-0.96849247121284066</v>
      </c>
      <c r="Z67">
        <f t="shared" ca="1" si="18"/>
        <v>-1.6770754813120334</v>
      </c>
      <c r="AA67">
        <f t="shared" ca="1" si="19"/>
        <v>0.70858301009919278</v>
      </c>
    </row>
    <row r="68" spans="1:27" x14ac:dyDescent="0.25">
      <c r="A68" s="20">
        <f t="shared" ca="1" si="20"/>
        <v>45796</v>
      </c>
      <c r="B68" vm="199">
        <f ca="1"/>
        <v>45796</v>
      </c>
      <c r="C68" vm="200">
        <f ca="1"/>
        <v>164.77</v>
      </c>
      <c r="D68" vm="201">
        <f ca="1"/>
        <v>8120219</v>
      </c>
      <c r="E68">
        <f t="shared" ca="1" si="21"/>
        <v>1337968484.6300001</v>
      </c>
      <c r="F68">
        <f ca="1">SUM($E$2:E68)/SUM($D$2:D68)</f>
        <v>166.29467111165957</v>
      </c>
      <c r="G68">
        <f ca="1">_xlfn.STDEV.P($C$2:C68)</f>
        <v>5.0527113560173369</v>
      </c>
      <c r="H68">
        <f t="shared" ca="1" si="22"/>
        <v>171.34738246767691</v>
      </c>
      <c r="I68">
        <f t="shared" ca="1" si="23"/>
        <v>161.24195975564223</v>
      </c>
      <c r="J68">
        <f t="shared" ca="1" si="12"/>
        <v>161.15649999999999</v>
      </c>
      <c r="K68">
        <f t="shared" ca="1" si="13"/>
        <v>2.7168175558139596</v>
      </c>
      <c r="L68">
        <f t="shared" ca="1" si="14"/>
        <v>166.59013511162792</v>
      </c>
      <c r="M68">
        <f t="shared" ca="1" si="15"/>
        <v>155.72286488837207</v>
      </c>
      <c r="N68">
        <f t="shared" ref="N68:N131" ca="1" si="24">C68-C67</f>
        <v>1.4900000000000091</v>
      </c>
      <c r="O68">
        <f t="shared" ref="O68:O131" ca="1" si="25">MAX(N68,0)</f>
        <v>1.4900000000000091</v>
      </c>
      <c r="P68">
        <f t="shared" ref="P68:P131" ca="1" si="26">MAX(-N68,0)</f>
        <v>0</v>
      </c>
      <c r="Q68">
        <f t="shared" ca="1" si="10"/>
        <v>1.0155625814393969</v>
      </c>
      <c r="R68">
        <f t="shared" ca="1" si="11"/>
        <v>0.83212901395880046</v>
      </c>
      <c r="S68">
        <f t="shared" ca="1" si="8"/>
        <v>1.2204388555182364</v>
      </c>
      <c r="T68">
        <f t="shared" ca="1" si="9"/>
        <v>54.963857819601778</v>
      </c>
      <c r="U68">
        <f>70</f>
        <v>70</v>
      </c>
      <c r="V68">
        <f>30</f>
        <v>30</v>
      </c>
      <c r="W68">
        <f t="shared" ca="1" si="7"/>
        <v>161.37206924158033</v>
      </c>
      <c r="X68">
        <f t="shared" ca="1" si="17"/>
        <v>162.34056171279317</v>
      </c>
      <c r="Y68">
        <f t="shared" ca="1" si="16"/>
        <v>-0.55629057523765368</v>
      </c>
      <c r="Z68">
        <f t="shared" ca="1" si="18"/>
        <v>-1.4529185000971576</v>
      </c>
      <c r="AA68">
        <f t="shared" ca="1" si="19"/>
        <v>0.89662792485950393</v>
      </c>
    </row>
    <row r="69" spans="1:27" x14ac:dyDescent="0.25">
      <c r="A69" s="20">
        <f t="shared" ca="1" si="20"/>
        <v>45796</v>
      </c>
      <c r="B69" vm="202">
        <f ca="1"/>
        <v>45797</v>
      </c>
      <c r="C69" vm="203">
        <f ca="1"/>
        <v>165.64</v>
      </c>
      <c r="D69" vm="204">
        <f ca="1"/>
        <v>5576561</v>
      </c>
      <c r="E69">
        <f t="shared" ca="1" si="21"/>
        <v>923701564.03999996</v>
      </c>
      <c r="F69">
        <f ca="1">SUM($E$2:E69)/SUM($D$2:D69)</f>
        <v>166.28844999337753</v>
      </c>
      <c r="G69">
        <f ca="1">_xlfn.STDEV.P($C$2:C69)</f>
        <v>5.0164741922788076</v>
      </c>
      <c r="H69">
        <f t="shared" ca="1" si="22"/>
        <v>171.30492418565635</v>
      </c>
      <c r="I69">
        <f t="shared" ca="1" si="23"/>
        <v>161.27197580109871</v>
      </c>
      <c r="J69">
        <f t="shared" ca="1" si="12"/>
        <v>161.0445</v>
      </c>
      <c r="K69">
        <f t="shared" ca="1" si="13"/>
        <v>2.4589931080145679</v>
      </c>
      <c r="L69">
        <f t="shared" ca="1" si="14"/>
        <v>165.96248621602913</v>
      </c>
      <c r="M69">
        <f t="shared" ca="1" si="15"/>
        <v>156.12651378397086</v>
      </c>
      <c r="N69">
        <f t="shared" ca="1" si="24"/>
        <v>0.86999999999997613</v>
      </c>
      <c r="O69">
        <f t="shared" ca="1" si="25"/>
        <v>0.86999999999997613</v>
      </c>
      <c r="P69">
        <f t="shared" ca="1" si="26"/>
        <v>0</v>
      </c>
      <c r="Q69">
        <f t="shared" ca="1" si="10"/>
        <v>1.0051652541937239</v>
      </c>
      <c r="R69">
        <f t="shared" ca="1" si="11"/>
        <v>0.77269122724745753</v>
      </c>
      <c r="S69">
        <f t="shared" ca="1" si="8"/>
        <v>1.3008627751273998</v>
      </c>
      <c r="T69">
        <f t="shared" ca="1" si="9"/>
        <v>56.538042563419303</v>
      </c>
      <c r="U69">
        <f>70</f>
        <v>70</v>
      </c>
      <c r="V69">
        <f>30</f>
        <v>30</v>
      </c>
      <c r="W69">
        <f t="shared" ca="1" si="7"/>
        <v>162.02867397364491</v>
      </c>
      <c r="X69">
        <f t="shared" ca="1" si="17"/>
        <v>162.58496454888257</v>
      </c>
      <c r="Y69">
        <f t="shared" ca="1" si="16"/>
        <v>-0.24375301485557088</v>
      </c>
      <c r="Z69">
        <f t="shared" ca="1" si="18"/>
        <v>-1.2110854030488403</v>
      </c>
      <c r="AA69">
        <f t="shared" ca="1" si="19"/>
        <v>0.96733238819326939</v>
      </c>
    </row>
    <row r="70" spans="1:27" x14ac:dyDescent="0.25">
      <c r="A70" s="20">
        <f t="shared" ca="1" si="20"/>
        <v>45796</v>
      </c>
      <c r="B70" vm="205">
        <f ca="1"/>
        <v>45798</v>
      </c>
      <c r="C70" vm="11">
        <f ca="1"/>
        <v>165.43</v>
      </c>
      <c r="D70" vm="206">
        <f ca="1"/>
        <v>6424153</v>
      </c>
      <c r="E70">
        <f t="shared" ca="1" si="21"/>
        <v>1062747630.7900001</v>
      </c>
      <c r="F70">
        <f ca="1">SUM($E$2:E70)/SUM($D$2:D70)</f>
        <v>166.27915431009868</v>
      </c>
      <c r="G70">
        <f ca="1">_xlfn.STDEV.P($C$2:C70)</f>
        <v>4.9815745484883207</v>
      </c>
      <c r="H70">
        <f t="shared" ca="1" si="22"/>
        <v>171.26072885858699</v>
      </c>
      <c r="I70">
        <f t="shared" ca="1" si="23"/>
        <v>161.29757976161036</v>
      </c>
      <c r="J70">
        <f t="shared" ca="1" si="12"/>
        <v>161.02949999999998</v>
      </c>
      <c r="K70">
        <f t="shared" ca="1" si="13"/>
        <v>2.4296468770931337</v>
      </c>
      <c r="L70">
        <f t="shared" ca="1" si="14"/>
        <v>165.88879375418625</v>
      </c>
      <c r="M70">
        <f t="shared" ca="1" si="15"/>
        <v>156.17020624581372</v>
      </c>
      <c r="N70">
        <f t="shared" ca="1" si="24"/>
        <v>-0.20999999999997954</v>
      </c>
      <c r="O70">
        <f t="shared" ca="1" si="25"/>
        <v>0</v>
      </c>
      <c r="P70">
        <f t="shared" ca="1" si="26"/>
        <v>0.20999999999997954</v>
      </c>
      <c r="Q70">
        <f t="shared" ca="1" si="10"/>
        <v>0.93336773603702938</v>
      </c>
      <c r="R70">
        <f t="shared" ca="1" si="11"/>
        <v>0.73249899672978047</v>
      </c>
      <c r="S70">
        <f t="shared" ca="1" si="8"/>
        <v>1.274223910481818</v>
      </c>
      <c r="T70">
        <f t="shared" ca="1" si="9"/>
        <v>56.028955838911237</v>
      </c>
      <c r="U70">
        <f>70</f>
        <v>70</v>
      </c>
      <c r="V70">
        <f>30</f>
        <v>30</v>
      </c>
      <c r="W70">
        <f t="shared" ca="1" si="7"/>
        <v>162.55195490077645</v>
      </c>
      <c r="X70">
        <f t="shared" ca="1" si="17"/>
        <v>162.79570791563202</v>
      </c>
      <c r="Y70">
        <f t="shared" ca="1" si="16"/>
        <v>-2.8018424643278195E-2</v>
      </c>
      <c r="Z70">
        <f t="shared" ca="1" si="18"/>
        <v>-0.97447200736772788</v>
      </c>
      <c r="AA70">
        <f t="shared" ca="1" si="19"/>
        <v>0.94645358272444968</v>
      </c>
    </row>
    <row r="71" spans="1:27" x14ac:dyDescent="0.25">
      <c r="A71" s="20">
        <f t="shared" ca="1" si="20"/>
        <v>45796</v>
      </c>
      <c r="B71" vm="207">
        <f ca="1"/>
        <v>45799</v>
      </c>
      <c r="C71" vm="208">
        <f ca="1"/>
        <v>165.03</v>
      </c>
      <c r="D71" vm="209">
        <f ca="1"/>
        <v>6245571</v>
      </c>
      <c r="E71">
        <f t="shared" ca="1" si="21"/>
        <v>1030706582.13</v>
      </c>
      <c r="F71">
        <f ca="1">SUM($E$2:E71)/SUM($D$2:D71)</f>
        <v>166.26614091629406</v>
      </c>
      <c r="G71">
        <f ca="1">_xlfn.STDEV.P($C$2:C71)</f>
        <v>4.9487983204336103</v>
      </c>
      <c r="H71">
        <f t="shared" ca="1" si="22"/>
        <v>171.21493923672767</v>
      </c>
      <c r="I71">
        <f t="shared" ca="1" si="23"/>
        <v>161.31734259586045</v>
      </c>
      <c r="J71">
        <f t="shared" ca="1" si="12"/>
        <v>161.30450000000002</v>
      </c>
      <c r="K71">
        <f t="shared" ca="1" si="13"/>
        <v>2.5588185493350344</v>
      </c>
      <c r="L71">
        <f t="shared" ca="1" si="14"/>
        <v>166.42213709867008</v>
      </c>
      <c r="M71">
        <f t="shared" ca="1" si="15"/>
        <v>156.18686290132996</v>
      </c>
      <c r="N71">
        <f t="shared" ca="1" si="24"/>
        <v>-0.40000000000000568</v>
      </c>
      <c r="O71">
        <f t="shared" ca="1" si="25"/>
        <v>0</v>
      </c>
      <c r="P71">
        <f t="shared" ca="1" si="26"/>
        <v>0.40000000000000568</v>
      </c>
      <c r="Q71">
        <f t="shared" ca="1" si="10"/>
        <v>0.86669861203438447</v>
      </c>
      <c r="R71">
        <f t="shared" ca="1" si="11"/>
        <v>0.70874906839193941</v>
      </c>
      <c r="S71">
        <f t="shared" ca="1" si="8"/>
        <v>1.222856791897889</v>
      </c>
      <c r="T71">
        <f t="shared" ca="1" si="9"/>
        <v>55.012846367570361</v>
      </c>
      <c r="U71">
        <f>70</f>
        <v>70</v>
      </c>
      <c r="V71">
        <f>30</f>
        <v>30</v>
      </c>
      <c r="W71">
        <f t="shared" ca="1" si="7"/>
        <v>162.93319260834932</v>
      </c>
      <c r="X71">
        <f t="shared" ca="1" si="17"/>
        <v>162.96121103299259</v>
      </c>
      <c r="Y71">
        <f t="shared" ca="1" si="16"/>
        <v>0.20753452694344787</v>
      </c>
      <c r="Z71">
        <f t="shared" ca="1" si="18"/>
        <v>-0.73807070050549273</v>
      </c>
      <c r="AA71">
        <f t="shared" ca="1" si="19"/>
        <v>0.9456052274489406</v>
      </c>
    </row>
    <row r="72" spans="1:27" x14ac:dyDescent="0.25">
      <c r="A72" s="20">
        <f t="shared" ca="1" si="20"/>
        <v>45796</v>
      </c>
      <c r="B72" vm="210">
        <f ca="1"/>
        <v>45800</v>
      </c>
      <c r="C72" vm="211">
        <f ca="1"/>
        <v>165.86</v>
      </c>
      <c r="D72" vm="212">
        <f ca="1"/>
        <v>5349868</v>
      </c>
      <c r="E72">
        <f t="shared" ca="1" si="21"/>
        <v>887329106.48000002</v>
      </c>
      <c r="F72">
        <f ca="1">SUM($E$2:E72)/SUM($D$2:D72)</f>
        <v>166.26254868894588</v>
      </c>
      <c r="G72">
        <f ca="1">_xlfn.STDEV.P($C$2:C72)</f>
        <v>4.9143082796954616</v>
      </c>
      <c r="H72">
        <f t="shared" ca="1" si="22"/>
        <v>171.17685696864135</v>
      </c>
      <c r="I72">
        <f t="shared" ca="1" si="23"/>
        <v>161.34824040925042</v>
      </c>
      <c r="J72">
        <f t="shared" ca="1" si="12"/>
        <v>161.54650000000001</v>
      </c>
      <c r="K72">
        <f t="shared" ca="1" si="13"/>
        <v>2.752069604000444</v>
      </c>
      <c r="L72">
        <f t="shared" ca="1" si="14"/>
        <v>167.05063920800089</v>
      </c>
      <c r="M72">
        <f t="shared" ca="1" si="15"/>
        <v>156.04236079199913</v>
      </c>
      <c r="N72">
        <f t="shared" ca="1" si="24"/>
        <v>0.83000000000001251</v>
      </c>
      <c r="O72">
        <f t="shared" ca="1" si="25"/>
        <v>0.83000000000001251</v>
      </c>
      <c r="P72">
        <f t="shared" ca="1" si="26"/>
        <v>0</v>
      </c>
      <c r="Q72">
        <f t="shared" ca="1" si="10"/>
        <v>0.86407728260335781</v>
      </c>
      <c r="R72">
        <f t="shared" ca="1" si="11"/>
        <v>0.65812413493537225</v>
      </c>
      <c r="S72">
        <f t="shared" ca="1" si="8"/>
        <v>1.3129396670556841</v>
      </c>
      <c r="T72">
        <f t="shared" ca="1" si="9"/>
        <v>56.764976871490312</v>
      </c>
      <c r="U72">
        <f>70</f>
        <v>70</v>
      </c>
      <c r="V72">
        <f>30</f>
        <v>30</v>
      </c>
      <c r="W72">
        <f t="shared" ca="1" si="7"/>
        <v>163.38347066860328</v>
      </c>
      <c r="X72">
        <f t="shared" ca="1" si="17"/>
        <v>163.17593614165983</v>
      </c>
      <c r="Y72">
        <f t="shared" ca="1" si="16"/>
        <v>0.54128644597074071</v>
      </c>
      <c r="Z72">
        <f t="shared" ca="1" si="18"/>
        <v>-0.48219927121024608</v>
      </c>
      <c r="AA72">
        <f t="shared" ca="1" si="19"/>
        <v>1.0234857171809868</v>
      </c>
    </row>
    <row r="73" spans="1:27" x14ac:dyDescent="0.25">
      <c r="A73" s="20">
        <f t="shared" ca="1" si="20"/>
        <v>45803</v>
      </c>
      <c r="B73" vm="213">
        <f ca="1"/>
        <v>45804</v>
      </c>
      <c r="C73" vm="214">
        <f ca="1"/>
        <v>167.76</v>
      </c>
      <c r="D73" vm="215">
        <f ca="1"/>
        <v>11423794</v>
      </c>
      <c r="E73">
        <f t="shared" ca="1" si="21"/>
        <v>1916455681.4399998</v>
      </c>
      <c r="F73">
        <f ca="1">SUM($E$2:E73)/SUM($D$2:D73)</f>
        <v>166.29030624439503</v>
      </c>
      <c r="G73">
        <f ca="1">_xlfn.STDEV.P($C$2:C73)</f>
        <v>4.8825166805452351</v>
      </c>
      <c r="H73">
        <f t="shared" ca="1" si="22"/>
        <v>171.17282292494025</v>
      </c>
      <c r="I73">
        <f t="shared" ca="1" si="23"/>
        <v>161.4077895638498</v>
      </c>
      <c r="J73">
        <f t="shared" ca="1" si="12"/>
        <v>161.84200000000001</v>
      </c>
      <c r="K73">
        <f t="shared" ca="1" si="13"/>
        <v>3.0836830337490224</v>
      </c>
      <c r="L73">
        <f t="shared" ca="1" si="14"/>
        <v>168.00936606749806</v>
      </c>
      <c r="M73">
        <f t="shared" ca="1" si="15"/>
        <v>155.67463393250196</v>
      </c>
      <c r="N73">
        <f t="shared" ca="1" si="24"/>
        <v>1.8999999999999773</v>
      </c>
      <c r="O73">
        <f t="shared" ca="1" si="25"/>
        <v>1.8999999999999773</v>
      </c>
      <c r="P73">
        <f t="shared" ca="1" si="26"/>
        <v>0</v>
      </c>
      <c r="Q73">
        <f t="shared" ca="1" si="10"/>
        <v>0.93807176241740209</v>
      </c>
      <c r="R73">
        <f t="shared" ca="1" si="11"/>
        <v>0.6111152681542743</v>
      </c>
      <c r="S73">
        <f t="shared" ca="1" si="8"/>
        <v>1.5350160784734126</v>
      </c>
      <c r="T73">
        <f t="shared" ca="1" si="9"/>
        <v>60.552518443898769</v>
      </c>
      <c r="U73">
        <f>70</f>
        <v>70</v>
      </c>
      <c r="V73">
        <f>30</f>
        <v>30</v>
      </c>
      <c r="W73">
        <f t="shared" ca="1" si="7"/>
        <v>164.05678287343355</v>
      </c>
      <c r="X73">
        <f t="shared" ca="1" si="17"/>
        <v>163.51549642746281</v>
      </c>
      <c r="Y73">
        <f t="shared" ca="1" si="16"/>
        <v>0.76469565380156723</v>
      </c>
      <c r="Z73">
        <f t="shared" ca="1" si="18"/>
        <v>-0.23282028620788342</v>
      </c>
      <c r="AA73">
        <f t="shared" ca="1" si="19"/>
        <v>0.99751594000945065</v>
      </c>
    </row>
    <row r="74" spans="1:27" x14ac:dyDescent="0.25">
      <c r="A74" s="20">
        <f t="shared" ca="1" si="20"/>
        <v>45803</v>
      </c>
      <c r="B74" vm="216">
        <f ca="1"/>
        <v>45805</v>
      </c>
      <c r="C74" vm="217">
        <f ca="1"/>
        <v>167.36</v>
      </c>
      <c r="D74" vm="218">
        <f ca="1"/>
        <v>5385942</v>
      </c>
      <c r="E74">
        <f t="shared" ca="1" si="21"/>
        <v>901391253.12000012</v>
      </c>
      <c r="F74">
        <f ca="1">SUM($E$2:E74)/SUM($D$2:D74)</f>
        <v>166.29957369557624</v>
      </c>
      <c r="G74">
        <f ca="1">_xlfn.STDEV.P($C$2:C74)</f>
        <v>4.8500989846992946</v>
      </c>
      <c r="H74">
        <f t="shared" ca="1" si="22"/>
        <v>171.14967268027553</v>
      </c>
      <c r="I74">
        <f t="shared" ca="1" si="23"/>
        <v>161.44947471087696</v>
      </c>
      <c r="J74">
        <f t="shared" ca="1" si="12"/>
        <v>162.09700000000001</v>
      </c>
      <c r="K74">
        <f t="shared" ca="1" si="13"/>
        <v>3.3217466870054349</v>
      </c>
      <c r="L74">
        <f t="shared" ca="1" si="14"/>
        <v>168.74049337401087</v>
      </c>
      <c r="M74">
        <f t="shared" ca="1" si="15"/>
        <v>155.45350662598915</v>
      </c>
      <c r="N74">
        <f t="shared" ca="1" si="24"/>
        <v>-0.39999999999997726</v>
      </c>
      <c r="O74">
        <f t="shared" ca="1" si="25"/>
        <v>0</v>
      </c>
      <c r="P74">
        <f t="shared" ca="1" si="26"/>
        <v>0.39999999999997726</v>
      </c>
      <c r="Q74">
        <f t="shared" ca="1" si="10"/>
        <v>0.8710666365304448</v>
      </c>
      <c r="R74">
        <f t="shared" ca="1" si="11"/>
        <v>0.59603560614325313</v>
      </c>
      <c r="S74">
        <f t="shared" ca="1" si="8"/>
        <v>1.4614338934662401</v>
      </c>
      <c r="T74">
        <f t="shared" ca="1" si="9"/>
        <v>59.37327414502365</v>
      </c>
      <c r="U74">
        <f>70</f>
        <v>70</v>
      </c>
      <c r="V74">
        <f>30</f>
        <v>30</v>
      </c>
      <c r="W74">
        <f t="shared" ca="1" si="7"/>
        <v>164.56497012367456</v>
      </c>
      <c r="X74">
        <f t="shared" ca="1" si="17"/>
        <v>163.80027446987299</v>
      </c>
      <c r="Y74">
        <f t="shared" ca="1" si="16"/>
        <v>1.0267433732838356</v>
      </c>
      <c r="Z74">
        <f t="shared" ca="1" si="18"/>
        <v>1.9092445690460369E-2</v>
      </c>
      <c r="AA74">
        <f t="shared" ca="1" si="19"/>
        <v>1.0076509275933752</v>
      </c>
    </row>
    <row r="75" spans="1:27" x14ac:dyDescent="0.25">
      <c r="A75" s="20">
        <f t="shared" ca="1" si="20"/>
        <v>45803</v>
      </c>
      <c r="B75" vm="219">
        <f ca="1"/>
        <v>45806</v>
      </c>
      <c r="C75" vm="220">
        <f ca="1"/>
        <v>168.56</v>
      </c>
      <c r="D75" vm="221">
        <f ca="1"/>
        <v>4842554</v>
      </c>
      <c r="E75">
        <f t="shared" ca="1" si="21"/>
        <v>816260902.24000001</v>
      </c>
      <c r="F75">
        <f ca="1">SUM($E$2:E75)/SUM($D$2:D75)</f>
        <v>166.31704535431152</v>
      </c>
      <c r="G75">
        <f ca="1">_xlfn.STDEV.P($C$2:C75)</f>
        <v>4.8232686860795368</v>
      </c>
      <c r="H75">
        <f t="shared" ca="1" si="22"/>
        <v>171.14031404039105</v>
      </c>
      <c r="I75">
        <f t="shared" ca="1" si="23"/>
        <v>161.49377666823199</v>
      </c>
      <c r="J75">
        <f t="shared" ca="1" si="12"/>
        <v>162.3965</v>
      </c>
      <c r="K75">
        <f t="shared" ca="1" si="13"/>
        <v>3.6230160087970913</v>
      </c>
      <c r="L75">
        <f t="shared" ca="1" si="14"/>
        <v>169.64253201759419</v>
      </c>
      <c r="M75">
        <f t="shared" ca="1" si="15"/>
        <v>155.15046798240581</v>
      </c>
      <c r="N75">
        <f t="shared" ca="1" si="24"/>
        <v>1.1999999999999886</v>
      </c>
      <c r="O75">
        <f t="shared" ca="1" si="25"/>
        <v>1.1999999999999886</v>
      </c>
      <c r="P75">
        <f t="shared" ca="1" si="26"/>
        <v>0</v>
      </c>
      <c r="Q75">
        <f t="shared" ca="1" si="10"/>
        <v>0.89456187677826937</v>
      </c>
      <c r="R75">
        <f t="shared" ca="1" si="11"/>
        <v>0.55346163427587791</v>
      </c>
      <c r="S75">
        <f t="shared" ca="1" si="8"/>
        <v>1.6163033196486516</v>
      </c>
      <c r="T75">
        <f t="shared" ca="1" si="9"/>
        <v>61.778132050289493</v>
      </c>
      <c r="U75">
        <f>70</f>
        <v>70</v>
      </c>
      <c r="V75">
        <f>30</f>
        <v>30</v>
      </c>
      <c r="W75">
        <f t="shared" ca="1" si="7"/>
        <v>165.1795901046477</v>
      </c>
      <c r="X75">
        <f t="shared" ca="1" si="17"/>
        <v>164.15284673136387</v>
      </c>
      <c r="Y75">
        <f t="shared" ca="1" si="16"/>
        <v>1.3264475025273725</v>
      </c>
      <c r="Z75">
        <f t="shared" ca="1" si="18"/>
        <v>0.2805634570578428</v>
      </c>
      <c r="AA75">
        <f t="shared" ca="1" si="19"/>
        <v>1.0458840454695297</v>
      </c>
    </row>
    <row r="76" spans="1:27" x14ac:dyDescent="0.25">
      <c r="A76" s="20">
        <f t="shared" ca="1" si="20"/>
        <v>45803</v>
      </c>
      <c r="B76" vm="222">
        <f ca="1"/>
        <v>45807</v>
      </c>
      <c r="C76" vm="223">
        <f ca="1"/>
        <v>169.89</v>
      </c>
      <c r="D76" vm="224">
        <f ca="1"/>
        <v>12587537</v>
      </c>
      <c r="E76">
        <f t="shared" ca="1" si="21"/>
        <v>2138496660.9299998</v>
      </c>
      <c r="F76">
        <f ca="1">SUM($E$2:E76)/SUM($D$2:D76)</f>
        <v>166.38741712733716</v>
      </c>
      <c r="G76">
        <f ca="1">_xlfn.STDEV.P($C$2:C76)</f>
        <v>4.8067928859988234</v>
      </c>
      <c r="H76">
        <f t="shared" ca="1" si="22"/>
        <v>171.19421001333598</v>
      </c>
      <c r="I76">
        <f t="shared" ca="1" si="23"/>
        <v>161.58062424133834</v>
      </c>
      <c r="J76">
        <f t="shared" ca="1" si="12"/>
        <v>162.892</v>
      </c>
      <c r="K76">
        <f t="shared" ca="1" si="13"/>
        <v>3.9390175104165772</v>
      </c>
      <c r="L76">
        <f t="shared" ca="1" si="14"/>
        <v>170.77003502083315</v>
      </c>
      <c r="M76">
        <f t="shared" ca="1" si="15"/>
        <v>155.01396497916684</v>
      </c>
      <c r="N76">
        <f t="shared" ca="1" si="24"/>
        <v>1.3299999999999841</v>
      </c>
      <c r="O76">
        <f t="shared" ca="1" si="25"/>
        <v>1.3299999999999841</v>
      </c>
      <c r="P76">
        <f t="shared" ca="1" si="26"/>
        <v>0</v>
      </c>
      <c r="Q76">
        <f t="shared" ca="1" si="10"/>
        <v>0.92566459986553462</v>
      </c>
      <c r="R76">
        <f t="shared" ca="1" si="11"/>
        <v>0.51392866039902951</v>
      </c>
      <c r="S76">
        <f t="shared" ca="1" si="8"/>
        <v>1.801153878335606</v>
      </c>
      <c r="T76">
        <f t="shared" ca="1" si="9"/>
        <v>64.300426058914638</v>
      </c>
      <c r="U76">
        <f>70</f>
        <v>70</v>
      </c>
      <c r="V76">
        <f>30</f>
        <v>30</v>
      </c>
      <c r="W76">
        <f t="shared" ca="1" si="7"/>
        <v>165.9042685500865</v>
      </c>
      <c r="X76">
        <f t="shared" ca="1" si="17"/>
        <v>164.57782104755913</v>
      </c>
      <c r="Y76">
        <f t="shared" ca="1" si="16"/>
        <v>1.3778231308232591</v>
      </c>
      <c r="Z76">
        <f t="shared" ca="1" si="18"/>
        <v>0.50001539181092602</v>
      </c>
      <c r="AA76">
        <f t="shared" ca="1" si="19"/>
        <v>0.87780773901233311</v>
      </c>
    </row>
    <row r="77" spans="1:27" x14ac:dyDescent="0.25">
      <c r="A77" s="20">
        <f t="shared" ca="1" si="20"/>
        <v>45810</v>
      </c>
      <c r="B77" vm="225">
        <f ca="1"/>
        <v>45810</v>
      </c>
      <c r="C77" vm="226">
        <f ca="1"/>
        <v>167.78</v>
      </c>
      <c r="D77" vm="227">
        <f ca="1"/>
        <v>7574428</v>
      </c>
      <c r="E77">
        <f t="shared" ca="1" si="21"/>
        <v>1270837529.8399999</v>
      </c>
      <c r="F77">
        <f ca="1">SUM($E$2:E77)/SUM($D$2:D77)</f>
        <v>166.40372826533502</v>
      </c>
      <c r="G77">
        <f ca="1">_xlfn.STDEV.P($C$2:C77)</f>
        <v>4.7771497223994981</v>
      </c>
      <c r="H77">
        <f t="shared" ca="1" si="22"/>
        <v>171.1808779877345</v>
      </c>
      <c r="I77">
        <f t="shared" ca="1" si="23"/>
        <v>161.62657854293553</v>
      </c>
      <c r="J77">
        <f t="shared" ca="1" si="12"/>
        <v>163.25500000000002</v>
      </c>
      <c r="K77">
        <f t="shared" ca="1" si="13"/>
        <v>4.0420949492741212</v>
      </c>
      <c r="L77">
        <f t="shared" ca="1" si="14"/>
        <v>171.33918989854826</v>
      </c>
      <c r="M77">
        <f t="shared" ca="1" si="15"/>
        <v>155.17081010145179</v>
      </c>
      <c r="N77">
        <f t="shared" ca="1" si="24"/>
        <v>-2.1099999999999852</v>
      </c>
      <c r="O77">
        <f t="shared" ca="1" si="25"/>
        <v>0</v>
      </c>
      <c r="P77">
        <f t="shared" ca="1" si="26"/>
        <v>2.1099999999999852</v>
      </c>
      <c r="Q77">
        <f t="shared" ca="1" si="10"/>
        <v>0.85954569987513929</v>
      </c>
      <c r="R77">
        <f t="shared" ca="1" si="11"/>
        <v>0.62793375608481206</v>
      </c>
      <c r="S77">
        <f t="shared" ca="1" si="8"/>
        <v>1.368847735204483</v>
      </c>
      <c r="T77">
        <f t="shared" ca="1" si="9"/>
        <v>57.785382946376735</v>
      </c>
      <c r="U77">
        <f>70</f>
        <v>70</v>
      </c>
      <c r="V77">
        <f>30</f>
        <v>30</v>
      </c>
      <c r="W77">
        <f t="shared" ca="1" si="7"/>
        <v>166.19284261930395</v>
      </c>
      <c r="X77">
        <f t="shared" ca="1" si="17"/>
        <v>164.81501948848069</v>
      </c>
      <c r="Y77">
        <f t="shared" ca="1" si="16"/>
        <v>1.3281849691653917</v>
      </c>
      <c r="Z77">
        <f t="shared" ca="1" si="18"/>
        <v>0.66564930728181926</v>
      </c>
      <c r="AA77">
        <f t="shared" ca="1" si="19"/>
        <v>0.66253566188357249</v>
      </c>
    </row>
    <row r="78" spans="1:27" x14ac:dyDescent="0.25">
      <c r="A78" s="20">
        <f t="shared" ca="1" si="20"/>
        <v>45810</v>
      </c>
      <c r="B78" vm="228">
        <f ca="1"/>
        <v>45811</v>
      </c>
      <c r="C78" vm="229">
        <f ca="1"/>
        <v>166.85</v>
      </c>
      <c r="D78" vm="230">
        <f ca="1"/>
        <v>6223447</v>
      </c>
      <c r="E78">
        <f t="shared" ca="1" si="21"/>
        <v>1038382131.9499999</v>
      </c>
      <c r="F78">
        <f ca="1">SUM($E$2:E78)/SUM($D$2:D78)</f>
        <v>166.40798213509123</v>
      </c>
      <c r="G78">
        <f ca="1">_xlfn.STDEV.P($C$2:C78)</f>
        <v>4.7461432230114839</v>
      </c>
      <c r="H78">
        <f t="shared" ca="1" si="22"/>
        <v>171.1541253581027</v>
      </c>
      <c r="I78">
        <f t="shared" ca="1" si="23"/>
        <v>161.66183891207976</v>
      </c>
      <c r="J78">
        <f t="shared" ca="1" si="12"/>
        <v>163.65600000000001</v>
      </c>
      <c r="K78">
        <f t="shared" ca="1" si="13"/>
        <v>3.9773005921101809</v>
      </c>
      <c r="L78">
        <f t="shared" ca="1" si="14"/>
        <v>171.61060118422037</v>
      </c>
      <c r="M78">
        <f t="shared" ca="1" si="15"/>
        <v>155.70139881577964</v>
      </c>
      <c r="N78">
        <f t="shared" ca="1" si="24"/>
        <v>-0.93000000000000682</v>
      </c>
      <c r="O78">
        <f t="shared" ca="1" si="25"/>
        <v>0</v>
      </c>
      <c r="P78">
        <f t="shared" ca="1" si="26"/>
        <v>0.93000000000000682</v>
      </c>
      <c r="Q78">
        <f t="shared" ca="1" si="10"/>
        <v>0.79814957845548651</v>
      </c>
      <c r="R78">
        <f t="shared" ca="1" si="11"/>
        <v>0.64950991636446886</v>
      </c>
      <c r="S78">
        <f t="shared" ca="1" si="8"/>
        <v>1.2288489495633956</v>
      </c>
      <c r="T78">
        <f t="shared" ca="1" si="9"/>
        <v>55.133792256496889</v>
      </c>
      <c r="U78">
        <f>70</f>
        <v>70</v>
      </c>
      <c r="V78">
        <f>30</f>
        <v>30</v>
      </c>
      <c r="W78">
        <f t="shared" ca="1" si="7"/>
        <v>166.29394375479566</v>
      </c>
      <c r="X78">
        <f t="shared" ca="1" si="17"/>
        <v>164.96575878563027</v>
      </c>
      <c r="Y78">
        <f t="shared" ca="1" si="16"/>
        <v>1.2023637887306791</v>
      </c>
      <c r="Z78">
        <f t="shared" ca="1" si="18"/>
        <v>0.77299220357159126</v>
      </c>
      <c r="AA78">
        <f t="shared" ca="1" si="19"/>
        <v>0.4293715851590878</v>
      </c>
    </row>
    <row r="79" spans="1:27" x14ac:dyDescent="0.25">
      <c r="A79" s="20">
        <f t="shared" ca="1" si="20"/>
        <v>45810</v>
      </c>
      <c r="B79" vm="231">
        <f ca="1"/>
        <v>45812</v>
      </c>
      <c r="C79" vm="232">
        <f ca="1"/>
        <v>165.95</v>
      </c>
      <c r="D79" vm="233">
        <f ca="1"/>
        <v>4939333</v>
      </c>
      <c r="E79">
        <f t="shared" ca="1" si="21"/>
        <v>819682311.3499999</v>
      </c>
      <c r="F79">
        <f ca="1">SUM($E$2:E79)/SUM($D$2:D79)</f>
        <v>166.4045434097886</v>
      </c>
      <c r="G79">
        <f ca="1">_xlfn.STDEV.P($C$2:C79)</f>
        <v>4.7161229483588336</v>
      </c>
      <c r="H79">
        <f t="shared" ca="1" si="22"/>
        <v>171.12066635814745</v>
      </c>
      <c r="I79">
        <f t="shared" ca="1" si="23"/>
        <v>161.68842046142976</v>
      </c>
      <c r="J79">
        <f t="shared" ca="1" si="12"/>
        <v>163.99100000000001</v>
      </c>
      <c r="K79">
        <f t="shared" ca="1" si="13"/>
        <v>3.8673027456246278</v>
      </c>
      <c r="L79">
        <f t="shared" ca="1" si="14"/>
        <v>171.72560549124927</v>
      </c>
      <c r="M79">
        <f t="shared" ca="1" si="15"/>
        <v>156.25639450875076</v>
      </c>
      <c r="N79">
        <f t="shared" ca="1" si="24"/>
        <v>-0.90000000000000568</v>
      </c>
      <c r="O79">
        <f t="shared" ca="1" si="25"/>
        <v>0</v>
      </c>
      <c r="P79">
        <f t="shared" ca="1" si="26"/>
        <v>0.90000000000000568</v>
      </c>
      <c r="Q79">
        <f t="shared" ca="1" si="10"/>
        <v>0.74113889428009461</v>
      </c>
      <c r="R79">
        <f t="shared" ca="1" si="11"/>
        <v>0.66740206519557865</v>
      </c>
      <c r="S79">
        <f t="shared" ca="1" si="8"/>
        <v>1.1104833696654921</v>
      </c>
      <c r="T79">
        <f t="shared" ca="1" si="9"/>
        <v>52.617489700546749</v>
      </c>
      <c r="U79">
        <f>70</f>
        <v>70</v>
      </c>
      <c r="V79">
        <f>30</f>
        <v>30</v>
      </c>
      <c r="W79">
        <f t="shared" ref="W79:W142" ca="1" si="27">C79*(2/(12+1)) + W78*(1-(2/(12+1)))</f>
        <v>166.24102933098095</v>
      </c>
      <c r="X79">
        <f t="shared" ca="1" si="17"/>
        <v>165.03866554225027</v>
      </c>
      <c r="Y79">
        <f t="shared" ca="1" si="16"/>
        <v>0.83880173809120606</v>
      </c>
      <c r="Z79">
        <f t="shared" ca="1" si="18"/>
        <v>0.78615411047551431</v>
      </c>
      <c r="AA79">
        <f t="shared" ca="1" si="19"/>
        <v>5.264762761569175E-2</v>
      </c>
    </row>
    <row r="80" spans="1:27" x14ac:dyDescent="0.25">
      <c r="A80" s="20">
        <f t="shared" ca="1" si="20"/>
        <v>45810</v>
      </c>
      <c r="B80" vm="234">
        <f ca="1"/>
        <v>45813</v>
      </c>
      <c r="C80" vm="235">
        <f ca="1"/>
        <v>162.80000000000001</v>
      </c>
      <c r="D80" vm="236">
        <f ca="1"/>
        <v>10352288</v>
      </c>
      <c r="E80">
        <f t="shared" ca="1" si="21"/>
        <v>1685352486.4000001</v>
      </c>
      <c r="F80">
        <f ca="1">SUM($E$2:E80)/SUM($D$2:D80)</f>
        <v>166.34869818412281</v>
      </c>
      <c r="G80">
        <f ca="1">_xlfn.STDEV.P($C$2:C80)</f>
        <v>4.7049309721452683</v>
      </c>
      <c r="H80">
        <f t="shared" ca="1" si="22"/>
        <v>171.05362915626807</v>
      </c>
      <c r="I80">
        <f t="shared" ca="1" si="23"/>
        <v>161.64376721197755</v>
      </c>
      <c r="J80">
        <f t="shared" ca="1" si="12"/>
        <v>164.16650000000001</v>
      </c>
      <c r="K80">
        <f t="shared" ca="1" si="13"/>
        <v>3.7195617667733512</v>
      </c>
      <c r="L80">
        <f t="shared" ca="1" si="14"/>
        <v>171.60562353354672</v>
      </c>
      <c r="M80">
        <f t="shared" ca="1" si="15"/>
        <v>156.72737646645331</v>
      </c>
      <c r="N80">
        <f t="shared" ca="1" si="24"/>
        <v>-3.1499999999999773</v>
      </c>
      <c r="O80">
        <f t="shared" ca="1" si="25"/>
        <v>0</v>
      </c>
      <c r="P80">
        <f t="shared" ca="1" si="26"/>
        <v>3.1499999999999773</v>
      </c>
      <c r="Q80">
        <f t="shared" ca="1" si="10"/>
        <v>0.68820040183151643</v>
      </c>
      <c r="R80">
        <f t="shared" ca="1" si="11"/>
        <v>0.84473048911017856</v>
      </c>
      <c r="S80">
        <f t="shared" ref="S80:S143" ca="1" si="28">IF(R80=0,NA(),Q80/R80)</f>
        <v>0.81469819155746626</v>
      </c>
      <c r="T80">
        <f t="shared" ref="T80:T143" ca="1" si="29">100-(100/(1+S80))</f>
        <v>44.894418000067041</v>
      </c>
      <c r="U80">
        <f>70</f>
        <v>70</v>
      </c>
      <c r="V80">
        <f>30</f>
        <v>30</v>
      </c>
      <c r="W80">
        <f t="shared" ca="1" si="27"/>
        <v>165.71164020313773</v>
      </c>
      <c r="X80">
        <f t="shared" ca="1" si="17"/>
        <v>164.87283846504653</v>
      </c>
      <c r="Y80">
        <f t="shared" ca="1" si="16"/>
        <v>0.64172261878002246</v>
      </c>
      <c r="Z80">
        <f t="shared" ca="1" si="18"/>
        <v>0.75726781213641592</v>
      </c>
      <c r="AA80">
        <f t="shared" ca="1" si="19"/>
        <v>-0.11554519335639346</v>
      </c>
    </row>
    <row r="81" spans="1:27" x14ac:dyDescent="0.25">
      <c r="A81" s="20">
        <f t="shared" ca="1" si="20"/>
        <v>45810</v>
      </c>
      <c r="B81" vm="237">
        <f ca="1"/>
        <v>45814</v>
      </c>
      <c r="C81" vm="238">
        <f ca="1"/>
        <v>164.02</v>
      </c>
      <c r="D81" vm="239">
        <f ca="1"/>
        <v>5697877</v>
      </c>
      <c r="E81">
        <f t="shared" ca="1" si="21"/>
        <v>934565785.54000008</v>
      </c>
      <c r="F81">
        <f ca="1">SUM($E$2:E81)/SUM($D$2:D81)</f>
        <v>166.32900853159333</v>
      </c>
      <c r="G81">
        <f ca="1">_xlfn.STDEV.P($C$2:C81)</f>
        <v>4.6835851635659411</v>
      </c>
      <c r="H81">
        <f t="shared" ca="1" si="22"/>
        <v>171.01259369515927</v>
      </c>
      <c r="I81">
        <f t="shared" ca="1" si="23"/>
        <v>161.64542336802739</v>
      </c>
      <c r="J81">
        <f t="shared" ca="1" si="12"/>
        <v>164.435</v>
      </c>
      <c r="K81">
        <f t="shared" ca="1" si="13"/>
        <v>3.4869342589609831</v>
      </c>
      <c r="L81">
        <f t="shared" ca="1" si="14"/>
        <v>171.40886851792197</v>
      </c>
      <c r="M81">
        <f t="shared" ca="1" si="15"/>
        <v>157.46113148207803</v>
      </c>
      <c r="N81">
        <f t="shared" ca="1" si="24"/>
        <v>1.2199999999999989</v>
      </c>
      <c r="O81">
        <f t="shared" ca="1" si="25"/>
        <v>1.2199999999999989</v>
      </c>
      <c r="P81">
        <f t="shared" ca="1" si="26"/>
        <v>0</v>
      </c>
      <c r="Q81">
        <f t="shared" ref="Q81:Q144" ca="1" si="30">(Q80*13+O81)/14</f>
        <v>0.72618608741497948</v>
      </c>
      <c r="R81">
        <f t="shared" ref="R81:R144" ca="1" si="31">(R80*13+P81)/14</f>
        <v>0.78439259703088016</v>
      </c>
      <c r="S81">
        <f t="shared" ca="1" si="28"/>
        <v>0.92579416246886226</v>
      </c>
      <c r="T81">
        <f t="shared" ca="1" si="29"/>
        <v>48.073370483271013</v>
      </c>
      <c r="U81">
        <f>70</f>
        <v>70</v>
      </c>
      <c r="V81">
        <f>30</f>
        <v>30</v>
      </c>
      <c r="W81">
        <f t="shared" ca="1" si="27"/>
        <v>165.45138786419346</v>
      </c>
      <c r="X81">
        <f t="shared" ca="1" si="17"/>
        <v>164.80966524541344</v>
      </c>
      <c r="Y81">
        <f t="shared" ca="1" si="16"/>
        <v>0.36353558662707997</v>
      </c>
      <c r="Z81">
        <f t="shared" ca="1" si="18"/>
        <v>0.67852136703454879</v>
      </c>
      <c r="AA81">
        <f t="shared" ca="1" si="19"/>
        <v>-0.31498578040746883</v>
      </c>
    </row>
    <row r="82" spans="1:27" x14ac:dyDescent="0.25">
      <c r="A82" s="20">
        <f t="shared" ca="1" si="20"/>
        <v>45817</v>
      </c>
      <c r="B82" vm="240">
        <f ca="1"/>
        <v>45817</v>
      </c>
      <c r="C82" vm="241">
        <f ca="1"/>
        <v>162.56</v>
      </c>
      <c r="D82" vm="242">
        <f ca="1"/>
        <v>6544199</v>
      </c>
      <c r="E82">
        <f t="shared" ca="1" si="21"/>
        <v>1063824989.4400001</v>
      </c>
      <c r="F82">
        <f ca="1">SUM($E$2:E82)/SUM($D$2:D82)</f>
        <v>166.29275934496374</v>
      </c>
      <c r="G82">
        <f ca="1">_xlfn.STDEV.P($C$2:C82)</f>
        <v>4.6746183120506473</v>
      </c>
      <c r="H82">
        <f t="shared" ca="1" si="22"/>
        <v>170.9673776570144</v>
      </c>
      <c r="I82">
        <f t="shared" ca="1" si="23"/>
        <v>161.61814103291309</v>
      </c>
      <c r="J82">
        <f t="shared" ca="1" si="12"/>
        <v>164.68</v>
      </c>
      <c r="K82">
        <f t="shared" ca="1" si="13"/>
        <v>3.1408178619756431</v>
      </c>
      <c r="L82">
        <f t="shared" ca="1" si="14"/>
        <v>170.9616357239513</v>
      </c>
      <c r="M82">
        <f t="shared" ca="1" si="15"/>
        <v>158.39836427604871</v>
      </c>
      <c r="N82">
        <f t="shared" ca="1" si="24"/>
        <v>-1.460000000000008</v>
      </c>
      <c r="O82">
        <f t="shared" ca="1" si="25"/>
        <v>0</v>
      </c>
      <c r="P82">
        <f t="shared" ca="1" si="26"/>
        <v>1.460000000000008</v>
      </c>
      <c r="Q82">
        <f t="shared" ca="1" si="30"/>
        <v>0.67431565259962389</v>
      </c>
      <c r="R82">
        <f t="shared" ca="1" si="31"/>
        <v>0.83265026867153213</v>
      </c>
      <c r="S82">
        <f t="shared" ca="1" si="28"/>
        <v>0.8098425929477856</v>
      </c>
      <c r="T82">
        <f t="shared" ca="1" si="29"/>
        <v>44.746576089180913</v>
      </c>
      <c r="U82">
        <f>70</f>
        <v>70</v>
      </c>
      <c r="V82">
        <f>30</f>
        <v>30</v>
      </c>
      <c r="W82">
        <f t="shared" ca="1" si="27"/>
        <v>165.00655896200988</v>
      </c>
      <c r="X82">
        <f t="shared" ca="1" si="17"/>
        <v>164.6430233753828</v>
      </c>
      <c r="Y82">
        <f t="shared" ca="1" si="16"/>
        <v>0.16377611030631556</v>
      </c>
      <c r="Z82">
        <f t="shared" ca="1" si="18"/>
        <v>0.57557231568890221</v>
      </c>
      <c r="AA82">
        <f t="shared" ca="1" si="19"/>
        <v>-0.41179620538258666</v>
      </c>
    </row>
    <row r="83" spans="1:27" x14ac:dyDescent="0.25">
      <c r="A83" s="20">
        <f t="shared" ca="1" si="20"/>
        <v>45817</v>
      </c>
      <c r="B83" vm="243">
        <f ca="1"/>
        <v>45818</v>
      </c>
      <c r="C83" vm="244">
        <f ca="1"/>
        <v>162.84</v>
      </c>
      <c r="D83" vm="245">
        <f ca="1"/>
        <v>7680015</v>
      </c>
      <c r="E83">
        <f t="shared" ca="1" si="21"/>
        <v>1250613642.6000001</v>
      </c>
      <c r="F83">
        <f ca="1">SUM($E$2:E83)/SUM($D$2:D83)</f>
        <v>166.25422316851513</v>
      </c>
      <c r="G83">
        <f ca="1">_xlfn.STDEV.P($C$2:C83)</f>
        <v>4.6626757964699115</v>
      </c>
      <c r="H83">
        <f t="shared" ca="1" si="22"/>
        <v>170.91689896498502</v>
      </c>
      <c r="I83">
        <f t="shared" ca="1" si="23"/>
        <v>161.59154737204523</v>
      </c>
      <c r="J83">
        <f t="shared" ca="1" si="12"/>
        <v>164.77699999999999</v>
      </c>
      <c r="K83">
        <f t="shared" ca="1" si="13"/>
        <v>3.0464735437274961</v>
      </c>
      <c r="L83">
        <f t="shared" ca="1" si="14"/>
        <v>170.86994708745499</v>
      </c>
      <c r="M83">
        <f t="shared" ca="1" si="15"/>
        <v>158.68405291254498</v>
      </c>
      <c r="N83">
        <f t="shared" ca="1" si="24"/>
        <v>0.28000000000000114</v>
      </c>
      <c r="O83">
        <f t="shared" ca="1" si="25"/>
        <v>0.28000000000000114</v>
      </c>
      <c r="P83">
        <f t="shared" ca="1" si="26"/>
        <v>0</v>
      </c>
      <c r="Q83">
        <f t="shared" ca="1" si="30"/>
        <v>0.64615024884250793</v>
      </c>
      <c r="R83">
        <f t="shared" ca="1" si="31"/>
        <v>0.77317524948070837</v>
      </c>
      <c r="S83">
        <f t="shared" ca="1" si="28"/>
        <v>0.83570994968667855</v>
      </c>
      <c r="T83">
        <f t="shared" ca="1" si="29"/>
        <v>45.525163157138124</v>
      </c>
      <c r="U83">
        <f>70</f>
        <v>70</v>
      </c>
      <c r="V83">
        <f>30</f>
        <v>30</v>
      </c>
      <c r="W83">
        <f t="shared" ca="1" si="27"/>
        <v>164.67324219862374</v>
      </c>
      <c r="X83">
        <f t="shared" ca="1" si="17"/>
        <v>164.50946608831742</v>
      </c>
      <c r="Y83">
        <f t="shared" ca="1" si="16"/>
        <v>-5.2830614563845302E-2</v>
      </c>
      <c r="Z83">
        <f t="shared" ca="1" si="18"/>
        <v>0.44989172963835278</v>
      </c>
      <c r="AA83">
        <f t="shared" ca="1" si="19"/>
        <v>-0.50272234420219808</v>
      </c>
    </row>
    <row r="84" spans="1:27" x14ac:dyDescent="0.25">
      <c r="A84" s="20">
        <f t="shared" ca="1" si="20"/>
        <v>45817</v>
      </c>
      <c r="B84" vm="246">
        <f ca="1"/>
        <v>45819</v>
      </c>
      <c r="C84" vm="247">
        <f ca="1"/>
        <v>162.11000000000001</v>
      </c>
      <c r="D84" vm="248">
        <f ca="1"/>
        <v>5960052</v>
      </c>
      <c r="E84">
        <f t="shared" ca="1" si="21"/>
        <v>966184029.72000003</v>
      </c>
      <c r="F84">
        <f ca="1">SUM($E$2:E84)/SUM($D$2:D84)</f>
        <v>166.21863644474846</v>
      </c>
      <c r="G84">
        <f ca="1">_xlfn.STDEV.P($C$2:C84)</f>
        <v>4.6578909550593179</v>
      </c>
      <c r="H84">
        <f t="shared" ca="1" si="22"/>
        <v>170.87652739980777</v>
      </c>
      <c r="I84">
        <f t="shared" ca="1" si="23"/>
        <v>161.56074548968914</v>
      </c>
      <c r="J84">
        <f t="shared" ca="1" si="12"/>
        <v>164.946</v>
      </c>
      <c r="K84">
        <f t="shared" ca="1" si="13"/>
        <v>2.7750247035410576</v>
      </c>
      <c r="L84">
        <f t="shared" ca="1" si="14"/>
        <v>170.49604940708213</v>
      </c>
      <c r="M84">
        <f t="shared" ca="1" si="15"/>
        <v>159.39595059291787</v>
      </c>
      <c r="N84">
        <f t="shared" ca="1" si="24"/>
        <v>-0.72999999999998977</v>
      </c>
      <c r="O84">
        <f t="shared" ca="1" si="25"/>
        <v>0</v>
      </c>
      <c r="P84">
        <f t="shared" ca="1" si="26"/>
        <v>0.72999999999998977</v>
      </c>
      <c r="Q84">
        <f t="shared" ca="1" si="30"/>
        <v>0.59999665963947169</v>
      </c>
      <c r="R84">
        <f t="shared" ca="1" si="31"/>
        <v>0.77009130308922846</v>
      </c>
      <c r="S84">
        <f t="shared" ca="1" si="28"/>
        <v>0.7791240561120214</v>
      </c>
      <c r="T84">
        <f t="shared" ca="1" si="29"/>
        <v>43.79256485434</v>
      </c>
      <c r="U84">
        <f>70</f>
        <v>70</v>
      </c>
      <c r="V84">
        <f>30</f>
        <v>30</v>
      </c>
      <c r="W84">
        <f t="shared" ca="1" si="27"/>
        <v>164.27889724498931</v>
      </c>
      <c r="X84">
        <f t="shared" ca="1" si="17"/>
        <v>164.33172785955315</v>
      </c>
      <c r="Y84">
        <f t="shared" ca="1" si="16"/>
        <v>-0.13657855439586797</v>
      </c>
      <c r="Z84">
        <f t="shared" ca="1" si="18"/>
        <v>0.33259767283150865</v>
      </c>
      <c r="AA84">
        <f t="shared" ca="1" si="19"/>
        <v>-0.46917622722737662</v>
      </c>
    </row>
    <row r="85" spans="1:27" x14ac:dyDescent="0.25">
      <c r="A85" s="20">
        <f t="shared" ca="1" si="20"/>
        <v>45817</v>
      </c>
      <c r="B85" vm="249">
        <f ca="1"/>
        <v>45820</v>
      </c>
      <c r="C85" vm="250">
        <f ca="1"/>
        <v>163.18</v>
      </c>
      <c r="D85" vm="251">
        <f ca="1"/>
        <v>6509891</v>
      </c>
      <c r="E85">
        <f t="shared" ca="1" si="21"/>
        <v>1062284013.38</v>
      </c>
      <c r="F85">
        <f ca="1">SUM($E$2:E85)/SUM($D$2:D85)</f>
        <v>166.19040111222691</v>
      </c>
      <c r="G85">
        <f ca="1">_xlfn.STDEV.P($C$2:C85)</f>
        <v>4.6426821884008298</v>
      </c>
      <c r="H85">
        <f t="shared" ca="1" si="22"/>
        <v>170.83308330062775</v>
      </c>
      <c r="I85">
        <f t="shared" ca="1" si="23"/>
        <v>161.54771892382607</v>
      </c>
      <c r="J85">
        <f t="shared" ca="1" si="12"/>
        <v>165.20400000000001</v>
      </c>
      <c r="K85">
        <f t="shared" ca="1" si="13"/>
        <v>2.295676485551867</v>
      </c>
      <c r="L85">
        <f t="shared" ca="1" si="14"/>
        <v>169.79535297110374</v>
      </c>
      <c r="M85">
        <f t="shared" ca="1" si="15"/>
        <v>160.61264702889628</v>
      </c>
      <c r="N85">
        <f t="shared" ca="1" si="24"/>
        <v>1.0699999999999932</v>
      </c>
      <c r="O85">
        <f t="shared" ca="1" si="25"/>
        <v>1.0699999999999932</v>
      </c>
      <c r="P85">
        <f t="shared" ca="1" si="26"/>
        <v>0</v>
      </c>
      <c r="Q85">
        <f t="shared" ca="1" si="30"/>
        <v>0.6335683268080804</v>
      </c>
      <c r="R85">
        <f t="shared" ca="1" si="31"/>
        <v>0.71508478143999787</v>
      </c>
      <c r="S85">
        <f t="shared" ca="1" si="28"/>
        <v>0.8860044896106386</v>
      </c>
      <c r="T85">
        <f t="shared" ca="1" si="29"/>
        <v>46.977856865735895</v>
      </c>
      <c r="U85">
        <f>70</f>
        <v>70</v>
      </c>
      <c r="V85">
        <f>30</f>
        <v>30</v>
      </c>
      <c r="W85">
        <f t="shared" ca="1" si="27"/>
        <v>164.10983613037556</v>
      </c>
      <c r="X85">
        <f t="shared" ca="1" si="17"/>
        <v>164.24641468477142</v>
      </c>
      <c r="Y85">
        <f t="shared" ca="1" si="16"/>
        <v>-0.4319756177469003</v>
      </c>
      <c r="Z85">
        <f t="shared" ca="1" si="18"/>
        <v>0.17968301471582687</v>
      </c>
      <c r="AA85">
        <f t="shared" ca="1" si="19"/>
        <v>-0.61165863246272711</v>
      </c>
    </row>
    <row r="86" spans="1:27" x14ac:dyDescent="0.25">
      <c r="A86" s="20">
        <f t="shared" ca="1" si="20"/>
        <v>45817</v>
      </c>
      <c r="B86" vm="252">
        <f ca="1"/>
        <v>45821</v>
      </c>
      <c r="C86" vm="253">
        <f ca="1"/>
        <v>160.28</v>
      </c>
      <c r="D86" vm="254">
        <f ca="1"/>
        <v>7104547</v>
      </c>
      <c r="E86">
        <f t="shared" ca="1" si="21"/>
        <v>1138716793.1600001</v>
      </c>
      <c r="F86">
        <f ca="1">SUM($E$2:E86)/SUM($D$2:D86)</f>
        <v>166.13106599081146</v>
      </c>
      <c r="G86">
        <f ca="1">_xlfn.STDEV.P($C$2:C86)</f>
        <v>4.660624898327109</v>
      </c>
      <c r="H86">
        <f t="shared" ca="1" si="22"/>
        <v>170.79169088913858</v>
      </c>
      <c r="I86">
        <f t="shared" ca="1" si="23"/>
        <v>161.47044109248435</v>
      </c>
      <c r="J86">
        <f t="shared" ref="J86:J149" ca="1" si="32">AVERAGE(C67:C86)</f>
        <v>165.09750000000003</v>
      </c>
      <c r="K86">
        <f t="shared" ref="K86:K149" ca="1" si="33">_xlfn.STDEV.S(C67:C86)</f>
        <v>2.4745544521877241</v>
      </c>
      <c r="L86">
        <f t="shared" ref="L86:L149" ca="1" si="34">J86 + 2*K86</f>
        <v>170.04660890437546</v>
      </c>
      <c r="M86">
        <f t="shared" ref="M86:M149" ca="1" si="35">J86-2*K86</f>
        <v>160.14839109562459</v>
      </c>
      <c r="N86">
        <f t="shared" ca="1" si="24"/>
        <v>-2.9000000000000057</v>
      </c>
      <c r="O86">
        <f t="shared" ca="1" si="25"/>
        <v>0</v>
      </c>
      <c r="P86">
        <f t="shared" ca="1" si="26"/>
        <v>2.9000000000000057</v>
      </c>
      <c r="Q86">
        <f t="shared" ca="1" si="30"/>
        <v>0.58831344632178895</v>
      </c>
      <c r="R86">
        <f t="shared" ca="1" si="31"/>
        <v>0.8711501541942841</v>
      </c>
      <c r="S86">
        <f t="shared" ca="1" si="28"/>
        <v>0.6753295554035833</v>
      </c>
      <c r="T86">
        <f t="shared" ca="1" si="29"/>
        <v>40.31025139056284</v>
      </c>
      <c r="U86">
        <f>70</f>
        <v>70</v>
      </c>
      <c r="V86">
        <f>30</f>
        <v>30</v>
      </c>
      <c r="W86">
        <f t="shared" ca="1" si="27"/>
        <v>163.52063057185626</v>
      </c>
      <c r="X86">
        <f t="shared" ca="1" si="17"/>
        <v>163.95260618960316</v>
      </c>
      <c r="Y86">
        <f t="shared" ca="1" si="16"/>
        <v>-0.61062601646642634</v>
      </c>
      <c r="Z86">
        <f t="shared" ca="1" si="18"/>
        <v>2.1621208479376236E-2</v>
      </c>
      <c r="AA86">
        <f t="shared" ca="1" si="19"/>
        <v>-0.63224722494580254</v>
      </c>
    </row>
    <row r="87" spans="1:27" x14ac:dyDescent="0.25">
      <c r="A87" s="20">
        <f t="shared" ca="1" si="20"/>
        <v>45824</v>
      </c>
      <c r="B87" vm="255">
        <f ca="1"/>
        <v>45824</v>
      </c>
      <c r="C87" vm="256">
        <f ca="1"/>
        <v>160.88</v>
      </c>
      <c r="D87" vm="257">
        <f ca="1"/>
        <v>6331961</v>
      </c>
      <c r="E87">
        <f t="shared" ca="1" si="21"/>
        <v>1018685885.6799999</v>
      </c>
      <c r="F87">
        <f ca="1">SUM($E$2:E87)/SUM($D$2:D87)</f>
        <v>166.08449926839526</v>
      </c>
      <c r="G87">
        <f ca="1">_xlfn.STDEV.P($C$2:C87)</f>
        <v>4.6687231008171644</v>
      </c>
      <c r="H87">
        <f t="shared" ca="1" si="22"/>
        <v>170.75322236921244</v>
      </c>
      <c r="I87">
        <f t="shared" ca="1" si="23"/>
        <v>161.41577616757809</v>
      </c>
      <c r="J87">
        <f t="shared" ca="1" si="32"/>
        <v>164.97750000000002</v>
      </c>
      <c r="K87">
        <f t="shared" ca="1" si="33"/>
        <v>2.6211786721967143</v>
      </c>
      <c r="L87">
        <f t="shared" ca="1" si="34"/>
        <v>170.21985734439346</v>
      </c>
      <c r="M87">
        <f t="shared" ca="1" si="35"/>
        <v>159.73514265560658</v>
      </c>
      <c r="N87">
        <f t="shared" ca="1" si="24"/>
        <v>0.59999999999999432</v>
      </c>
      <c r="O87">
        <f t="shared" ca="1" si="25"/>
        <v>0.59999999999999432</v>
      </c>
      <c r="P87">
        <f t="shared" ca="1" si="26"/>
        <v>0</v>
      </c>
      <c r="Q87">
        <f t="shared" ca="1" si="30"/>
        <v>0.58914820015594649</v>
      </c>
      <c r="R87">
        <f t="shared" ca="1" si="31"/>
        <v>0.80892514318040665</v>
      </c>
      <c r="S87">
        <f t="shared" ca="1" si="28"/>
        <v>0.72830991238524845</v>
      </c>
      <c r="T87">
        <f t="shared" ca="1" si="29"/>
        <v>42.140006671610458</v>
      </c>
      <c r="U87">
        <f>70</f>
        <v>70</v>
      </c>
      <c r="V87">
        <f>30</f>
        <v>30</v>
      </c>
      <c r="W87">
        <f t="shared" ca="1" si="27"/>
        <v>163.11437971464761</v>
      </c>
      <c r="X87">
        <f t="shared" ca="1" si="17"/>
        <v>163.72500573111404</v>
      </c>
      <c r="Y87">
        <f t="shared" ca="1" si="16"/>
        <v>-0.93189768479123813</v>
      </c>
      <c r="Z87">
        <f t="shared" ca="1" si="18"/>
        <v>-0.16908257017474665</v>
      </c>
      <c r="AA87">
        <f t="shared" ca="1" si="19"/>
        <v>-0.76281511461649143</v>
      </c>
    </row>
    <row r="88" spans="1:27" x14ac:dyDescent="0.25">
      <c r="A88" s="20">
        <f t="shared" ca="1" si="20"/>
        <v>45824</v>
      </c>
      <c r="B88" vm="258">
        <f ca="1"/>
        <v>45825</v>
      </c>
      <c r="C88" vm="259">
        <f ca="1"/>
        <v>158.52000000000001</v>
      </c>
      <c r="D88" vm="260">
        <f ca="1"/>
        <v>6809747</v>
      </c>
      <c r="E88">
        <f t="shared" ca="1" si="21"/>
        <v>1079481094.4400001</v>
      </c>
      <c r="F88">
        <f ca="1">SUM($E$2:E88)/SUM($D$2:D88)</f>
        <v>166.0130366706974</v>
      </c>
      <c r="G88">
        <f ca="1">_xlfn.STDEV.P($C$2:C88)</f>
        <v>4.7127317569565559</v>
      </c>
      <c r="H88">
        <f t="shared" ca="1" si="22"/>
        <v>170.72576842765395</v>
      </c>
      <c r="I88">
        <f t="shared" ca="1" si="23"/>
        <v>161.30030491374086</v>
      </c>
      <c r="J88">
        <f t="shared" ca="1" si="32"/>
        <v>164.66500000000002</v>
      </c>
      <c r="K88">
        <f t="shared" ca="1" si="33"/>
        <v>2.993361954303833</v>
      </c>
      <c r="L88">
        <f t="shared" ca="1" si="34"/>
        <v>170.65172390860769</v>
      </c>
      <c r="M88">
        <f t="shared" ca="1" si="35"/>
        <v>158.67827609139235</v>
      </c>
      <c r="N88">
        <f t="shared" ca="1" si="24"/>
        <v>-2.3599999999999852</v>
      </c>
      <c r="O88">
        <f t="shared" ca="1" si="25"/>
        <v>0</v>
      </c>
      <c r="P88">
        <f t="shared" ca="1" si="26"/>
        <v>2.3599999999999852</v>
      </c>
      <c r="Q88">
        <f t="shared" ca="1" si="30"/>
        <v>0.54706618585909317</v>
      </c>
      <c r="R88">
        <f t="shared" ca="1" si="31"/>
        <v>0.91971620438180512</v>
      </c>
      <c r="S88">
        <f t="shared" ca="1" si="28"/>
        <v>0.59482064494754472</v>
      </c>
      <c r="T88">
        <f t="shared" ca="1" si="29"/>
        <v>37.297024391548987</v>
      </c>
      <c r="U88">
        <f>70</f>
        <v>70</v>
      </c>
      <c r="V88">
        <f>30</f>
        <v>30</v>
      </c>
      <c r="W88">
        <f t="shared" ca="1" si="27"/>
        <v>162.40755206624027</v>
      </c>
      <c r="X88">
        <f t="shared" ca="1" si="17"/>
        <v>163.33944975103151</v>
      </c>
      <c r="Y88">
        <f t="shared" ca="1" si="16"/>
        <v>-1.2128723800908006</v>
      </c>
      <c r="Z88">
        <f t="shared" ca="1" si="18"/>
        <v>-0.37784053215795743</v>
      </c>
      <c r="AA88">
        <f t="shared" ca="1" si="19"/>
        <v>-0.83503184793284313</v>
      </c>
    </row>
    <row r="89" spans="1:27" x14ac:dyDescent="0.25">
      <c r="A89" s="20">
        <f t="shared" ca="1" si="20"/>
        <v>45824</v>
      </c>
      <c r="B89" vm="261">
        <f ca="1"/>
        <v>45826</v>
      </c>
      <c r="C89" vm="191">
        <f ca="1"/>
        <v>158.02000000000001</v>
      </c>
      <c r="D89" vm="262">
        <f ca="1"/>
        <v>7211225</v>
      </c>
      <c r="E89">
        <f t="shared" ca="1" si="21"/>
        <v>1139517774.5</v>
      </c>
      <c r="F89">
        <f ca="1">SUM($E$2:E89)/SUM($D$2:D89)</f>
        <v>165.93386581024021</v>
      </c>
      <c r="G89">
        <f ca="1">_xlfn.STDEV.P($C$2:C89)</f>
        <v>4.7629909781408601</v>
      </c>
      <c r="H89">
        <f t="shared" ca="1" si="22"/>
        <v>170.69685678838107</v>
      </c>
      <c r="I89">
        <f t="shared" ca="1" si="23"/>
        <v>161.17087483209934</v>
      </c>
      <c r="J89">
        <f t="shared" ca="1" si="32"/>
        <v>164.28400000000002</v>
      </c>
      <c r="K89">
        <f t="shared" ca="1" si="33"/>
        <v>3.3288711536938034</v>
      </c>
      <c r="L89">
        <f t="shared" ca="1" si="34"/>
        <v>170.94174230738761</v>
      </c>
      <c r="M89">
        <f t="shared" ca="1" si="35"/>
        <v>157.62625769261243</v>
      </c>
      <c r="N89">
        <f t="shared" ca="1" si="24"/>
        <v>-0.5</v>
      </c>
      <c r="O89">
        <f t="shared" ca="1" si="25"/>
        <v>0</v>
      </c>
      <c r="P89">
        <f t="shared" ca="1" si="26"/>
        <v>0.5</v>
      </c>
      <c r="Q89">
        <f t="shared" ca="1" si="30"/>
        <v>0.50799002972630081</v>
      </c>
      <c r="R89">
        <f t="shared" ca="1" si="31"/>
        <v>0.88973647549739054</v>
      </c>
      <c r="S89">
        <f t="shared" ca="1" si="28"/>
        <v>0.57094436804146809</v>
      </c>
      <c r="T89">
        <f t="shared" ca="1" si="29"/>
        <v>36.344022083562216</v>
      </c>
      <c r="U89">
        <f>70</f>
        <v>70</v>
      </c>
      <c r="V89">
        <f>30</f>
        <v>30</v>
      </c>
      <c r="W89">
        <f t="shared" ca="1" si="27"/>
        <v>161.73254405604948</v>
      </c>
      <c r="X89">
        <f t="shared" ca="1" si="17"/>
        <v>162.94541643614028</v>
      </c>
      <c r="Y89">
        <f t="shared" ca="1" si="16"/>
        <v>-1.3346289376036964</v>
      </c>
      <c r="Z89">
        <f t="shared" ca="1" si="18"/>
        <v>-0.56919821324710529</v>
      </c>
      <c r="AA89">
        <f t="shared" ca="1" si="19"/>
        <v>-0.7654307243565911</v>
      </c>
    </row>
    <row r="90" spans="1:27" x14ac:dyDescent="0.25">
      <c r="A90" s="20">
        <f t="shared" ca="1" si="20"/>
        <v>45824</v>
      </c>
      <c r="B90" vm="263">
        <f ca="1"/>
        <v>45828</v>
      </c>
      <c r="C90" vm="264">
        <f ca="1"/>
        <v>159.08000000000001</v>
      </c>
      <c r="D90" vm="265">
        <f ca="1"/>
        <v>16173371</v>
      </c>
      <c r="E90">
        <f t="shared" ca="1" si="21"/>
        <v>2572859858.6800003</v>
      </c>
      <c r="F90">
        <f ca="1">SUM($E$2:E90)/SUM($D$2:D90)</f>
        <v>165.78491652031119</v>
      </c>
      <c r="G90">
        <f ca="1">_xlfn.STDEV.P($C$2:C90)</f>
        <v>4.7917006639735558</v>
      </c>
      <c r="H90">
        <f t="shared" ca="1" si="22"/>
        <v>170.57661718428474</v>
      </c>
      <c r="I90">
        <f t="shared" ca="1" si="23"/>
        <v>160.99321585633763</v>
      </c>
      <c r="J90">
        <f t="shared" ca="1" si="32"/>
        <v>163.9665</v>
      </c>
      <c r="K90">
        <f t="shared" ca="1" si="33"/>
        <v>3.5116232189087309</v>
      </c>
      <c r="L90">
        <f t="shared" ca="1" si="34"/>
        <v>170.98974643781744</v>
      </c>
      <c r="M90">
        <f t="shared" ca="1" si="35"/>
        <v>156.94325356218255</v>
      </c>
      <c r="N90">
        <f t="shared" ca="1" si="24"/>
        <v>1.0600000000000023</v>
      </c>
      <c r="O90">
        <f t="shared" ca="1" si="25"/>
        <v>1.0600000000000023</v>
      </c>
      <c r="P90">
        <f t="shared" ca="1" si="26"/>
        <v>0</v>
      </c>
      <c r="Q90">
        <f t="shared" ca="1" si="30"/>
        <v>0.54741931331727944</v>
      </c>
      <c r="R90">
        <f t="shared" ca="1" si="31"/>
        <v>0.82618387010471983</v>
      </c>
      <c r="S90">
        <f t="shared" ca="1" si="28"/>
        <v>0.66258775210401211</v>
      </c>
      <c r="T90">
        <f t="shared" ca="1" si="29"/>
        <v>39.852798823130058</v>
      </c>
      <c r="U90">
        <f>70</f>
        <v>70</v>
      </c>
      <c r="V90">
        <f>30</f>
        <v>30</v>
      </c>
      <c r="W90">
        <f t="shared" ca="1" si="27"/>
        <v>161.32446035511879</v>
      </c>
      <c r="X90">
        <f t="shared" ca="1" si="17"/>
        <v>162.65908929272248</v>
      </c>
      <c r="Y90">
        <f t="shared" ca="1" si="16"/>
        <v>-1.2592572497564731</v>
      </c>
      <c r="Z90">
        <f t="shared" ca="1" si="18"/>
        <v>-0.70721002054897886</v>
      </c>
      <c r="AA90">
        <f t="shared" ca="1" si="19"/>
        <v>-0.55204722920749427</v>
      </c>
    </row>
    <row r="91" spans="1:27" x14ac:dyDescent="0.25">
      <c r="A91" s="20">
        <f t="shared" ca="1" si="20"/>
        <v>45831</v>
      </c>
      <c r="B91" vm="266">
        <f ca="1"/>
        <v>45831</v>
      </c>
      <c r="C91" vm="267">
        <f ca="1"/>
        <v>161.03</v>
      </c>
      <c r="D91" vm="268">
        <f ca="1"/>
        <v>6588223</v>
      </c>
      <c r="E91">
        <f t="shared" ca="1" si="21"/>
        <v>1060901549.6900001</v>
      </c>
      <c r="F91">
        <f ca="1">SUM($E$2:E91)/SUM($D$2:D91)</f>
        <v>165.74319253698155</v>
      </c>
      <c r="G91">
        <f ca="1">_xlfn.STDEV.P($C$2:C91)</f>
        <v>4.7923198962146003</v>
      </c>
      <c r="H91">
        <f t="shared" ca="1" si="22"/>
        <v>170.53551243319615</v>
      </c>
      <c r="I91">
        <f t="shared" ca="1" si="23"/>
        <v>160.95087264076696</v>
      </c>
      <c r="J91">
        <f t="shared" ca="1" si="32"/>
        <v>163.76650000000001</v>
      </c>
      <c r="K91">
        <f t="shared" ca="1" si="33"/>
        <v>3.5614194021337489</v>
      </c>
      <c r="L91">
        <f t="shared" ca="1" si="34"/>
        <v>170.88933880426751</v>
      </c>
      <c r="M91">
        <f t="shared" ca="1" si="35"/>
        <v>156.64366119573251</v>
      </c>
      <c r="N91">
        <f t="shared" ca="1" si="24"/>
        <v>1.9499999999999886</v>
      </c>
      <c r="O91">
        <f t="shared" ca="1" si="25"/>
        <v>1.9499999999999886</v>
      </c>
      <c r="P91">
        <f t="shared" ca="1" si="26"/>
        <v>0</v>
      </c>
      <c r="Q91">
        <f t="shared" ca="1" si="30"/>
        <v>0.64760364808033011</v>
      </c>
      <c r="R91">
        <f t="shared" ca="1" si="31"/>
        <v>0.76717073652581125</v>
      </c>
      <c r="S91">
        <f t="shared" ca="1" si="28"/>
        <v>0.84414539977508862</v>
      </c>
      <c r="T91">
        <f t="shared" ca="1" si="29"/>
        <v>45.774340780181454</v>
      </c>
      <c r="U91">
        <f>70</f>
        <v>70</v>
      </c>
      <c r="V91">
        <f>30</f>
        <v>30</v>
      </c>
      <c r="W91">
        <f t="shared" ca="1" si="27"/>
        <v>161.2791587620236</v>
      </c>
      <c r="X91">
        <f t="shared" ca="1" si="17"/>
        <v>162.53841601178007</v>
      </c>
      <c r="Y91">
        <f t="shared" ca="1" si="16"/>
        <v>-1.2393021410470624</v>
      </c>
      <c r="Z91">
        <f t="shared" ca="1" si="18"/>
        <v>-0.81362844464859552</v>
      </c>
      <c r="AA91">
        <f t="shared" ca="1" si="19"/>
        <v>-0.42567369639846686</v>
      </c>
    </row>
    <row r="92" spans="1:27" x14ac:dyDescent="0.25">
      <c r="A92" s="20">
        <f t="shared" ca="1" si="20"/>
        <v>45831</v>
      </c>
      <c r="B92" vm="269">
        <f ca="1"/>
        <v>45832</v>
      </c>
      <c r="C92" vm="270">
        <f ca="1"/>
        <v>160.36000000000001</v>
      </c>
      <c r="D92" vm="271">
        <f ca="1"/>
        <v>7470052</v>
      </c>
      <c r="E92">
        <f t="shared" ca="1" si="21"/>
        <v>1197897538.72</v>
      </c>
      <c r="F92">
        <f ca="1">SUM($E$2:E92)/SUM($D$2:D92)</f>
        <v>165.69016047843081</v>
      </c>
      <c r="G92">
        <f ca="1">_xlfn.STDEV.P($C$2:C92)</f>
        <v>4.8001600197736023</v>
      </c>
      <c r="H92">
        <f t="shared" ca="1" si="22"/>
        <v>170.49032049820443</v>
      </c>
      <c r="I92">
        <f t="shared" ca="1" si="23"/>
        <v>160.8900004586572</v>
      </c>
      <c r="J92">
        <f t="shared" ca="1" si="32"/>
        <v>163.4915</v>
      </c>
      <c r="K92">
        <f t="shared" ca="1" si="33"/>
        <v>3.6033570239576909</v>
      </c>
      <c r="L92">
        <f t="shared" ca="1" si="34"/>
        <v>170.69821404791537</v>
      </c>
      <c r="M92">
        <f t="shared" ca="1" si="35"/>
        <v>156.28478595208463</v>
      </c>
      <c r="N92">
        <f t="shared" ca="1" si="24"/>
        <v>-0.66999999999998749</v>
      </c>
      <c r="O92">
        <f t="shared" ca="1" si="25"/>
        <v>0</v>
      </c>
      <c r="P92">
        <f t="shared" ca="1" si="26"/>
        <v>0.66999999999998749</v>
      </c>
      <c r="Q92">
        <f t="shared" ca="1" si="30"/>
        <v>0.60134624464602082</v>
      </c>
      <c r="R92">
        <f t="shared" ca="1" si="31"/>
        <v>0.76022996963110956</v>
      </c>
      <c r="S92">
        <f t="shared" ca="1" si="28"/>
        <v>0.79100570704653395</v>
      </c>
      <c r="T92">
        <f t="shared" ca="1" si="29"/>
        <v>44.16544871601473</v>
      </c>
      <c r="U92">
        <f>70</f>
        <v>70</v>
      </c>
      <c r="V92">
        <f>30</f>
        <v>30</v>
      </c>
      <c r="W92">
        <f t="shared" ca="1" si="27"/>
        <v>161.13774972171225</v>
      </c>
      <c r="X92">
        <f t="shared" ca="1" si="17"/>
        <v>162.37705186275932</v>
      </c>
      <c r="Y92">
        <f t="shared" ref="Y92:Y155" ca="1" si="36">W93-X93</f>
        <v>-1.3204278861772991</v>
      </c>
      <c r="Z92">
        <f t="shared" ca="1" si="18"/>
        <v>-0.91498833295433624</v>
      </c>
      <c r="AA92">
        <f t="shared" ca="1" si="19"/>
        <v>-0.40543955322296288</v>
      </c>
    </row>
    <row r="93" spans="1:27" x14ac:dyDescent="0.25">
      <c r="A93" s="20">
        <f t="shared" ca="1" si="20"/>
        <v>45831</v>
      </c>
      <c r="B93" vm="272">
        <f ca="1"/>
        <v>45833</v>
      </c>
      <c r="C93" vm="273">
        <f ca="1"/>
        <v>158.97</v>
      </c>
      <c r="D93" vm="274">
        <f ca="1"/>
        <v>5933715</v>
      </c>
      <c r="E93">
        <f t="shared" ca="1" si="21"/>
        <v>943282673.54999995</v>
      </c>
      <c r="F93">
        <f ca="1">SUM($E$2:E93)/SUM($D$2:D93)</f>
        <v>165.63798144702054</v>
      </c>
      <c r="G93">
        <f ca="1">_xlfn.STDEV.P($C$2:C93)</f>
        <v>4.8260881414021251</v>
      </c>
      <c r="H93">
        <f t="shared" ca="1" si="22"/>
        <v>170.46406958842266</v>
      </c>
      <c r="I93">
        <f t="shared" ca="1" si="23"/>
        <v>160.81189330561841</v>
      </c>
      <c r="J93">
        <f t="shared" ca="1" si="32"/>
        <v>163.05199999999999</v>
      </c>
      <c r="K93">
        <f t="shared" ca="1" si="33"/>
        <v>3.5913647896908989</v>
      </c>
      <c r="L93">
        <f t="shared" ca="1" si="34"/>
        <v>170.23472957938179</v>
      </c>
      <c r="M93">
        <f t="shared" ca="1" si="35"/>
        <v>155.86927042061819</v>
      </c>
      <c r="N93">
        <f t="shared" ca="1" si="24"/>
        <v>-1.3900000000000148</v>
      </c>
      <c r="O93">
        <f t="shared" ca="1" si="25"/>
        <v>0</v>
      </c>
      <c r="P93">
        <f t="shared" ca="1" si="26"/>
        <v>1.3900000000000148</v>
      </c>
      <c r="Q93">
        <f t="shared" ca="1" si="30"/>
        <v>0.55839294145701934</v>
      </c>
      <c r="R93">
        <f t="shared" ca="1" si="31"/>
        <v>0.8052135432288885</v>
      </c>
      <c r="S93">
        <f t="shared" ca="1" si="28"/>
        <v>0.69347186985687792</v>
      </c>
      <c r="T93">
        <f t="shared" ca="1" si="29"/>
        <v>40.949712965440987</v>
      </c>
      <c r="U93">
        <f>70</f>
        <v>70</v>
      </c>
      <c r="V93">
        <f>30</f>
        <v>30</v>
      </c>
      <c r="W93">
        <f t="shared" ca="1" si="27"/>
        <v>160.80424976452576</v>
      </c>
      <c r="X93">
        <f t="shared" ref="X93:X156" ca="1" si="37">C93*(2/(26+1)) + X92*(1-(2/(26+1)))</f>
        <v>162.12467765070306</v>
      </c>
      <c r="Y93">
        <f t="shared" ca="1" si="36"/>
        <v>-1.3960628387873157</v>
      </c>
      <c r="Z93">
        <f t="shared" ca="1" si="18"/>
        <v>-1.011203234120932</v>
      </c>
      <c r="AA93">
        <f t="shared" ca="1" si="19"/>
        <v>-0.38485960466638369</v>
      </c>
    </row>
    <row r="94" spans="1:27" x14ac:dyDescent="0.25">
      <c r="A94" s="20">
        <f t="shared" ca="1" si="20"/>
        <v>45831</v>
      </c>
      <c r="B94" vm="275">
        <f ca="1"/>
        <v>45834</v>
      </c>
      <c r="C94" vm="276">
        <f ca="1"/>
        <v>158.63</v>
      </c>
      <c r="D94" vm="277">
        <f ca="1"/>
        <v>7410446</v>
      </c>
      <c r="E94">
        <f t="shared" ca="1" si="21"/>
        <v>1175519048.98</v>
      </c>
      <c r="F94">
        <f ca="1">SUM($E$2:E94)/SUM($D$2:D94)</f>
        <v>165.57067821154752</v>
      </c>
      <c r="G94">
        <f ca="1">_xlfn.STDEV.P($C$2:C94)</f>
        <v>4.8553819746289149</v>
      </c>
      <c r="H94">
        <f t="shared" ca="1" si="22"/>
        <v>170.42606018617644</v>
      </c>
      <c r="I94">
        <f t="shared" ca="1" si="23"/>
        <v>160.71529623691859</v>
      </c>
      <c r="J94">
        <f t="shared" ca="1" si="32"/>
        <v>162.6155</v>
      </c>
      <c r="K94">
        <f t="shared" ca="1" si="33"/>
        <v>3.5706751167634474</v>
      </c>
      <c r="L94">
        <f t="shared" ca="1" si="34"/>
        <v>169.7568502335269</v>
      </c>
      <c r="M94">
        <f t="shared" ca="1" si="35"/>
        <v>155.47414976647309</v>
      </c>
      <c r="N94">
        <f t="shared" ca="1" si="24"/>
        <v>-0.34000000000000341</v>
      </c>
      <c r="O94">
        <f t="shared" ca="1" si="25"/>
        <v>0</v>
      </c>
      <c r="P94">
        <f t="shared" ca="1" si="26"/>
        <v>0.34000000000000341</v>
      </c>
      <c r="Q94">
        <f t="shared" ca="1" si="30"/>
        <v>0.51850773135294648</v>
      </c>
      <c r="R94">
        <f t="shared" ca="1" si="31"/>
        <v>0.77198400442682524</v>
      </c>
      <c r="S94">
        <f t="shared" ca="1" si="28"/>
        <v>0.6716560555395481</v>
      </c>
      <c r="T94">
        <f t="shared" ca="1" si="29"/>
        <v>40.179081893898484</v>
      </c>
      <c r="U94">
        <f>70</f>
        <v>70</v>
      </c>
      <c r="V94">
        <f>30</f>
        <v>30</v>
      </c>
      <c r="W94">
        <f t="shared" ca="1" si="27"/>
        <v>160.46974980075257</v>
      </c>
      <c r="X94">
        <f t="shared" ca="1" si="37"/>
        <v>161.86581263953988</v>
      </c>
      <c r="Y94">
        <f t="shared" ca="1" si="36"/>
        <v>-1.3412917864015697</v>
      </c>
      <c r="Z94">
        <f t="shared" ca="1" si="18"/>
        <v>-1.0772209445770595</v>
      </c>
      <c r="AA94">
        <f t="shared" ca="1" si="19"/>
        <v>-0.26407084182451013</v>
      </c>
    </row>
    <row r="95" spans="1:27" x14ac:dyDescent="0.25">
      <c r="A95" s="20">
        <f t="shared" ca="1" si="20"/>
        <v>45831</v>
      </c>
      <c r="B95" vm="278">
        <f ca="1"/>
        <v>45835</v>
      </c>
      <c r="C95" vm="279">
        <f ca="1"/>
        <v>159.86000000000001</v>
      </c>
      <c r="D95" vm="280">
        <f ca="1"/>
        <v>19256955</v>
      </c>
      <c r="E95">
        <f t="shared" ca="1" si="21"/>
        <v>3078416826.3000002</v>
      </c>
      <c r="F95">
        <f ca="1">SUM($E$2:E95)/SUM($D$2:D95)</f>
        <v>165.43162902268321</v>
      </c>
      <c r="G95">
        <f ca="1">_xlfn.STDEV.P($C$2:C95)</f>
        <v>4.8657477568807295</v>
      </c>
      <c r="H95">
        <f t="shared" ca="1" si="22"/>
        <v>170.29737677956393</v>
      </c>
      <c r="I95">
        <f t="shared" ca="1" si="23"/>
        <v>160.56588126580249</v>
      </c>
      <c r="J95">
        <f t="shared" ca="1" si="32"/>
        <v>162.18049999999999</v>
      </c>
      <c r="K95">
        <f t="shared" ca="1" si="33"/>
        <v>3.330211744492813</v>
      </c>
      <c r="L95">
        <f t="shared" ca="1" si="34"/>
        <v>168.84092348898562</v>
      </c>
      <c r="M95">
        <f t="shared" ca="1" si="35"/>
        <v>155.52007651101437</v>
      </c>
      <c r="N95">
        <f t="shared" ca="1" si="24"/>
        <v>1.2300000000000182</v>
      </c>
      <c r="O95">
        <f t="shared" ca="1" si="25"/>
        <v>1.2300000000000182</v>
      </c>
      <c r="P95">
        <f t="shared" ca="1" si="26"/>
        <v>0</v>
      </c>
      <c r="Q95">
        <f t="shared" ca="1" si="30"/>
        <v>0.56932860768488014</v>
      </c>
      <c r="R95">
        <f t="shared" ca="1" si="31"/>
        <v>0.71684228982490905</v>
      </c>
      <c r="S95">
        <f t="shared" ca="1" si="28"/>
        <v>0.7942173833297983</v>
      </c>
      <c r="T95">
        <f t="shared" ca="1" si="29"/>
        <v>44.265393408230722</v>
      </c>
      <c r="U95">
        <f>70</f>
        <v>70</v>
      </c>
      <c r="V95">
        <f>30</f>
        <v>30</v>
      </c>
      <c r="W95">
        <f t="shared" ca="1" si="27"/>
        <v>160.37594213909833</v>
      </c>
      <c r="X95">
        <f t="shared" ca="1" si="37"/>
        <v>161.7172339254999</v>
      </c>
      <c r="Y95">
        <f t="shared" ca="1" si="36"/>
        <v>-1.32617153981559</v>
      </c>
      <c r="Z95">
        <f t="shared" ca="1" si="18"/>
        <v>-1.1270110636247657</v>
      </c>
      <c r="AA95">
        <f t="shared" ca="1" si="19"/>
        <v>-0.19916047619082433</v>
      </c>
    </row>
    <row r="96" spans="1:27" x14ac:dyDescent="0.25">
      <c r="A96" s="20">
        <f t="shared" ca="1" si="20"/>
        <v>45838</v>
      </c>
      <c r="B96" vm="281">
        <f ca="1"/>
        <v>45838</v>
      </c>
      <c r="C96" vm="282">
        <f ca="1"/>
        <v>159.32</v>
      </c>
      <c r="D96" vm="283">
        <f ca="1"/>
        <v>11238201</v>
      </c>
      <c r="E96">
        <f t="shared" ca="1" si="21"/>
        <v>1790470183.3199999</v>
      </c>
      <c r="F96">
        <f ca="1">SUM($E$2:E96)/SUM($D$2:D96)</f>
        <v>165.34600037118287</v>
      </c>
      <c r="G96">
        <f ca="1">_xlfn.STDEV.P($C$2:C96)</f>
        <v>4.8820263038030562</v>
      </c>
      <c r="H96">
        <f t="shared" ca="1" si="22"/>
        <v>170.22802667498593</v>
      </c>
      <c r="I96">
        <f t="shared" ca="1" si="23"/>
        <v>160.46397406737981</v>
      </c>
      <c r="J96">
        <f t="shared" ca="1" si="32"/>
        <v>161.65200000000002</v>
      </c>
      <c r="K96">
        <f t="shared" ca="1" si="33"/>
        <v>2.8458253820751453</v>
      </c>
      <c r="L96">
        <f t="shared" ca="1" si="34"/>
        <v>167.34365076415031</v>
      </c>
      <c r="M96">
        <f t="shared" ca="1" si="35"/>
        <v>155.96034923584972</v>
      </c>
      <c r="N96">
        <f t="shared" ca="1" si="24"/>
        <v>-0.54000000000002046</v>
      </c>
      <c r="O96">
        <f t="shared" ca="1" si="25"/>
        <v>0</v>
      </c>
      <c r="P96">
        <f t="shared" ca="1" si="26"/>
        <v>0.54000000000002046</v>
      </c>
      <c r="Q96">
        <f t="shared" ca="1" si="30"/>
        <v>0.52866227856453152</v>
      </c>
      <c r="R96">
        <f t="shared" ca="1" si="31"/>
        <v>0.7042106976945598</v>
      </c>
      <c r="S96">
        <f t="shared" ca="1" si="28"/>
        <v>0.75071605741756342</v>
      </c>
      <c r="T96">
        <f t="shared" ca="1" si="29"/>
        <v>42.8805147606246</v>
      </c>
      <c r="U96">
        <f>70</f>
        <v>70</v>
      </c>
      <c r="V96">
        <f>30</f>
        <v>30</v>
      </c>
      <c r="W96">
        <f t="shared" ca="1" si="27"/>
        <v>160.21348950231396</v>
      </c>
      <c r="X96">
        <f t="shared" ca="1" si="37"/>
        <v>161.53966104212955</v>
      </c>
      <c r="Y96">
        <f t="shared" ca="1" si="36"/>
        <v>-1.1476451752274954</v>
      </c>
      <c r="Z96">
        <f t="shared" ca="1" si="18"/>
        <v>-1.1311378859453116</v>
      </c>
      <c r="AA96">
        <f t="shared" ca="1" si="19"/>
        <v>-1.6507289282183812E-2</v>
      </c>
    </row>
    <row r="97" spans="1:28" x14ac:dyDescent="0.25">
      <c r="A97" s="20">
        <f t="shared" ca="1" si="20"/>
        <v>45838</v>
      </c>
      <c r="B97" vm="284">
        <f ca="1"/>
        <v>45839</v>
      </c>
      <c r="C97" vm="285">
        <f ca="1"/>
        <v>161.22</v>
      </c>
      <c r="D97" vm="286">
        <f ca="1"/>
        <v>10664891</v>
      </c>
      <c r="E97">
        <f t="shared" ca="1" si="21"/>
        <v>1719393727.02</v>
      </c>
      <c r="F97">
        <f ca="1">SUM($E$2:E97)/SUM($D$2:D97)</f>
        <v>165.29186081757462</v>
      </c>
      <c r="G97">
        <f ca="1">_xlfn.STDEV.P($C$2:C97)</f>
        <v>4.8760441712501574</v>
      </c>
      <c r="H97">
        <f t="shared" ca="1" si="22"/>
        <v>170.16790498882477</v>
      </c>
      <c r="I97">
        <f t="shared" ca="1" si="23"/>
        <v>160.41581664632446</v>
      </c>
      <c r="J97">
        <f t="shared" ca="1" si="32"/>
        <v>161.32400000000001</v>
      </c>
      <c r="K97">
        <f t="shared" ca="1" si="33"/>
        <v>2.4533358600292074</v>
      </c>
      <c r="L97">
        <f t="shared" ca="1" si="34"/>
        <v>166.23067172005844</v>
      </c>
      <c r="M97">
        <f t="shared" ca="1" si="35"/>
        <v>156.41732827994159</v>
      </c>
      <c r="N97">
        <f t="shared" ca="1" si="24"/>
        <v>1.9000000000000057</v>
      </c>
      <c r="O97">
        <f t="shared" ca="1" si="25"/>
        <v>1.9000000000000057</v>
      </c>
      <c r="P97">
        <f t="shared" ca="1" si="26"/>
        <v>0</v>
      </c>
      <c r="Q97">
        <f t="shared" ca="1" si="30"/>
        <v>0.62661497295277968</v>
      </c>
      <c r="R97">
        <f t="shared" ca="1" si="31"/>
        <v>0.65390993357351979</v>
      </c>
      <c r="S97">
        <f t="shared" ca="1" si="28"/>
        <v>0.95825883777055165</v>
      </c>
      <c r="T97">
        <f t="shared" ca="1" si="29"/>
        <v>48.934227656110821</v>
      </c>
      <c r="U97">
        <f>70</f>
        <v>70</v>
      </c>
      <c r="V97">
        <f>30</f>
        <v>30</v>
      </c>
      <c r="W97">
        <f t="shared" ca="1" si="27"/>
        <v>160.36833727118875</v>
      </c>
      <c r="X97">
        <f t="shared" ca="1" si="37"/>
        <v>161.51598244641625</v>
      </c>
      <c r="Y97">
        <f t="shared" ca="1" si="36"/>
        <v>-0.99629095596074535</v>
      </c>
      <c r="Z97">
        <f t="shared" ca="1" si="18"/>
        <v>-1.1041684999483985</v>
      </c>
      <c r="AA97">
        <f t="shared" ca="1" si="19"/>
        <v>0.10787754398765315</v>
      </c>
    </row>
    <row r="98" spans="1:28" x14ac:dyDescent="0.25">
      <c r="A98" s="20">
        <f t="shared" ca="1" si="20"/>
        <v>45838</v>
      </c>
      <c r="B98" vm="287">
        <f ca="1"/>
        <v>45840</v>
      </c>
      <c r="C98" vm="288">
        <f ca="1"/>
        <v>161.19999999999999</v>
      </c>
      <c r="D98" vm="289">
        <f ca="1"/>
        <v>8848744</v>
      </c>
      <c r="E98">
        <f t="shared" ca="1" si="21"/>
        <v>1426417532.8</v>
      </c>
      <c r="F98">
        <f ca="1">SUM($E$2:E98)/SUM($D$2:D98)</f>
        <v>165.2477922602429</v>
      </c>
      <c r="G98">
        <f ca="1">_xlfn.STDEV.P($C$2:C98)</f>
        <v>4.869958802213163</v>
      </c>
      <c r="H98">
        <f t="shared" ca="1" si="22"/>
        <v>170.11775106245608</v>
      </c>
      <c r="I98">
        <f t="shared" ca="1" si="23"/>
        <v>160.37783345802973</v>
      </c>
      <c r="J98">
        <f t="shared" ca="1" si="32"/>
        <v>161.04149999999998</v>
      </c>
      <c r="K98">
        <f t="shared" ca="1" si="33"/>
        <v>2.0804965879884478</v>
      </c>
      <c r="L98">
        <f t="shared" ca="1" si="34"/>
        <v>165.20249317597688</v>
      </c>
      <c r="M98">
        <f t="shared" ca="1" si="35"/>
        <v>156.88050682402309</v>
      </c>
      <c r="N98">
        <f t="shared" ca="1" si="24"/>
        <v>-2.0000000000010232E-2</v>
      </c>
      <c r="O98">
        <f t="shared" ca="1" si="25"/>
        <v>0</v>
      </c>
      <c r="P98">
        <f t="shared" ca="1" si="26"/>
        <v>2.0000000000010232E-2</v>
      </c>
      <c r="Q98">
        <f t="shared" ca="1" si="30"/>
        <v>0.5818567605990097</v>
      </c>
      <c r="R98">
        <f t="shared" ca="1" si="31"/>
        <v>0.6086306526039833</v>
      </c>
      <c r="S98">
        <f t="shared" ca="1" si="28"/>
        <v>0.95600962276476975</v>
      </c>
      <c r="T98">
        <f t="shared" ca="1" si="29"/>
        <v>48.875507136487116</v>
      </c>
      <c r="U98">
        <f>70</f>
        <v>70</v>
      </c>
      <c r="V98">
        <f>30</f>
        <v>30</v>
      </c>
      <c r="W98">
        <f t="shared" ca="1" si="27"/>
        <v>160.49628538331356</v>
      </c>
      <c r="X98">
        <f t="shared" ca="1" si="37"/>
        <v>161.49257633927431</v>
      </c>
      <c r="Y98">
        <f t="shared" ca="1" si="36"/>
        <v>-0.8958705168661254</v>
      </c>
      <c r="Z98">
        <f t="shared" ca="1" si="18"/>
        <v>-1.0625089033319439</v>
      </c>
      <c r="AA98">
        <f t="shared" ca="1" si="19"/>
        <v>0.16663838646581852</v>
      </c>
    </row>
    <row r="99" spans="1:28" x14ac:dyDescent="0.25">
      <c r="A99" s="20">
        <f t="shared" ca="1" si="20"/>
        <v>45838</v>
      </c>
      <c r="B99" vm="290">
        <f ca="1"/>
        <v>45841</v>
      </c>
      <c r="C99" vm="291">
        <f ca="1"/>
        <v>160.83000000000001</v>
      </c>
      <c r="D99" vm="292">
        <f ca="1"/>
        <v>6999589</v>
      </c>
      <c r="E99">
        <f t="shared" ca="1" si="21"/>
        <v>1125743898.8700001</v>
      </c>
      <c r="F99">
        <f ca="1">SUM($E$2:E99)/SUM($D$2:D99)</f>
        <v>165.21047411865453</v>
      </c>
      <c r="G99">
        <f ca="1">_xlfn.STDEV.P($C$2:C99)</f>
        <v>4.8669904588579085</v>
      </c>
      <c r="H99">
        <f t="shared" ca="1" si="22"/>
        <v>170.07746457751244</v>
      </c>
      <c r="I99">
        <f t="shared" ca="1" si="23"/>
        <v>160.34348365979662</v>
      </c>
      <c r="J99">
        <f t="shared" ca="1" si="32"/>
        <v>160.78549999999998</v>
      </c>
      <c r="K99">
        <f t="shared" ca="1" si="33"/>
        <v>1.7302493735692681</v>
      </c>
      <c r="L99">
        <f t="shared" ca="1" si="34"/>
        <v>164.24599874713851</v>
      </c>
      <c r="M99">
        <f t="shared" ca="1" si="35"/>
        <v>157.32500125286145</v>
      </c>
      <c r="N99">
        <f t="shared" ca="1" si="24"/>
        <v>-0.36999999999997613</v>
      </c>
      <c r="O99">
        <f t="shared" ca="1" si="25"/>
        <v>0</v>
      </c>
      <c r="P99">
        <f t="shared" ca="1" si="26"/>
        <v>0.36999999999997613</v>
      </c>
      <c r="Q99">
        <f t="shared" ca="1" si="30"/>
        <v>0.54029556341336615</v>
      </c>
      <c r="R99">
        <f t="shared" ca="1" si="31"/>
        <v>0.59158560598941123</v>
      </c>
      <c r="S99">
        <f t="shared" ca="1" si="28"/>
        <v>0.91330072595281653</v>
      </c>
      <c r="T99">
        <f t="shared" ca="1" si="29"/>
        <v>47.734300915920898</v>
      </c>
      <c r="U99">
        <f>70</f>
        <v>70</v>
      </c>
      <c r="V99">
        <f>30</f>
        <v>30</v>
      </c>
      <c r="W99">
        <f t="shared" ca="1" si="27"/>
        <v>160.54762609357303</v>
      </c>
      <c r="X99">
        <f t="shared" ca="1" si="37"/>
        <v>161.44349661043915</v>
      </c>
      <c r="Y99">
        <f t="shared" ca="1" si="36"/>
        <v>-0.83330897037475893</v>
      </c>
      <c r="Z99">
        <f t="shared" ca="1" si="18"/>
        <v>-1.016668916740507</v>
      </c>
      <c r="AA99">
        <f t="shared" ca="1" si="19"/>
        <v>0.18335994636574804</v>
      </c>
    </row>
    <row r="100" spans="1:28" x14ac:dyDescent="0.25">
      <c r="A100" s="20">
        <f t="shared" ca="1" si="20"/>
        <v>45845</v>
      </c>
      <c r="B100" vm="293">
        <f ca="1"/>
        <v>45845</v>
      </c>
      <c r="C100" vm="294">
        <f ca="1"/>
        <v>160.5</v>
      </c>
      <c r="D100" vm="295">
        <f ca="1"/>
        <v>7225695</v>
      </c>
      <c r="E100">
        <f t="shared" ca="1" si="21"/>
        <v>1159724047.5</v>
      </c>
      <c r="F100">
        <f ca="1">SUM($E$2:E100)/SUM($D$2:D100)</f>
        <v>165.16975337053597</v>
      </c>
      <c r="G100">
        <f ca="1">_xlfn.STDEV.P($C$2:C100)</f>
        <v>4.8668376512474323</v>
      </c>
      <c r="H100">
        <f t="shared" ca="1" si="22"/>
        <v>170.03659102178341</v>
      </c>
      <c r="I100">
        <f t="shared" ca="1" si="23"/>
        <v>160.30291571928854</v>
      </c>
      <c r="J100">
        <f t="shared" ca="1" si="32"/>
        <v>160.67049999999998</v>
      </c>
      <c r="K100">
        <f t="shared" ca="1" si="33"/>
        <v>1.6644944704339706</v>
      </c>
      <c r="L100">
        <f t="shared" ca="1" si="34"/>
        <v>163.99948894086791</v>
      </c>
      <c r="M100">
        <f t="shared" ca="1" si="35"/>
        <v>157.34151105913205</v>
      </c>
      <c r="N100">
        <f t="shared" ca="1" si="24"/>
        <v>-0.33000000000001251</v>
      </c>
      <c r="O100">
        <f t="shared" ca="1" si="25"/>
        <v>0</v>
      </c>
      <c r="P100">
        <f t="shared" ca="1" si="26"/>
        <v>0.33000000000001251</v>
      </c>
      <c r="Q100">
        <f t="shared" ca="1" si="30"/>
        <v>0.50170302316955429</v>
      </c>
      <c r="R100">
        <f t="shared" ca="1" si="31"/>
        <v>0.57290091984731129</v>
      </c>
      <c r="S100">
        <f t="shared" ca="1" si="28"/>
        <v>0.87572389184375443</v>
      </c>
      <c r="T100">
        <f t="shared" ca="1" si="29"/>
        <v>46.687249421499672</v>
      </c>
      <c r="U100">
        <f>70</f>
        <v>70</v>
      </c>
      <c r="V100">
        <f>30</f>
        <v>30</v>
      </c>
      <c r="W100">
        <f t="shared" ca="1" si="27"/>
        <v>160.54029900225407</v>
      </c>
      <c r="X100">
        <f t="shared" ca="1" si="37"/>
        <v>161.37360797262883</v>
      </c>
      <c r="Y100">
        <f t="shared" ca="1" si="36"/>
        <v>-0.98300224340431441</v>
      </c>
      <c r="Z100">
        <f t="shared" ca="1" si="18"/>
        <v>-1.0099355820732685</v>
      </c>
      <c r="AA100">
        <f t="shared" ca="1" si="19"/>
        <v>2.6933338668954088E-2</v>
      </c>
    </row>
    <row r="101" spans="1:28" x14ac:dyDescent="0.25">
      <c r="A101" s="20">
        <f t="shared" ca="1" si="20"/>
        <v>45845</v>
      </c>
      <c r="B101" vm="296">
        <f ca="1"/>
        <v>45846</v>
      </c>
      <c r="C101" vm="297">
        <f ca="1"/>
        <v>157.88999999999999</v>
      </c>
      <c r="D101" vm="298">
        <f ca="1"/>
        <v>12034764</v>
      </c>
      <c r="E101">
        <f t="shared" ca="1" si="21"/>
        <v>1900168887.9599998</v>
      </c>
      <c r="F101">
        <f ca="1">SUM($E$2:E101)/SUM($D$2:D101)</f>
        <v>165.06642555155156</v>
      </c>
      <c r="G101">
        <f ca="1">_xlfn.STDEV.P($C$2:C101)</f>
        <v>4.8986576314333306</v>
      </c>
      <c r="H101">
        <f t="shared" ca="1" si="22"/>
        <v>169.9650831829849</v>
      </c>
      <c r="I101">
        <f t="shared" ca="1" si="23"/>
        <v>160.16776792011822</v>
      </c>
      <c r="J101">
        <f t="shared" ca="1" si="32"/>
        <v>160.36399999999998</v>
      </c>
      <c r="K101">
        <f t="shared" ca="1" si="33"/>
        <v>1.5773642238674128</v>
      </c>
      <c r="L101">
        <f t="shared" ca="1" si="34"/>
        <v>163.51872844773482</v>
      </c>
      <c r="M101">
        <f t="shared" ca="1" si="35"/>
        <v>157.20927155226514</v>
      </c>
      <c r="N101">
        <f t="shared" ca="1" si="24"/>
        <v>-2.6100000000000136</v>
      </c>
      <c r="O101">
        <f t="shared" ca="1" si="25"/>
        <v>0</v>
      </c>
      <c r="P101">
        <f t="shared" ca="1" si="26"/>
        <v>2.6100000000000136</v>
      </c>
      <c r="Q101">
        <f t="shared" ca="1" si="30"/>
        <v>0.46586709294315753</v>
      </c>
      <c r="R101">
        <f t="shared" ca="1" si="31"/>
        <v>0.71840799700107572</v>
      </c>
      <c r="S101">
        <f t="shared" ca="1" si="28"/>
        <v>0.64847147427071306</v>
      </c>
      <c r="T101">
        <f t="shared" ca="1" si="29"/>
        <v>39.337743139146411</v>
      </c>
      <c r="U101">
        <f>70</f>
        <v>70</v>
      </c>
      <c r="V101">
        <f>30</f>
        <v>30</v>
      </c>
      <c r="W101">
        <f t="shared" ca="1" si="27"/>
        <v>160.13256069421499</v>
      </c>
      <c r="X101">
        <f t="shared" ca="1" si="37"/>
        <v>161.1155629376193</v>
      </c>
      <c r="Y101">
        <f t="shared" ca="1" si="36"/>
        <v>-1.1185966625197352</v>
      </c>
      <c r="Z101">
        <f t="shared" ca="1" si="18"/>
        <v>-1.0316677981625619</v>
      </c>
      <c r="AA101">
        <f t="shared" ca="1" si="19"/>
        <v>-8.6928864357173286E-2</v>
      </c>
      <c r="AB101">
        <f ca="1">AVERAGE(C2:C101)</f>
        <v>165.25290000000004</v>
      </c>
    </row>
    <row r="102" spans="1:28" x14ac:dyDescent="0.25">
      <c r="A102" s="20">
        <f t="shared" ca="1" si="20"/>
        <v>45845</v>
      </c>
      <c r="B102" vm="299">
        <f ca="1"/>
        <v>45847</v>
      </c>
      <c r="C102" vm="300">
        <f ca="1"/>
        <v>157.52000000000001</v>
      </c>
      <c r="D102" vm="301">
        <f ca="1"/>
        <v>18770894</v>
      </c>
      <c r="E102">
        <f t="shared" ca="1" si="21"/>
        <v>2956791222.8800001</v>
      </c>
      <c r="F102">
        <f ca="1">SUM($E$2:E102)/SUM($D$2:D102)</f>
        <v>164.90297758378514</v>
      </c>
      <c r="G102">
        <f ca="1">_xlfn.STDEV.P($C$2:C102)</f>
        <v>4.9341107563556674</v>
      </c>
      <c r="H102">
        <f t="shared" ca="1" si="22"/>
        <v>169.83708834014081</v>
      </c>
      <c r="I102">
        <f t="shared" ca="1" si="23"/>
        <v>159.96886682742948</v>
      </c>
      <c r="J102">
        <f t="shared" ca="1" si="32"/>
        <v>160.11199999999999</v>
      </c>
      <c r="K102">
        <f t="shared" ca="1" si="33"/>
        <v>1.6103173927096357</v>
      </c>
      <c r="L102">
        <f t="shared" ca="1" si="34"/>
        <v>163.33263478541926</v>
      </c>
      <c r="M102">
        <f t="shared" ca="1" si="35"/>
        <v>156.89136521458073</v>
      </c>
      <c r="N102">
        <f t="shared" ca="1" si="24"/>
        <v>-0.36999999999997613</v>
      </c>
      <c r="O102">
        <f t="shared" ca="1" si="25"/>
        <v>0</v>
      </c>
      <c r="P102">
        <f t="shared" ca="1" si="26"/>
        <v>0.36999999999997613</v>
      </c>
      <c r="Q102">
        <f t="shared" ca="1" si="30"/>
        <v>0.43259087201864632</v>
      </c>
      <c r="R102">
        <f t="shared" ca="1" si="31"/>
        <v>0.69352171150099717</v>
      </c>
      <c r="S102">
        <f t="shared" ca="1" si="28"/>
        <v>0.62375966728191512</v>
      </c>
      <c r="T102">
        <f t="shared" ca="1" si="29"/>
        <v>38.414531402055005</v>
      </c>
      <c r="U102">
        <f>70</f>
        <v>70</v>
      </c>
      <c r="V102">
        <f>30</f>
        <v>30</v>
      </c>
      <c r="W102">
        <f t="shared" ca="1" si="27"/>
        <v>159.73062827972035</v>
      </c>
      <c r="X102">
        <f t="shared" ca="1" si="37"/>
        <v>160.84922494224008</v>
      </c>
      <c r="Y102">
        <f t="shared" ca="1" si="36"/>
        <v>-1.1347051485786039</v>
      </c>
      <c r="Z102">
        <f t="shared" ref="Z102:Z165" ca="1" si="38">Y102*(2/(9+1)) + Z101*(1-(2/(9+1)))</f>
        <v>-1.0522752682457703</v>
      </c>
      <c r="AA102">
        <f t="shared" ref="AA102:AA165" ca="1" si="39">Y102-Z102</f>
        <v>-8.2429880332833605E-2</v>
      </c>
      <c r="AB102">
        <f t="shared" ref="AB102:AB165" ca="1" si="40">AVERAGE(C3:C102)</f>
        <v>165.13230000000004</v>
      </c>
    </row>
    <row r="103" spans="1:28" x14ac:dyDescent="0.25">
      <c r="A103" s="20">
        <f t="shared" ca="1" si="20"/>
        <v>45845</v>
      </c>
      <c r="B103" vm="302">
        <f ca="1"/>
        <v>45848</v>
      </c>
      <c r="C103" vm="303">
        <f ca="1"/>
        <v>158.49</v>
      </c>
      <c r="D103" vm="304">
        <f ca="1"/>
        <v>7201748</v>
      </c>
      <c r="E103">
        <f t="shared" ca="1" si="21"/>
        <v>1141405040.52</v>
      </c>
      <c r="F103">
        <f ca="1">SUM($E$2:E103)/SUM($D$2:D103)</f>
        <v>164.85012613155433</v>
      </c>
      <c r="G103">
        <f ca="1">_xlfn.STDEV.P($C$2:C103)</f>
        <v>4.9538647393161845</v>
      </c>
      <c r="H103">
        <f t="shared" ca="1" si="22"/>
        <v>169.80399087087051</v>
      </c>
      <c r="I103">
        <f t="shared" ca="1" si="23"/>
        <v>159.89626139223816</v>
      </c>
      <c r="J103">
        <f t="shared" ca="1" si="32"/>
        <v>159.89449999999997</v>
      </c>
      <c r="K103">
        <f t="shared" ca="1" si="33"/>
        <v>1.5133110265764589</v>
      </c>
      <c r="L103">
        <f t="shared" ca="1" si="34"/>
        <v>162.92112205315289</v>
      </c>
      <c r="M103">
        <f t="shared" ca="1" si="35"/>
        <v>156.86787794684705</v>
      </c>
      <c r="N103">
        <f t="shared" ca="1" si="24"/>
        <v>0.96999999999999886</v>
      </c>
      <c r="O103">
        <f t="shared" ca="1" si="25"/>
        <v>0.96999999999999886</v>
      </c>
      <c r="P103">
        <f t="shared" ca="1" si="26"/>
        <v>0</v>
      </c>
      <c r="Q103">
        <f t="shared" ca="1" si="30"/>
        <v>0.47097723830302868</v>
      </c>
      <c r="R103">
        <f t="shared" ca="1" si="31"/>
        <v>0.64398444639378305</v>
      </c>
      <c r="S103">
        <f t="shared" ca="1" si="28"/>
        <v>0.73134877859307168</v>
      </c>
      <c r="T103">
        <f t="shared" ca="1" si="29"/>
        <v>42.241562626530985</v>
      </c>
      <c r="U103">
        <f>70</f>
        <v>70</v>
      </c>
      <c r="V103">
        <f>30</f>
        <v>30</v>
      </c>
      <c r="W103">
        <f t="shared" ca="1" si="27"/>
        <v>159.53976239053259</v>
      </c>
      <c r="X103">
        <f t="shared" ca="1" si="37"/>
        <v>160.67446753911119</v>
      </c>
      <c r="Y103">
        <f t="shared" ca="1" si="36"/>
        <v>-1.2492664393816426</v>
      </c>
      <c r="Z103">
        <f t="shared" ca="1" si="38"/>
        <v>-1.0916735024729447</v>
      </c>
      <c r="AA103">
        <f t="shared" ca="1" si="39"/>
        <v>-0.15759293690869791</v>
      </c>
      <c r="AB103">
        <f t="shared" ca="1" si="40"/>
        <v>165.00700000000003</v>
      </c>
    </row>
    <row r="104" spans="1:28" x14ac:dyDescent="0.25">
      <c r="A104" s="20">
        <f t="shared" ca="1" si="20"/>
        <v>45845</v>
      </c>
      <c r="B104" vm="305">
        <f ca="1"/>
        <v>45849</v>
      </c>
      <c r="C104" vm="306">
        <f ca="1"/>
        <v>157.05000000000001</v>
      </c>
      <c r="D104" vm="307">
        <f ca="1"/>
        <v>8053808</v>
      </c>
      <c r="E104">
        <f t="shared" ca="1" si="21"/>
        <v>1264850546.4000001</v>
      </c>
      <c r="F104">
        <f ca="1">SUM($E$2:E104)/SUM($D$2:D104)</f>
        <v>164.77889368060039</v>
      </c>
      <c r="G104">
        <f ca="1">_xlfn.STDEV.P($C$2:C104)</f>
        <v>4.9927175545496221</v>
      </c>
      <c r="H104">
        <f t="shared" ca="1" si="22"/>
        <v>169.77161123515</v>
      </c>
      <c r="I104">
        <f t="shared" ca="1" si="23"/>
        <v>159.78617612605078</v>
      </c>
      <c r="J104">
        <f t="shared" ca="1" si="32"/>
        <v>159.64150000000001</v>
      </c>
      <c r="K104">
        <f t="shared" ca="1" si="33"/>
        <v>1.5460417200062864</v>
      </c>
      <c r="L104">
        <f t="shared" ca="1" si="34"/>
        <v>162.73358344001258</v>
      </c>
      <c r="M104">
        <f t="shared" ca="1" si="35"/>
        <v>156.54941655998743</v>
      </c>
      <c r="N104">
        <f t="shared" ca="1" si="24"/>
        <v>-1.4399999999999977</v>
      </c>
      <c r="O104">
        <f t="shared" ca="1" si="25"/>
        <v>0</v>
      </c>
      <c r="P104">
        <f t="shared" ca="1" si="26"/>
        <v>1.4399999999999977</v>
      </c>
      <c r="Q104">
        <f t="shared" ca="1" si="30"/>
        <v>0.43733600699566949</v>
      </c>
      <c r="R104">
        <f t="shared" ca="1" si="31"/>
        <v>0.70084270022279838</v>
      </c>
      <c r="S104">
        <f t="shared" ca="1" si="28"/>
        <v>0.62401449976812207</v>
      </c>
      <c r="T104">
        <f t="shared" ca="1" si="29"/>
        <v>38.424195095377492</v>
      </c>
      <c r="U104">
        <f>70</f>
        <v>70</v>
      </c>
      <c r="V104">
        <f>30</f>
        <v>30</v>
      </c>
      <c r="W104">
        <f t="shared" ca="1" si="27"/>
        <v>159.15672202275834</v>
      </c>
      <c r="X104">
        <f t="shared" ca="1" si="37"/>
        <v>160.40598846213999</v>
      </c>
      <c r="Y104">
        <f t="shared" ca="1" si="36"/>
        <v>-1.5872359243198844</v>
      </c>
      <c r="Z104">
        <f t="shared" ca="1" si="38"/>
        <v>-1.1907859868423327</v>
      </c>
      <c r="AA104">
        <f t="shared" ca="1" si="39"/>
        <v>-0.39644993747755164</v>
      </c>
      <c r="AB104">
        <f t="shared" ca="1" si="40"/>
        <v>164.94860000000006</v>
      </c>
    </row>
    <row r="105" spans="1:28" x14ac:dyDescent="0.25">
      <c r="A105" s="20">
        <f t="shared" ca="1" si="20"/>
        <v>45852</v>
      </c>
      <c r="B105" vm="308">
        <f ca="1"/>
        <v>45852</v>
      </c>
      <c r="C105" vm="309">
        <f ca="1"/>
        <v>153.76</v>
      </c>
      <c r="D105" vm="310">
        <f ca="1"/>
        <v>11491688</v>
      </c>
      <c r="E105">
        <f t="shared" ca="1" si="21"/>
        <v>1766961946.8799999</v>
      </c>
      <c r="F105">
        <f ca="1">SUM($E$2:E105)/SUM($D$2:D105)</f>
        <v>164.63715959139009</v>
      </c>
      <c r="G105">
        <f ca="1">_xlfn.STDEV.P($C$2:C105)</f>
        <v>5.0889704661115518</v>
      </c>
      <c r="H105">
        <f t="shared" ca="1" si="22"/>
        <v>169.72613005750165</v>
      </c>
      <c r="I105">
        <f t="shared" ca="1" si="23"/>
        <v>159.54818912527853</v>
      </c>
      <c r="J105">
        <f t="shared" ca="1" si="32"/>
        <v>159.1705</v>
      </c>
      <c r="K105">
        <f t="shared" ca="1" si="33"/>
        <v>1.8216374213154616</v>
      </c>
      <c r="L105">
        <f t="shared" ca="1" si="34"/>
        <v>162.81377484263092</v>
      </c>
      <c r="M105">
        <f t="shared" ca="1" si="35"/>
        <v>155.52722515736909</v>
      </c>
      <c r="N105">
        <f t="shared" ca="1" si="24"/>
        <v>-3.2900000000000205</v>
      </c>
      <c r="O105">
        <f t="shared" ca="1" si="25"/>
        <v>0</v>
      </c>
      <c r="P105">
        <f t="shared" ca="1" si="26"/>
        <v>3.2900000000000205</v>
      </c>
      <c r="Q105">
        <f t="shared" ca="1" si="30"/>
        <v>0.40609772078169309</v>
      </c>
      <c r="R105">
        <f t="shared" ca="1" si="31"/>
        <v>0.88578250734974273</v>
      </c>
      <c r="S105">
        <f t="shared" ca="1" si="28"/>
        <v>0.45846211390732433</v>
      </c>
      <c r="T105">
        <f t="shared" ca="1" si="29"/>
        <v>31.434626209046428</v>
      </c>
      <c r="U105">
        <f>70</f>
        <v>70</v>
      </c>
      <c r="V105">
        <f>30</f>
        <v>30</v>
      </c>
      <c r="W105">
        <f t="shared" ca="1" si="27"/>
        <v>158.32645709618012</v>
      </c>
      <c r="X105">
        <f t="shared" ca="1" si="37"/>
        <v>159.91369302050001</v>
      </c>
      <c r="Y105">
        <f t="shared" ca="1" si="36"/>
        <v>-1.9200925187948883</v>
      </c>
      <c r="Z105">
        <f t="shared" ca="1" si="38"/>
        <v>-1.3366472932328439</v>
      </c>
      <c r="AA105">
        <f t="shared" ca="1" si="39"/>
        <v>-0.58344522556204437</v>
      </c>
      <c r="AB105">
        <f t="shared" ca="1" si="40"/>
        <v>164.83190000000002</v>
      </c>
    </row>
    <row r="106" spans="1:28" x14ac:dyDescent="0.25">
      <c r="A106" s="20">
        <f t="shared" ca="1" si="20"/>
        <v>45852</v>
      </c>
      <c r="B106" vm="311">
        <f ca="1"/>
        <v>45853</v>
      </c>
      <c r="C106" vm="312">
        <f ca="1"/>
        <v>152.68</v>
      </c>
      <c r="D106" vm="313">
        <f ca="1"/>
        <v>9142615</v>
      </c>
      <c r="E106">
        <f t="shared" ca="1" si="21"/>
        <v>1395894458.2</v>
      </c>
      <c r="F106">
        <f ca="1">SUM($E$2:E106)/SUM($D$2:D106)</f>
        <v>164.51603587079302</v>
      </c>
      <c r="G106">
        <f ca="1">_xlfn.STDEV.P($C$2:C106)</f>
        <v>5.2024202757585414</v>
      </c>
      <c r="H106">
        <f t="shared" ca="1" si="22"/>
        <v>169.71845614655155</v>
      </c>
      <c r="I106">
        <f t="shared" ca="1" si="23"/>
        <v>159.31361559503449</v>
      </c>
      <c r="J106">
        <f t="shared" ca="1" si="32"/>
        <v>158.79050000000001</v>
      </c>
      <c r="K106">
        <f t="shared" ca="1" si="33"/>
        <v>2.3062443267652371</v>
      </c>
      <c r="L106">
        <f t="shared" ca="1" si="34"/>
        <v>163.40298865353049</v>
      </c>
      <c r="M106">
        <f t="shared" ca="1" si="35"/>
        <v>154.17801134646953</v>
      </c>
      <c r="N106">
        <f t="shared" ca="1" si="24"/>
        <v>-1.0799999999999841</v>
      </c>
      <c r="O106">
        <f t="shared" ca="1" si="25"/>
        <v>0</v>
      </c>
      <c r="P106">
        <f t="shared" ca="1" si="26"/>
        <v>1.0799999999999841</v>
      </c>
      <c r="Q106">
        <f t="shared" ca="1" si="30"/>
        <v>0.37709074072585785</v>
      </c>
      <c r="R106">
        <f t="shared" ca="1" si="31"/>
        <v>0.89965518539618849</v>
      </c>
      <c r="S106">
        <f t="shared" ca="1" si="28"/>
        <v>0.41915029985604463</v>
      </c>
      <c r="T106">
        <f t="shared" ca="1" si="29"/>
        <v>29.535300094610292</v>
      </c>
      <c r="U106">
        <f>70</f>
        <v>70</v>
      </c>
      <c r="V106">
        <f>30</f>
        <v>30</v>
      </c>
      <c r="W106">
        <f t="shared" ca="1" si="27"/>
        <v>157.45777138907548</v>
      </c>
      <c r="X106">
        <f t="shared" ca="1" si="37"/>
        <v>159.37786390787036</v>
      </c>
      <c r="Y106">
        <f t="shared" ca="1" si="36"/>
        <v>-2.0752355199499846</v>
      </c>
      <c r="Z106">
        <f t="shared" ca="1" si="38"/>
        <v>-1.4843649385762723</v>
      </c>
      <c r="AA106">
        <f t="shared" ca="1" si="39"/>
        <v>-0.59087058137371229</v>
      </c>
      <c r="AB106">
        <f t="shared" ca="1" si="40"/>
        <v>164.69380000000004</v>
      </c>
    </row>
    <row r="107" spans="1:28" x14ac:dyDescent="0.25">
      <c r="A107" s="20">
        <f t="shared" ca="1" si="20"/>
        <v>45852</v>
      </c>
      <c r="B107" vm="314">
        <f ca="1"/>
        <v>45854</v>
      </c>
      <c r="C107" vm="315">
        <f ca="1"/>
        <v>153.72999999999999</v>
      </c>
      <c r="D107" vm="316">
        <f ca="1"/>
        <v>8478997</v>
      </c>
      <c r="E107">
        <f t="shared" ca="1" si="21"/>
        <v>1303476208.8099999</v>
      </c>
      <c r="F107">
        <f ca="1">SUM($E$2:E107)/SUM($D$2:D107)</f>
        <v>164.41564917990684</v>
      </c>
      <c r="G107">
        <f ca="1">_xlfn.STDEV.P($C$2:C107)</f>
        <v>5.2873981848998026</v>
      </c>
      <c r="H107">
        <f t="shared" ca="1" si="22"/>
        <v>169.70304736480665</v>
      </c>
      <c r="I107">
        <f t="shared" ca="1" si="23"/>
        <v>159.12825099500702</v>
      </c>
      <c r="J107">
        <f t="shared" ca="1" si="32"/>
        <v>158.43299999999999</v>
      </c>
      <c r="K107">
        <f t="shared" ca="1" si="33"/>
        <v>2.5104310806166983</v>
      </c>
      <c r="L107">
        <f t="shared" ca="1" si="34"/>
        <v>163.45386216123339</v>
      </c>
      <c r="M107">
        <f t="shared" ca="1" si="35"/>
        <v>153.4121378387666</v>
      </c>
      <c r="N107">
        <f t="shared" ca="1" si="24"/>
        <v>1.0499999999999829</v>
      </c>
      <c r="O107">
        <f t="shared" ca="1" si="25"/>
        <v>1.0499999999999829</v>
      </c>
      <c r="P107">
        <f t="shared" ca="1" si="26"/>
        <v>0</v>
      </c>
      <c r="Q107">
        <f t="shared" ca="1" si="30"/>
        <v>0.4251556878168668</v>
      </c>
      <c r="R107">
        <f t="shared" ca="1" si="31"/>
        <v>0.83539410072503217</v>
      </c>
      <c r="S107">
        <f t="shared" ca="1" si="28"/>
        <v>0.50892828600043671</v>
      </c>
      <c r="T107">
        <f t="shared" ca="1" si="29"/>
        <v>33.727798114872726</v>
      </c>
      <c r="U107">
        <f>70</f>
        <v>70</v>
      </c>
      <c r="V107">
        <f>30</f>
        <v>30</v>
      </c>
      <c r="W107">
        <f t="shared" ca="1" si="27"/>
        <v>156.8842680984485</v>
      </c>
      <c r="X107">
        <f t="shared" ca="1" si="37"/>
        <v>158.95950361839849</v>
      </c>
      <c r="Y107">
        <f t="shared" ca="1" si="36"/>
        <v>-2.0223676659267653</v>
      </c>
      <c r="Z107">
        <f t="shared" ca="1" si="38"/>
        <v>-1.5919654840463708</v>
      </c>
      <c r="AA107">
        <f t="shared" ca="1" si="39"/>
        <v>-0.43040218188039447</v>
      </c>
      <c r="AB107">
        <f t="shared" ca="1" si="40"/>
        <v>164.55900000000005</v>
      </c>
    </row>
    <row r="108" spans="1:28" x14ac:dyDescent="0.25">
      <c r="A108" s="20">
        <f t="shared" ca="1" si="20"/>
        <v>45852</v>
      </c>
      <c r="B108" vm="317">
        <f ca="1"/>
        <v>45855</v>
      </c>
      <c r="C108" vm="318">
        <f ca="1"/>
        <v>155.62</v>
      </c>
      <c r="D108" vm="319">
        <f ca="1"/>
        <v>8319996</v>
      </c>
      <c r="E108">
        <f t="shared" ca="1" si="21"/>
        <v>1294757777.52</v>
      </c>
      <c r="F108">
        <f ca="1">SUM($E$2:E108)/SUM($D$2:D108)</f>
        <v>164.33604926736493</v>
      </c>
      <c r="G108">
        <f ca="1">_xlfn.STDEV.P($C$2:C108)</f>
        <v>5.3347105538314787</v>
      </c>
      <c r="H108">
        <f t="shared" ca="1" si="22"/>
        <v>169.67075982119641</v>
      </c>
      <c r="I108">
        <f t="shared" ca="1" si="23"/>
        <v>159.00133871353344</v>
      </c>
      <c r="J108">
        <f t="shared" ca="1" si="32"/>
        <v>158.28800000000001</v>
      </c>
      <c r="K108">
        <f t="shared" ca="1" si="33"/>
        <v>2.58770290330816</v>
      </c>
      <c r="L108">
        <f t="shared" ca="1" si="34"/>
        <v>163.46340580661632</v>
      </c>
      <c r="M108">
        <f t="shared" ca="1" si="35"/>
        <v>153.1125941933837</v>
      </c>
      <c r="N108">
        <f t="shared" ca="1" si="24"/>
        <v>1.8900000000000148</v>
      </c>
      <c r="O108">
        <f t="shared" ca="1" si="25"/>
        <v>1.8900000000000148</v>
      </c>
      <c r="P108">
        <f t="shared" ca="1" si="26"/>
        <v>0</v>
      </c>
      <c r="Q108">
        <f t="shared" ca="1" si="30"/>
        <v>0.52978742440137738</v>
      </c>
      <c r="R108">
        <f t="shared" ca="1" si="31"/>
        <v>0.77572309353038704</v>
      </c>
      <c r="S108">
        <f t="shared" ca="1" si="28"/>
        <v>0.68295945914187772</v>
      </c>
      <c r="T108">
        <f t="shared" ca="1" si="29"/>
        <v>40.580862208654217</v>
      </c>
      <c r="U108">
        <f>70</f>
        <v>70</v>
      </c>
      <c r="V108">
        <f>30</f>
        <v>30</v>
      </c>
      <c r="W108">
        <f t="shared" ca="1" si="27"/>
        <v>156.68976531407182</v>
      </c>
      <c r="X108">
        <f t="shared" ca="1" si="37"/>
        <v>158.71213297999859</v>
      </c>
      <c r="Y108">
        <f t="shared" ca="1" si="36"/>
        <v>-1.9993815390889154</v>
      </c>
      <c r="Z108">
        <f t="shared" ca="1" si="38"/>
        <v>-1.6734486950548799</v>
      </c>
      <c r="AA108">
        <f t="shared" ca="1" si="39"/>
        <v>-0.32593284403403544</v>
      </c>
      <c r="AB108">
        <f t="shared" ca="1" si="40"/>
        <v>164.41290000000004</v>
      </c>
    </row>
    <row r="109" spans="1:28" x14ac:dyDescent="0.25">
      <c r="A109" s="20">
        <f t="shared" ca="1" si="20"/>
        <v>45852</v>
      </c>
      <c r="B109" vm="320">
        <f ca="1"/>
        <v>45856</v>
      </c>
      <c r="C109" vm="321">
        <f ca="1"/>
        <v>155.1</v>
      </c>
      <c r="D109" vm="322">
        <f ca="1"/>
        <v>7337252</v>
      </c>
      <c r="E109">
        <f t="shared" ca="1" si="21"/>
        <v>1138007785.2</v>
      </c>
      <c r="F109">
        <f ca="1">SUM($E$2:E109)/SUM($D$2:D109)</f>
        <v>164.26292038727033</v>
      </c>
      <c r="G109">
        <f ca="1">_xlfn.STDEV.P($C$2:C109)</f>
        <v>5.3876432695567367</v>
      </c>
      <c r="H109">
        <f t="shared" ca="1" si="22"/>
        <v>169.65056365682707</v>
      </c>
      <c r="I109">
        <f t="shared" ca="1" si="23"/>
        <v>158.87527711771358</v>
      </c>
      <c r="J109">
        <f t="shared" ca="1" si="32"/>
        <v>158.142</v>
      </c>
      <c r="K109">
        <f t="shared" ca="1" si="33"/>
        <v>2.6841946748757977</v>
      </c>
      <c r="L109">
        <f t="shared" ca="1" si="34"/>
        <v>163.51038934975159</v>
      </c>
      <c r="M109">
        <f t="shared" ca="1" si="35"/>
        <v>152.7736106502484</v>
      </c>
      <c r="N109">
        <f t="shared" ca="1" si="24"/>
        <v>-0.52000000000001023</v>
      </c>
      <c r="O109">
        <f t="shared" ca="1" si="25"/>
        <v>0</v>
      </c>
      <c r="P109">
        <f t="shared" ca="1" si="26"/>
        <v>0.52000000000001023</v>
      </c>
      <c r="Q109">
        <f t="shared" ca="1" si="30"/>
        <v>0.49194546551556467</v>
      </c>
      <c r="R109">
        <f t="shared" ca="1" si="31"/>
        <v>0.75745715827821736</v>
      </c>
      <c r="S109">
        <f t="shared" ca="1" si="28"/>
        <v>0.64946968965718177</v>
      </c>
      <c r="T109">
        <f t="shared" ca="1" si="29"/>
        <v>39.374454330965285</v>
      </c>
      <c r="U109">
        <f>70</f>
        <v>70</v>
      </c>
      <c r="V109">
        <f>30</f>
        <v>30</v>
      </c>
      <c r="W109">
        <f t="shared" ca="1" si="27"/>
        <v>156.44518603498383</v>
      </c>
      <c r="X109">
        <f t="shared" ca="1" si="37"/>
        <v>158.44456757407275</v>
      </c>
      <c r="Y109">
        <f t="shared" ca="1" si="36"/>
        <v>-1.9641715361351544</v>
      </c>
      <c r="Z109">
        <f t="shared" ca="1" si="38"/>
        <v>-1.7315932632709348</v>
      </c>
      <c r="AA109">
        <f t="shared" ca="1" si="39"/>
        <v>-0.23257827286421962</v>
      </c>
      <c r="AB109">
        <f t="shared" ca="1" si="40"/>
        <v>164.25850000000005</v>
      </c>
    </row>
    <row r="110" spans="1:28" x14ac:dyDescent="0.25">
      <c r="A110" s="20">
        <f t="shared" ca="1" si="20"/>
        <v>45859</v>
      </c>
      <c r="B110" vm="323">
        <f ca="1"/>
        <v>45859</v>
      </c>
      <c r="C110" vm="324">
        <f ca="1"/>
        <v>155.03</v>
      </c>
      <c r="D110" vm="325">
        <f ca="1"/>
        <v>6328370</v>
      </c>
      <c r="E110">
        <f t="shared" ca="1" si="21"/>
        <v>981087201.10000002</v>
      </c>
      <c r="F110">
        <f ca="1">SUM($E$2:E110)/SUM($D$2:D110)</f>
        <v>164.20029586050947</v>
      </c>
      <c r="G110">
        <f ca="1">_xlfn.STDEV.P($C$2:C110)</f>
        <v>5.4388220681905857</v>
      </c>
      <c r="H110">
        <f t="shared" ca="1" si="22"/>
        <v>169.63911792870005</v>
      </c>
      <c r="I110">
        <f t="shared" ca="1" si="23"/>
        <v>158.7614737923189</v>
      </c>
      <c r="J110">
        <f t="shared" ca="1" si="32"/>
        <v>157.93950000000001</v>
      </c>
      <c r="K110">
        <f t="shared" ca="1" si="33"/>
        <v>2.761365937739015</v>
      </c>
      <c r="L110">
        <f t="shared" ca="1" si="34"/>
        <v>163.46223187547804</v>
      </c>
      <c r="M110">
        <f t="shared" ca="1" si="35"/>
        <v>152.41676812452198</v>
      </c>
      <c r="N110">
        <f t="shared" ca="1" si="24"/>
        <v>-6.9999999999993179E-2</v>
      </c>
      <c r="O110">
        <f t="shared" ca="1" si="25"/>
        <v>0</v>
      </c>
      <c r="P110">
        <f t="shared" ca="1" si="26"/>
        <v>6.9999999999993179E-2</v>
      </c>
      <c r="Q110">
        <f t="shared" ca="1" si="30"/>
        <v>0.45680650369302433</v>
      </c>
      <c r="R110">
        <f t="shared" ca="1" si="31"/>
        <v>0.70835307554405857</v>
      </c>
      <c r="S110">
        <f t="shared" ca="1" si="28"/>
        <v>0.64488532550263711</v>
      </c>
      <c r="T110">
        <f t="shared" ca="1" si="29"/>
        <v>39.205488401179323</v>
      </c>
      <c r="U110">
        <f>70</f>
        <v>70</v>
      </c>
      <c r="V110">
        <f>30</f>
        <v>30</v>
      </c>
      <c r="W110">
        <f t="shared" ca="1" si="27"/>
        <v>156.22746510652479</v>
      </c>
      <c r="X110">
        <f t="shared" ca="1" si="37"/>
        <v>158.19163664265994</v>
      </c>
      <c r="Y110">
        <f t="shared" ca="1" si="36"/>
        <v>-1.6517514878251518</v>
      </c>
      <c r="Z110">
        <f t="shared" ca="1" si="38"/>
        <v>-1.7156249081817783</v>
      </c>
      <c r="AA110">
        <f t="shared" ca="1" si="39"/>
        <v>6.3873420356626465E-2</v>
      </c>
      <c r="AB110">
        <f t="shared" ca="1" si="40"/>
        <v>164.08230000000006</v>
      </c>
    </row>
    <row r="111" spans="1:28" x14ac:dyDescent="0.25">
      <c r="A111" s="20">
        <f t="shared" ca="1" si="20"/>
        <v>45859</v>
      </c>
      <c r="B111" vm="326">
        <f ca="1"/>
        <v>45860</v>
      </c>
      <c r="C111" vm="327">
        <f ca="1"/>
        <v>158.32</v>
      </c>
      <c r="D111" vm="328">
        <f ca="1"/>
        <v>8186970</v>
      </c>
      <c r="E111">
        <f t="shared" ca="1" si="21"/>
        <v>1296161090.3999999</v>
      </c>
      <c r="F111">
        <f ca="1">SUM($E$2:E111)/SUM($D$2:D111)</f>
        <v>164.1491463290661</v>
      </c>
      <c r="G111">
        <f ca="1">_xlfn.STDEV.P($C$2:C111)</f>
        <v>5.4451429786417211</v>
      </c>
      <c r="H111">
        <f t="shared" ca="1" si="22"/>
        <v>169.59428930770781</v>
      </c>
      <c r="I111">
        <f t="shared" ca="1" si="23"/>
        <v>158.70400335042439</v>
      </c>
      <c r="J111">
        <f t="shared" ca="1" si="32"/>
        <v>157.80400000000003</v>
      </c>
      <c r="K111">
        <f t="shared" ca="1" si="33"/>
        <v>2.6665972797990305</v>
      </c>
      <c r="L111">
        <f t="shared" ca="1" si="34"/>
        <v>163.1371945595981</v>
      </c>
      <c r="M111">
        <f t="shared" ca="1" si="35"/>
        <v>152.47080544040196</v>
      </c>
      <c r="N111">
        <f t="shared" ca="1" si="24"/>
        <v>3.289999999999992</v>
      </c>
      <c r="O111">
        <f t="shared" ca="1" si="25"/>
        <v>3.289999999999992</v>
      </c>
      <c r="P111">
        <f t="shared" ca="1" si="26"/>
        <v>0</v>
      </c>
      <c r="Q111">
        <f t="shared" ca="1" si="30"/>
        <v>0.65917746771495067</v>
      </c>
      <c r="R111">
        <f t="shared" ca="1" si="31"/>
        <v>0.65775642729091144</v>
      </c>
      <c r="S111">
        <f t="shared" ca="1" si="28"/>
        <v>1.0021604356340417</v>
      </c>
      <c r="T111">
        <f t="shared" ca="1" si="29"/>
        <v>50.053952610280142</v>
      </c>
      <c r="U111">
        <f>70</f>
        <v>70</v>
      </c>
      <c r="V111">
        <f>30</f>
        <v>30</v>
      </c>
      <c r="W111">
        <f t="shared" ca="1" si="27"/>
        <v>156.5493935516748</v>
      </c>
      <c r="X111">
        <f t="shared" ca="1" si="37"/>
        <v>158.20114503949995</v>
      </c>
      <c r="Y111">
        <f t="shared" ca="1" si="36"/>
        <v>-1.3913454501141587</v>
      </c>
      <c r="Z111">
        <f t="shared" ca="1" si="38"/>
        <v>-1.6507690165682545</v>
      </c>
      <c r="AA111">
        <f t="shared" ca="1" si="39"/>
        <v>0.25942356645409581</v>
      </c>
      <c r="AB111">
        <f t="shared" ca="1" si="40"/>
        <v>163.95250000000007</v>
      </c>
    </row>
    <row r="112" spans="1:28" x14ac:dyDescent="0.25">
      <c r="A112" s="20">
        <f t="shared" ca="1" si="20"/>
        <v>45859</v>
      </c>
      <c r="B112" vm="329">
        <f ca="1"/>
        <v>45861</v>
      </c>
      <c r="C112" vm="330">
        <f ca="1"/>
        <v>158.28</v>
      </c>
      <c r="D112" vm="331">
        <f ca="1"/>
        <v>4804795</v>
      </c>
      <c r="E112">
        <f t="shared" ca="1" si="21"/>
        <v>760502952.60000002</v>
      </c>
      <c r="F112">
        <f ca="1">SUM($E$2:E112)/SUM($D$2:D112)</f>
        <v>164.1193366254476</v>
      </c>
      <c r="G112">
        <f ca="1">_xlfn.STDEV.P($C$2:C112)</f>
        <v>5.4511885480430822</v>
      </c>
      <c r="H112">
        <f t="shared" ca="1" si="22"/>
        <v>169.57052517349069</v>
      </c>
      <c r="I112">
        <f t="shared" ca="1" si="23"/>
        <v>158.66814807740451</v>
      </c>
      <c r="J112">
        <f t="shared" ca="1" si="32"/>
        <v>157.69999999999999</v>
      </c>
      <c r="K112">
        <f t="shared" ca="1" si="33"/>
        <v>2.6014287572307979</v>
      </c>
      <c r="L112">
        <f t="shared" ca="1" si="34"/>
        <v>162.90285751446157</v>
      </c>
      <c r="M112">
        <f t="shared" ca="1" si="35"/>
        <v>152.4971424855384</v>
      </c>
      <c r="N112">
        <f t="shared" ca="1" si="24"/>
        <v>-3.9999999999992042E-2</v>
      </c>
      <c r="O112">
        <f t="shared" ca="1" si="25"/>
        <v>0</v>
      </c>
      <c r="P112">
        <f t="shared" ca="1" si="26"/>
        <v>3.9999999999992042E-2</v>
      </c>
      <c r="Q112">
        <f t="shared" ca="1" si="30"/>
        <v>0.6120933628781684</v>
      </c>
      <c r="R112">
        <f t="shared" ca="1" si="31"/>
        <v>0.61363096819870289</v>
      </c>
      <c r="S112">
        <f t="shared" ca="1" si="28"/>
        <v>0.99749425077901777</v>
      </c>
      <c r="T112">
        <f t="shared" ca="1" si="29"/>
        <v>49.937277686281071</v>
      </c>
      <c r="U112">
        <f>70</f>
        <v>70</v>
      </c>
      <c r="V112">
        <f>30</f>
        <v>30</v>
      </c>
      <c r="W112">
        <f t="shared" ca="1" si="27"/>
        <v>156.81564069757098</v>
      </c>
      <c r="X112">
        <f t="shared" ca="1" si="37"/>
        <v>158.20698614768514</v>
      </c>
      <c r="Y112">
        <f t="shared" ca="1" si="36"/>
        <v>-1.1291886348122091</v>
      </c>
      <c r="Z112">
        <f t="shared" ca="1" si="38"/>
        <v>-1.5464529402170455</v>
      </c>
      <c r="AA112">
        <f t="shared" ca="1" si="39"/>
        <v>0.41726430540483639</v>
      </c>
      <c r="AB112">
        <f t="shared" ca="1" si="40"/>
        <v>163.81560000000007</v>
      </c>
    </row>
    <row r="113" spans="1:28" x14ac:dyDescent="0.25">
      <c r="A113" s="20">
        <f t="shared" ca="1" si="20"/>
        <v>45859</v>
      </c>
      <c r="B113" vm="332">
        <f ca="1"/>
        <v>45862</v>
      </c>
      <c r="C113" vm="333">
        <f ca="1"/>
        <v>158.81</v>
      </c>
      <c r="D113" vm="334">
        <f ca="1"/>
        <v>7027392</v>
      </c>
      <c r="E113">
        <f t="shared" ca="1" si="21"/>
        <v>1116020123.52</v>
      </c>
      <c r="F113">
        <f ca="1">SUM($E$2:E113)/SUM($D$2:D113)</f>
        <v>164.08018695958987</v>
      </c>
      <c r="G113">
        <f ca="1">_xlfn.STDEV.P($C$2:C113)</f>
        <v>5.4516033730210696</v>
      </c>
      <c r="H113">
        <f t="shared" ca="1" si="22"/>
        <v>169.53179033261094</v>
      </c>
      <c r="I113">
        <f t="shared" ca="1" si="23"/>
        <v>158.62858358656879</v>
      </c>
      <c r="J113">
        <f t="shared" ca="1" si="32"/>
        <v>157.69200000000001</v>
      </c>
      <c r="K113">
        <f t="shared" ca="1" si="33"/>
        <v>2.5975607991466076</v>
      </c>
      <c r="L113">
        <f t="shared" ca="1" si="34"/>
        <v>162.88712159829322</v>
      </c>
      <c r="M113">
        <f t="shared" ca="1" si="35"/>
        <v>152.49687840170679</v>
      </c>
      <c r="N113">
        <f t="shared" ca="1" si="24"/>
        <v>0.53000000000000114</v>
      </c>
      <c r="O113">
        <f t="shared" ca="1" si="25"/>
        <v>0.53000000000000114</v>
      </c>
      <c r="P113">
        <f t="shared" ca="1" si="26"/>
        <v>0</v>
      </c>
      <c r="Q113">
        <f t="shared" ca="1" si="30"/>
        <v>0.60622955124401356</v>
      </c>
      <c r="R113">
        <f t="shared" ca="1" si="31"/>
        <v>0.56980018475593841</v>
      </c>
      <c r="S113">
        <f t="shared" ca="1" si="28"/>
        <v>1.0639335813899022</v>
      </c>
      <c r="T113">
        <f t="shared" ca="1" si="29"/>
        <v>51.548828459558464</v>
      </c>
      <c r="U113">
        <f>70</f>
        <v>70</v>
      </c>
      <c r="V113">
        <f>30</f>
        <v>30</v>
      </c>
      <c r="W113">
        <f t="shared" ca="1" si="27"/>
        <v>157.12246520563698</v>
      </c>
      <c r="X113">
        <f t="shared" ca="1" si="37"/>
        <v>158.25165384044919</v>
      </c>
      <c r="Y113">
        <f t="shared" ca="1" si="36"/>
        <v>-0.951610632683213</v>
      </c>
      <c r="Z113">
        <f t="shared" ca="1" si="38"/>
        <v>-1.4274844787102792</v>
      </c>
      <c r="AA113">
        <f t="shared" ca="1" si="39"/>
        <v>0.47587384602706617</v>
      </c>
      <c r="AB113">
        <f t="shared" ca="1" si="40"/>
        <v>163.66530000000006</v>
      </c>
    </row>
    <row r="114" spans="1:28" x14ac:dyDescent="0.25">
      <c r="A114" s="20">
        <f t="shared" ca="1" si="20"/>
        <v>45859</v>
      </c>
      <c r="B114" vm="335">
        <f ca="1"/>
        <v>45863</v>
      </c>
      <c r="C114" vm="336">
        <f ca="1"/>
        <v>158.30000000000001</v>
      </c>
      <c r="D114" vm="337">
        <f ca="1"/>
        <v>5800248</v>
      </c>
      <c r="E114">
        <f t="shared" ca="1" si="21"/>
        <v>918179258.4000001</v>
      </c>
      <c r="F114">
        <f ca="1">SUM($E$2:E114)/SUM($D$2:D114)</f>
        <v>164.04522088243203</v>
      </c>
      <c r="G114">
        <f ca="1">_xlfn.STDEV.P($C$2:C114)</f>
        <v>5.4562747017069357</v>
      </c>
      <c r="H114">
        <f t="shared" ca="1" si="22"/>
        <v>169.50149558413898</v>
      </c>
      <c r="I114">
        <f t="shared" ca="1" si="23"/>
        <v>158.58894618072509</v>
      </c>
      <c r="J114">
        <f t="shared" ca="1" si="32"/>
        <v>157.6755</v>
      </c>
      <c r="K114">
        <f t="shared" ca="1" si="33"/>
        <v>2.5923317587393067</v>
      </c>
      <c r="L114">
        <f t="shared" ca="1" si="34"/>
        <v>162.86016351747861</v>
      </c>
      <c r="M114">
        <f t="shared" ca="1" si="35"/>
        <v>152.49083648252139</v>
      </c>
      <c r="N114">
        <f t="shared" ca="1" si="24"/>
        <v>-0.50999999999999091</v>
      </c>
      <c r="O114">
        <f t="shared" ca="1" si="25"/>
        <v>0</v>
      </c>
      <c r="P114">
        <f t="shared" ca="1" si="26"/>
        <v>0.50999999999999091</v>
      </c>
      <c r="Q114">
        <f t="shared" ca="1" si="30"/>
        <v>0.56292744044086973</v>
      </c>
      <c r="R114">
        <f t="shared" ca="1" si="31"/>
        <v>0.56552874298765643</v>
      </c>
      <c r="S114">
        <f t="shared" ca="1" si="28"/>
        <v>0.99540022929154026</v>
      </c>
      <c r="T114">
        <f t="shared" ca="1" si="29"/>
        <v>49.884740648995191</v>
      </c>
      <c r="U114">
        <f>70</f>
        <v>70</v>
      </c>
      <c r="V114">
        <f>30</f>
        <v>30</v>
      </c>
      <c r="W114">
        <f t="shared" ca="1" si="27"/>
        <v>157.30362440476975</v>
      </c>
      <c r="X114">
        <f t="shared" ca="1" si="37"/>
        <v>158.25523503745296</v>
      </c>
      <c r="Y114">
        <f t="shared" ca="1" si="36"/>
        <v>-0.89656677765128734</v>
      </c>
      <c r="Z114">
        <f t="shared" ca="1" si="38"/>
        <v>-1.3213009384984808</v>
      </c>
      <c r="AA114">
        <f t="shared" ca="1" si="39"/>
        <v>0.42473416084719351</v>
      </c>
      <c r="AB114">
        <f t="shared" ca="1" si="40"/>
        <v>163.49240000000006</v>
      </c>
    </row>
    <row r="115" spans="1:28" x14ac:dyDescent="0.25">
      <c r="A115" s="20">
        <f t="shared" ca="1" si="20"/>
        <v>45866</v>
      </c>
      <c r="B115" vm="338">
        <f ca="1"/>
        <v>45866</v>
      </c>
      <c r="C115" vm="339">
        <f ca="1"/>
        <v>157.11000000000001</v>
      </c>
      <c r="D115" vm="340">
        <f ca="1"/>
        <v>7885026</v>
      </c>
      <c r="E115">
        <f t="shared" ca="1" si="21"/>
        <v>1238816434.8600001</v>
      </c>
      <c r="F115">
        <f ca="1">SUM($E$2:E115)/SUM($D$2:D115)</f>
        <v>163.98865363659138</v>
      </c>
      <c r="G115">
        <f ca="1">_xlfn.STDEV.P($C$2:C115)</f>
        <v>5.4727105781904584</v>
      </c>
      <c r="H115">
        <f t="shared" ca="1" si="22"/>
        <v>169.46136421478184</v>
      </c>
      <c r="I115">
        <f t="shared" ca="1" si="23"/>
        <v>158.51594305840092</v>
      </c>
      <c r="J115">
        <f t="shared" ca="1" si="32"/>
        <v>157.53800000000004</v>
      </c>
      <c r="K115">
        <f t="shared" ca="1" si="33"/>
        <v>2.5428239585568111</v>
      </c>
      <c r="L115">
        <f t="shared" ca="1" si="34"/>
        <v>162.62364791711366</v>
      </c>
      <c r="M115">
        <f t="shared" ca="1" si="35"/>
        <v>152.45235208288642</v>
      </c>
      <c r="N115">
        <f t="shared" ca="1" si="24"/>
        <v>-1.1899999999999977</v>
      </c>
      <c r="O115">
        <f t="shared" ca="1" si="25"/>
        <v>0</v>
      </c>
      <c r="P115">
        <f t="shared" ca="1" si="26"/>
        <v>1.1899999999999977</v>
      </c>
      <c r="Q115">
        <f t="shared" ca="1" si="30"/>
        <v>0.52271833755223618</v>
      </c>
      <c r="R115">
        <f t="shared" ca="1" si="31"/>
        <v>0.61013383277425226</v>
      </c>
      <c r="S115">
        <f t="shared" ca="1" si="28"/>
        <v>0.85672734320511024</v>
      </c>
      <c r="T115">
        <f t="shared" ca="1" si="29"/>
        <v>46.141796012235964</v>
      </c>
      <c r="U115">
        <f>70</f>
        <v>70</v>
      </c>
      <c r="V115">
        <f>30</f>
        <v>30</v>
      </c>
      <c r="W115">
        <f t="shared" ca="1" si="27"/>
        <v>157.27383603480516</v>
      </c>
      <c r="X115">
        <f t="shared" ca="1" si="37"/>
        <v>158.17040281245644</v>
      </c>
      <c r="Y115">
        <f t="shared" ca="1" si="36"/>
        <v>-0.88311000487524893</v>
      </c>
      <c r="Z115">
        <f t="shared" ca="1" si="38"/>
        <v>-1.2336627517738346</v>
      </c>
      <c r="AA115">
        <f t="shared" ca="1" si="39"/>
        <v>0.35055274689858562</v>
      </c>
      <c r="AB115">
        <f t="shared" ca="1" si="40"/>
        <v>163.33170000000004</v>
      </c>
    </row>
    <row r="116" spans="1:28" x14ac:dyDescent="0.25">
      <c r="A116" s="20">
        <f t="shared" ca="1" si="20"/>
        <v>45866</v>
      </c>
      <c r="B116" vm="341">
        <f ca="1"/>
        <v>45867</v>
      </c>
      <c r="C116" vm="342">
        <f ca="1"/>
        <v>156.61000000000001</v>
      </c>
      <c r="D116" vm="343">
        <f ca="1"/>
        <v>11466058</v>
      </c>
      <c r="E116">
        <f t="shared" ca="1" si="21"/>
        <v>1795699343.3800001</v>
      </c>
      <c r="F116">
        <f ca="1">SUM($E$2:E116)/SUM($D$2:D116)</f>
        <v>163.90216240653189</v>
      </c>
      <c r="G116">
        <f ca="1">_xlfn.STDEV.P($C$2:C116)</f>
        <v>5.4938562145236478</v>
      </c>
      <c r="H116">
        <f t="shared" ca="1" si="22"/>
        <v>169.39601862105553</v>
      </c>
      <c r="I116">
        <f t="shared" ca="1" si="23"/>
        <v>158.40830619200824</v>
      </c>
      <c r="J116">
        <f t="shared" ca="1" si="32"/>
        <v>157.40250000000006</v>
      </c>
      <c r="K116">
        <f t="shared" ca="1" si="33"/>
        <v>2.5149194294931414</v>
      </c>
      <c r="L116">
        <f t="shared" ca="1" si="34"/>
        <v>162.43233885898636</v>
      </c>
      <c r="M116">
        <f t="shared" ca="1" si="35"/>
        <v>152.37266114101377</v>
      </c>
      <c r="N116">
        <f t="shared" ca="1" si="24"/>
        <v>-0.5</v>
      </c>
      <c r="O116">
        <f t="shared" ca="1" si="25"/>
        <v>0</v>
      </c>
      <c r="P116">
        <f t="shared" ca="1" si="26"/>
        <v>0.5</v>
      </c>
      <c r="Q116">
        <f t="shared" ca="1" si="30"/>
        <v>0.48538131344136215</v>
      </c>
      <c r="R116">
        <f t="shared" ca="1" si="31"/>
        <v>0.60226713043323421</v>
      </c>
      <c r="S116">
        <f t="shared" ca="1" si="28"/>
        <v>0.80592363241242881</v>
      </c>
      <c r="T116">
        <f t="shared" ca="1" si="29"/>
        <v>44.626672908413191</v>
      </c>
      <c r="U116">
        <f>70</f>
        <v>70</v>
      </c>
      <c r="V116">
        <f>30</f>
        <v>30</v>
      </c>
      <c r="W116">
        <f t="shared" ca="1" si="27"/>
        <v>157.17170741406591</v>
      </c>
      <c r="X116">
        <f t="shared" ca="1" si="37"/>
        <v>158.05481741894116</v>
      </c>
      <c r="Y116">
        <f t="shared" ca="1" si="36"/>
        <v>-1.1600528751518482</v>
      </c>
      <c r="Z116">
        <f t="shared" ca="1" si="38"/>
        <v>-1.2189407764494373</v>
      </c>
      <c r="AA116">
        <f t="shared" ca="1" si="39"/>
        <v>5.888790129758914E-2</v>
      </c>
      <c r="AB116">
        <f t="shared" ca="1" si="40"/>
        <v>163.15170000000006</v>
      </c>
    </row>
    <row r="117" spans="1:28" x14ac:dyDescent="0.25">
      <c r="A117" s="20">
        <f t="shared" ca="1" si="20"/>
        <v>45866</v>
      </c>
      <c r="B117" vm="344">
        <f ca="1"/>
        <v>45868</v>
      </c>
      <c r="C117" vm="345">
        <f ca="1"/>
        <v>152.88</v>
      </c>
      <c r="D117" vm="346">
        <f ca="1"/>
        <v>8162888</v>
      </c>
      <c r="E117">
        <f t="shared" ca="1" si="21"/>
        <v>1247942317.4400001</v>
      </c>
      <c r="F117">
        <f ca="1">SUM($E$2:E117)/SUM($D$2:D117)</f>
        <v>163.8109440332135</v>
      </c>
      <c r="G117">
        <f ca="1">_xlfn.STDEV.P($C$2:C117)</f>
        <v>5.5676283411186462</v>
      </c>
      <c r="H117">
        <f t="shared" ca="1" si="22"/>
        <v>169.37857237433215</v>
      </c>
      <c r="I117">
        <f t="shared" ca="1" si="23"/>
        <v>158.24331569209485</v>
      </c>
      <c r="J117">
        <f t="shared" ca="1" si="32"/>
        <v>156.98550000000003</v>
      </c>
      <c r="K117">
        <f t="shared" ca="1" si="33"/>
        <v>2.5399284594152207</v>
      </c>
      <c r="L117">
        <f t="shared" ca="1" si="34"/>
        <v>162.06535691883047</v>
      </c>
      <c r="M117">
        <f t="shared" ca="1" si="35"/>
        <v>151.90564308116959</v>
      </c>
      <c r="N117">
        <f t="shared" ca="1" si="24"/>
        <v>-3.7300000000000182</v>
      </c>
      <c r="O117">
        <f t="shared" ca="1" si="25"/>
        <v>0</v>
      </c>
      <c r="P117">
        <f t="shared" ca="1" si="26"/>
        <v>3.7300000000000182</v>
      </c>
      <c r="Q117">
        <f t="shared" ca="1" si="30"/>
        <v>0.45071121962412203</v>
      </c>
      <c r="R117">
        <f t="shared" ca="1" si="31"/>
        <v>0.82567662111657592</v>
      </c>
      <c r="S117">
        <f t="shared" ca="1" si="28"/>
        <v>0.54586893718102125</v>
      </c>
      <c r="T117">
        <f t="shared" ca="1" si="29"/>
        <v>35.311462961177284</v>
      </c>
      <c r="U117">
        <f>70</f>
        <v>70</v>
      </c>
      <c r="V117">
        <f>30</f>
        <v>30</v>
      </c>
      <c r="W117">
        <f t="shared" ca="1" si="27"/>
        <v>156.51144473497885</v>
      </c>
      <c r="X117">
        <f t="shared" ca="1" si="37"/>
        <v>157.6714976101307</v>
      </c>
      <c r="Y117">
        <f t="shared" ca="1" si="36"/>
        <v>-1.5560616438853572</v>
      </c>
      <c r="Z117">
        <f t="shared" ca="1" si="38"/>
        <v>-1.2863649499366214</v>
      </c>
      <c r="AA117">
        <f t="shared" ca="1" si="39"/>
        <v>-0.26969669394873574</v>
      </c>
      <c r="AB117">
        <f t="shared" ca="1" si="40"/>
        <v>162.93390000000005</v>
      </c>
    </row>
    <row r="118" spans="1:28" x14ac:dyDescent="0.25">
      <c r="A118" s="20">
        <f t="shared" ca="1" si="20"/>
        <v>45866</v>
      </c>
      <c r="B118" vm="347">
        <f ca="1"/>
        <v>45869</v>
      </c>
      <c r="C118" vm="348">
        <f ca="1"/>
        <v>150.47</v>
      </c>
      <c r="D118" vm="349">
        <f ca="1"/>
        <v>11845443</v>
      </c>
      <c r="E118">
        <f t="shared" ca="1" si="21"/>
        <v>1782383808.21</v>
      </c>
      <c r="F118">
        <f ca="1">SUM($E$2:E118)/SUM($D$2:D118)</f>
        <v>163.65262796965652</v>
      </c>
      <c r="G118">
        <f ca="1">_xlfn.STDEV.P($C$2:C118)</f>
        <v>5.6820716287292417</v>
      </c>
      <c r="H118">
        <f t="shared" ca="1" si="22"/>
        <v>169.33469959838575</v>
      </c>
      <c r="I118">
        <f t="shared" ca="1" si="23"/>
        <v>157.97055634092729</v>
      </c>
      <c r="J118">
        <f t="shared" ca="1" si="32"/>
        <v>156.44900000000001</v>
      </c>
      <c r="K118">
        <f t="shared" ca="1" si="33"/>
        <v>2.7290501528631026</v>
      </c>
      <c r="L118">
        <f t="shared" ca="1" si="34"/>
        <v>161.9071003057262</v>
      </c>
      <c r="M118">
        <f t="shared" ca="1" si="35"/>
        <v>150.99089969427382</v>
      </c>
      <c r="N118">
        <f t="shared" ca="1" si="24"/>
        <v>-2.4099999999999966</v>
      </c>
      <c r="O118">
        <f t="shared" ca="1" si="25"/>
        <v>0</v>
      </c>
      <c r="P118">
        <f t="shared" ca="1" si="26"/>
        <v>2.4099999999999966</v>
      </c>
      <c r="Q118">
        <f t="shared" ca="1" si="30"/>
        <v>0.41851756107954191</v>
      </c>
      <c r="R118">
        <f t="shared" ca="1" si="31"/>
        <v>0.93884257675110594</v>
      </c>
      <c r="S118">
        <f t="shared" ca="1" si="28"/>
        <v>0.44578033787925875</v>
      </c>
      <c r="T118">
        <f t="shared" ca="1" si="29"/>
        <v>30.833199636201385</v>
      </c>
      <c r="U118">
        <f>70</f>
        <v>70</v>
      </c>
      <c r="V118">
        <f>30</f>
        <v>30</v>
      </c>
      <c r="W118">
        <f t="shared" ca="1" si="27"/>
        <v>155.58199169882826</v>
      </c>
      <c r="X118">
        <f t="shared" ca="1" si="37"/>
        <v>157.13805334271362</v>
      </c>
      <c r="Y118">
        <f t="shared" ca="1" si="36"/>
        <v>-1.8342330536465283</v>
      </c>
      <c r="Z118">
        <f t="shared" ca="1" si="38"/>
        <v>-1.3959385706786027</v>
      </c>
      <c r="AA118">
        <f t="shared" ca="1" si="39"/>
        <v>-0.43829448296792561</v>
      </c>
      <c r="AB118">
        <f t="shared" ca="1" si="40"/>
        <v>162.67910000000003</v>
      </c>
    </row>
    <row r="119" spans="1:28" x14ac:dyDescent="0.25">
      <c r="A119" s="20">
        <f t="shared" ca="1" si="20"/>
        <v>45866</v>
      </c>
      <c r="B119" vm="350">
        <f ca="1"/>
        <v>45870</v>
      </c>
      <c r="C119" vm="351">
        <f ca="1"/>
        <v>150.65</v>
      </c>
      <c r="D119" vm="352">
        <f ca="1"/>
        <v>8594220</v>
      </c>
      <c r="E119">
        <f t="shared" ca="1" si="21"/>
        <v>1294719243</v>
      </c>
      <c r="F119">
        <f ca="1">SUM($E$2:E119)/SUM($D$2:D119)</f>
        <v>163.54163345184489</v>
      </c>
      <c r="G119">
        <f ca="1">_xlfn.STDEV.P($C$2:C119)</f>
        <v>5.7866362849584867</v>
      </c>
      <c r="H119">
        <f t="shared" ca="1" si="22"/>
        <v>169.32826973680338</v>
      </c>
      <c r="I119">
        <f t="shared" ca="1" si="23"/>
        <v>157.7549971668864</v>
      </c>
      <c r="J119">
        <f t="shared" ca="1" si="32"/>
        <v>155.94000000000003</v>
      </c>
      <c r="K119">
        <f t="shared" ca="1" si="33"/>
        <v>2.8168683619262476</v>
      </c>
      <c r="L119">
        <f t="shared" ca="1" si="34"/>
        <v>161.57373672385253</v>
      </c>
      <c r="M119">
        <f t="shared" ca="1" si="35"/>
        <v>150.30626327614752</v>
      </c>
      <c r="N119">
        <f t="shared" ca="1" si="24"/>
        <v>0.18000000000000682</v>
      </c>
      <c r="O119">
        <f t="shared" ca="1" si="25"/>
        <v>0.18000000000000682</v>
      </c>
      <c r="P119">
        <f t="shared" ca="1" si="26"/>
        <v>0</v>
      </c>
      <c r="Q119">
        <f t="shared" ca="1" si="30"/>
        <v>0.4014805924310037</v>
      </c>
      <c r="R119">
        <f t="shared" ca="1" si="31"/>
        <v>0.8717823926974555</v>
      </c>
      <c r="S119">
        <f t="shared" ca="1" si="28"/>
        <v>0.46052844814719041</v>
      </c>
      <c r="T119">
        <f t="shared" ca="1" si="29"/>
        <v>31.531631494847744</v>
      </c>
      <c r="U119">
        <f>70</f>
        <v>70</v>
      </c>
      <c r="V119">
        <f>30</f>
        <v>30</v>
      </c>
      <c r="W119">
        <f t="shared" ca="1" si="27"/>
        <v>154.82322374516238</v>
      </c>
      <c r="X119">
        <f t="shared" ca="1" si="37"/>
        <v>156.65745679880891</v>
      </c>
      <c r="Y119">
        <f t="shared" ca="1" si="36"/>
        <v>-2.0224957472925098</v>
      </c>
      <c r="Z119">
        <f t="shared" ca="1" si="38"/>
        <v>-1.5212500060013843</v>
      </c>
      <c r="AA119">
        <f t="shared" ca="1" si="39"/>
        <v>-0.50124574129112553</v>
      </c>
      <c r="AB119">
        <f t="shared" ca="1" si="40"/>
        <v>162.42300000000003</v>
      </c>
    </row>
    <row r="120" spans="1:28" x14ac:dyDescent="0.25">
      <c r="A120" s="20">
        <f t="shared" ca="1" si="20"/>
        <v>45873</v>
      </c>
      <c r="B120" vm="353">
        <f ca="1"/>
        <v>45873</v>
      </c>
      <c r="C120" vm="354">
        <f ca="1"/>
        <v>150.76</v>
      </c>
      <c r="D120" vm="355">
        <f ca="1"/>
        <v>7679361</v>
      </c>
      <c r="E120">
        <f t="shared" ca="1" si="21"/>
        <v>1157740464.3599999</v>
      </c>
      <c r="F120">
        <f ca="1">SUM($E$2:E120)/SUM($D$2:D120)</f>
        <v>163.44487803130704</v>
      </c>
      <c r="G120">
        <f ca="1">_xlfn.STDEV.P($C$2:C120)</f>
        <v>5.8835122759112144</v>
      </c>
      <c r="H120">
        <f t="shared" ca="1" si="22"/>
        <v>169.32839030721826</v>
      </c>
      <c r="I120">
        <f t="shared" ca="1" si="23"/>
        <v>157.56136575539583</v>
      </c>
      <c r="J120">
        <f t="shared" ca="1" si="32"/>
        <v>155.45300000000003</v>
      </c>
      <c r="K120">
        <f t="shared" ca="1" si="33"/>
        <v>2.8289445679300735</v>
      </c>
      <c r="L120">
        <f t="shared" ca="1" si="34"/>
        <v>161.11088913586019</v>
      </c>
      <c r="M120">
        <f t="shared" ca="1" si="35"/>
        <v>149.79511086413987</v>
      </c>
      <c r="N120">
        <f t="shared" ca="1" si="24"/>
        <v>0.10999999999998522</v>
      </c>
      <c r="O120">
        <f t="shared" ca="1" si="25"/>
        <v>0.10999999999998522</v>
      </c>
      <c r="P120">
        <f t="shared" ca="1" si="26"/>
        <v>0</v>
      </c>
      <c r="Q120">
        <f t="shared" ca="1" si="30"/>
        <v>0.38066055011450234</v>
      </c>
      <c r="R120">
        <f t="shared" ca="1" si="31"/>
        <v>0.80951222179049431</v>
      </c>
      <c r="S120">
        <f t="shared" ca="1" si="28"/>
        <v>0.47023446943463088</v>
      </c>
      <c r="T120">
        <f t="shared" ca="1" si="29"/>
        <v>31.983637930585076</v>
      </c>
      <c r="U120">
        <f>70</f>
        <v>70</v>
      </c>
      <c r="V120">
        <f>30</f>
        <v>30</v>
      </c>
      <c r="W120">
        <f t="shared" ca="1" si="27"/>
        <v>154.19811239975277</v>
      </c>
      <c r="X120">
        <f t="shared" ca="1" si="37"/>
        <v>156.22060814704528</v>
      </c>
      <c r="Y120">
        <f t="shared" ca="1" si="36"/>
        <v>-2.1668896440545211</v>
      </c>
      <c r="Z120">
        <f t="shared" ca="1" si="38"/>
        <v>-1.6503779336120119</v>
      </c>
      <c r="AA120">
        <f t="shared" ca="1" si="39"/>
        <v>-0.51651171044250921</v>
      </c>
      <c r="AB120">
        <f t="shared" ca="1" si="40"/>
        <v>162.19940000000003</v>
      </c>
    </row>
    <row r="121" spans="1:28" x14ac:dyDescent="0.25">
      <c r="A121" s="20">
        <f t="shared" ca="1" si="20"/>
        <v>45873</v>
      </c>
      <c r="B121" vm="356">
        <f ca="1"/>
        <v>45874</v>
      </c>
      <c r="C121" vm="357">
        <f ca="1"/>
        <v>150.51</v>
      </c>
      <c r="D121" vm="358">
        <f ca="1"/>
        <v>6670065</v>
      </c>
      <c r="E121">
        <f t="shared" ca="1" si="21"/>
        <v>1003911483.15</v>
      </c>
      <c r="F121">
        <f ca="1">SUM($E$2:E121)/SUM($D$2:D121)</f>
        <v>163.3603870919672</v>
      </c>
      <c r="G121">
        <f ca="1">_xlfn.STDEV.P($C$2:C121)</f>
        <v>5.9797947701451735</v>
      </c>
      <c r="H121">
        <f t="shared" ca="1" si="22"/>
        <v>169.34018186211236</v>
      </c>
      <c r="I121">
        <f t="shared" ca="1" si="23"/>
        <v>157.38059232182204</v>
      </c>
      <c r="J121">
        <f t="shared" ca="1" si="32"/>
        <v>155.084</v>
      </c>
      <c r="K121">
        <f t="shared" ca="1" si="33"/>
        <v>2.9720335055134828</v>
      </c>
      <c r="L121">
        <f t="shared" ca="1" si="34"/>
        <v>161.02806701102696</v>
      </c>
      <c r="M121">
        <f t="shared" ca="1" si="35"/>
        <v>149.13993298897304</v>
      </c>
      <c r="N121">
        <f t="shared" ca="1" si="24"/>
        <v>-0.25</v>
      </c>
      <c r="O121">
        <f t="shared" ca="1" si="25"/>
        <v>0</v>
      </c>
      <c r="P121">
        <f t="shared" ca="1" si="26"/>
        <v>0.25</v>
      </c>
      <c r="Q121">
        <f t="shared" ca="1" si="30"/>
        <v>0.35347051082060926</v>
      </c>
      <c r="R121">
        <f t="shared" ca="1" si="31"/>
        <v>0.76954706309117327</v>
      </c>
      <c r="S121">
        <f t="shared" ca="1" si="28"/>
        <v>0.45932279879123039</v>
      </c>
      <c r="T121">
        <f t="shared" ca="1" si="29"/>
        <v>31.475064952846026</v>
      </c>
      <c r="U121">
        <f>70</f>
        <v>70</v>
      </c>
      <c r="V121">
        <f>30</f>
        <v>30</v>
      </c>
      <c r="W121">
        <f t="shared" ca="1" si="27"/>
        <v>153.6307104920985</v>
      </c>
      <c r="X121">
        <f t="shared" ca="1" si="37"/>
        <v>155.79760013615302</v>
      </c>
      <c r="Y121">
        <f t="shared" ca="1" si="36"/>
        <v>-2.0678604789073347</v>
      </c>
      <c r="Z121">
        <f t="shared" ca="1" si="38"/>
        <v>-1.7338744426710766</v>
      </c>
      <c r="AA121">
        <f t="shared" ca="1" si="39"/>
        <v>-0.33398603623625811</v>
      </c>
      <c r="AB121">
        <f t="shared" ca="1" si="40"/>
        <v>162.02080000000001</v>
      </c>
    </row>
    <row r="122" spans="1:28" x14ac:dyDescent="0.25">
      <c r="A122" s="20">
        <f t="shared" ca="1" si="20"/>
        <v>45873</v>
      </c>
      <c r="B122" vm="359">
        <f ca="1"/>
        <v>45875</v>
      </c>
      <c r="C122" vm="360">
        <f ca="1"/>
        <v>152.86000000000001</v>
      </c>
      <c r="D122" vm="361">
        <f ca="1"/>
        <v>7376213</v>
      </c>
      <c r="E122">
        <f t="shared" ca="1" si="21"/>
        <v>1127527919.1800001</v>
      </c>
      <c r="F122">
        <f ca="1">SUM($E$2:E122)/SUM($D$2:D122)</f>
        <v>163.2850809119866</v>
      </c>
      <c r="G122">
        <f ca="1">_xlfn.STDEV.P($C$2:C122)</f>
        <v>6.0332800083630191</v>
      </c>
      <c r="H122">
        <f t="shared" ca="1" si="22"/>
        <v>169.31836092034962</v>
      </c>
      <c r="I122">
        <f t="shared" ca="1" si="23"/>
        <v>157.25180090362358</v>
      </c>
      <c r="J122">
        <f t="shared" ca="1" si="32"/>
        <v>154.851</v>
      </c>
      <c r="K122">
        <f t="shared" ca="1" si="33"/>
        <v>2.9536149127182436</v>
      </c>
      <c r="L122">
        <f t="shared" ca="1" si="34"/>
        <v>160.75822982543647</v>
      </c>
      <c r="M122">
        <f t="shared" ca="1" si="35"/>
        <v>148.94377017456353</v>
      </c>
      <c r="N122">
        <f t="shared" ca="1" si="24"/>
        <v>2.3500000000000227</v>
      </c>
      <c r="O122">
        <f t="shared" ca="1" si="25"/>
        <v>2.3500000000000227</v>
      </c>
      <c r="P122">
        <f t="shared" ca="1" si="26"/>
        <v>0</v>
      </c>
      <c r="Q122">
        <f t="shared" ca="1" si="30"/>
        <v>0.49607976004771021</v>
      </c>
      <c r="R122">
        <f t="shared" ca="1" si="31"/>
        <v>0.71457941572751804</v>
      </c>
      <c r="S122">
        <f t="shared" ca="1" si="28"/>
        <v>0.69422621073215229</v>
      </c>
      <c r="T122">
        <f t="shared" ca="1" si="29"/>
        <v>40.976004640616758</v>
      </c>
      <c r="U122">
        <f>70</f>
        <v>70</v>
      </c>
      <c r="V122">
        <f>30</f>
        <v>30</v>
      </c>
      <c r="W122">
        <f t="shared" ca="1" si="27"/>
        <v>153.5121396471603</v>
      </c>
      <c r="X122">
        <f t="shared" ca="1" si="37"/>
        <v>155.58000012606763</v>
      </c>
      <c r="Y122">
        <f t="shared" ca="1" si="36"/>
        <v>-1.9164517543172792</v>
      </c>
      <c r="Z122">
        <f t="shared" ca="1" si="38"/>
        <v>-1.7703899050003171</v>
      </c>
      <c r="AA122">
        <f t="shared" ca="1" si="39"/>
        <v>-0.14606184931696209</v>
      </c>
      <c r="AB122">
        <f t="shared" ca="1" si="40"/>
        <v>161.86350000000002</v>
      </c>
    </row>
    <row r="123" spans="1:28" x14ac:dyDescent="0.25">
      <c r="A123" s="20">
        <f t="shared" ca="1" si="20"/>
        <v>45873</v>
      </c>
      <c r="B123" vm="362">
        <f ca="1"/>
        <v>45876</v>
      </c>
      <c r="C123" vm="363">
        <f ca="1"/>
        <v>153.49</v>
      </c>
      <c r="D123" vm="364">
        <f ca="1"/>
        <v>6719044</v>
      </c>
      <c r="E123">
        <f t="shared" ca="1" si="21"/>
        <v>1031306063.5600001</v>
      </c>
      <c r="F123">
        <f ca="1">SUM($E$2:E123)/SUM($D$2:D123)</f>
        <v>163.22150692619925</v>
      </c>
      <c r="G123">
        <f ca="1">_xlfn.STDEV.P($C$2:C123)</f>
        <v>6.0755044625614119</v>
      </c>
      <c r="H123">
        <f t="shared" ca="1" si="22"/>
        <v>169.29701138876067</v>
      </c>
      <c r="I123">
        <f t="shared" ca="1" si="23"/>
        <v>157.14600246363784</v>
      </c>
      <c r="J123">
        <f t="shared" ca="1" si="32"/>
        <v>154.60100000000003</v>
      </c>
      <c r="K123">
        <f t="shared" ca="1" si="33"/>
        <v>2.8387634446598149</v>
      </c>
      <c r="L123">
        <f t="shared" ca="1" si="34"/>
        <v>160.27852688931966</v>
      </c>
      <c r="M123">
        <f t="shared" ca="1" si="35"/>
        <v>148.92347311068039</v>
      </c>
      <c r="N123">
        <f t="shared" ca="1" si="24"/>
        <v>0.62999999999999545</v>
      </c>
      <c r="O123">
        <f t="shared" ca="1" si="25"/>
        <v>0.62999999999999545</v>
      </c>
      <c r="P123">
        <f t="shared" ca="1" si="26"/>
        <v>0</v>
      </c>
      <c r="Q123">
        <f t="shared" ca="1" si="30"/>
        <v>0.50564549147287341</v>
      </c>
      <c r="R123">
        <f t="shared" ca="1" si="31"/>
        <v>0.66353802888983815</v>
      </c>
      <c r="S123">
        <f t="shared" ca="1" si="28"/>
        <v>0.76204447892589688</v>
      </c>
      <c r="T123">
        <f t="shared" ca="1" si="29"/>
        <v>43.247743631898679</v>
      </c>
      <c r="U123">
        <f>70</f>
        <v>70</v>
      </c>
      <c r="V123">
        <f>30</f>
        <v>30</v>
      </c>
      <c r="W123">
        <f t="shared" ca="1" si="27"/>
        <v>153.50873354759719</v>
      </c>
      <c r="X123">
        <f t="shared" ca="1" si="37"/>
        <v>155.42518530191447</v>
      </c>
      <c r="Y123">
        <f t="shared" ca="1" si="36"/>
        <v>-1.7743913375664704</v>
      </c>
      <c r="Z123">
        <f t="shared" ca="1" si="38"/>
        <v>-1.771190191513548</v>
      </c>
      <c r="AA123">
        <f t="shared" ca="1" si="39"/>
        <v>-3.2011460529224323E-3</v>
      </c>
      <c r="AB123">
        <f t="shared" ca="1" si="40"/>
        <v>161.71870000000001</v>
      </c>
    </row>
    <row r="124" spans="1:28" x14ac:dyDescent="0.25">
      <c r="A124" s="20">
        <f t="shared" ca="1" si="20"/>
        <v>45873</v>
      </c>
      <c r="B124" vm="365">
        <f ca="1"/>
        <v>45877</v>
      </c>
      <c r="C124" vm="366">
        <f ca="1"/>
        <v>153.51</v>
      </c>
      <c r="D124" vm="367">
        <f ca="1"/>
        <v>5811281</v>
      </c>
      <c r="E124">
        <f t="shared" ca="1" si="21"/>
        <v>892089746.30999994</v>
      </c>
      <c r="F124">
        <f ca="1">SUM($E$2:E124)/SUM($D$2:D124)</f>
        <v>163.16729543904972</v>
      </c>
      <c r="G124">
        <f ca="1">_xlfn.STDEV.P($C$2:C124)</f>
        <v>6.1154296848236109</v>
      </c>
      <c r="H124">
        <f t="shared" ca="1" si="22"/>
        <v>169.28272512387335</v>
      </c>
      <c r="I124">
        <f t="shared" ca="1" si="23"/>
        <v>157.0518657542261</v>
      </c>
      <c r="J124">
        <f t="shared" ca="1" si="32"/>
        <v>154.42400000000004</v>
      </c>
      <c r="K124">
        <f t="shared" ca="1" si="33"/>
        <v>2.7879352858154283</v>
      </c>
      <c r="L124">
        <f t="shared" ca="1" si="34"/>
        <v>159.99987057163088</v>
      </c>
      <c r="M124">
        <f t="shared" ca="1" si="35"/>
        <v>148.84812942836919</v>
      </c>
      <c r="N124">
        <f t="shared" ca="1" si="24"/>
        <v>1.999999999998181E-2</v>
      </c>
      <c r="O124">
        <f t="shared" ca="1" si="25"/>
        <v>1.999999999998181E-2</v>
      </c>
      <c r="P124">
        <f t="shared" ca="1" si="26"/>
        <v>0</v>
      </c>
      <c r="Q124">
        <f t="shared" ca="1" si="30"/>
        <v>0.47095652779623831</v>
      </c>
      <c r="R124">
        <f t="shared" ca="1" si="31"/>
        <v>0.61614245539770685</v>
      </c>
      <c r="S124">
        <f t="shared" ca="1" si="28"/>
        <v>0.7643630521974758</v>
      </c>
      <c r="T124">
        <f t="shared" ca="1" si="29"/>
        <v>43.322322537046908</v>
      </c>
      <c r="U124">
        <f>70</f>
        <v>70</v>
      </c>
      <c r="V124">
        <f>30</f>
        <v>30</v>
      </c>
      <c r="W124">
        <f t="shared" ca="1" si="27"/>
        <v>153.50892838642841</v>
      </c>
      <c r="X124">
        <f t="shared" ca="1" si="37"/>
        <v>155.28331972399488</v>
      </c>
      <c r="Y124">
        <f t="shared" ca="1" si="36"/>
        <v>-1.5256045000829204</v>
      </c>
      <c r="Z124">
        <f t="shared" ca="1" si="38"/>
        <v>-1.7220730532274224</v>
      </c>
      <c r="AA124">
        <f t="shared" ca="1" si="39"/>
        <v>0.19646855314450207</v>
      </c>
      <c r="AB124">
        <f t="shared" ca="1" si="40"/>
        <v>161.55620000000002</v>
      </c>
    </row>
    <row r="125" spans="1:28" x14ac:dyDescent="0.25">
      <c r="A125" s="20">
        <f t="shared" ca="1" si="20"/>
        <v>45880</v>
      </c>
      <c r="B125" vm="368">
        <f ca="1"/>
        <v>45880</v>
      </c>
      <c r="C125" vm="369">
        <f ca="1"/>
        <v>154.97999999999999</v>
      </c>
      <c r="D125" vm="370">
        <f ca="1"/>
        <v>7331707</v>
      </c>
      <c r="E125">
        <f t="shared" ca="1" si="21"/>
        <v>1136267950.8599999</v>
      </c>
      <c r="F125">
        <f ca="1">SUM($E$2:E125)/SUM($D$2:D125)</f>
        <v>163.11003818619045</v>
      </c>
      <c r="G125">
        <f ca="1">_xlfn.STDEV.P($C$2:C125)</f>
        <v>6.1360923783885974</v>
      </c>
      <c r="H125">
        <f t="shared" ca="1" si="22"/>
        <v>169.24613056457906</v>
      </c>
      <c r="I125">
        <f t="shared" ca="1" si="23"/>
        <v>156.97394580780184</v>
      </c>
      <c r="J125">
        <f t="shared" ca="1" si="32"/>
        <v>154.48500000000007</v>
      </c>
      <c r="K125">
        <f t="shared" ca="1" si="33"/>
        <v>2.7859884384087774</v>
      </c>
      <c r="L125">
        <f t="shared" ca="1" si="34"/>
        <v>160.05697687681763</v>
      </c>
      <c r="M125">
        <f t="shared" ca="1" si="35"/>
        <v>148.91302312318251</v>
      </c>
      <c r="N125">
        <f t="shared" ca="1" si="24"/>
        <v>1.4699999999999989</v>
      </c>
      <c r="O125">
        <f t="shared" ca="1" si="25"/>
        <v>1.4699999999999989</v>
      </c>
      <c r="P125">
        <f t="shared" ca="1" si="26"/>
        <v>0</v>
      </c>
      <c r="Q125">
        <f t="shared" ca="1" si="30"/>
        <v>0.54231677581079263</v>
      </c>
      <c r="R125">
        <f t="shared" ca="1" si="31"/>
        <v>0.57213228001215632</v>
      </c>
      <c r="S125">
        <f t="shared" ca="1" si="28"/>
        <v>0.94788704423262016</v>
      </c>
      <c r="T125">
        <f t="shared" ca="1" si="29"/>
        <v>48.662320899929028</v>
      </c>
      <c r="U125">
        <f>70</f>
        <v>70</v>
      </c>
      <c r="V125">
        <f>30</f>
        <v>30</v>
      </c>
      <c r="W125">
        <f t="shared" ca="1" si="27"/>
        <v>153.73524709620864</v>
      </c>
      <c r="X125">
        <f t="shared" ca="1" si="37"/>
        <v>155.26085159629156</v>
      </c>
      <c r="Y125">
        <f t="shared" ca="1" si="36"/>
        <v>-1.3045253026233183</v>
      </c>
      <c r="Z125">
        <f t="shared" ca="1" si="38"/>
        <v>-1.6385635031066017</v>
      </c>
      <c r="AA125">
        <f t="shared" ca="1" si="39"/>
        <v>0.33403820048328337</v>
      </c>
      <c r="AB125">
        <f t="shared" ca="1" si="40"/>
        <v>161.4289</v>
      </c>
    </row>
    <row r="126" spans="1:28" x14ac:dyDescent="0.25">
      <c r="A126" s="20">
        <f t="shared" ca="1" si="20"/>
        <v>45880</v>
      </c>
      <c r="B126" vm="371">
        <f ca="1"/>
        <v>45881</v>
      </c>
      <c r="C126" vm="372">
        <f ca="1"/>
        <v>155.09</v>
      </c>
      <c r="D126" vm="373">
        <f ca="1"/>
        <v>6938336</v>
      </c>
      <c r="E126">
        <f t="shared" ca="1" si="21"/>
        <v>1076066530.24</v>
      </c>
      <c r="F126">
        <f ca="1">SUM($E$2:E126)/SUM($D$2:D126)</f>
        <v>163.05730889578578</v>
      </c>
      <c r="G126">
        <f ca="1">_xlfn.STDEV.P($C$2:C126)</f>
        <v>6.1544778624997916</v>
      </c>
      <c r="H126">
        <f t="shared" ca="1" si="22"/>
        <v>169.21178675828557</v>
      </c>
      <c r="I126">
        <f t="shared" ca="1" si="23"/>
        <v>156.90283103328599</v>
      </c>
      <c r="J126">
        <f t="shared" ca="1" si="32"/>
        <v>154.60550000000006</v>
      </c>
      <c r="K126">
        <f t="shared" ca="1" si="33"/>
        <v>2.7557642458939373</v>
      </c>
      <c r="L126">
        <f t="shared" ca="1" si="34"/>
        <v>160.11702849178795</v>
      </c>
      <c r="M126">
        <f t="shared" ca="1" si="35"/>
        <v>149.09397150821218</v>
      </c>
      <c r="N126">
        <f t="shared" ca="1" si="24"/>
        <v>0.11000000000001364</v>
      </c>
      <c r="O126">
        <f t="shared" ca="1" si="25"/>
        <v>0.11000000000001364</v>
      </c>
      <c r="P126">
        <f t="shared" ca="1" si="26"/>
        <v>0</v>
      </c>
      <c r="Q126">
        <f t="shared" ca="1" si="30"/>
        <v>0.51143700611002274</v>
      </c>
      <c r="R126">
        <f t="shared" ca="1" si="31"/>
        <v>0.53126568858271661</v>
      </c>
      <c r="S126">
        <f t="shared" ca="1" si="28"/>
        <v>0.96267652344424537</v>
      </c>
      <c r="T126">
        <f t="shared" ca="1" si="29"/>
        <v>49.049168925446338</v>
      </c>
      <c r="U126">
        <f>70</f>
        <v>70</v>
      </c>
      <c r="V126">
        <f>30</f>
        <v>30</v>
      </c>
      <c r="W126">
        <f t="shared" ca="1" si="27"/>
        <v>153.94367061986887</v>
      </c>
      <c r="X126">
        <f t="shared" ca="1" si="37"/>
        <v>155.24819592249219</v>
      </c>
      <c r="Y126">
        <f t="shared" ca="1" si="36"/>
        <v>-1.0909216544413312</v>
      </c>
      <c r="Z126">
        <f t="shared" ca="1" si="38"/>
        <v>-1.5290351333735477</v>
      </c>
      <c r="AA126">
        <f t="shared" ca="1" si="39"/>
        <v>0.43811347893221653</v>
      </c>
      <c r="AB126">
        <f t="shared" ca="1" si="40"/>
        <v>161.29410000000004</v>
      </c>
    </row>
    <row r="127" spans="1:28" x14ac:dyDescent="0.25">
      <c r="A127" s="20">
        <f t="shared" ca="1" si="20"/>
        <v>45880</v>
      </c>
      <c r="B127" vm="374">
        <f ca="1"/>
        <v>45882</v>
      </c>
      <c r="C127" vm="375">
        <f ca="1"/>
        <v>155.41</v>
      </c>
      <c r="D127" vm="376">
        <f ca="1"/>
        <v>5812356</v>
      </c>
      <c r="E127">
        <f t="shared" ca="1" si="21"/>
        <v>903298245.96000004</v>
      </c>
      <c r="F127">
        <f ca="1">SUM($E$2:E127)/SUM($D$2:D127)</f>
        <v>163.01542032038424</v>
      </c>
      <c r="G127">
        <f ca="1">_xlfn.STDEV.P($C$2:C127)</f>
        <v>6.1686094062440606</v>
      </c>
      <c r="H127">
        <f t="shared" ca="1" si="22"/>
        <v>169.1840297266283</v>
      </c>
      <c r="I127">
        <f t="shared" ca="1" si="23"/>
        <v>156.84681091414018</v>
      </c>
      <c r="J127">
        <f t="shared" ca="1" si="32"/>
        <v>154.68950000000001</v>
      </c>
      <c r="K127">
        <f t="shared" ca="1" si="33"/>
        <v>2.7532764691889349</v>
      </c>
      <c r="L127">
        <f t="shared" ca="1" si="34"/>
        <v>160.19605293837787</v>
      </c>
      <c r="M127">
        <f t="shared" ca="1" si="35"/>
        <v>149.18294706162214</v>
      </c>
      <c r="N127">
        <f t="shared" ca="1" si="24"/>
        <v>0.31999999999999318</v>
      </c>
      <c r="O127">
        <f t="shared" ca="1" si="25"/>
        <v>0.31999999999999318</v>
      </c>
      <c r="P127">
        <f t="shared" ca="1" si="26"/>
        <v>0</v>
      </c>
      <c r="Q127">
        <f t="shared" ca="1" si="30"/>
        <v>0.49776293424502066</v>
      </c>
      <c r="R127">
        <f t="shared" ca="1" si="31"/>
        <v>0.49331813939823688</v>
      </c>
      <c r="S127">
        <f t="shared" ca="1" si="28"/>
        <v>1.0090099967785608</v>
      </c>
      <c r="T127">
        <f t="shared" ca="1" si="29"/>
        <v>50.224239719887116</v>
      </c>
      <c r="U127">
        <f>70</f>
        <v>70</v>
      </c>
      <c r="V127">
        <f>30</f>
        <v>30</v>
      </c>
      <c r="W127">
        <f t="shared" ca="1" si="27"/>
        <v>154.16925975527366</v>
      </c>
      <c r="X127">
        <f t="shared" ca="1" si="37"/>
        <v>155.26018140971499</v>
      </c>
      <c r="Y127">
        <f t="shared" ca="1" si="36"/>
        <v>-1.0443555864418954</v>
      </c>
      <c r="Z127">
        <f t="shared" ca="1" si="38"/>
        <v>-1.4320992239872172</v>
      </c>
      <c r="AA127">
        <f t="shared" ca="1" si="39"/>
        <v>0.38774363754532182</v>
      </c>
      <c r="AB127">
        <f t="shared" ca="1" si="40"/>
        <v>161.17270000000002</v>
      </c>
    </row>
    <row r="128" spans="1:28" x14ac:dyDescent="0.25">
      <c r="A128" s="20">
        <f t="shared" ca="1" si="20"/>
        <v>45880</v>
      </c>
      <c r="B128" vm="377">
        <f ca="1"/>
        <v>45883</v>
      </c>
      <c r="C128" vm="378">
        <f ca="1"/>
        <v>153.74</v>
      </c>
      <c r="D128" vm="379">
        <f ca="1"/>
        <v>6343715</v>
      </c>
      <c r="E128">
        <f t="shared" ca="1" si="21"/>
        <v>975282744.10000002</v>
      </c>
      <c r="F128">
        <f ca="1">SUM($E$2:E128)/SUM($D$2:D128)</f>
        <v>162.96029851963999</v>
      </c>
      <c r="G128">
        <f ca="1">_xlfn.STDEV.P($C$2:C128)</f>
        <v>6.1998802966050386</v>
      </c>
      <c r="H128">
        <f t="shared" ca="1" si="22"/>
        <v>169.16017881624504</v>
      </c>
      <c r="I128">
        <f t="shared" ca="1" si="23"/>
        <v>156.76041822303495</v>
      </c>
      <c r="J128">
        <f t="shared" ca="1" si="32"/>
        <v>154.59550000000004</v>
      </c>
      <c r="K128">
        <f t="shared" ca="1" si="33"/>
        <v>2.7519284625799969</v>
      </c>
      <c r="L128">
        <f t="shared" ca="1" si="34"/>
        <v>160.09935692516004</v>
      </c>
      <c r="M128">
        <f t="shared" ca="1" si="35"/>
        <v>149.09164307484005</v>
      </c>
      <c r="N128">
        <f t="shared" ca="1" si="24"/>
        <v>-1.6699999999999875</v>
      </c>
      <c r="O128">
        <f t="shared" ca="1" si="25"/>
        <v>0</v>
      </c>
      <c r="P128">
        <f t="shared" ca="1" si="26"/>
        <v>1.6699999999999875</v>
      </c>
      <c r="Q128">
        <f t="shared" ca="1" si="30"/>
        <v>0.46220843894180491</v>
      </c>
      <c r="R128">
        <f t="shared" ca="1" si="31"/>
        <v>0.57736684372693337</v>
      </c>
      <c r="S128">
        <f t="shared" ca="1" si="28"/>
        <v>0.80054551792102424</v>
      </c>
      <c r="T128">
        <f t="shared" ca="1" si="29"/>
        <v>44.461276316155754</v>
      </c>
      <c r="U128">
        <f>70</f>
        <v>70</v>
      </c>
      <c r="V128">
        <f>30</f>
        <v>30</v>
      </c>
      <c r="W128">
        <f t="shared" ca="1" si="27"/>
        <v>154.10321979292385</v>
      </c>
      <c r="X128">
        <f t="shared" ca="1" si="37"/>
        <v>155.14757537936575</v>
      </c>
      <c r="Y128">
        <f t="shared" ca="1" si="36"/>
        <v>-0.94651202220933328</v>
      </c>
      <c r="Z128">
        <f t="shared" ca="1" si="38"/>
        <v>-1.3349817836316407</v>
      </c>
      <c r="AA128">
        <f t="shared" ca="1" si="39"/>
        <v>0.38846976142230738</v>
      </c>
      <c r="AB128">
        <f t="shared" ca="1" si="40"/>
        <v>161.04320000000001</v>
      </c>
    </row>
    <row r="129" spans="1:28" x14ac:dyDescent="0.25">
      <c r="A129" s="20">
        <f t="shared" ca="1" si="20"/>
        <v>45880</v>
      </c>
      <c r="B129" vm="380">
        <f ca="1"/>
        <v>45884</v>
      </c>
      <c r="C129" vm="381">
        <f ca="1"/>
        <v>154.36000000000001</v>
      </c>
      <c r="D129" vm="382">
        <f ca="1"/>
        <v>7121700</v>
      </c>
      <c r="E129">
        <f t="shared" ca="1" si="21"/>
        <v>1099305612</v>
      </c>
      <c r="F129">
        <f ca="1">SUM($E$2:E129)/SUM($D$2:D129)</f>
        <v>162.90330105730334</v>
      </c>
      <c r="G129">
        <f ca="1">_xlfn.STDEV.P($C$2:C129)</f>
        <v>6.2227162048861535</v>
      </c>
      <c r="H129">
        <f t="shared" ca="1" si="22"/>
        <v>169.12601726218949</v>
      </c>
      <c r="I129">
        <f t="shared" ca="1" si="23"/>
        <v>156.68058485241718</v>
      </c>
      <c r="J129">
        <f t="shared" ca="1" si="32"/>
        <v>154.55850000000004</v>
      </c>
      <c r="K129">
        <f t="shared" ca="1" si="33"/>
        <v>2.749762238525554</v>
      </c>
      <c r="L129">
        <f t="shared" ca="1" si="34"/>
        <v>160.05802447705113</v>
      </c>
      <c r="M129">
        <f t="shared" ca="1" si="35"/>
        <v>149.05897552294894</v>
      </c>
      <c r="N129">
        <f t="shared" ca="1" si="24"/>
        <v>0.62000000000000455</v>
      </c>
      <c r="O129">
        <f t="shared" ca="1" si="25"/>
        <v>0.62000000000000455</v>
      </c>
      <c r="P129">
        <f t="shared" ca="1" si="26"/>
        <v>0</v>
      </c>
      <c r="Q129">
        <f t="shared" ca="1" si="30"/>
        <v>0.47347926473167634</v>
      </c>
      <c r="R129">
        <f t="shared" ca="1" si="31"/>
        <v>0.53612635488929528</v>
      </c>
      <c r="S129">
        <f t="shared" ca="1" si="28"/>
        <v>0.88314864660858738</v>
      </c>
      <c r="T129">
        <f t="shared" ca="1" si="29"/>
        <v>46.897447431941885</v>
      </c>
      <c r="U129">
        <f>70</f>
        <v>70</v>
      </c>
      <c r="V129">
        <f>30</f>
        <v>30</v>
      </c>
      <c r="W129">
        <f t="shared" ca="1" si="27"/>
        <v>154.14272444016635</v>
      </c>
      <c r="X129">
        <f t="shared" ca="1" si="37"/>
        <v>155.08923646237568</v>
      </c>
      <c r="Y129">
        <f t="shared" ca="1" si="36"/>
        <v>-0.75057746878258058</v>
      </c>
      <c r="Z129">
        <f t="shared" ca="1" si="38"/>
        <v>-1.2181009206618287</v>
      </c>
      <c r="AA129">
        <f t="shared" ca="1" si="39"/>
        <v>0.46752345187924815</v>
      </c>
      <c r="AB129">
        <f t="shared" ca="1" si="40"/>
        <v>160.93030000000002</v>
      </c>
    </row>
    <row r="130" spans="1:28" x14ac:dyDescent="0.25">
      <c r="A130" s="20">
        <f t="shared" ca="1" si="20"/>
        <v>45887</v>
      </c>
      <c r="B130" vm="383">
        <f ca="1"/>
        <v>45887</v>
      </c>
      <c r="C130" vm="384">
        <f ca="1"/>
        <v>155.72</v>
      </c>
      <c r="D130" vm="385">
        <f ca="1"/>
        <v>8274726</v>
      </c>
      <c r="E130">
        <f t="shared" ca="1" si="21"/>
        <v>1288540332.72</v>
      </c>
      <c r="F130">
        <f ca="1">SUM($E$2:E130)/SUM($D$2:D130)</f>
        <v>162.84840962176361</v>
      </c>
      <c r="G130">
        <f ca="1">_xlfn.STDEV.P($C$2:C130)</f>
        <v>6.2310950392284461</v>
      </c>
      <c r="H130">
        <f t="shared" ca="1" si="22"/>
        <v>169.07950466099206</v>
      </c>
      <c r="I130">
        <f t="shared" ca="1" si="23"/>
        <v>156.61731458253516</v>
      </c>
      <c r="J130">
        <f t="shared" ca="1" si="32"/>
        <v>154.59299999999999</v>
      </c>
      <c r="K130">
        <f t="shared" ca="1" si="33"/>
        <v>2.7602976574809368</v>
      </c>
      <c r="L130">
        <f t="shared" ca="1" si="34"/>
        <v>160.11359531496186</v>
      </c>
      <c r="M130">
        <f t="shared" ca="1" si="35"/>
        <v>149.07240468503812</v>
      </c>
      <c r="N130">
        <f t="shared" ca="1" si="24"/>
        <v>1.3599999999999852</v>
      </c>
      <c r="O130">
        <f t="shared" ca="1" si="25"/>
        <v>1.3599999999999852</v>
      </c>
      <c r="P130">
        <f t="shared" ca="1" si="26"/>
        <v>0</v>
      </c>
      <c r="Q130">
        <f t="shared" ca="1" si="30"/>
        <v>0.53680217439369837</v>
      </c>
      <c r="R130">
        <f t="shared" ca="1" si="31"/>
        <v>0.49783161525434566</v>
      </c>
      <c r="S130">
        <f t="shared" ca="1" si="28"/>
        <v>1.0782806032104699</v>
      </c>
      <c r="T130">
        <f t="shared" ca="1" si="29"/>
        <v>51.883302069257255</v>
      </c>
      <c r="U130">
        <f>70</f>
        <v>70</v>
      </c>
      <c r="V130">
        <f>30</f>
        <v>30</v>
      </c>
      <c r="W130">
        <f t="shared" ca="1" si="27"/>
        <v>154.3853822186023</v>
      </c>
      <c r="X130">
        <f t="shared" ca="1" si="37"/>
        <v>155.13595968738488</v>
      </c>
      <c r="Y130">
        <f t="shared" ca="1" si="36"/>
        <v>-0.37472472784955357</v>
      </c>
      <c r="Z130">
        <f t="shared" ca="1" si="38"/>
        <v>-1.0494256820993737</v>
      </c>
      <c r="AA130">
        <f t="shared" ca="1" si="39"/>
        <v>0.67470095424982013</v>
      </c>
      <c r="AB130">
        <f t="shared" ca="1" si="40"/>
        <v>160.85900000000001</v>
      </c>
    </row>
    <row r="131" spans="1:28" x14ac:dyDescent="0.25">
      <c r="A131" s="20">
        <f t="shared" ref="A131:A194" ca="1" si="41">B131 - WEEKDAY(B131, 2) + 1</f>
        <v>45887</v>
      </c>
      <c r="B131" vm="386">
        <f ca="1"/>
        <v>45888</v>
      </c>
      <c r="C131" vm="387">
        <f ca="1"/>
        <v>158.4</v>
      </c>
      <c r="D131" vm="388">
        <f ca="1"/>
        <v>7868129</v>
      </c>
      <c r="E131">
        <f t="shared" ref="E131:E194" ca="1" si="42">C131*D131</f>
        <v>1246311633.6000001</v>
      </c>
      <c r="F131">
        <f ca="1">SUM($E$2:E131)/SUM($D$2:D131)</f>
        <v>162.81632041767824</v>
      </c>
      <c r="G131">
        <f ca="1">_xlfn.STDEV.P($C$2:C131)</f>
        <v>6.2196087992240017</v>
      </c>
      <c r="H131">
        <f t="shared" ref="H131:H194" ca="1" si="43">F131 + G131</f>
        <v>169.03592921690225</v>
      </c>
      <c r="I131">
        <f t="shared" ref="I131:I194" ca="1" si="44">F131 - G131</f>
        <v>156.59671161845424</v>
      </c>
      <c r="J131">
        <f t="shared" ca="1" si="32"/>
        <v>154.59700000000001</v>
      </c>
      <c r="K131">
        <f t="shared" ca="1" si="33"/>
        <v>2.7660347830518419</v>
      </c>
      <c r="L131">
        <f t="shared" ca="1" si="34"/>
        <v>160.12906956610368</v>
      </c>
      <c r="M131">
        <f t="shared" ca="1" si="35"/>
        <v>149.06493043389634</v>
      </c>
      <c r="N131">
        <f t="shared" ca="1" si="24"/>
        <v>2.6800000000000068</v>
      </c>
      <c r="O131">
        <f t="shared" ca="1" si="25"/>
        <v>2.6800000000000068</v>
      </c>
      <c r="P131">
        <f t="shared" ca="1" si="26"/>
        <v>0</v>
      </c>
      <c r="Q131">
        <f t="shared" ca="1" si="30"/>
        <v>0.68988773336557763</v>
      </c>
      <c r="R131">
        <f t="shared" ca="1" si="31"/>
        <v>0.46227221416474956</v>
      </c>
      <c r="S131">
        <f t="shared" ca="1" si="28"/>
        <v>1.4923841672208056</v>
      </c>
      <c r="T131">
        <f t="shared" ca="1" si="29"/>
        <v>59.877774335443853</v>
      </c>
      <c r="U131">
        <f>70</f>
        <v>70</v>
      </c>
      <c r="V131">
        <f>30</f>
        <v>30</v>
      </c>
      <c r="W131">
        <f t="shared" ca="1" si="27"/>
        <v>155.00301572343272</v>
      </c>
      <c r="X131">
        <f t="shared" ca="1" si="37"/>
        <v>155.37774045128228</v>
      </c>
      <c r="Y131">
        <f t="shared" ca="1" si="36"/>
        <v>1.2564168640381013E-2</v>
      </c>
      <c r="Z131">
        <f t="shared" ca="1" si="38"/>
        <v>-0.83702771195142278</v>
      </c>
      <c r="AA131">
        <f t="shared" ca="1" si="39"/>
        <v>0.84959188059180379</v>
      </c>
      <c r="AB131">
        <f t="shared" ca="1" si="40"/>
        <v>160.77720000000002</v>
      </c>
    </row>
    <row r="132" spans="1:28" x14ac:dyDescent="0.25">
      <c r="A132" s="20">
        <f t="shared" ca="1" si="41"/>
        <v>45887</v>
      </c>
      <c r="B132" vm="389">
        <f ca="1"/>
        <v>45889</v>
      </c>
      <c r="C132" vm="390">
        <f ca="1"/>
        <v>159.51</v>
      </c>
      <c r="D132" vm="391">
        <f ca="1"/>
        <v>7840355</v>
      </c>
      <c r="E132">
        <f t="shared" ca="1" si="42"/>
        <v>1250615026.05</v>
      </c>
      <c r="F132">
        <f ca="1">SUM($E$2:E132)/SUM($D$2:D132)</f>
        <v>162.79272363722234</v>
      </c>
      <c r="G132">
        <f ca="1">_xlfn.STDEV.P($C$2:C132)</f>
        <v>6.202767337127912</v>
      </c>
      <c r="H132">
        <f t="shared" ca="1" si="43"/>
        <v>168.99549097435025</v>
      </c>
      <c r="I132">
        <f t="shared" ca="1" si="44"/>
        <v>156.58995630009443</v>
      </c>
      <c r="J132">
        <f t="shared" ca="1" si="32"/>
        <v>154.6585</v>
      </c>
      <c r="K132">
        <f t="shared" ca="1" si="33"/>
        <v>2.8641656725825082</v>
      </c>
      <c r="L132">
        <f t="shared" ca="1" si="34"/>
        <v>160.38683134516501</v>
      </c>
      <c r="M132">
        <f t="shared" ca="1" si="35"/>
        <v>148.930168654835</v>
      </c>
      <c r="N132">
        <f t="shared" ref="N132:N195" ca="1" si="45">C132-C131</f>
        <v>1.1099999999999852</v>
      </c>
      <c r="O132">
        <f t="shared" ref="O132:O195" ca="1" si="46">MAX(N132,0)</f>
        <v>1.1099999999999852</v>
      </c>
      <c r="P132">
        <f t="shared" ref="P132:P195" ca="1" si="47">MAX(-N132,0)</f>
        <v>0</v>
      </c>
      <c r="Q132">
        <f t="shared" ca="1" si="30"/>
        <v>0.71989575241089254</v>
      </c>
      <c r="R132">
        <f t="shared" ca="1" si="31"/>
        <v>0.42925277029583891</v>
      </c>
      <c r="S132">
        <f t="shared" ca="1" si="28"/>
        <v>1.6770905215468823</v>
      </c>
      <c r="T132">
        <f t="shared" ca="1" si="29"/>
        <v>62.646014695753443</v>
      </c>
      <c r="U132">
        <f>70</f>
        <v>70</v>
      </c>
      <c r="V132">
        <f>30</f>
        <v>30</v>
      </c>
      <c r="W132">
        <f t="shared" ca="1" si="27"/>
        <v>155.69639791982769</v>
      </c>
      <c r="X132">
        <f t="shared" ca="1" si="37"/>
        <v>155.68383375118731</v>
      </c>
      <c r="Y132">
        <f t="shared" ca="1" si="36"/>
        <v>0.25363023661805073</v>
      </c>
      <c r="Z132">
        <f t="shared" ca="1" si="38"/>
        <v>-0.6188961222375281</v>
      </c>
      <c r="AA132">
        <f t="shared" ca="1" si="39"/>
        <v>0.87252635885557883</v>
      </c>
      <c r="AB132">
        <f t="shared" ca="1" si="40"/>
        <v>160.68520000000001</v>
      </c>
    </row>
    <row r="133" spans="1:28" x14ac:dyDescent="0.25">
      <c r="A133" s="20">
        <f t="shared" ca="1" si="41"/>
        <v>45887</v>
      </c>
      <c r="B133" vm="392">
        <f ca="1"/>
        <v>45890</v>
      </c>
      <c r="C133" vm="188">
        <f ca="1"/>
        <v>158.72999999999999</v>
      </c>
      <c r="D133" vm="393">
        <f ca="1"/>
        <v>6417695</v>
      </c>
      <c r="E133">
        <f t="shared" ca="1" si="42"/>
        <v>1018680727.3499999</v>
      </c>
      <c r="F133">
        <f ca="1">SUM($E$2:E133)/SUM($D$2:D133)</f>
        <v>162.76912761839031</v>
      </c>
      <c r="G133">
        <f ca="1">_xlfn.STDEV.P($C$2:C133)</f>
        <v>6.1895716133950822</v>
      </c>
      <c r="H133">
        <f t="shared" ca="1" si="43"/>
        <v>168.9586992317854</v>
      </c>
      <c r="I133">
        <f t="shared" ca="1" si="44"/>
        <v>156.57955600499523</v>
      </c>
      <c r="J133">
        <f t="shared" ca="1" si="32"/>
        <v>154.65449999999998</v>
      </c>
      <c r="K133">
        <f t="shared" ca="1" si="33"/>
        <v>2.8581121391575954</v>
      </c>
      <c r="L133">
        <f t="shared" ca="1" si="34"/>
        <v>160.37072427831518</v>
      </c>
      <c r="M133">
        <f t="shared" ca="1" si="35"/>
        <v>148.93827572168479</v>
      </c>
      <c r="N133">
        <f t="shared" ca="1" si="45"/>
        <v>-0.78000000000000114</v>
      </c>
      <c r="O133">
        <f t="shared" ca="1" si="46"/>
        <v>0</v>
      </c>
      <c r="P133">
        <f t="shared" ca="1" si="47"/>
        <v>0.78000000000000114</v>
      </c>
      <c r="Q133">
        <f t="shared" ca="1" si="30"/>
        <v>0.66847462723868589</v>
      </c>
      <c r="R133">
        <f t="shared" ca="1" si="31"/>
        <v>0.45430614384613621</v>
      </c>
      <c r="S133">
        <f t="shared" ca="1" si="28"/>
        <v>1.4714188577319438</v>
      </c>
      <c r="T133">
        <f t="shared" ca="1" si="29"/>
        <v>59.537413220286176</v>
      </c>
      <c r="U133">
        <f>70</f>
        <v>70</v>
      </c>
      <c r="V133">
        <f>30</f>
        <v>30</v>
      </c>
      <c r="W133">
        <f t="shared" ca="1" si="27"/>
        <v>156.16310593216187</v>
      </c>
      <c r="X133">
        <f t="shared" ca="1" si="37"/>
        <v>155.90947569554382</v>
      </c>
      <c r="Y133">
        <f t="shared" ca="1" si="36"/>
        <v>0.43482296524311437</v>
      </c>
      <c r="Z133">
        <f t="shared" ca="1" si="38"/>
        <v>-0.40815230474139963</v>
      </c>
      <c r="AA133">
        <f t="shared" ca="1" si="39"/>
        <v>0.842975269984514</v>
      </c>
      <c r="AB133">
        <f t="shared" ca="1" si="40"/>
        <v>160.59220000000002</v>
      </c>
    </row>
    <row r="134" spans="1:28" x14ac:dyDescent="0.25">
      <c r="A134" s="20">
        <f t="shared" ca="1" si="41"/>
        <v>45887</v>
      </c>
      <c r="B134" vm="394">
        <f ca="1"/>
        <v>45891</v>
      </c>
      <c r="C134" vm="395">
        <f ca="1"/>
        <v>158.66999999999999</v>
      </c>
      <c r="D134" vm="396">
        <f ca="1"/>
        <v>5797325</v>
      </c>
      <c r="E134">
        <f t="shared" ca="1" si="42"/>
        <v>919861557.74999988</v>
      </c>
      <c r="F134">
        <f ca="1">SUM($E$2:E134)/SUM($D$2:D134)</f>
        <v>162.74773377090443</v>
      </c>
      <c r="G134">
        <f ca="1">_xlfn.STDEV.P($C$2:C134)</f>
        <v>6.1766911298330749</v>
      </c>
      <c r="H134">
        <f t="shared" ca="1" si="43"/>
        <v>168.92442490073751</v>
      </c>
      <c r="I134">
        <f t="shared" ca="1" si="44"/>
        <v>156.57104264107136</v>
      </c>
      <c r="J134">
        <f t="shared" ca="1" si="32"/>
        <v>154.67299999999997</v>
      </c>
      <c r="K134">
        <f t="shared" ca="1" si="33"/>
        <v>2.8840306225106116</v>
      </c>
      <c r="L134">
        <f t="shared" ca="1" si="34"/>
        <v>160.44106124502119</v>
      </c>
      <c r="M134">
        <f t="shared" ca="1" si="35"/>
        <v>148.90493875497876</v>
      </c>
      <c r="N134">
        <f t="shared" ca="1" si="45"/>
        <v>-6.0000000000002274E-2</v>
      </c>
      <c r="O134">
        <f t="shared" ca="1" si="46"/>
        <v>0</v>
      </c>
      <c r="P134">
        <f t="shared" ca="1" si="47"/>
        <v>6.0000000000002274E-2</v>
      </c>
      <c r="Q134">
        <f t="shared" ca="1" si="30"/>
        <v>0.62072643957877982</v>
      </c>
      <c r="R134">
        <f t="shared" ca="1" si="31"/>
        <v>0.42614141928569804</v>
      </c>
      <c r="S134">
        <f t="shared" ca="1" si="28"/>
        <v>1.4566207636404995</v>
      </c>
      <c r="T134">
        <f t="shared" ca="1" si="29"/>
        <v>59.293676305247594</v>
      </c>
      <c r="U134">
        <f>70</f>
        <v>70</v>
      </c>
      <c r="V134">
        <f>30</f>
        <v>30</v>
      </c>
      <c r="W134">
        <f t="shared" ca="1" si="27"/>
        <v>156.54878194259851</v>
      </c>
      <c r="X134">
        <f t="shared" ca="1" si="37"/>
        <v>156.1139589773554</v>
      </c>
      <c r="Y134">
        <f t="shared" ca="1" si="36"/>
        <v>0.3708021917699682</v>
      </c>
      <c r="Z134">
        <f t="shared" ca="1" si="38"/>
        <v>-0.25236140543912605</v>
      </c>
      <c r="AA134">
        <f t="shared" ca="1" si="39"/>
        <v>0.62316359720909431</v>
      </c>
      <c r="AB134">
        <f t="shared" ca="1" si="40"/>
        <v>160.47470000000004</v>
      </c>
    </row>
    <row r="135" spans="1:28" x14ac:dyDescent="0.25">
      <c r="A135" s="20">
        <f t="shared" ca="1" si="41"/>
        <v>45894</v>
      </c>
      <c r="B135" vm="397">
        <f ca="1"/>
        <v>45894</v>
      </c>
      <c r="C135" vm="398">
        <f ca="1"/>
        <v>156.15</v>
      </c>
      <c r="D135" vm="399">
        <f ca="1"/>
        <v>4692505</v>
      </c>
      <c r="E135">
        <f t="shared" ca="1" si="42"/>
        <v>732734655.75</v>
      </c>
      <c r="F135">
        <f ca="1">SUM($E$2:E135)/SUM($D$2:D135)</f>
        <v>162.71997894356451</v>
      </c>
      <c r="G135">
        <f ca="1">_xlfn.STDEV.P($C$2:C135)</f>
        <v>6.1801007817636453</v>
      </c>
      <c r="H135">
        <f t="shared" ca="1" si="43"/>
        <v>168.90007972532817</v>
      </c>
      <c r="I135">
        <f t="shared" ca="1" si="44"/>
        <v>156.53987816180086</v>
      </c>
      <c r="J135">
        <f t="shared" ca="1" si="32"/>
        <v>154.625</v>
      </c>
      <c r="K135">
        <f t="shared" ca="1" si="33"/>
        <v>2.849113435513063</v>
      </c>
      <c r="L135">
        <f t="shared" ca="1" si="34"/>
        <v>160.32322687102612</v>
      </c>
      <c r="M135">
        <f t="shared" ca="1" si="35"/>
        <v>148.92677312897388</v>
      </c>
      <c r="N135">
        <f t="shared" ca="1" si="45"/>
        <v>-2.5199999999999818</v>
      </c>
      <c r="O135">
        <f t="shared" ca="1" si="46"/>
        <v>0</v>
      </c>
      <c r="P135">
        <f t="shared" ca="1" si="47"/>
        <v>2.5199999999999818</v>
      </c>
      <c r="Q135">
        <f t="shared" ca="1" si="30"/>
        <v>0.57638883675172414</v>
      </c>
      <c r="R135">
        <f t="shared" ca="1" si="31"/>
        <v>0.57570274647957553</v>
      </c>
      <c r="S135">
        <f t="shared" ca="1" si="28"/>
        <v>1.0011917439622167</v>
      </c>
      <c r="T135">
        <f t="shared" ca="1" si="29"/>
        <v>50.029775856456837</v>
      </c>
      <c r="U135">
        <f>70</f>
        <v>70</v>
      </c>
      <c r="V135">
        <f>30</f>
        <v>30</v>
      </c>
      <c r="W135">
        <f t="shared" ca="1" si="27"/>
        <v>156.48743087450643</v>
      </c>
      <c r="X135">
        <f t="shared" ca="1" si="37"/>
        <v>156.11662868273646</v>
      </c>
      <c r="Y135">
        <f t="shared" ca="1" si="36"/>
        <v>0.30205882575228316</v>
      </c>
      <c r="Z135">
        <f t="shared" ca="1" si="38"/>
        <v>-0.14147735920084423</v>
      </c>
      <c r="AA135">
        <f t="shared" ca="1" si="39"/>
        <v>0.44353618495312741</v>
      </c>
      <c r="AB135">
        <f t="shared" ca="1" si="40"/>
        <v>160.3306</v>
      </c>
    </row>
    <row r="136" spans="1:28" x14ac:dyDescent="0.25">
      <c r="A136" s="20">
        <f t="shared" ca="1" si="41"/>
        <v>45894</v>
      </c>
      <c r="B136" vm="400">
        <f ca="1"/>
        <v>45895</v>
      </c>
      <c r="C136" vm="401">
        <f ca="1"/>
        <v>155.97</v>
      </c>
      <c r="D136" vm="402">
        <f ca="1"/>
        <v>6337977</v>
      </c>
      <c r="E136">
        <f t="shared" ca="1" si="42"/>
        <v>988534272.68999994</v>
      </c>
      <c r="F136">
        <f ca="1">SUM($E$2:E136)/SUM($D$2:D136)</f>
        <v>162.68184326625845</v>
      </c>
      <c r="G136">
        <f ca="1">_xlfn.STDEV.P($C$2:C136)</f>
        <v>6.1844997730675599</v>
      </c>
      <c r="H136">
        <f t="shared" ca="1" si="43"/>
        <v>168.86634303932601</v>
      </c>
      <c r="I136">
        <f t="shared" ca="1" si="44"/>
        <v>156.4973434931909</v>
      </c>
      <c r="J136">
        <f t="shared" ca="1" si="32"/>
        <v>154.59300000000002</v>
      </c>
      <c r="K136">
        <f t="shared" ca="1" si="33"/>
        <v>2.8291696754757512</v>
      </c>
      <c r="L136">
        <f t="shared" ca="1" si="34"/>
        <v>160.25133935095153</v>
      </c>
      <c r="M136">
        <f t="shared" ca="1" si="35"/>
        <v>148.93466064904851</v>
      </c>
      <c r="N136">
        <f t="shared" ca="1" si="45"/>
        <v>-0.18000000000000682</v>
      </c>
      <c r="O136">
        <f t="shared" ca="1" si="46"/>
        <v>0</v>
      </c>
      <c r="P136">
        <f t="shared" ca="1" si="47"/>
        <v>0.18000000000000682</v>
      </c>
      <c r="Q136">
        <f t="shared" ca="1" si="30"/>
        <v>0.53521820555517241</v>
      </c>
      <c r="R136">
        <f t="shared" ca="1" si="31"/>
        <v>0.54743826458817779</v>
      </c>
      <c r="S136">
        <f t="shared" ca="1" si="28"/>
        <v>0.97767774044403311</v>
      </c>
      <c r="T136">
        <f t="shared" ca="1" si="29"/>
        <v>49.435644667999476</v>
      </c>
      <c r="U136">
        <f>70</f>
        <v>70</v>
      </c>
      <c r="V136">
        <f>30</f>
        <v>30</v>
      </c>
      <c r="W136">
        <f t="shared" ca="1" si="27"/>
        <v>156.40782612458236</v>
      </c>
      <c r="X136">
        <f t="shared" ca="1" si="37"/>
        <v>156.10576729883007</v>
      </c>
      <c r="Y136">
        <f t="shared" ca="1" si="36"/>
        <v>0.3237321563566411</v>
      </c>
      <c r="Z136">
        <f t="shared" ca="1" si="38"/>
        <v>-4.843545608934717E-2</v>
      </c>
      <c r="AA136">
        <f t="shared" ca="1" si="39"/>
        <v>0.37216761244598828</v>
      </c>
      <c r="AB136">
        <f t="shared" ca="1" si="40"/>
        <v>160.1953</v>
      </c>
    </row>
    <row r="137" spans="1:28" x14ac:dyDescent="0.25">
      <c r="A137" s="20">
        <f t="shared" ca="1" si="41"/>
        <v>45894</v>
      </c>
      <c r="B137" vm="403">
        <f ca="1"/>
        <v>45896</v>
      </c>
      <c r="C137" vm="404">
        <f ca="1"/>
        <v>156.96</v>
      </c>
      <c r="D137" vm="405">
        <f ca="1"/>
        <v>4551219</v>
      </c>
      <c r="E137">
        <f t="shared" ca="1" si="42"/>
        <v>714359334.24000001</v>
      </c>
      <c r="F137">
        <f ca="1">SUM($E$2:E137)/SUM($D$2:D137)</f>
        <v>162.65872348581172</v>
      </c>
      <c r="G137">
        <f ca="1">_xlfn.STDEV.P($C$2:C137)</f>
        <v>6.1811567866745856</v>
      </c>
      <c r="H137">
        <f t="shared" ca="1" si="43"/>
        <v>168.83988027248631</v>
      </c>
      <c r="I137">
        <f t="shared" ca="1" si="44"/>
        <v>156.47756669913713</v>
      </c>
      <c r="J137">
        <f t="shared" ca="1" si="32"/>
        <v>154.797</v>
      </c>
      <c r="K137">
        <f t="shared" ca="1" si="33"/>
        <v>2.8461961688504429</v>
      </c>
      <c r="L137">
        <f t="shared" ca="1" si="34"/>
        <v>160.48939233770088</v>
      </c>
      <c r="M137">
        <f t="shared" ca="1" si="35"/>
        <v>149.10460766229912</v>
      </c>
      <c r="N137">
        <f t="shared" ca="1" si="45"/>
        <v>0.99000000000000909</v>
      </c>
      <c r="O137">
        <f t="shared" ca="1" si="46"/>
        <v>0.99000000000000909</v>
      </c>
      <c r="P137">
        <f t="shared" ca="1" si="47"/>
        <v>0</v>
      </c>
      <c r="Q137">
        <f t="shared" ca="1" si="30"/>
        <v>0.56770261944408928</v>
      </c>
      <c r="R137">
        <f t="shared" ca="1" si="31"/>
        <v>0.50833553140330801</v>
      </c>
      <c r="S137">
        <f t="shared" ca="1" si="28"/>
        <v>1.1167872091822755</v>
      </c>
      <c r="T137">
        <f t="shared" ca="1" si="29"/>
        <v>52.758595872926477</v>
      </c>
      <c r="U137">
        <f>70</f>
        <v>70</v>
      </c>
      <c r="V137">
        <f>30</f>
        <v>30</v>
      </c>
      <c r="W137">
        <f t="shared" ca="1" si="27"/>
        <v>156.49277595156968</v>
      </c>
      <c r="X137">
        <f t="shared" ca="1" si="37"/>
        <v>156.16904379521304</v>
      </c>
      <c r="Y137">
        <f t="shared" ca="1" si="36"/>
        <v>0.23252200618787811</v>
      </c>
      <c r="Z137">
        <f t="shared" ca="1" si="38"/>
        <v>7.756036366097889E-3</v>
      </c>
      <c r="AA137">
        <f t="shared" ca="1" si="39"/>
        <v>0.22476596982178021</v>
      </c>
      <c r="AB137">
        <f t="shared" ca="1" si="40"/>
        <v>160.041</v>
      </c>
    </row>
    <row r="138" spans="1:28" x14ac:dyDescent="0.25">
      <c r="A138" s="20">
        <f t="shared" ca="1" si="41"/>
        <v>45894</v>
      </c>
      <c r="B138" vm="406">
        <f ca="1"/>
        <v>45897</v>
      </c>
      <c r="C138" vm="407">
        <f ca="1"/>
        <v>155.65</v>
      </c>
      <c r="D138" vm="408">
        <f ca="1"/>
        <v>5857727</v>
      </c>
      <c r="E138">
        <f t="shared" ca="1" si="42"/>
        <v>911755207.55000007</v>
      </c>
      <c r="F138">
        <f ca="1">SUM($E$2:E138)/SUM($D$2:D138)</f>
        <v>162.62246285532578</v>
      </c>
      <c r="G138">
        <f ca="1">_xlfn.STDEV.P($C$2:C138)</f>
        <v>6.1873226250064919</v>
      </c>
      <c r="H138">
        <f t="shared" ca="1" si="43"/>
        <v>168.80978548033227</v>
      </c>
      <c r="I138">
        <f t="shared" ca="1" si="44"/>
        <v>156.43514023031929</v>
      </c>
      <c r="J138">
        <f t="shared" ca="1" si="32"/>
        <v>155.05600000000001</v>
      </c>
      <c r="K138">
        <f t="shared" ca="1" si="33"/>
        <v>2.6614092032921981</v>
      </c>
      <c r="L138">
        <f t="shared" ca="1" si="34"/>
        <v>160.3788184065844</v>
      </c>
      <c r="M138">
        <f t="shared" ca="1" si="35"/>
        <v>149.73318159341562</v>
      </c>
      <c r="N138">
        <f t="shared" ca="1" si="45"/>
        <v>-1.3100000000000023</v>
      </c>
      <c r="O138">
        <f t="shared" ca="1" si="46"/>
        <v>0</v>
      </c>
      <c r="P138">
        <f t="shared" ca="1" si="47"/>
        <v>1.3100000000000023</v>
      </c>
      <c r="Q138">
        <f t="shared" ca="1" si="30"/>
        <v>0.52715243234094011</v>
      </c>
      <c r="R138">
        <f t="shared" ca="1" si="31"/>
        <v>0.56559727916021474</v>
      </c>
      <c r="S138">
        <f t="shared" ca="1" si="28"/>
        <v>0.93202787878266213</v>
      </c>
      <c r="T138">
        <f t="shared" ca="1" si="29"/>
        <v>48.240912515709503</v>
      </c>
      <c r="U138">
        <f>70</f>
        <v>70</v>
      </c>
      <c r="V138">
        <f>30</f>
        <v>30</v>
      </c>
      <c r="W138">
        <f t="shared" ca="1" si="27"/>
        <v>156.36311811286663</v>
      </c>
      <c r="X138">
        <f t="shared" ca="1" si="37"/>
        <v>156.13059610667875</v>
      </c>
      <c r="Y138">
        <f t="shared" ca="1" si="36"/>
        <v>0.26929442977433382</v>
      </c>
      <c r="Z138">
        <f t="shared" ca="1" si="38"/>
        <v>6.0063715047745075E-2</v>
      </c>
      <c r="AA138">
        <f t="shared" ca="1" si="39"/>
        <v>0.20923071472658875</v>
      </c>
      <c r="AB138">
        <f t="shared" ca="1" si="40"/>
        <v>159.96</v>
      </c>
    </row>
    <row r="139" spans="1:28" x14ac:dyDescent="0.25">
      <c r="A139" s="20">
        <f t="shared" ca="1" si="41"/>
        <v>45894</v>
      </c>
      <c r="B139" vm="409">
        <f ca="1"/>
        <v>45898</v>
      </c>
      <c r="C139" vm="410">
        <f ca="1"/>
        <v>157.04</v>
      </c>
      <c r="D139" vm="411">
        <f ca="1"/>
        <v>5318179</v>
      </c>
      <c r="E139">
        <f t="shared" ca="1" si="42"/>
        <v>835166830.15999997</v>
      </c>
      <c r="F139">
        <f ca="1">SUM($E$2:E139)/SUM($D$2:D139)</f>
        <v>162.59636403127124</v>
      </c>
      <c r="G139">
        <f ca="1">_xlfn.STDEV.P($C$2:C139)</f>
        <v>6.1828730625752391</v>
      </c>
      <c r="H139">
        <f t="shared" ca="1" si="43"/>
        <v>168.77923709384646</v>
      </c>
      <c r="I139">
        <f t="shared" ca="1" si="44"/>
        <v>156.41349096869601</v>
      </c>
      <c r="J139">
        <f t="shared" ca="1" si="32"/>
        <v>155.37550000000002</v>
      </c>
      <c r="K139">
        <f t="shared" ca="1" si="33"/>
        <v>2.4821541472129223</v>
      </c>
      <c r="L139">
        <f t="shared" ca="1" si="34"/>
        <v>160.33980829442586</v>
      </c>
      <c r="M139">
        <f t="shared" ca="1" si="35"/>
        <v>150.41119170557417</v>
      </c>
      <c r="N139">
        <f t="shared" ca="1" si="45"/>
        <v>1.3899999999999864</v>
      </c>
      <c r="O139">
        <f t="shared" ca="1" si="46"/>
        <v>1.3899999999999864</v>
      </c>
      <c r="P139">
        <f t="shared" ca="1" si="47"/>
        <v>0</v>
      </c>
      <c r="Q139">
        <f t="shared" ca="1" si="30"/>
        <v>0.58878440145944333</v>
      </c>
      <c r="R139">
        <f t="shared" ca="1" si="31"/>
        <v>0.52519747350591373</v>
      </c>
      <c r="S139">
        <f t="shared" ca="1" si="28"/>
        <v>1.1210724178261182</v>
      </c>
      <c r="T139">
        <f t="shared" ca="1" si="29"/>
        <v>52.854037816167661</v>
      </c>
      <c r="U139">
        <f>70</f>
        <v>70</v>
      </c>
      <c r="V139">
        <f>30</f>
        <v>30</v>
      </c>
      <c r="W139">
        <f t="shared" ca="1" si="27"/>
        <v>156.46725378781022</v>
      </c>
      <c r="X139">
        <f t="shared" ca="1" si="37"/>
        <v>156.19795935803589</v>
      </c>
      <c r="Y139">
        <f t="shared" ca="1" si="36"/>
        <v>0.37081932654692196</v>
      </c>
      <c r="Z139">
        <f t="shared" ca="1" si="38"/>
        <v>0.12221483734758046</v>
      </c>
      <c r="AA139">
        <f t="shared" ca="1" si="39"/>
        <v>0.2486044891993415</v>
      </c>
      <c r="AB139">
        <f t="shared" ca="1" si="40"/>
        <v>159.9281</v>
      </c>
    </row>
    <row r="140" spans="1:28" x14ac:dyDescent="0.25">
      <c r="A140" s="20">
        <f t="shared" ca="1" si="41"/>
        <v>45901</v>
      </c>
      <c r="B140" vm="412">
        <f ca="1"/>
        <v>45902</v>
      </c>
      <c r="C140" vm="413">
        <f ca="1"/>
        <v>157.99</v>
      </c>
      <c r="D140" vm="414">
        <f ca="1"/>
        <v>6432837</v>
      </c>
      <c r="E140">
        <f t="shared" ca="1" si="42"/>
        <v>1016323917.6300001</v>
      </c>
      <c r="F140">
        <f ca="1">SUM($E$2:E140)/SUM($D$2:D140)</f>
        <v>162.57046139773712</v>
      </c>
      <c r="G140">
        <f ca="1">_xlfn.STDEV.P($C$2:C140)</f>
        <v>6.1726846128272506</v>
      </c>
      <c r="H140">
        <f t="shared" ca="1" si="43"/>
        <v>168.74314601056437</v>
      </c>
      <c r="I140">
        <f t="shared" ca="1" si="44"/>
        <v>156.39777678490987</v>
      </c>
      <c r="J140">
        <f t="shared" ca="1" si="32"/>
        <v>155.73700000000002</v>
      </c>
      <c r="K140">
        <f t="shared" ca="1" si="33"/>
        <v>2.2939258465507719</v>
      </c>
      <c r="L140">
        <f t="shared" ca="1" si="34"/>
        <v>160.32485169310158</v>
      </c>
      <c r="M140">
        <f t="shared" ca="1" si="35"/>
        <v>151.14914830689847</v>
      </c>
      <c r="N140">
        <f t="shared" ca="1" si="45"/>
        <v>0.95000000000001705</v>
      </c>
      <c r="O140">
        <f t="shared" ca="1" si="46"/>
        <v>0.95000000000001705</v>
      </c>
      <c r="P140">
        <f t="shared" ca="1" si="47"/>
        <v>0</v>
      </c>
      <c r="Q140">
        <f t="shared" ca="1" si="30"/>
        <v>0.6145855156409129</v>
      </c>
      <c r="R140">
        <f t="shared" ca="1" si="31"/>
        <v>0.48768336825549136</v>
      </c>
      <c r="S140">
        <f t="shared" ca="1" si="28"/>
        <v>1.2602142202211395</v>
      </c>
      <c r="T140">
        <f t="shared" ca="1" si="29"/>
        <v>55.756406138257113</v>
      </c>
      <c r="U140">
        <f>70</f>
        <v>70</v>
      </c>
      <c r="V140">
        <f>30</f>
        <v>30</v>
      </c>
      <c r="W140">
        <f t="shared" ca="1" si="27"/>
        <v>156.70152243583942</v>
      </c>
      <c r="X140">
        <f t="shared" ca="1" si="37"/>
        <v>156.3307031092925</v>
      </c>
      <c r="Y140">
        <f t="shared" ca="1" si="36"/>
        <v>0.46049473767590143</v>
      </c>
      <c r="Z140">
        <f t="shared" ca="1" si="38"/>
        <v>0.18987081741324466</v>
      </c>
      <c r="AA140">
        <f t="shared" ca="1" si="39"/>
        <v>0.2706239202626568</v>
      </c>
      <c r="AB140">
        <f t="shared" ca="1" si="40"/>
        <v>159.92410000000001</v>
      </c>
    </row>
    <row r="141" spans="1:28" x14ac:dyDescent="0.25">
      <c r="A141" s="20">
        <f t="shared" ca="1" si="41"/>
        <v>45901</v>
      </c>
      <c r="B141" vm="415">
        <f ca="1"/>
        <v>45903</v>
      </c>
      <c r="C141" vm="416">
        <f ca="1"/>
        <v>158.16999999999999</v>
      </c>
      <c r="D141" vm="417">
        <f ca="1"/>
        <v>6592451</v>
      </c>
      <c r="E141">
        <f t="shared" ca="1" si="42"/>
        <v>1042727974.67</v>
      </c>
      <c r="F141">
        <f ca="1">SUM($E$2:E141)/SUM($D$2:D141)</f>
        <v>162.54524792331563</v>
      </c>
      <c r="G141">
        <f ca="1">_xlfn.STDEV.P($C$2:C141)</f>
        <v>6.1615324305611772</v>
      </c>
      <c r="H141">
        <f t="shared" ca="1" si="43"/>
        <v>168.70678035387681</v>
      </c>
      <c r="I141">
        <f t="shared" ca="1" si="44"/>
        <v>156.38371549275445</v>
      </c>
      <c r="J141">
        <f t="shared" ca="1" si="32"/>
        <v>156.12000000000003</v>
      </c>
      <c r="K141">
        <f t="shared" ca="1" si="33"/>
        <v>1.9953102911313618</v>
      </c>
      <c r="L141">
        <f t="shared" ca="1" si="34"/>
        <v>160.11062058226275</v>
      </c>
      <c r="M141">
        <f t="shared" ca="1" si="35"/>
        <v>152.12937941773731</v>
      </c>
      <c r="N141">
        <f t="shared" ca="1" si="45"/>
        <v>0.1799999999999784</v>
      </c>
      <c r="O141">
        <f t="shared" ca="1" si="46"/>
        <v>0.1799999999999784</v>
      </c>
      <c r="P141">
        <f t="shared" ca="1" si="47"/>
        <v>0</v>
      </c>
      <c r="Q141">
        <f t="shared" ca="1" si="30"/>
        <v>0.58354369309513188</v>
      </c>
      <c r="R141">
        <f t="shared" ca="1" si="31"/>
        <v>0.45284884195152769</v>
      </c>
      <c r="S141">
        <f t="shared" ca="1" si="28"/>
        <v>1.2886059078353425</v>
      </c>
      <c r="T141">
        <f t="shared" ca="1" si="29"/>
        <v>56.305277523912316</v>
      </c>
      <c r="U141">
        <f>70</f>
        <v>70</v>
      </c>
      <c r="V141">
        <f>30</f>
        <v>30</v>
      </c>
      <c r="W141">
        <f t="shared" ca="1" si="27"/>
        <v>156.92744206109489</v>
      </c>
      <c r="X141">
        <f t="shared" ca="1" si="37"/>
        <v>156.46694732341899</v>
      </c>
      <c r="Y141">
        <f t="shared" ca="1" si="36"/>
        <v>0.60687296875789798</v>
      </c>
      <c r="Z141">
        <f t="shared" ca="1" si="38"/>
        <v>0.27327124768217537</v>
      </c>
      <c r="AA141">
        <f t="shared" ca="1" si="39"/>
        <v>0.33360172107572261</v>
      </c>
      <c r="AB141">
        <f t="shared" ca="1" si="40"/>
        <v>159.8826</v>
      </c>
    </row>
    <row r="142" spans="1:28" x14ac:dyDescent="0.25">
      <c r="A142" s="20">
        <f t="shared" ca="1" si="41"/>
        <v>45901</v>
      </c>
      <c r="B142" vm="418">
        <f ca="1"/>
        <v>45904</v>
      </c>
      <c r="C142" vm="419">
        <f ca="1"/>
        <v>159.19</v>
      </c>
      <c r="D142" vm="420">
        <f ca="1"/>
        <v>6935245</v>
      </c>
      <c r="E142">
        <f t="shared" ca="1" si="42"/>
        <v>1104021651.55</v>
      </c>
      <c r="F142">
        <f ca="1">SUM($E$2:E142)/SUM($D$2:D142)</f>
        <v>162.52514477538372</v>
      </c>
      <c r="G142">
        <f ca="1">_xlfn.STDEV.P($C$2:C142)</f>
        <v>6.1459069603741314</v>
      </c>
      <c r="H142">
        <f t="shared" ca="1" si="43"/>
        <v>168.67105173575786</v>
      </c>
      <c r="I142">
        <f t="shared" ca="1" si="44"/>
        <v>156.37923781500959</v>
      </c>
      <c r="J142">
        <f t="shared" ca="1" si="32"/>
        <v>156.4365</v>
      </c>
      <c r="K142">
        <f t="shared" ca="1" si="33"/>
        <v>1.9525672035068378</v>
      </c>
      <c r="L142">
        <f t="shared" ca="1" si="34"/>
        <v>160.34163440701366</v>
      </c>
      <c r="M142">
        <f t="shared" ca="1" si="35"/>
        <v>152.53136559298633</v>
      </c>
      <c r="N142">
        <f t="shared" ca="1" si="45"/>
        <v>1.0200000000000102</v>
      </c>
      <c r="O142">
        <f t="shared" ca="1" si="46"/>
        <v>1.0200000000000102</v>
      </c>
      <c r="P142">
        <f t="shared" ca="1" si="47"/>
        <v>0</v>
      </c>
      <c r="Q142">
        <f t="shared" ca="1" si="30"/>
        <v>0.61471914358833757</v>
      </c>
      <c r="R142">
        <f t="shared" ca="1" si="31"/>
        <v>0.42050249609784712</v>
      </c>
      <c r="S142">
        <f t="shared" ca="1" si="28"/>
        <v>1.4618680014810137</v>
      </c>
      <c r="T142">
        <f t="shared" ca="1" si="29"/>
        <v>59.380437968306232</v>
      </c>
      <c r="U142">
        <f>70</f>
        <v>70</v>
      </c>
      <c r="V142">
        <f>30</f>
        <v>30</v>
      </c>
      <c r="W142">
        <f t="shared" ca="1" si="27"/>
        <v>157.27552789784954</v>
      </c>
      <c r="X142">
        <f t="shared" ca="1" si="37"/>
        <v>156.66865492909164</v>
      </c>
      <c r="Y142">
        <f t="shared" ca="1" si="36"/>
        <v>0.78085166298154718</v>
      </c>
      <c r="Z142">
        <f t="shared" ca="1" si="38"/>
        <v>0.37478733074204973</v>
      </c>
      <c r="AA142">
        <f t="shared" ca="1" si="39"/>
        <v>0.40606433223949745</v>
      </c>
      <c r="AB142">
        <f t="shared" ca="1" si="40"/>
        <v>159.8389</v>
      </c>
    </row>
    <row r="143" spans="1:28" x14ac:dyDescent="0.25">
      <c r="A143" s="20">
        <f t="shared" ca="1" si="41"/>
        <v>45901</v>
      </c>
      <c r="B143" vm="421">
        <f ca="1"/>
        <v>45905</v>
      </c>
      <c r="C143" vm="422">
        <f ca="1"/>
        <v>160.02000000000001</v>
      </c>
      <c r="D143" vm="423">
        <f ca="1"/>
        <v>6436150</v>
      </c>
      <c r="E143">
        <f t="shared" ca="1" si="42"/>
        <v>1029912723.0000001</v>
      </c>
      <c r="F143">
        <f ca="1">SUM($E$2:E143)/SUM($D$2:D143)</f>
        <v>162.51129226510375</v>
      </c>
      <c r="G143">
        <f ca="1">_xlfn.STDEV.P($C$2:C143)</f>
        <v>6.1276598384873706</v>
      </c>
      <c r="H143">
        <f t="shared" ca="1" si="43"/>
        <v>168.63895210359112</v>
      </c>
      <c r="I143">
        <f t="shared" ca="1" si="44"/>
        <v>156.38363242661637</v>
      </c>
      <c r="J143">
        <f t="shared" ca="1" si="32"/>
        <v>156.76300000000001</v>
      </c>
      <c r="K143">
        <f t="shared" ca="1" si="33"/>
        <v>1.9797051880466801</v>
      </c>
      <c r="L143">
        <f t="shared" ca="1" si="34"/>
        <v>160.72241037609336</v>
      </c>
      <c r="M143">
        <f t="shared" ca="1" si="35"/>
        <v>152.80358962390665</v>
      </c>
      <c r="N143">
        <f t="shared" ca="1" si="45"/>
        <v>0.83000000000001251</v>
      </c>
      <c r="O143">
        <f t="shared" ca="1" si="46"/>
        <v>0.83000000000001251</v>
      </c>
      <c r="P143">
        <f t="shared" ca="1" si="47"/>
        <v>0</v>
      </c>
      <c r="Q143">
        <f t="shared" ca="1" si="30"/>
        <v>0.6300963476177428</v>
      </c>
      <c r="R143">
        <f t="shared" ca="1" si="31"/>
        <v>0.39046660351942947</v>
      </c>
      <c r="S143">
        <f t="shared" ca="1" si="28"/>
        <v>1.6137009975717154</v>
      </c>
      <c r="T143">
        <f t="shared" ca="1" si="29"/>
        <v>61.740076583776805</v>
      </c>
      <c r="U143">
        <f>70</f>
        <v>70</v>
      </c>
      <c r="V143">
        <f>30</f>
        <v>30</v>
      </c>
      <c r="W143">
        <f t="shared" ref="W143:W206" ca="1" si="48">C143*(2/(12+1)) + W142*(1-(2/(12+1)))</f>
        <v>157.69775437510344</v>
      </c>
      <c r="X143">
        <f t="shared" ca="1" si="37"/>
        <v>156.9169027121219</v>
      </c>
      <c r="Y143">
        <f t="shared" ca="1" si="36"/>
        <v>0.82769136172677804</v>
      </c>
      <c r="Z143">
        <f t="shared" ca="1" si="38"/>
        <v>0.46536813693899542</v>
      </c>
      <c r="AA143">
        <f t="shared" ca="1" si="39"/>
        <v>0.36232322478778262</v>
      </c>
      <c r="AB143">
        <f t="shared" ca="1" si="40"/>
        <v>159.77000000000001</v>
      </c>
    </row>
    <row r="144" spans="1:28" x14ac:dyDescent="0.25">
      <c r="A144" s="20">
        <f t="shared" ca="1" si="41"/>
        <v>45908</v>
      </c>
      <c r="B144" vm="424">
        <f ca="1"/>
        <v>45908</v>
      </c>
      <c r="C144" vm="425">
        <f ca="1"/>
        <v>159.01</v>
      </c>
      <c r="D144" vm="426">
        <f ca="1"/>
        <v>7178356</v>
      </c>
      <c r="E144">
        <f t="shared" ca="1" si="42"/>
        <v>1141430387.5599999</v>
      </c>
      <c r="F144">
        <f ca="1">SUM($E$2:E144)/SUM($D$2:D144)</f>
        <v>162.4898311315855</v>
      </c>
      <c r="G144">
        <f ca="1">_xlfn.STDEV.P($C$2:C144)</f>
        <v>6.1129406072382135</v>
      </c>
      <c r="H144">
        <f t="shared" ca="1" si="43"/>
        <v>168.60277173882372</v>
      </c>
      <c r="I144">
        <f t="shared" ca="1" si="44"/>
        <v>156.37689052434729</v>
      </c>
      <c r="J144">
        <f t="shared" ca="1" si="32"/>
        <v>157.03800000000001</v>
      </c>
      <c r="K144">
        <f t="shared" ca="1" si="33"/>
        <v>1.8837241948080541</v>
      </c>
      <c r="L144">
        <f t="shared" ca="1" si="34"/>
        <v>160.80544838961612</v>
      </c>
      <c r="M144">
        <f t="shared" ca="1" si="35"/>
        <v>153.2705516103839</v>
      </c>
      <c r="N144">
        <f t="shared" ca="1" si="45"/>
        <v>-1.0100000000000193</v>
      </c>
      <c r="O144">
        <f t="shared" ca="1" si="46"/>
        <v>0</v>
      </c>
      <c r="P144">
        <f t="shared" ca="1" si="47"/>
        <v>1.0100000000000193</v>
      </c>
      <c r="Q144">
        <f t="shared" ca="1" si="30"/>
        <v>0.58508946564504694</v>
      </c>
      <c r="R144">
        <f t="shared" ca="1" si="31"/>
        <v>0.43471898898232875</v>
      </c>
      <c r="S144">
        <f t="shared" ref="S144:S207" ca="1" si="49">IF(R144=0,NA(),Q144/R144)</f>
        <v>1.3459027106562182</v>
      </c>
      <c r="T144">
        <f t="shared" ref="T144:T207" ca="1" si="50">100-(100/(1+S144))</f>
        <v>57.372486273300289</v>
      </c>
      <c r="U144">
        <f>70</f>
        <v>70</v>
      </c>
      <c r="V144">
        <f>30</f>
        <v>30</v>
      </c>
      <c r="W144">
        <f t="shared" ca="1" si="48"/>
        <v>157.89963831739522</v>
      </c>
      <c r="X144">
        <f t="shared" ca="1" si="37"/>
        <v>157.07194695566844</v>
      </c>
      <c r="Y144">
        <f t="shared" ca="1" si="36"/>
        <v>0.89085418710578779</v>
      </c>
      <c r="Z144">
        <f t="shared" ca="1" si="38"/>
        <v>0.55046534697235394</v>
      </c>
      <c r="AA144">
        <f t="shared" ca="1" si="39"/>
        <v>0.34038884013343385</v>
      </c>
      <c r="AB144">
        <f t="shared" ca="1" si="40"/>
        <v>159.6688</v>
      </c>
    </row>
    <row r="145" spans="1:28" x14ac:dyDescent="0.25">
      <c r="A145" s="20">
        <f t="shared" ca="1" si="41"/>
        <v>45908</v>
      </c>
      <c r="B145" vm="427">
        <f ca="1"/>
        <v>45909</v>
      </c>
      <c r="C145" vm="428">
        <f ca="1"/>
        <v>159.46</v>
      </c>
      <c r="D145" vm="429">
        <f ca="1"/>
        <v>4984936</v>
      </c>
      <c r="E145">
        <f t="shared" ca="1" si="42"/>
        <v>794897894.56000006</v>
      </c>
      <c r="F145">
        <f ca="1">SUM($E$2:E145)/SUM($D$2:D145)</f>
        <v>162.47698913257469</v>
      </c>
      <c r="G145">
        <f ca="1">_xlfn.STDEV.P($C$2:C145)</f>
        <v>6.0966713933515235</v>
      </c>
      <c r="H145">
        <f t="shared" ca="1" si="43"/>
        <v>168.57366052592621</v>
      </c>
      <c r="I145">
        <f t="shared" ca="1" si="44"/>
        <v>156.38031773922316</v>
      </c>
      <c r="J145">
        <f t="shared" ca="1" si="32"/>
        <v>157.26200000000003</v>
      </c>
      <c r="K145">
        <f t="shared" ca="1" si="33"/>
        <v>1.8924659490783555</v>
      </c>
      <c r="L145">
        <f t="shared" ca="1" si="34"/>
        <v>161.04693189815674</v>
      </c>
      <c r="M145">
        <f t="shared" ca="1" si="35"/>
        <v>153.47706810184332</v>
      </c>
      <c r="N145">
        <f t="shared" ca="1" si="45"/>
        <v>0.45000000000001705</v>
      </c>
      <c r="O145">
        <f t="shared" ca="1" si="46"/>
        <v>0.45000000000001705</v>
      </c>
      <c r="P145">
        <f t="shared" ca="1" si="47"/>
        <v>0</v>
      </c>
      <c r="Q145">
        <f t="shared" ref="Q145:Q208" ca="1" si="51">(Q144*13+O145)/14</f>
        <v>0.57544021809897339</v>
      </c>
      <c r="R145">
        <f t="shared" ref="R145:R208" ca="1" si="52">(R144*13+P145)/14</f>
        <v>0.40366763262644811</v>
      </c>
      <c r="S145">
        <f t="shared" ca="1" si="49"/>
        <v>1.4255297467247832</v>
      </c>
      <c r="T145">
        <f t="shared" ca="1" si="50"/>
        <v>58.771892970996959</v>
      </c>
      <c r="U145">
        <f>70</f>
        <v>70</v>
      </c>
      <c r="V145">
        <f>30</f>
        <v>30</v>
      </c>
      <c r="W145">
        <f t="shared" ca="1" si="48"/>
        <v>158.13969396087288</v>
      </c>
      <c r="X145">
        <f t="shared" ca="1" si="37"/>
        <v>157.24883977376709</v>
      </c>
      <c r="Y145">
        <f t="shared" ca="1" si="36"/>
        <v>0.76186945841860165</v>
      </c>
      <c r="Z145">
        <f t="shared" ca="1" si="38"/>
        <v>0.59274616926160351</v>
      </c>
      <c r="AA145">
        <f t="shared" ca="1" si="39"/>
        <v>0.16912328915699815</v>
      </c>
      <c r="AB145">
        <f t="shared" ca="1" si="40"/>
        <v>159.5787</v>
      </c>
    </row>
    <row r="146" spans="1:28" x14ac:dyDescent="0.25">
      <c r="A146" s="20">
        <f t="shared" ca="1" si="41"/>
        <v>45908</v>
      </c>
      <c r="B146" vm="430">
        <f ca="1"/>
        <v>45910</v>
      </c>
      <c r="C146" vm="431">
        <f ca="1"/>
        <v>157.35</v>
      </c>
      <c r="D146" vm="432">
        <f ca="1"/>
        <v>6205463</v>
      </c>
      <c r="E146">
        <f t="shared" ca="1" si="42"/>
        <v>976429603.04999995</v>
      </c>
      <c r="F146">
        <f ca="1">SUM($E$2:E146)/SUM($D$2:D146)</f>
        <v>162.45007962388695</v>
      </c>
      <c r="G146">
        <f ca="1">_xlfn.STDEV.P($C$2:C146)</f>
        <v>6.0900266805879832</v>
      </c>
      <c r="H146">
        <f t="shared" ca="1" si="43"/>
        <v>168.54010630447493</v>
      </c>
      <c r="I146">
        <f t="shared" ca="1" si="44"/>
        <v>156.36005294329897</v>
      </c>
      <c r="J146">
        <f t="shared" ca="1" si="32"/>
        <v>157.37500000000003</v>
      </c>
      <c r="K146">
        <f t="shared" ca="1" si="33"/>
        <v>1.8221141566872228</v>
      </c>
      <c r="L146">
        <f t="shared" ca="1" si="34"/>
        <v>161.01922831337447</v>
      </c>
      <c r="M146">
        <f t="shared" ca="1" si="35"/>
        <v>153.73077168662559</v>
      </c>
      <c r="N146">
        <f t="shared" ca="1" si="45"/>
        <v>-2.1100000000000136</v>
      </c>
      <c r="O146">
        <f t="shared" ca="1" si="46"/>
        <v>0</v>
      </c>
      <c r="P146">
        <f t="shared" ca="1" si="47"/>
        <v>2.1100000000000136</v>
      </c>
      <c r="Q146">
        <f t="shared" ca="1" si="51"/>
        <v>0.53433734537761812</v>
      </c>
      <c r="R146">
        <f t="shared" ca="1" si="52"/>
        <v>0.52554851601027419</v>
      </c>
      <c r="S146">
        <f t="shared" ca="1" si="49"/>
        <v>1.0167231551409655</v>
      </c>
      <c r="T146">
        <f t="shared" ca="1" si="50"/>
        <v>50.414612067559581</v>
      </c>
      <c r="U146">
        <f>70</f>
        <v>70</v>
      </c>
      <c r="V146">
        <f>30</f>
        <v>30</v>
      </c>
      <c r="W146">
        <f t="shared" ca="1" si="48"/>
        <v>158.01820258227704</v>
      </c>
      <c r="X146">
        <f t="shared" ca="1" si="37"/>
        <v>157.25633312385844</v>
      </c>
      <c r="Y146">
        <f t="shared" ca="1" si="36"/>
        <v>0.75423903613187804</v>
      </c>
      <c r="Z146">
        <f t="shared" ca="1" si="38"/>
        <v>0.62504474263565846</v>
      </c>
      <c r="AA146">
        <f t="shared" ca="1" si="39"/>
        <v>0.12919429349621958</v>
      </c>
      <c r="AB146">
        <f t="shared" ca="1" si="40"/>
        <v>159.48830000000001</v>
      </c>
    </row>
    <row r="147" spans="1:28" x14ac:dyDescent="0.25">
      <c r="A147" s="20">
        <f t="shared" ca="1" si="41"/>
        <v>45908</v>
      </c>
      <c r="B147" vm="433">
        <f ca="1"/>
        <v>45911</v>
      </c>
      <c r="C147" vm="276">
        <f ca="1"/>
        <v>158.63</v>
      </c>
      <c r="D147" vm="434">
        <f ca="1"/>
        <v>5819875</v>
      </c>
      <c r="E147">
        <f t="shared" ca="1" si="42"/>
        <v>923206771.25</v>
      </c>
      <c r="F147">
        <f ca="1">SUM($E$2:E147)/SUM($D$2:D147)</f>
        <v>162.43136751666577</v>
      </c>
      <c r="G147">
        <f ca="1">_xlfn.STDEV.P($C$2:C147)</f>
        <v>6.0769899871871029</v>
      </c>
      <c r="H147">
        <f t="shared" ca="1" si="43"/>
        <v>168.50835750385286</v>
      </c>
      <c r="I147">
        <f t="shared" ca="1" si="44"/>
        <v>156.35437752947868</v>
      </c>
      <c r="J147">
        <f t="shared" ca="1" si="32"/>
        <v>157.53600000000003</v>
      </c>
      <c r="K147">
        <f t="shared" ca="1" si="33"/>
        <v>1.7811480626417953</v>
      </c>
      <c r="L147">
        <f t="shared" ca="1" si="34"/>
        <v>161.09829612528361</v>
      </c>
      <c r="M147">
        <f t="shared" ca="1" si="35"/>
        <v>153.97370387471645</v>
      </c>
      <c r="N147">
        <f t="shared" ca="1" si="45"/>
        <v>1.2800000000000011</v>
      </c>
      <c r="O147">
        <f t="shared" ca="1" si="46"/>
        <v>1.2800000000000011</v>
      </c>
      <c r="P147">
        <f t="shared" ca="1" si="47"/>
        <v>0</v>
      </c>
      <c r="Q147">
        <f t="shared" ca="1" si="51"/>
        <v>0.58759896356493113</v>
      </c>
      <c r="R147">
        <f t="shared" ca="1" si="52"/>
        <v>0.48800933629525461</v>
      </c>
      <c r="S147">
        <f t="shared" ca="1" si="49"/>
        <v>1.2040732007828288</v>
      </c>
      <c r="T147">
        <f t="shared" ca="1" si="50"/>
        <v>54.629456061403666</v>
      </c>
      <c r="U147">
        <f>70</f>
        <v>70</v>
      </c>
      <c r="V147">
        <f>30</f>
        <v>30</v>
      </c>
      <c r="W147">
        <f t="shared" ca="1" si="48"/>
        <v>158.11232526192674</v>
      </c>
      <c r="X147">
        <f t="shared" ca="1" si="37"/>
        <v>157.35808622579486</v>
      </c>
      <c r="Y147">
        <f t="shared" ca="1" si="36"/>
        <v>0.68143185016785424</v>
      </c>
      <c r="Z147">
        <f t="shared" ca="1" si="38"/>
        <v>0.63632216414209775</v>
      </c>
      <c r="AA147">
        <f t="shared" ca="1" si="39"/>
        <v>4.510968602575649E-2</v>
      </c>
      <c r="AB147">
        <f t="shared" ca="1" si="40"/>
        <v>159.3683</v>
      </c>
    </row>
    <row r="148" spans="1:28" x14ac:dyDescent="0.25">
      <c r="A148" s="20">
        <f t="shared" ca="1" si="41"/>
        <v>45908</v>
      </c>
      <c r="B148" vm="435">
        <f ca="1"/>
        <v>45912</v>
      </c>
      <c r="C148" vm="436">
        <f ca="1"/>
        <v>157.9</v>
      </c>
      <c r="D148" vm="437">
        <f ca="1"/>
        <v>5957021</v>
      </c>
      <c r="E148">
        <f t="shared" ca="1" si="42"/>
        <v>940613615.89999998</v>
      </c>
      <c r="F148">
        <f ca="1">SUM($E$2:E148)/SUM($D$2:D148)</f>
        <v>162.40876155304173</v>
      </c>
      <c r="G148">
        <f ca="1">_xlfn.STDEV.P($C$2:C148)</f>
        <v>6.0673181703438077</v>
      </c>
      <c r="H148">
        <f t="shared" ca="1" si="43"/>
        <v>168.47607972338554</v>
      </c>
      <c r="I148">
        <f t="shared" ca="1" si="44"/>
        <v>156.34144338269792</v>
      </c>
      <c r="J148">
        <f t="shared" ca="1" si="32"/>
        <v>157.744</v>
      </c>
      <c r="K148">
        <f t="shared" ca="1" si="33"/>
        <v>1.5412722017865603</v>
      </c>
      <c r="L148">
        <f t="shared" ca="1" si="34"/>
        <v>160.82654440357311</v>
      </c>
      <c r="M148">
        <f t="shared" ca="1" si="35"/>
        <v>154.66145559642689</v>
      </c>
      <c r="N148">
        <f t="shared" ca="1" si="45"/>
        <v>-0.72999999999998977</v>
      </c>
      <c r="O148">
        <f t="shared" ca="1" si="46"/>
        <v>0</v>
      </c>
      <c r="P148">
        <f t="shared" ca="1" si="47"/>
        <v>0.72999999999998977</v>
      </c>
      <c r="Q148">
        <f t="shared" ca="1" si="51"/>
        <v>0.54562760902457896</v>
      </c>
      <c r="R148">
        <f t="shared" ca="1" si="52"/>
        <v>0.50529438370273572</v>
      </c>
      <c r="S148">
        <f t="shared" ca="1" si="49"/>
        <v>1.0798212420773139</v>
      </c>
      <c r="T148">
        <f t="shared" ca="1" si="50"/>
        <v>51.918944774253497</v>
      </c>
      <c r="U148">
        <f>70</f>
        <v>70</v>
      </c>
      <c r="V148">
        <f>30</f>
        <v>30</v>
      </c>
      <c r="W148">
        <f t="shared" ca="1" si="48"/>
        <v>158.07965983701493</v>
      </c>
      <c r="X148">
        <f t="shared" ca="1" si="37"/>
        <v>157.39822798684708</v>
      </c>
      <c r="Y148">
        <f t="shared" ca="1" si="36"/>
        <v>0.53126745261576502</v>
      </c>
      <c r="Z148">
        <f t="shared" ca="1" si="38"/>
        <v>0.61531122183683129</v>
      </c>
      <c r="AA148">
        <f t="shared" ca="1" si="39"/>
        <v>-8.4043769221066267E-2</v>
      </c>
      <c r="AB148">
        <f t="shared" ca="1" si="40"/>
        <v>159.28979999999999</v>
      </c>
    </row>
    <row r="149" spans="1:28" x14ac:dyDescent="0.25">
      <c r="A149" s="20">
        <f t="shared" ca="1" si="41"/>
        <v>45915</v>
      </c>
      <c r="B149" vm="438">
        <f ca="1"/>
        <v>45915</v>
      </c>
      <c r="C149" vm="439">
        <f ca="1"/>
        <v>156.83000000000001</v>
      </c>
      <c r="D149" vm="440">
        <f ca="1"/>
        <v>5994966</v>
      </c>
      <c r="E149">
        <f t="shared" ca="1" si="42"/>
        <v>940190517.78000009</v>
      </c>
      <c r="F149">
        <f ca="1">SUM($E$2:E149)/SUM($D$2:D149)</f>
        <v>162.38089301493201</v>
      </c>
      <c r="G149">
        <f ca="1">_xlfn.STDEV.P($C$2:C149)</f>
        <v>6.0634838059976115</v>
      </c>
      <c r="H149">
        <f t="shared" ca="1" si="43"/>
        <v>168.44437682092962</v>
      </c>
      <c r="I149">
        <f t="shared" ca="1" si="44"/>
        <v>156.31740920893441</v>
      </c>
      <c r="J149">
        <f t="shared" ca="1" si="32"/>
        <v>157.86750000000001</v>
      </c>
      <c r="K149">
        <f t="shared" ca="1" si="33"/>
        <v>1.3419109508458431</v>
      </c>
      <c r="L149">
        <f t="shared" ca="1" si="34"/>
        <v>160.55132190169169</v>
      </c>
      <c r="M149">
        <f t="shared" ca="1" si="35"/>
        <v>155.18367809830832</v>
      </c>
      <c r="N149">
        <f t="shared" ca="1" si="45"/>
        <v>-1.0699999999999932</v>
      </c>
      <c r="O149">
        <f t="shared" ca="1" si="46"/>
        <v>0</v>
      </c>
      <c r="P149">
        <f t="shared" ca="1" si="47"/>
        <v>1.0699999999999932</v>
      </c>
      <c r="Q149">
        <f t="shared" ca="1" si="51"/>
        <v>0.50665420837996622</v>
      </c>
      <c r="R149">
        <f t="shared" ca="1" si="52"/>
        <v>0.54563049915253981</v>
      </c>
      <c r="S149">
        <f t="shared" ca="1" si="49"/>
        <v>0.92856651005926061</v>
      </c>
      <c r="T149">
        <f t="shared" ca="1" si="50"/>
        <v>48.148015907977566</v>
      </c>
      <c r="U149">
        <f>70</f>
        <v>70</v>
      </c>
      <c r="V149">
        <f>30</f>
        <v>30</v>
      </c>
      <c r="W149">
        <f t="shared" ca="1" si="48"/>
        <v>157.88740447747418</v>
      </c>
      <c r="X149">
        <f t="shared" ca="1" si="37"/>
        <v>157.35613702485841</v>
      </c>
      <c r="Y149">
        <f t="shared" ca="1" si="36"/>
        <v>0.50488489097108413</v>
      </c>
      <c r="Z149">
        <f t="shared" ca="1" si="38"/>
        <v>0.59322595566368186</v>
      </c>
      <c r="AA149">
        <f t="shared" ca="1" si="39"/>
        <v>-8.8341064692597726E-2</v>
      </c>
      <c r="AB149">
        <f t="shared" ca="1" si="40"/>
        <v>159.17929999999998</v>
      </c>
    </row>
    <row r="150" spans="1:28" x14ac:dyDescent="0.25">
      <c r="A150" s="20">
        <f t="shared" ca="1" si="41"/>
        <v>45915</v>
      </c>
      <c r="B150" vm="441">
        <f ca="1"/>
        <v>45916</v>
      </c>
      <c r="C150" vm="442">
        <f ca="1"/>
        <v>158.05000000000001</v>
      </c>
      <c r="D150" vm="443">
        <f ca="1"/>
        <v>6559608</v>
      </c>
      <c r="E150">
        <f t="shared" ca="1" si="42"/>
        <v>1036746044.4000001</v>
      </c>
      <c r="F150">
        <f ca="1">SUM($E$2:E150)/SUM($D$2:D150)</f>
        <v>162.35734915700681</v>
      </c>
      <c r="G150">
        <f ca="1">_xlfn.STDEV.P($C$2:C150)</f>
        <v>6.0529734749074322</v>
      </c>
      <c r="H150">
        <f t="shared" ca="1" si="43"/>
        <v>168.41032263191425</v>
      </c>
      <c r="I150">
        <f t="shared" ca="1" si="44"/>
        <v>156.30437568209936</v>
      </c>
      <c r="J150">
        <f t="shared" ref="J150:J213" ca="1" si="53">AVERAGE(C131:C150)</f>
        <v>157.98400000000001</v>
      </c>
      <c r="K150">
        <f t="shared" ref="K150:K213" ca="1" si="54">_xlfn.STDEV.S(C131:C150)</f>
        <v>1.2431682784004134</v>
      </c>
      <c r="L150">
        <f t="shared" ref="L150:L213" ca="1" si="55">J150 + 2*K150</f>
        <v>160.47033655680085</v>
      </c>
      <c r="M150">
        <f t="shared" ref="M150:M213" ca="1" si="56">J150-2*K150</f>
        <v>155.49766344319917</v>
      </c>
      <c r="N150">
        <f t="shared" ca="1" si="45"/>
        <v>1.2199999999999989</v>
      </c>
      <c r="O150">
        <f t="shared" ca="1" si="46"/>
        <v>1.2199999999999989</v>
      </c>
      <c r="P150">
        <f t="shared" ca="1" si="47"/>
        <v>0</v>
      </c>
      <c r="Q150">
        <f t="shared" ca="1" si="51"/>
        <v>0.55760747920996856</v>
      </c>
      <c r="R150">
        <f t="shared" ca="1" si="52"/>
        <v>0.50665689207021558</v>
      </c>
      <c r="S150">
        <f t="shared" ca="1" si="49"/>
        <v>1.1005623093994978</v>
      </c>
      <c r="T150">
        <f t="shared" ca="1" si="50"/>
        <v>52.393699747670098</v>
      </c>
      <c r="U150">
        <f>70</f>
        <v>70</v>
      </c>
      <c r="V150">
        <f>30</f>
        <v>30</v>
      </c>
      <c r="W150">
        <f t="shared" ca="1" si="48"/>
        <v>157.9124191732474</v>
      </c>
      <c r="X150">
        <f t="shared" ca="1" si="37"/>
        <v>157.40753428227632</v>
      </c>
      <c r="Y150">
        <f t="shared" ca="1" si="36"/>
        <v>0.66034146072558997</v>
      </c>
      <c r="Z150">
        <f t="shared" ca="1" si="38"/>
        <v>0.6066490566760635</v>
      </c>
      <c r="AA150">
        <f t="shared" ca="1" si="39"/>
        <v>5.3692404049526465E-2</v>
      </c>
      <c r="AB150">
        <f t="shared" ca="1" si="40"/>
        <v>159.10249999999999</v>
      </c>
    </row>
    <row r="151" spans="1:28" x14ac:dyDescent="0.25">
      <c r="A151" s="20">
        <f t="shared" ca="1" si="41"/>
        <v>45915</v>
      </c>
      <c r="B151" vm="444">
        <f ca="1"/>
        <v>45917</v>
      </c>
      <c r="C151" vm="445">
        <f ca="1"/>
        <v>160.33000000000001</v>
      </c>
      <c r="D151" vm="446">
        <f ca="1"/>
        <v>6764169</v>
      </c>
      <c r="E151">
        <f t="shared" ca="1" si="42"/>
        <v>1084499215.77</v>
      </c>
      <c r="F151">
        <f ca="1">SUM($E$2:E151)/SUM($D$2:D151)</f>
        <v>162.34604761973284</v>
      </c>
      <c r="G151">
        <f ca="1">_xlfn.STDEV.P($C$2:C151)</f>
        <v>6.0347940419610744</v>
      </c>
      <c r="H151">
        <f t="shared" ca="1" si="43"/>
        <v>168.38084166169392</v>
      </c>
      <c r="I151">
        <f t="shared" ca="1" si="44"/>
        <v>156.31125357777177</v>
      </c>
      <c r="J151">
        <f t="shared" ca="1" si="53"/>
        <v>158.08050000000003</v>
      </c>
      <c r="K151">
        <f t="shared" ca="1" si="54"/>
        <v>1.3476743125219746</v>
      </c>
      <c r="L151">
        <f t="shared" ca="1" si="55"/>
        <v>160.77584862504398</v>
      </c>
      <c r="M151">
        <f t="shared" ca="1" si="56"/>
        <v>155.38515137495608</v>
      </c>
      <c r="N151">
        <f t="shared" ca="1" si="45"/>
        <v>2.2800000000000011</v>
      </c>
      <c r="O151">
        <f t="shared" ca="1" si="46"/>
        <v>2.2800000000000011</v>
      </c>
      <c r="P151">
        <f t="shared" ca="1" si="47"/>
        <v>0</v>
      </c>
      <c r="Q151">
        <f t="shared" ca="1" si="51"/>
        <v>0.68063551640925657</v>
      </c>
      <c r="R151">
        <f t="shared" ca="1" si="52"/>
        <v>0.4704671140652002</v>
      </c>
      <c r="S151">
        <f t="shared" ca="1" si="49"/>
        <v>1.4467228336706441</v>
      </c>
      <c r="T151">
        <f t="shared" ca="1" si="50"/>
        <v>59.129003651804268</v>
      </c>
      <c r="U151">
        <f>70</f>
        <v>70</v>
      </c>
      <c r="V151">
        <f>30</f>
        <v>30</v>
      </c>
      <c r="W151">
        <f t="shared" ca="1" si="48"/>
        <v>158.28435468505552</v>
      </c>
      <c r="X151">
        <f t="shared" ca="1" si="37"/>
        <v>157.62401322432993</v>
      </c>
      <c r="Y151">
        <f t="shared" ca="1" si="36"/>
        <v>0.53449869958481599</v>
      </c>
      <c r="Z151">
        <f t="shared" ca="1" si="38"/>
        <v>0.59221898525781402</v>
      </c>
      <c r="AA151">
        <f t="shared" ca="1" si="39"/>
        <v>-5.7720285672998028E-2</v>
      </c>
      <c r="AB151">
        <f t="shared" ca="1" si="40"/>
        <v>159.11049999999997</v>
      </c>
    </row>
    <row r="152" spans="1:28" x14ac:dyDescent="0.25">
      <c r="A152" s="20">
        <f t="shared" ca="1" si="41"/>
        <v>45915</v>
      </c>
      <c r="B152" vm="447">
        <f ca="1"/>
        <v>45918</v>
      </c>
      <c r="C152" vm="448">
        <f ca="1"/>
        <v>157.32</v>
      </c>
      <c r="D152" vm="449">
        <f ca="1"/>
        <v>7651487</v>
      </c>
      <c r="E152">
        <f t="shared" ca="1" si="42"/>
        <v>1203731934.8399999</v>
      </c>
      <c r="F152">
        <f ca="1">SUM($E$2:E152)/SUM($D$2:D152)</f>
        <v>162.31455295511111</v>
      </c>
      <c r="G152">
        <f ca="1">_xlfn.STDEV.P($C$2:C152)</f>
        <v>6.028006428107286</v>
      </c>
      <c r="H152">
        <f t="shared" ca="1" si="43"/>
        <v>168.3425593832184</v>
      </c>
      <c r="I152">
        <f t="shared" ca="1" si="44"/>
        <v>156.28654652700382</v>
      </c>
      <c r="J152">
        <f t="shared" ca="1" si="53"/>
        <v>157.97100000000003</v>
      </c>
      <c r="K152">
        <f t="shared" ca="1" si="54"/>
        <v>1.3139610664743937</v>
      </c>
      <c r="L152">
        <f t="shared" ca="1" si="55"/>
        <v>160.59892213294881</v>
      </c>
      <c r="M152">
        <f t="shared" ca="1" si="56"/>
        <v>155.34307786705125</v>
      </c>
      <c r="N152">
        <f t="shared" ca="1" si="45"/>
        <v>-3.0100000000000193</v>
      </c>
      <c r="O152">
        <f t="shared" ca="1" si="46"/>
        <v>0</v>
      </c>
      <c r="P152">
        <f t="shared" ca="1" si="47"/>
        <v>3.0100000000000193</v>
      </c>
      <c r="Q152">
        <f t="shared" ca="1" si="51"/>
        <v>0.63201869380859532</v>
      </c>
      <c r="R152">
        <f t="shared" ca="1" si="52"/>
        <v>0.65186232020340162</v>
      </c>
      <c r="S152">
        <f t="shared" ca="1" si="49"/>
        <v>0.96955856201565005</v>
      </c>
      <c r="T152">
        <f t="shared" ca="1" si="50"/>
        <v>49.227201501609677</v>
      </c>
      <c r="U152">
        <f>70</f>
        <v>70</v>
      </c>
      <c r="V152">
        <f>30</f>
        <v>30</v>
      </c>
      <c r="W152">
        <f t="shared" ca="1" si="48"/>
        <v>158.13599242581623</v>
      </c>
      <c r="X152">
        <f t="shared" ca="1" si="37"/>
        <v>157.60149372623141</v>
      </c>
      <c r="Y152">
        <f t="shared" ca="1" si="36"/>
        <v>0.32770452832536989</v>
      </c>
      <c r="Z152">
        <f t="shared" ca="1" si="38"/>
        <v>0.53931609387132529</v>
      </c>
      <c r="AA152">
        <f t="shared" ca="1" si="39"/>
        <v>-0.21161156554595539</v>
      </c>
      <c r="AB152">
        <f t="shared" ca="1" si="40"/>
        <v>159.0735</v>
      </c>
    </row>
    <row r="153" spans="1:28" x14ac:dyDescent="0.25">
      <c r="A153" s="20">
        <f t="shared" ca="1" si="41"/>
        <v>45915</v>
      </c>
      <c r="B153" vm="450">
        <f ca="1"/>
        <v>45919</v>
      </c>
      <c r="C153" vm="451">
        <f ca="1"/>
        <v>156.04</v>
      </c>
      <c r="D153" vm="452">
        <f ca="1"/>
        <v>17224774</v>
      </c>
      <c r="E153">
        <f t="shared" ca="1" si="42"/>
        <v>2687753734.96</v>
      </c>
      <c r="F153">
        <f ca="1">SUM($E$2:E153)/SUM($D$2:D153)</f>
        <v>162.22727243694695</v>
      </c>
      <c r="G153">
        <f ca="1">_xlfn.STDEV.P($C$2:C153)</f>
        <v>6.0288038000664184</v>
      </c>
      <c r="H153">
        <f t="shared" ca="1" si="43"/>
        <v>168.25607623701336</v>
      </c>
      <c r="I153">
        <f t="shared" ca="1" si="44"/>
        <v>156.19846863688053</v>
      </c>
      <c r="J153">
        <f t="shared" ca="1" si="53"/>
        <v>157.83650000000003</v>
      </c>
      <c r="K153">
        <f t="shared" ca="1" si="54"/>
        <v>1.3687153985052065</v>
      </c>
      <c r="L153">
        <f t="shared" ca="1" si="55"/>
        <v>160.57393079701043</v>
      </c>
      <c r="M153">
        <f t="shared" ca="1" si="56"/>
        <v>155.09906920298963</v>
      </c>
      <c r="N153">
        <f t="shared" ca="1" si="45"/>
        <v>-1.2800000000000011</v>
      </c>
      <c r="O153">
        <f t="shared" ca="1" si="46"/>
        <v>0</v>
      </c>
      <c r="P153">
        <f t="shared" ca="1" si="47"/>
        <v>1.2800000000000011</v>
      </c>
      <c r="Q153">
        <f t="shared" ca="1" si="51"/>
        <v>0.58687450139369557</v>
      </c>
      <c r="R153">
        <f t="shared" ca="1" si="52"/>
        <v>0.69672929733173017</v>
      </c>
      <c r="S153">
        <f t="shared" ca="1" si="49"/>
        <v>0.84232786484112787</v>
      </c>
      <c r="T153">
        <f t="shared" ca="1" si="50"/>
        <v>45.72084485699105</v>
      </c>
      <c r="U153">
        <f>70</f>
        <v>70</v>
      </c>
      <c r="V153">
        <f>30</f>
        <v>30</v>
      </c>
      <c r="W153">
        <f t="shared" ca="1" si="48"/>
        <v>157.81353205261371</v>
      </c>
      <c r="X153">
        <f t="shared" ca="1" si="37"/>
        <v>157.48582752428834</v>
      </c>
      <c r="Y153">
        <f t="shared" ca="1" si="36"/>
        <v>-7.4971298482722659E-2</v>
      </c>
      <c r="Z153">
        <f t="shared" ca="1" si="38"/>
        <v>0.41645861540051571</v>
      </c>
      <c r="AA153">
        <f t="shared" ca="1" si="39"/>
        <v>-0.49142991388323837</v>
      </c>
      <c r="AB153">
        <f t="shared" ca="1" si="40"/>
        <v>159.0154</v>
      </c>
    </row>
    <row r="154" spans="1:28" x14ac:dyDescent="0.25">
      <c r="A154" s="20">
        <f t="shared" ca="1" si="41"/>
        <v>45922</v>
      </c>
      <c r="B154" vm="453">
        <f ca="1"/>
        <v>45922</v>
      </c>
      <c r="C154" vm="454">
        <f ca="1"/>
        <v>153.07</v>
      </c>
      <c r="D154" vm="455">
        <f ca="1"/>
        <v>8712910</v>
      </c>
      <c r="E154">
        <f t="shared" ca="1" si="42"/>
        <v>1333685133.7</v>
      </c>
      <c r="F154">
        <f ca="1">SUM($E$2:E154)/SUM($D$2:D154)</f>
        <v>162.16328934358705</v>
      </c>
      <c r="G154">
        <f ca="1">_xlfn.STDEV.P($C$2:C154)</f>
        <v>6.0536234264567517</v>
      </c>
      <c r="H154">
        <f t="shared" ca="1" si="43"/>
        <v>168.21691277004379</v>
      </c>
      <c r="I154">
        <f t="shared" ca="1" si="44"/>
        <v>156.10966591713031</v>
      </c>
      <c r="J154">
        <f t="shared" ca="1" si="53"/>
        <v>157.55650000000003</v>
      </c>
      <c r="K154">
        <f t="shared" ca="1" si="54"/>
        <v>1.7175725679911746</v>
      </c>
      <c r="L154">
        <f t="shared" ca="1" si="55"/>
        <v>160.99164513598237</v>
      </c>
      <c r="M154">
        <f t="shared" ca="1" si="56"/>
        <v>154.12135486401769</v>
      </c>
      <c r="N154">
        <f t="shared" ca="1" si="45"/>
        <v>-2.9699999999999989</v>
      </c>
      <c r="O154">
        <f t="shared" ca="1" si="46"/>
        <v>0</v>
      </c>
      <c r="P154">
        <f t="shared" ca="1" si="47"/>
        <v>2.9699999999999989</v>
      </c>
      <c r="Q154">
        <f t="shared" ca="1" si="51"/>
        <v>0.54495489415128873</v>
      </c>
      <c r="R154">
        <f t="shared" ca="1" si="52"/>
        <v>0.85910577609374938</v>
      </c>
      <c r="S154">
        <f t="shared" ca="1" si="49"/>
        <v>0.63432805286111926</v>
      </c>
      <c r="T154">
        <f t="shared" ca="1" si="50"/>
        <v>38.812773956283714</v>
      </c>
      <c r="U154">
        <f>70</f>
        <v>70</v>
      </c>
      <c r="V154">
        <f>30</f>
        <v>30</v>
      </c>
      <c r="W154">
        <f t="shared" ca="1" si="48"/>
        <v>157.08375789067316</v>
      </c>
      <c r="X154">
        <f t="shared" ca="1" si="37"/>
        <v>157.15872918915588</v>
      </c>
      <c r="Y154">
        <f t="shared" ca="1" si="36"/>
        <v>-0.43507376907618323</v>
      </c>
      <c r="Z154">
        <f t="shared" ca="1" si="38"/>
        <v>0.24615213850517592</v>
      </c>
      <c r="AA154">
        <f t="shared" ca="1" si="39"/>
        <v>-0.68122590758135915</v>
      </c>
      <c r="AB154">
        <f t="shared" ca="1" si="40"/>
        <v>158.92349999999999</v>
      </c>
    </row>
    <row r="155" spans="1:28" x14ac:dyDescent="0.25">
      <c r="A155" s="20">
        <f t="shared" ca="1" si="41"/>
        <v>45922</v>
      </c>
      <c r="B155" vm="456">
        <f ca="1"/>
        <v>45923</v>
      </c>
      <c r="C155" vm="457">
        <f ca="1"/>
        <v>152.5</v>
      </c>
      <c r="D155" vm="458">
        <f ca="1"/>
        <v>8853418</v>
      </c>
      <c r="E155">
        <f t="shared" ca="1" si="42"/>
        <v>1350146245</v>
      </c>
      <c r="F155">
        <f ca="1">SUM($E$2:E155)/SUM($D$2:D155)</f>
        <v>162.09516547415944</v>
      </c>
      <c r="G155">
        <f ca="1">_xlfn.STDEV.P($C$2:C155)</f>
        <v>6.0830894634475801</v>
      </c>
      <c r="H155">
        <f t="shared" ca="1" si="43"/>
        <v>168.17825493760702</v>
      </c>
      <c r="I155">
        <f t="shared" ca="1" si="44"/>
        <v>156.01207601071187</v>
      </c>
      <c r="J155">
        <f t="shared" ca="1" si="53"/>
        <v>157.37400000000002</v>
      </c>
      <c r="K155">
        <f t="shared" ca="1" si="54"/>
        <v>2.0387674294972822</v>
      </c>
      <c r="L155">
        <f t="shared" ca="1" si="55"/>
        <v>161.45153485899459</v>
      </c>
      <c r="M155">
        <f t="shared" ca="1" si="56"/>
        <v>153.29646514100546</v>
      </c>
      <c r="N155">
        <f t="shared" ca="1" si="45"/>
        <v>-0.56999999999999318</v>
      </c>
      <c r="O155">
        <f t="shared" ca="1" si="46"/>
        <v>0</v>
      </c>
      <c r="P155">
        <f t="shared" ca="1" si="47"/>
        <v>0.56999999999999318</v>
      </c>
      <c r="Q155">
        <f t="shared" ca="1" si="51"/>
        <v>0.5060295445690538</v>
      </c>
      <c r="R155">
        <f t="shared" ca="1" si="52"/>
        <v>0.83845536351562389</v>
      </c>
      <c r="S155">
        <f t="shared" ca="1" si="49"/>
        <v>0.60352591990977755</v>
      </c>
      <c r="T155">
        <f t="shared" ca="1" si="50"/>
        <v>37.637428395528211</v>
      </c>
      <c r="U155">
        <f>70</f>
        <v>70</v>
      </c>
      <c r="V155">
        <f>30</f>
        <v>30</v>
      </c>
      <c r="W155">
        <f t="shared" ca="1" si="48"/>
        <v>156.37856436903112</v>
      </c>
      <c r="X155">
        <f t="shared" ca="1" si="37"/>
        <v>156.81363813810731</v>
      </c>
      <c r="Y155">
        <f t="shared" ca="1" si="36"/>
        <v>-0.71862899510719558</v>
      </c>
      <c r="Z155">
        <f t="shared" ca="1" si="38"/>
        <v>5.3195911782701638E-2</v>
      </c>
      <c r="AA155">
        <f t="shared" ca="1" si="39"/>
        <v>-0.77182490688989724</v>
      </c>
      <c r="AB155">
        <f t="shared" ca="1" si="40"/>
        <v>158.8228</v>
      </c>
    </row>
    <row r="156" spans="1:28" x14ac:dyDescent="0.25">
      <c r="A156" s="20">
        <f t="shared" ca="1" si="41"/>
        <v>45922</v>
      </c>
      <c r="B156" vm="459">
        <f ca="1"/>
        <v>45924</v>
      </c>
      <c r="C156" vm="460">
        <f ca="1"/>
        <v>152.41999999999999</v>
      </c>
      <c r="D156" vm="461">
        <f ca="1"/>
        <v>6483264</v>
      </c>
      <c r="E156">
        <f t="shared" ca="1" si="42"/>
        <v>988179098.87999988</v>
      </c>
      <c r="F156">
        <f ca="1">SUM($E$2:E156)/SUM($D$2:D156)</f>
        <v>162.04547430666278</v>
      </c>
      <c r="G156">
        <f ca="1">_xlfn.STDEV.P($C$2:C156)</f>
        <v>6.1122156133823111</v>
      </c>
      <c r="H156">
        <f t="shared" ca="1" si="43"/>
        <v>168.1576899200451</v>
      </c>
      <c r="I156">
        <f t="shared" ca="1" si="44"/>
        <v>155.93325869328046</v>
      </c>
      <c r="J156">
        <f t="shared" ca="1" si="53"/>
        <v>157.19650000000001</v>
      </c>
      <c r="K156">
        <f t="shared" ca="1" si="54"/>
        <v>2.3046366878876832</v>
      </c>
      <c r="L156">
        <f t="shared" ca="1" si="55"/>
        <v>161.80577337577537</v>
      </c>
      <c r="M156">
        <f t="shared" ca="1" si="56"/>
        <v>152.58722662422466</v>
      </c>
      <c r="N156">
        <f t="shared" ca="1" si="45"/>
        <v>-8.0000000000012506E-2</v>
      </c>
      <c r="O156">
        <f t="shared" ca="1" si="46"/>
        <v>0</v>
      </c>
      <c r="P156">
        <f t="shared" ca="1" si="47"/>
        <v>8.0000000000012506E-2</v>
      </c>
      <c r="Q156">
        <f t="shared" ca="1" si="51"/>
        <v>0.46988457709983572</v>
      </c>
      <c r="R156">
        <f t="shared" ca="1" si="52"/>
        <v>0.78427998040736591</v>
      </c>
      <c r="S156">
        <f t="shared" ca="1" si="49"/>
        <v>0.5991286132992597</v>
      </c>
      <c r="T156">
        <f t="shared" ca="1" si="50"/>
        <v>37.465942908942196</v>
      </c>
      <c r="U156">
        <f>70</f>
        <v>70</v>
      </c>
      <c r="V156">
        <f>30</f>
        <v>30</v>
      </c>
      <c r="W156">
        <f t="shared" ca="1" si="48"/>
        <v>155.76955446610327</v>
      </c>
      <c r="X156">
        <f t="shared" ca="1" si="37"/>
        <v>156.48818346121047</v>
      </c>
      <c r="Y156">
        <f t="shared" ref="Y156:Y219" ca="1" si="57">W157-X157</f>
        <v>-0.95413660530121547</v>
      </c>
      <c r="Z156">
        <f t="shared" ca="1" si="38"/>
        <v>-0.14827059163408179</v>
      </c>
      <c r="AA156">
        <f t="shared" ca="1" si="39"/>
        <v>-0.80586601366713362</v>
      </c>
      <c r="AB156">
        <f t="shared" ca="1" si="40"/>
        <v>158.74719999999999</v>
      </c>
    </row>
    <row r="157" spans="1:28" x14ac:dyDescent="0.25">
      <c r="A157" s="20">
        <f t="shared" ca="1" si="41"/>
        <v>45922</v>
      </c>
      <c r="B157" vm="462">
        <f ca="1"/>
        <v>45925</v>
      </c>
      <c r="C157" vm="463">
        <f ca="1"/>
        <v>152.15</v>
      </c>
      <c r="D157" vm="464">
        <f ca="1"/>
        <v>7511415</v>
      </c>
      <c r="E157">
        <f t="shared" ca="1" si="42"/>
        <v>1142861792.25</v>
      </c>
      <c r="F157">
        <f ca="1">SUM($E$2:E157)/SUM($D$2:D157)</f>
        <v>161.98694021522641</v>
      </c>
      <c r="G157">
        <f ca="1">_xlfn.STDEV.P($C$2:C157)</f>
        <v>6.1429325180327767</v>
      </c>
      <c r="H157">
        <f t="shared" ca="1" si="43"/>
        <v>168.12987273325919</v>
      </c>
      <c r="I157">
        <f t="shared" ca="1" si="44"/>
        <v>155.84400769719363</v>
      </c>
      <c r="J157">
        <f t="shared" ca="1" si="53"/>
        <v>156.95600000000002</v>
      </c>
      <c r="K157">
        <f t="shared" ca="1" si="54"/>
        <v>2.5666902710238402</v>
      </c>
      <c r="L157">
        <f t="shared" ca="1" si="55"/>
        <v>162.08938054204771</v>
      </c>
      <c r="M157">
        <f t="shared" ca="1" si="56"/>
        <v>151.82261945795233</v>
      </c>
      <c r="N157">
        <f t="shared" ca="1" si="45"/>
        <v>-0.26999999999998181</v>
      </c>
      <c r="O157">
        <f t="shared" ca="1" si="46"/>
        <v>0</v>
      </c>
      <c r="P157">
        <f t="shared" ca="1" si="47"/>
        <v>0.26999999999998181</v>
      </c>
      <c r="Q157">
        <f t="shared" ca="1" si="51"/>
        <v>0.43632139302127604</v>
      </c>
      <c r="R157">
        <f t="shared" ca="1" si="52"/>
        <v>0.74754569609255284</v>
      </c>
      <c r="S157">
        <f t="shared" ca="1" si="49"/>
        <v>0.5836718682241675</v>
      </c>
      <c r="T157">
        <f t="shared" ca="1" si="50"/>
        <v>36.855606261331225</v>
      </c>
      <c r="U157">
        <f>70</f>
        <v>70</v>
      </c>
      <c r="V157">
        <f>30</f>
        <v>30</v>
      </c>
      <c r="W157">
        <f t="shared" ca="1" si="48"/>
        <v>155.21269993285662</v>
      </c>
      <c r="X157">
        <f t="shared" ref="X157:X220" ca="1" si="58">C157*(2/(26+1)) + X156*(1-(2/(26+1)))</f>
        <v>156.16683653815784</v>
      </c>
      <c r="Y157">
        <f t="shared" ca="1" si="57"/>
        <v>-1.0998575351649436</v>
      </c>
      <c r="Z157">
        <f t="shared" ca="1" si="38"/>
        <v>-0.33858798034025417</v>
      </c>
      <c r="AA157">
        <f t="shared" ca="1" si="39"/>
        <v>-0.76126955482468939</v>
      </c>
      <c r="AB157">
        <f t="shared" ca="1" si="40"/>
        <v>158.66349999999997</v>
      </c>
    </row>
    <row r="158" spans="1:28" x14ac:dyDescent="0.25">
      <c r="A158" s="20">
        <f t="shared" ca="1" si="41"/>
        <v>45922</v>
      </c>
      <c r="B158" vm="465">
        <f ca="1"/>
        <v>45926</v>
      </c>
      <c r="C158" vm="457">
        <f ca="1"/>
        <v>152.5</v>
      </c>
      <c r="D158" vm="466">
        <f ca="1"/>
        <v>5721092</v>
      </c>
      <c r="E158">
        <f t="shared" ca="1" si="42"/>
        <v>872466530</v>
      </c>
      <c r="F158">
        <f ca="1">SUM($E$2:E158)/SUM($D$2:D158)</f>
        <v>161.94438984470054</v>
      </c>
      <c r="G158">
        <f ca="1">_xlfn.STDEV.P($C$2:C158)</f>
        <v>6.1690321264831507</v>
      </c>
      <c r="H158">
        <f t="shared" ca="1" si="43"/>
        <v>168.1134219711837</v>
      </c>
      <c r="I158">
        <f t="shared" ca="1" si="44"/>
        <v>155.77535771821738</v>
      </c>
      <c r="J158">
        <f t="shared" ca="1" si="53"/>
        <v>156.79850000000002</v>
      </c>
      <c r="K158">
        <f t="shared" ca="1" si="54"/>
        <v>2.7417268377122461</v>
      </c>
      <c r="L158">
        <f t="shared" ca="1" si="55"/>
        <v>162.28195367542452</v>
      </c>
      <c r="M158">
        <f t="shared" ca="1" si="56"/>
        <v>151.31504632457552</v>
      </c>
      <c r="N158">
        <f t="shared" ca="1" si="45"/>
        <v>0.34999999999999432</v>
      </c>
      <c r="O158">
        <f t="shared" ca="1" si="46"/>
        <v>0.34999999999999432</v>
      </c>
      <c r="P158">
        <f t="shared" ca="1" si="47"/>
        <v>0</v>
      </c>
      <c r="Q158">
        <f t="shared" ca="1" si="51"/>
        <v>0.43015557923404163</v>
      </c>
      <c r="R158">
        <f t="shared" ca="1" si="52"/>
        <v>0.69414957494308471</v>
      </c>
      <c r="S158">
        <f t="shared" ca="1" si="49"/>
        <v>0.61968716075250974</v>
      </c>
      <c r="T158">
        <f t="shared" ca="1" si="50"/>
        <v>38.259682225584967</v>
      </c>
      <c r="U158">
        <f>70</f>
        <v>70</v>
      </c>
      <c r="V158">
        <f>30</f>
        <v>30</v>
      </c>
      <c r="W158">
        <f t="shared" ca="1" si="48"/>
        <v>154.79536148164789</v>
      </c>
      <c r="X158">
        <f t="shared" ca="1" si="58"/>
        <v>155.89521901681283</v>
      </c>
      <c r="Y158">
        <f t="shared" ca="1" si="57"/>
        <v>-1.1193271236887199</v>
      </c>
      <c r="Z158">
        <f t="shared" ca="1" si="38"/>
        <v>-0.49473580900994729</v>
      </c>
      <c r="AA158">
        <f t="shared" ca="1" si="39"/>
        <v>-0.6245913146787726</v>
      </c>
      <c r="AB158">
        <f t="shared" ca="1" si="40"/>
        <v>158.60019999999997</v>
      </c>
    </row>
    <row r="159" spans="1:28" x14ac:dyDescent="0.25">
      <c r="A159" s="20">
        <f t="shared" ca="1" si="41"/>
        <v>45929</v>
      </c>
      <c r="B159" vm="467">
        <f ca="1"/>
        <v>45929</v>
      </c>
      <c r="C159" vm="468">
        <f ca="1"/>
        <v>153.53</v>
      </c>
      <c r="D159" vm="469">
        <f ca="1"/>
        <v>8139711</v>
      </c>
      <c r="E159">
        <f t="shared" ca="1" si="42"/>
        <v>1249689829.8299999</v>
      </c>
      <c r="F159">
        <f ca="1">SUM($E$2:E159)/SUM($D$2:D159)</f>
        <v>161.89103580352966</v>
      </c>
      <c r="G159">
        <f ca="1">_xlfn.STDEV.P($C$2:C159)</f>
        <v>6.1848655070526855</v>
      </c>
      <c r="H159">
        <f t="shared" ca="1" si="43"/>
        <v>168.07590131058234</v>
      </c>
      <c r="I159">
        <f t="shared" ca="1" si="44"/>
        <v>155.70617029647698</v>
      </c>
      <c r="J159">
        <f t="shared" ca="1" si="53"/>
        <v>156.62300000000002</v>
      </c>
      <c r="K159">
        <f t="shared" ca="1" si="54"/>
        <v>2.8361669834293517</v>
      </c>
      <c r="L159">
        <f t="shared" ca="1" si="55"/>
        <v>162.29533396685872</v>
      </c>
      <c r="M159">
        <f t="shared" ca="1" si="56"/>
        <v>150.95066603314132</v>
      </c>
      <c r="N159">
        <f t="shared" ca="1" si="45"/>
        <v>1.0300000000000011</v>
      </c>
      <c r="O159">
        <f t="shared" ca="1" si="46"/>
        <v>1.0300000000000011</v>
      </c>
      <c r="P159">
        <f t="shared" ca="1" si="47"/>
        <v>0</v>
      </c>
      <c r="Q159">
        <f t="shared" ca="1" si="51"/>
        <v>0.47300160928875307</v>
      </c>
      <c r="R159">
        <f t="shared" ca="1" si="52"/>
        <v>0.64456746244715013</v>
      </c>
      <c r="S159">
        <f t="shared" ca="1" si="49"/>
        <v>0.73382793399618085</v>
      </c>
      <c r="T159">
        <f t="shared" ca="1" si="50"/>
        <v>42.32414991174074</v>
      </c>
      <c r="U159">
        <f>70</f>
        <v>70</v>
      </c>
      <c r="V159">
        <f>30</f>
        <v>30</v>
      </c>
      <c r="W159">
        <f t="shared" ca="1" si="48"/>
        <v>154.6006904844713</v>
      </c>
      <c r="X159">
        <f t="shared" ca="1" si="58"/>
        <v>155.72001760816002</v>
      </c>
      <c r="Y159">
        <f t="shared" ca="1" si="57"/>
        <v>-1.1122525605812825</v>
      </c>
      <c r="Z159">
        <f t="shared" ca="1" si="38"/>
        <v>-0.61823915932421436</v>
      </c>
      <c r="AA159">
        <f t="shared" ca="1" si="39"/>
        <v>-0.49401340125706816</v>
      </c>
      <c r="AB159">
        <f t="shared" ca="1" si="40"/>
        <v>158.54299999999998</v>
      </c>
    </row>
    <row r="160" spans="1:28" x14ac:dyDescent="0.25">
      <c r="A160" s="20">
        <f t="shared" ca="1" si="41"/>
        <v>45929</v>
      </c>
      <c r="B160" vm="470">
        <f ca="1"/>
        <v>45930</v>
      </c>
      <c r="C160" vm="471">
        <f ca="1"/>
        <v>153.65</v>
      </c>
      <c r="D160" vm="472">
        <f ca="1"/>
        <v>7762609</v>
      </c>
      <c r="E160">
        <f t="shared" ca="1" si="42"/>
        <v>1192724872.8500001</v>
      </c>
      <c r="F160">
        <f ca="1">SUM($E$2:E160)/SUM($D$2:D160)</f>
        <v>161.84150140134116</v>
      </c>
      <c r="G160">
        <f ca="1">_xlfn.STDEV.P($C$2:C160)</f>
        <v>6.1990259426424306</v>
      </c>
      <c r="H160">
        <f t="shared" ca="1" si="43"/>
        <v>168.0405273439836</v>
      </c>
      <c r="I160">
        <f t="shared" ca="1" si="44"/>
        <v>155.64247545869873</v>
      </c>
      <c r="J160">
        <f t="shared" ca="1" si="53"/>
        <v>156.40600000000001</v>
      </c>
      <c r="K160">
        <f t="shared" ca="1" si="54"/>
        <v>2.8915601325236193</v>
      </c>
      <c r="L160">
        <f t="shared" ca="1" si="55"/>
        <v>162.18912026504725</v>
      </c>
      <c r="M160">
        <f t="shared" ca="1" si="56"/>
        <v>150.62287973495276</v>
      </c>
      <c r="N160">
        <f t="shared" ca="1" si="45"/>
        <v>0.12000000000000455</v>
      </c>
      <c r="O160">
        <f t="shared" ca="1" si="46"/>
        <v>0.12000000000000455</v>
      </c>
      <c r="P160">
        <f t="shared" ca="1" si="47"/>
        <v>0</v>
      </c>
      <c r="Q160">
        <f t="shared" ca="1" si="51"/>
        <v>0.44778720862527105</v>
      </c>
      <c r="R160">
        <f t="shared" ca="1" si="52"/>
        <v>0.59852692941521091</v>
      </c>
      <c r="S160">
        <f t="shared" ca="1" si="49"/>
        <v>0.74814880771159342</v>
      </c>
      <c r="T160">
        <f t="shared" ca="1" si="50"/>
        <v>42.796631751901849</v>
      </c>
      <c r="U160">
        <f>70</f>
        <v>70</v>
      </c>
      <c r="V160">
        <f>30</f>
        <v>30</v>
      </c>
      <c r="W160">
        <f t="shared" ca="1" si="48"/>
        <v>154.45443040993726</v>
      </c>
      <c r="X160">
        <f t="shared" ca="1" si="58"/>
        <v>155.56668297051854</v>
      </c>
      <c r="Y160">
        <f t="shared" ca="1" si="57"/>
        <v>-1.1315274463451885</v>
      </c>
      <c r="Z160">
        <f t="shared" ca="1" si="38"/>
        <v>-0.72089681672840922</v>
      </c>
      <c r="AA160">
        <f t="shared" ca="1" si="39"/>
        <v>-0.41063062961677932</v>
      </c>
      <c r="AB160">
        <f t="shared" ca="1" si="40"/>
        <v>158.48659999999998</v>
      </c>
    </row>
    <row r="161" spans="1:28" x14ac:dyDescent="0.25">
      <c r="A161" s="20">
        <f t="shared" ca="1" si="41"/>
        <v>45929</v>
      </c>
      <c r="B161" vm="473">
        <f ca="1"/>
        <v>45931</v>
      </c>
      <c r="C161" vm="474">
        <f ca="1"/>
        <v>153.18</v>
      </c>
      <c r="D161" vm="475">
        <f ca="1"/>
        <v>7566014</v>
      </c>
      <c r="E161">
        <f t="shared" ca="1" si="42"/>
        <v>1158962024.52</v>
      </c>
      <c r="F161">
        <f ca="1">SUM($E$2:E161)/SUM($D$2:D161)</f>
        <v>161.79105376126958</v>
      </c>
      <c r="G161">
        <f ca="1">_xlfn.STDEV.P($C$2:C161)</f>
        <v>6.2164802327663677</v>
      </c>
      <c r="H161">
        <f t="shared" ca="1" si="43"/>
        <v>168.00753399403595</v>
      </c>
      <c r="I161">
        <f t="shared" ca="1" si="44"/>
        <v>155.57457352850321</v>
      </c>
      <c r="J161">
        <f t="shared" ca="1" si="53"/>
        <v>156.15649999999999</v>
      </c>
      <c r="K161">
        <f t="shared" ca="1" si="54"/>
        <v>2.9461094327050539</v>
      </c>
      <c r="L161">
        <f t="shared" ca="1" si="55"/>
        <v>162.04871886541011</v>
      </c>
      <c r="M161">
        <f t="shared" ca="1" si="56"/>
        <v>150.26428113458988</v>
      </c>
      <c r="N161">
        <f t="shared" ca="1" si="45"/>
        <v>-0.46999999999999886</v>
      </c>
      <c r="O161">
        <f t="shared" ca="1" si="46"/>
        <v>0</v>
      </c>
      <c r="P161">
        <f t="shared" ca="1" si="47"/>
        <v>0.46999999999999886</v>
      </c>
      <c r="Q161">
        <f t="shared" ca="1" si="51"/>
        <v>0.41580240800918028</v>
      </c>
      <c r="R161">
        <f t="shared" ca="1" si="52"/>
        <v>0.58934643445698143</v>
      </c>
      <c r="S161">
        <f t="shared" ca="1" si="49"/>
        <v>0.70553138815932082</v>
      </c>
      <c r="T161">
        <f t="shared" ca="1" si="50"/>
        <v>41.36724736099751</v>
      </c>
      <c r="U161">
        <f>70</f>
        <v>70</v>
      </c>
      <c r="V161">
        <f>30</f>
        <v>30</v>
      </c>
      <c r="W161">
        <f t="shared" ca="1" si="48"/>
        <v>154.25836419302382</v>
      </c>
      <c r="X161">
        <f t="shared" ca="1" si="58"/>
        <v>155.38989163936901</v>
      </c>
      <c r="Y161">
        <f t="shared" ca="1" si="57"/>
        <v>-1.2238764030394691</v>
      </c>
      <c r="Z161">
        <f t="shared" ca="1" si="38"/>
        <v>-0.82149273399062128</v>
      </c>
      <c r="AA161">
        <f t="shared" ca="1" si="39"/>
        <v>-0.40238366904884781</v>
      </c>
      <c r="AB161">
        <f t="shared" ca="1" si="40"/>
        <v>158.43189999999996</v>
      </c>
    </row>
    <row r="162" spans="1:28" x14ac:dyDescent="0.25">
      <c r="A162" s="20">
        <f t="shared" ca="1" si="41"/>
        <v>45929</v>
      </c>
      <c r="B162" vm="476">
        <f ca="1"/>
        <v>45932</v>
      </c>
      <c r="C162" vm="477">
        <f ca="1"/>
        <v>152.05000000000001</v>
      </c>
      <c r="D162" vm="478">
        <f ca="1"/>
        <v>6892089</v>
      </c>
      <c r="E162">
        <f t="shared" ca="1" si="42"/>
        <v>1047942132.45</v>
      </c>
      <c r="F162">
        <f ca="1">SUM($E$2:E162)/SUM($D$2:D162)</f>
        <v>161.73964474824999</v>
      </c>
      <c r="G162">
        <f ca="1">_xlfn.STDEV.P($C$2:C162)</f>
        <v>6.2433787458733176</v>
      </c>
      <c r="H162">
        <f t="shared" ca="1" si="43"/>
        <v>167.9830234941233</v>
      </c>
      <c r="I162">
        <f t="shared" ca="1" si="44"/>
        <v>155.49626600237667</v>
      </c>
      <c r="J162">
        <f t="shared" ca="1" si="53"/>
        <v>155.79950000000002</v>
      </c>
      <c r="K162">
        <f t="shared" ca="1" si="54"/>
        <v>2.9914254215393017</v>
      </c>
      <c r="L162">
        <f t="shared" ca="1" si="55"/>
        <v>161.78235084307863</v>
      </c>
      <c r="M162">
        <f t="shared" ca="1" si="56"/>
        <v>149.81664915692141</v>
      </c>
      <c r="N162">
        <f t="shared" ca="1" si="45"/>
        <v>-1.1299999999999955</v>
      </c>
      <c r="O162">
        <f t="shared" ca="1" si="46"/>
        <v>0</v>
      </c>
      <c r="P162">
        <f t="shared" ca="1" si="47"/>
        <v>1.1299999999999955</v>
      </c>
      <c r="Q162">
        <f t="shared" ca="1" si="51"/>
        <v>0.38610223600852456</v>
      </c>
      <c r="R162">
        <f t="shared" ca="1" si="52"/>
        <v>0.62796454628148246</v>
      </c>
      <c r="S162">
        <f t="shared" ca="1" si="49"/>
        <v>0.61484718889759715</v>
      </c>
      <c r="T162">
        <f t="shared" ca="1" si="50"/>
        <v>38.07463598567076</v>
      </c>
      <c r="U162">
        <f>70</f>
        <v>70</v>
      </c>
      <c r="V162">
        <f>30</f>
        <v>30</v>
      </c>
      <c r="W162">
        <f t="shared" ca="1" si="48"/>
        <v>153.91861585563555</v>
      </c>
      <c r="X162">
        <f t="shared" ca="1" si="58"/>
        <v>155.14249225867502</v>
      </c>
      <c r="Y162">
        <f t="shared" ca="1" si="57"/>
        <v>-1.2647324072524668</v>
      </c>
      <c r="Z162">
        <f t="shared" ca="1" si="38"/>
        <v>-0.91014066864299048</v>
      </c>
      <c r="AA162">
        <f t="shared" ca="1" si="39"/>
        <v>-0.35459173860947635</v>
      </c>
      <c r="AB162">
        <f t="shared" ca="1" si="40"/>
        <v>158.37579999999997</v>
      </c>
    </row>
    <row r="163" spans="1:28" x14ac:dyDescent="0.25">
      <c r="A163" s="20">
        <f t="shared" ca="1" si="41"/>
        <v>45929</v>
      </c>
      <c r="B163" vm="479">
        <f ca="1"/>
        <v>45933</v>
      </c>
      <c r="C163" vm="480">
        <f ca="1"/>
        <v>152.27000000000001</v>
      </c>
      <c r="D163" vm="481">
        <f ca="1"/>
        <v>5212584</v>
      </c>
      <c r="E163">
        <f t="shared" ca="1" si="42"/>
        <v>793720165.68000007</v>
      </c>
      <c r="F163">
        <f ca="1">SUM($E$2:E163)/SUM($D$2:D163)</f>
        <v>161.70199698586447</v>
      </c>
      <c r="G163">
        <f ca="1">_xlfn.STDEV.P($C$2:C163)</f>
        <v>6.2672272378157103</v>
      </c>
      <c r="H163">
        <f t="shared" ca="1" si="43"/>
        <v>167.96922422368019</v>
      </c>
      <c r="I163">
        <f t="shared" ca="1" si="44"/>
        <v>155.43476974804875</v>
      </c>
      <c r="J163">
        <f t="shared" ca="1" si="53"/>
        <v>155.41200000000001</v>
      </c>
      <c r="K163">
        <f t="shared" ca="1" si="54"/>
        <v>2.9169695882794819</v>
      </c>
      <c r="L163">
        <f t="shared" ca="1" si="55"/>
        <v>161.24593917655898</v>
      </c>
      <c r="M163">
        <f t="shared" ca="1" si="56"/>
        <v>149.57806082344104</v>
      </c>
      <c r="N163">
        <f t="shared" ca="1" si="45"/>
        <v>0.21999999999999886</v>
      </c>
      <c r="O163">
        <f t="shared" ca="1" si="46"/>
        <v>0.21999999999999886</v>
      </c>
      <c r="P163">
        <f t="shared" ca="1" si="47"/>
        <v>0</v>
      </c>
      <c r="Q163">
        <f t="shared" ca="1" si="51"/>
        <v>0.37423779057934414</v>
      </c>
      <c r="R163">
        <f t="shared" ca="1" si="52"/>
        <v>0.58310993583280513</v>
      </c>
      <c r="S163">
        <f t="shared" ca="1" si="49"/>
        <v>0.64179628502617247</v>
      </c>
      <c r="T163">
        <f t="shared" ca="1" si="50"/>
        <v>39.091103499234762</v>
      </c>
      <c r="U163">
        <f>70</f>
        <v>70</v>
      </c>
      <c r="V163">
        <f>30</f>
        <v>30</v>
      </c>
      <c r="W163">
        <f t="shared" ca="1" si="48"/>
        <v>153.66498264707624</v>
      </c>
      <c r="X163">
        <f t="shared" ca="1" si="58"/>
        <v>154.92971505432871</v>
      </c>
      <c r="Y163">
        <f t="shared" ca="1" si="57"/>
        <v>-1.4307052606131094</v>
      </c>
      <c r="Z163">
        <f t="shared" ca="1" si="38"/>
        <v>-1.0142535870370144</v>
      </c>
      <c r="AA163">
        <f t="shared" ca="1" si="39"/>
        <v>-0.41645167357609503</v>
      </c>
      <c r="AB163">
        <f t="shared" ca="1" si="40"/>
        <v>158.28949999999998</v>
      </c>
    </row>
    <row r="164" spans="1:28" x14ac:dyDescent="0.25">
      <c r="A164" s="20">
        <f t="shared" ca="1" si="41"/>
        <v>45936</v>
      </c>
      <c r="B164" vm="482">
        <f ca="1"/>
        <v>45936</v>
      </c>
      <c r="C164" vm="483">
        <f ca="1"/>
        <v>150.41</v>
      </c>
      <c r="D164" vm="484">
        <f ca="1"/>
        <v>6736960</v>
      </c>
      <c r="E164">
        <f t="shared" ca="1" si="42"/>
        <v>1013306153.6</v>
      </c>
      <c r="F164">
        <f ca="1">SUM($E$2:E164)/SUM($D$2:D164)</f>
        <v>161.64427233277416</v>
      </c>
      <c r="G164">
        <f ca="1">_xlfn.STDEV.P($C$2:C164)</f>
        <v>6.3086169411160871</v>
      </c>
      <c r="H164">
        <f t="shared" ca="1" si="43"/>
        <v>167.95288927389026</v>
      </c>
      <c r="I164">
        <f t="shared" ca="1" si="44"/>
        <v>155.33565539165807</v>
      </c>
      <c r="J164">
        <f t="shared" ca="1" si="53"/>
        <v>154.98200000000003</v>
      </c>
      <c r="K164">
        <f t="shared" ca="1" si="54"/>
        <v>2.9915839845877827</v>
      </c>
      <c r="L164">
        <f t="shared" ca="1" si="55"/>
        <v>160.96516796917558</v>
      </c>
      <c r="M164">
        <f t="shared" ca="1" si="56"/>
        <v>148.99883203082447</v>
      </c>
      <c r="N164">
        <f t="shared" ca="1" si="45"/>
        <v>-1.8600000000000136</v>
      </c>
      <c r="O164">
        <f t="shared" ca="1" si="46"/>
        <v>0</v>
      </c>
      <c r="P164">
        <f t="shared" ca="1" si="47"/>
        <v>1.8600000000000136</v>
      </c>
      <c r="Q164">
        <f t="shared" ca="1" si="51"/>
        <v>0.3475065198236767</v>
      </c>
      <c r="R164">
        <f t="shared" ca="1" si="52"/>
        <v>0.67431636898760572</v>
      </c>
      <c r="S164">
        <f t="shared" ca="1" si="49"/>
        <v>0.5153464097948719</v>
      </c>
      <c r="T164">
        <f t="shared" ca="1" si="50"/>
        <v>34.008488518782499</v>
      </c>
      <c r="U164">
        <f>70</f>
        <v>70</v>
      </c>
      <c r="V164">
        <f>30</f>
        <v>30</v>
      </c>
      <c r="W164">
        <f t="shared" ca="1" si="48"/>
        <v>153.16421608598756</v>
      </c>
      <c r="X164">
        <f t="shared" ca="1" si="58"/>
        <v>154.59492134660067</v>
      </c>
      <c r="Y164">
        <f t="shared" ca="1" si="57"/>
        <v>-1.3745221085667083</v>
      </c>
      <c r="Z164">
        <f t="shared" ca="1" si="38"/>
        <v>-1.0863072913429532</v>
      </c>
      <c r="AA164">
        <f t="shared" ca="1" si="39"/>
        <v>-0.28821481722375508</v>
      </c>
      <c r="AB164">
        <f t="shared" ca="1" si="40"/>
        <v>158.20629999999994</v>
      </c>
    </row>
    <row r="165" spans="1:28" x14ac:dyDescent="0.25">
      <c r="A165" s="20">
        <f t="shared" ca="1" si="41"/>
        <v>45936</v>
      </c>
      <c r="B165" vm="485">
        <f ca="1"/>
        <v>45937</v>
      </c>
      <c r="C165" vm="486">
        <f ca="1"/>
        <v>152.54</v>
      </c>
      <c r="D165" vm="487">
        <f ca="1"/>
        <v>6844361</v>
      </c>
      <c r="E165">
        <f t="shared" ca="1" si="42"/>
        <v>1044038826.9399999</v>
      </c>
      <c r="F165">
        <f ca="1">SUM($E$2:E165)/SUM($D$2:D165)</f>
        <v>161.59723365679147</v>
      </c>
      <c r="G165">
        <f ca="1">_xlfn.STDEV.P($C$2:C165)</f>
        <v>6.3280589999752968</v>
      </c>
      <c r="H165">
        <f t="shared" ca="1" si="43"/>
        <v>167.92529265676677</v>
      </c>
      <c r="I165">
        <f t="shared" ca="1" si="44"/>
        <v>155.26917465681618</v>
      </c>
      <c r="J165">
        <f t="shared" ca="1" si="53"/>
        <v>154.63600000000002</v>
      </c>
      <c r="K165">
        <f t="shared" ca="1" si="54"/>
        <v>2.8428903009363382</v>
      </c>
      <c r="L165">
        <f t="shared" ca="1" si="55"/>
        <v>160.32178060187269</v>
      </c>
      <c r="M165">
        <f t="shared" ca="1" si="56"/>
        <v>148.95021939812736</v>
      </c>
      <c r="N165">
        <f t="shared" ca="1" si="45"/>
        <v>2.1299999999999955</v>
      </c>
      <c r="O165">
        <f t="shared" ca="1" si="46"/>
        <v>2.1299999999999955</v>
      </c>
      <c r="P165">
        <f t="shared" ca="1" si="47"/>
        <v>0</v>
      </c>
      <c r="Q165">
        <f t="shared" ca="1" si="51"/>
        <v>0.47482748269341374</v>
      </c>
      <c r="R165">
        <f t="shared" ca="1" si="52"/>
        <v>0.62615091405991952</v>
      </c>
      <c r="S165">
        <f t="shared" ca="1" si="49"/>
        <v>0.75832754058389051</v>
      </c>
      <c r="T165">
        <f t="shared" ca="1" si="50"/>
        <v>43.127774722340497</v>
      </c>
      <c r="U165">
        <f>70</f>
        <v>70</v>
      </c>
      <c r="V165">
        <f>30</f>
        <v>30</v>
      </c>
      <c r="W165">
        <f t="shared" ca="1" si="48"/>
        <v>153.06818284198948</v>
      </c>
      <c r="X165">
        <f t="shared" ca="1" si="58"/>
        <v>154.44270495055619</v>
      </c>
      <c r="Y165">
        <f t="shared" ca="1" si="57"/>
        <v>-1.4624182474640577</v>
      </c>
      <c r="Z165">
        <f t="shared" ca="1" si="38"/>
        <v>-1.1615294825671743</v>
      </c>
      <c r="AA165">
        <f t="shared" ca="1" si="39"/>
        <v>-0.30088876489688343</v>
      </c>
      <c r="AB165">
        <f t="shared" ca="1" si="40"/>
        <v>158.15149999999997</v>
      </c>
    </row>
    <row r="166" spans="1:28" x14ac:dyDescent="0.25">
      <c r="A166" s="20">
        <f t="shared" ca="1" si="41"/>
        <v>45936</v>
      </c>
      <c r="B166" vm="488">
        <f ca="1"/>
        <v>45938</v>
      </c>
      <c r="C166" vm="489">
        <f ca="1"/>
        <v>150.69</v>
      </c>
      <c r="D166" vm="490">
        <f ca="1"/>
        <v>5254728</v>
      </c>
      <c r="E166">
        <f t="shared" ca="1" si="42"/>
        <v>791834962.31999993</v>
      </c>
      <c r="F166">
        <f ca="1">SUM($E$2:E166)/SUM($D$2:D166)</f>
        <v>161.55413909205089</v>
      </c>
      <c r="G166">
        <f ca="1">_xlfn.STDEV.P($C$2:C166)</f>
        <v>6.3640101864227532</v>
      </c>
      <c r="H166">
        <f t="shared" ca="1" si="43"/>
        <v>167.91814927847363</v>
      </c>
      <c r="I166">
        <f t="shared" ca="1" si="44"/>
        <v>155.19012890562814</v>
      </c>
      <c r="J166">
        <f t="shared" ca="1" si="53"/>
        <v>154.303</v>
      </c>
      <c r="K166">
        <f t="shared" ca="1" si="54"/>
        <v>2.8977833633749515</v>
      </c>
      <c r="L166">
        <f t="shared" ca="1" si="55"/>
        <v>160.09856672674991</v>
      </c>
      <c r="M166">
        <f t="shared" ca="1" si="56"/>
        <v>148.50743327325009</v>
      </c>
      <c r="N166">
        <f t="shared" ca="1" si="45"/>
        <v>-1.8499999999999943</v>
      </c>
      <c r="O166">
        <f t="shared" ca="1" si="46"/>
        <v>0</v>
      </c>
      <c r="P166">
        <f t="shared" ca="1" si="47"/>
        <v>1.8499999999999943</v>
      </c>
      <c r="Q166">
        <f t="shared" ca="1" si="51"/>
        <v>0.44091123392959847</v>
      </c>
      <c r="R166">
        <f t="shared" ca="1" si="52"/>
        <v>0.71356870591278199</v>
      </c>
      <c r="S166">
        <f t="shared" ca="1" si="49"/>
        <v>0.61789597872792668</v>
      </c>
      <c r="T166">
        <f t="shared" ca="1" si="50"/>
        <v>38.191329161578629</v>
      </c>
      <c r="U166">
        <f>70</f>
        <v>70</v>
      </c>
      <c r="V166">
        <f>30</f>
        <v>30</v>
      </c>
      <c r="W166">
        <f t="shared" ca="1" si="48"/>
        <v>152.70230855860649</v>
      </c>
      <c r="X166">
        <f t="shared" ca="1" si="58"/>
        <v>154.16472680607055</v>
      </c>
      <c r="Y166">
        <f t="shared" ca="1" si="57"/>
        <v>-1.5233919375122582</v>
      </c>
      <c r="Z166">
        <f t="shared" ref="Z166:Z229" ca="1" si="59">Y166*(2/(9+1)) + Z165*(1-(2/(9+1)))</f>
        <v>-1.2339019735561911</v>
      </c>
      <c r="AA166">
        <f t="shared" ref="AA166:AA229" ca="1" si="60">Y166-Z166</f>
        <v>-0.28948996395606708</v>
      </c>
      <c r="AB166">
        <f t="shared" ref="AB166:AB229" ca="1" si="61">AVERAGE(C67:C166)</f>
        <v>158.03429999999997</v>
      </c>
    </row>
    <row r="167" spans="1:28" x14ac:dyDescent="0.25">
      <c r="A167" s="20">
        <f t="shared" ca="1" si="41"/>
        <v>45936</v>
      </c>
      <c r="B167" vm="491">
        <f ca="1"/>
        <v>45939</v>
      </c>
      <c r="C167" vm="492">
        <f ca="1"/>
        <v>150.58000000000001</v>
      </c>
      <c r="D167" vm="493">
        <f ca="1"/>
        <v>6134461</v>
      </c>
      <c r="E167">
        <f t="shared" ca="1" si="42"/>
        <v>923727137.38000011</v>
      </c>
      <c r="F167">
        <f ca="1">SUM($E$2:E167)/SUM($D$2:D167)</f>
        <v>161.50375354890889</v>
      </c>
      <c r="G167">
        <f ca="1">_xlfn.STDEV.P($C$2:C167)</f>
        <v>6.3997835019721547</v>
      </c>
      <c r="H167">
        <f t="shared" ca="1" si="43"/>
        <v>167.90353705088106</v>
      </c>
      <c r="I167">
        <f t="shared" ca="1" si="44"/>
        <v>155.10397004693672</v>
      </c>
      <c r="J167">
        <f t="shared" ca="1" si="53"/>
        <v>153.90050000000002</v>
      </c>
      <c r="K167">
        <f t="shared" ca="1" si="54"/>
        <v>2.8232446339553903</v>
      </c>
      <c r="L167">
        <f t="shared" ca="1" si="55"/>
        <v>159.54698926791082</v>
      </c>
      <c r="M167">
        <f t="shared" ca="1" si="56"/>
        <v>148.25401073208923</v>
      </c>
      <c r="N167">
        <f t="shared" ca="1" si="45"/>
        <v>-0.10999999999998522</v>
      </c>
      <c r="O167">
        <f t="shared" ca="1" si="46"/>
        <v>0</v>
      </c>
      <c r="P167">
        <f t="shared" ca="1" si="47"/>
        <v>0.10999999999998522</v>
      </c>
      <c r="Q167">
        <f t="shared" ca="1" si="51"/>
        <v>0.40941757436319859</v>
      </c>
      <c r="R167">
        <f t="shared" ca="1" si="52"/>
        <v>0.67045665549043931</v>
      </c>
      <c r="S167">
        <f t="shared" ca="1" si="49"/>
        <v>0.61065479924829658</v>
      </c>
      <c r="T167">
        <f t="shared" ca="1" si="50"/>
        <v>37.913449830050077</v>
      </c>
      <c r="U167">
        <f>70</f>
        <v>70</v>
      </c>
      <c r="V167">
        <f>30</f>
        <v>30</v>
      </c>
      <c r="W167">
        <f t="shared" ca="1" si="48"/>
        <v>152.37579954959011</v>
      </c>
      <c r="X167">
        <f t="shared" ca="1" si="58"/>
        <v>153.89919148710237</v>
      </c>
      <c r="Y167">
        <f t="shared" ca="1" si="57"/>
        <v>-1.6247999062108534</v>
      </c>
      <c r="Z167">
        <f t="shared" ca="1" si="59"/>
        <v>-1.3120815600871236</v>
      </c>
      <c r="AA167">
        <f t="shared" ca="1" si="60"/>
        <v>-0.31271834612372973</v>
      </c>
      <c r="AB167">
        <f t="shared" ca="1" si="61"/>
        <v>157.90729999999999</v>
      </c>
    </row>
    <row r="168" spans="1:28" x14ac:dyDescent="0.25">
      <c r="A168" s="20">
        <f t="shared" ca="1" si="41"/>
        <v>45936</v>
      </c>
      <c r="B168" vm="494">
        <f ca="1"/>
        <v>45940</v>
      </c>
      <c r="C168" vm="495">
        <f ca="1"/>
        <v>149.69</v>
      </c>
      <c r="D168" vm="496">
        <f ca="1"/>
        <v>7374046</v>
      </c>
      <c r="E168">
        <f t="shared" ca="1" si="42"/>
        <v>1103820945.74</v>
      </c>
      <c r="F168">
        <f ca="1">SUM($E$2:E168)/SUM($D$2:D168)</f>
        <v>161.43891063583982</v>
      </c>
      <c r="G168">
        <f ca="1">_xlfn.STDEV.P($C$2:C168)</f>
        <v>6.4434967096763671</v>
      </c>
      <c r="H168">
        <f t="shared" ca="1" si="43"/>
        <v>167.88240734551619</v>
      </c>
      <c r="I168">
        <f t="shared" ca="1" si="44"/>
        <v>154.99541392616345</v>
      </c>
      <c r="J168">
        <f t="shared" ca="1" si="53"/>
        <v>153.49</v>
      </c>
      <c r="K168">
        <f t="shared" ca="1" si="54"/>
        <v>2.8079361216306018</v>
      </c>
      <c r="L168">
        <f t="shared" ca="1" si="55"/>
        <v>159.10587224326122</v>
      </c>
      <c r="M168">
        <f t="shared" ca="1" si="56"/>
        <v>147.8741277567388</v>
      </c>
      <c r="N168">
        <f t="shared" ca="1" si="45"/>
        <v>-0.89000000000001478</v>
      </c>
      <c r="O168">
        <f t="shared" ca="1" si="46"/>
        <v>0</v>
      </c>
      <c r="P168">
        <f t="shared" ca="1" si="47"/>
        <v>0.89000000000001478</v>
      </c>
      <c r="Q168">
        <f t="shared" ca="1" si="51"/>
        <v>0.3801734619086844</v>
      </c>
      <c r="R168">
        <f t="shared" ca="1" si="52"/>
        <v>0.686138322955409</v>
      </c>
      <c r="S168">
        <f t="shared" ca="1" si="49"/>
        <v>0.55407699758142093</v>
      </c>
      <c r="T168">
        <f t="shared" ca="1" si="50"/>
        <v>35.653123908514175</v>
      </c>
      <c r="U168">
        <f>70</f>
        <v>70</v>
      </c>
      <c r="V168">
        <f>30</f>
        <v>30</v>
      </c>
      <c r="W168">
        <f t="shared" ca="1" si="48"/>
        <v>151.96259961888393</v>
      </c>
      <c r="X168">
        <f t="shared" ca="1" si="58"/>
        <v>153.58739952509478</v>
      </c>
      <c r="Y168">
        <f t="shared" ca="1" si="57"/>
        <v>-1.8612329311888232</v>
      </c>
      <c r="Z168">
        <f t="shared" ca="1" si="59"/>
        <v>-1.4219118343074635</v>
      </c>
      <c r="AA168">
        <f t="shared" ca="1" si="60"/>
        <v>-0.43932109688135967</v>
      </c>
      <c r="AB168">
        <f t="shared" ca="1" si="61"/>
        <v>157.75649999999999</v>
      </c>
    </row>
    <row r="169" spans="1:28" x14ac:dyDescent="0.25">
      <c r="A169" s="20">
        <f t="shared" ca="1" si="41"/>
        <v>45943</v>
      </c>
      <c r="B169" vm="497">
        <f ca="1"/>
        <v>45943</v>
      </c>
      <c r="C169" vm="498">
        <f ca="1"/>
        <v>147.49</v>
      </c>
      <c r="D169" vm="499">
        <f ca="1"/>
        <v>7511103</v>
      </c>
      <c r="E169">
        <f t="shared" ca="1" si="42"/>
        <v>1107812581.47</v>
      </c>
      <c r="F169">
        <f ca="1">SUM($E$2:E169)/SUM($D$2:D169)</f>
        <v>161.36135890510729</v>
      </c>
      <c r="G169">
        <f ca="1">_xlfn.STDEV.P($C$2:C169)</f>
        <v>6.5110481187651565</v>
      </c>
      <c r="H169">
        <f t="shared" ca="1" si="43"/>
        <v>167.87240702387246</v>
      </c>
      <c r="I169">
        <f t="shared" ca="1" si="44"/>
        <v>154.85031078634213</v>
      </c>
      <c r="J169">
        <f t="shared" ca="1" si="53"/>
        <v>153.023</v>
      </c>
      <c r="K169">
        <f t="shared" ca="1" si="54"/>
        <v>2.9937498049664812</v>
      </c>
      <c r="L169">
        <f t="shared" ca="1" si="55"/>
        <v>159.01049960993296</v>
      </c>
      <c r="M169">
        <f t="shared" ca="1" si="56"/>
        <v>147.03550039006703</v>
      </c>
      <c r="N169">
        <f t="shared" ca="1" si="45"/>
        <v>-2.1999999999999886</v>
      </c>
      <c r="O169">
        <f t="shared" ca="1" si="46"/>
        <v>0</v>
      </c>
      <c r="P169">
        <f t="shared" ca="1" si="47"/>
        <v>2.1999999999999886</v>
      </c>
      <c r="Q169">
        <f t="shared" ca="1" si="51"/>
        <v>0.35301821462949262</v>
      </c>
      <c r="R169">
        <f t="shared" ca="1" si="52"/>
        <v>0.79427129988716472</v>
      </c>
      <c r="S169">
        <f t="shared" ca="1" si="49"/>
        <v>0.44445545832972044</v>
      </c>
      <c r="T169">
        <f t="shared" ca="1" si="50"/>
        <v>30.769758649647912</v>
      </c>
      <c r="U169">
        <f>70</f>
        <v>70</v>
      </c>
      <c r="V169">
        <f>30</f>
        <v>30</v>
      </c>
      <c r="W169">
        <f t="shared" ca="1" si="48"/>
        <v>151.27450736982487</v>
      </c>
      <c r="X169">
        <f t="shared" ca="1" si="58"/>
        <v>153.1357403010137</v>
      </c>
      <c r="Y169">
        <f t="shared" ca="1" si="57"/>
        <v>-1.8920424757591547</v>
      </c>
      <c r="Z169">
        <f t="shared" ca="1" si="59"/>
        <v>-1.5159379625978018</v>
      </c>
      <c r="AA169">
        <f t="shared" ca="1" si="60"/>
        <v>-0.37610451316135296</v>
      </c>
      <c r="AB169">
        <f t="shared" ca="1" si="61"/>
        <v>157.57499999999999</v>
      </c>
    </row>
    <row r="170" spans="1:28" x14ac:dyDescent="0.25">
      <c r="A170" s="20">
        <f t="shared" ca="1" si="41"/>
        <v>45943</v>
      </c>
      <c r="B170" vm="500">
        <f ca="1"/>
        <v>45944</v>
      </c>
      <c r="C170" vm="501">
        <f ca="1"/>
        <v>149.16</v>
      </c>
      <c r="D170" vm="502">
        <f ca="1"/>
        <v>8585346</v>
      </c>
      <c r="E170">
        <f t="shared" ca="1" si="42"/>
        <v>1280590209.3599999</v>
      </c>
      <c r="F170">
        <f ca="1">SUM($E$2:E170)/SUM($D$2:D170)</f>
        <v>161.28431073197464</v>
      </c>
      <c r="G170">
        <f ca="1">_xlfn.STDEV.P($C$2:C170)</f>
        <v>6.5568845606985446</v>
      </c>
      <c r="H170">
        <f t="shared" ca="1" si="43"/>
        <v>167.84119529267318</v>
      </c>
      <c r="I170">
        <f t="shared" ca="1" si="44"/>
        <v>154.72742617127611</v>
      </c>
      <c r="J170">
        <f t="shared" ca="1" si="53"/>
        <v>152.57849999999999</v>
      </c>
      <c r="K170">
        <f t="shared" ca="1" si="54"/>
        <v>2.8652974035039214</v>
      </c>
      <c r="L170">
        <f t="shared" ca="1" si="55"/>
        <v>158.30909480700782</v>
      </c>
      <c r="M170">
        <f t="shared" ca="1" si="56"/>
        <v>146.84790519299216</v>
      </c>
      <c r="N170">
        <f t="shared" ca="1" si="45"/>
        <v>1.6699999999999875</v>
      </c>
      <c r="O170">
        <f t="shared" ca="1" si="46"/>
        <v>1.6699999999999875</v>
      </c>
      <c r="P170">
        <f t="shared" ca="1" si="47"/>
        <v>0</v>
      </c>
      <c r="Q170">
        <f t="shared" ca="1" si="51"/>
        <v>0.4470883421559565</v>
      </c>
      <c r="R170">
        <f t="shared" ca="1" si="52"/>
        <v>0.73753763560951013</v>
      </c>
      <c r="S170">
        <f t="shared" ca="1" si="49"/>
        <v>0.60619054617663981</v>
      </c>
      <c r="T170">
        <f t="shared" ca="1" si="50"/>
        <v>37.740886199312392</v>
      </c>
      <c r="U170">
        <f>70</f>
        <v>70</v>
      </c>
      <c r="V170">
        <f>30</f>
        <v>30</v>
      </c>
      <c r="W170">
        <f t="shared" ca="1" si="48"/>
        <v>150.94919854369797</v>
      </c>
      <c r="X170">
        <f t="shared" ca="1" si="58"/>
        <v>152.84124101945713</v>
      </c>
      <c r="Y170">
        <f t="shared" ca="1" si="57"/>
        <v>-2.03342268901784</v>
      </c>
      <c r="Z170">
        <f t="shared" ca="1" si="59"/>
        <v>-1.6194349078818095</v>
      </c>
      <c r="AA170">
        <f t="shared" ca="1" si="60"/>
        <v>-0.41398778113603041</v>
      </c>
      <c r="AB170">
        <f t="shared" ca="1" si="61"/>
        <v>157.41229999999999</v>
      </c>
    </row>
    <row r="171" spans="1:28" x14ac:dyDescent="0.25">
      <c r="A171" s="20">
        <f t="shared" ca="1" si="41"/>
        <v>45943</v>
      </c>
      <c r="B171" vm="503">
        <f ca="1"/>
        <v>45945</v>
      </c>
      <c r="C171" vm="504">
        <f ca="1"/>
        <v>147.41999999999999</v>
      </c>
      <c r="D171" vm="505">
        <f ca="1"/>
        <v>10003073</v>
      </c>
      <c r="E171">
        <f t="shared" ca="1" si="42"/>
        <v>1474653021.6599998</v>
      </c>
      <c r="F171">
        <f ca="1">SUM($E$2:E171)/SUM($D$2:D171)</f>
        <v>161.18304921198498</v>
      </c>
      <c r="G171">
        <f ca="1">_xlfn.STDEV.P($C$2:C171)</f>
        <v>6.6208458987673859</v>
      </c>
      <c r="H171">
        <f t="shared" ca="1" si="43"/>
        <v>167.80389511075236</v>
      </c>
      <c r="I171">
        <f t="shared" ca="1" si="44"/>
        <v>154.56220331321759</v>
      </c>
      <c r="J171">
        <f t="shared" ca="1" si="53"/>
        <v>151.93299999999999</v>
      </c>
      <c r="K171">
        <f t="shared" ca="1" si="54"/>
        <v>2.4514187084646557</v>
      </c>
      <c r="L171">
        <f t="shared" ca="1" si="55"/>
        <v>156.83583741692931</v>
      </c>
      <c r="M171">
        <f t="shared" ca="1" si="56"/>
        <v>147.03016258307068</v>
      </c>
      <c r="N171">
        <f t="shared" ca="1" si="45"/>
        <v>-1.7400000000000091</v>
      </c>
      <c r="O171">
        <f t="shared" ca="1" si="46"/>
        <v>0</v>
      </c>
      <c r="P171">
        <f t="shared" ca="1" si="47"/>
        <v>1.7400000000000091</v>
      </c>
      <c r="Q171">
        <f t="shared" ca="1" si="51"/>
        <v>0.41515346057338814</v>
      </c>
      <c r="R171">
        <f t="shared" ca="1" si="52"/>
        <v>0.80914209020883143</v>
      </c>
      <c r="S171">
        <f t="shared" ca="1" si="49"/>
        <v>0.51307856258749462</v>
      </c>
      <c r="T171">
        <f t="shared" ca="1" si="50"/>
        <v>33.909578476221753</v>
      </c>
      <c r="U171">
        <f>70</f>
        <v>70</v>
      </c>
      <c r="V171">
        <f>30</f>
        <v>30</v>
      </c>
      <c r="W171">
        <f t="shared" ca="1" si="48"/>
        <v>150.4062449215906</v>
      </c>
      <c r="X171">
        <f t="shared" ca="1" si="58"/>
        <v>152.43966761060844</v>
      </c>
      <c r="Y171">
        <f t="shared" ca="1" si="57"/>
        <v>-1.9471146203286196</v>
      </c>
      <c r="Z171">
        <f t="shared" ca="1" si="59"/>
        <v>-1.6849708503711716</v>
      </c>
      <c r="AA171">
        <f t="shared" ca="1" si="60"/>
        <v>-0.26214376995744804</v>
      </c>
      <c r="AB171">
        <f t="shared" ca="1" si="61"/>
        <v>157.2362</v>
      </c>
    </row>
    <row r="172" spans="1:28" x14ac:dyDescent="0.25">
      <c r="A172" s="20">
        <f t="shared" ca="1" si="41"/>
        <v>45943</v>
      </c>
      <c r="B172" vm="506">
        <f ca="1"/>
        <v>45946</v>
      </c>
      <c r="C172" vm="507">
        <f ca="1"/>
        <v>149.6</v>
      </c>
      <c r="D172" vm="508">
        <f ca="1"/>
        <v>8809673</v>
      </c>
      <c r="E172">
        <f t="shared" ca="1" si="42"/>
        <v>1317927080.8</v>
      </c>
      <c r="F172">
        <f ca="1">SUM($E$2:E172)/SUM($D$2:D172)</f>
        <v>161.1090186912335</v>
      </c>
      <c r="G172">
        <f ca="1">_xlfn.STDEV.P($C$2:C172)</f>
        <v>6.6587202040113791</v>
      </c>
      <c r="H172">
        <f t="shared" ca="1" si="43"/>
        <v>167.76773889524489</v>
      </c>
      <c r="I172">
        <f t="shared" ca="1" si="44"/>
        <v>154.45029848722211</v>
      </c>
      <c r="J172">
        <f t="shared" ca="1" si="53"/>
        <v>151.547</v>
      </c>
      <c r="K172">
        <f t="shared" ca="1" si="54"/>
        <v>2.1474932755240594</v>
      </c>
      <c r="L172">
        <f t="shared" ca="1" si="55"/>
        <v>155.84198655104811</v>
      </c>
      <c r="M172">
        <f t="shared" ca="1" si="56"/>
        <v>147.25201344895189</v>
      </c>
      <c r="N172">
        <f t="shared" ca="1" si="45"/>
        <v>2.1800000000000068</v>
      </c>
      <c r="O172">
        <f t="shared" ca="1" si="46"/>
        <v>2.1800000000000068</v>
      </c>
      <c r="P172">
        <f t="shared" ca="1" si="47"/>
        <v>0</v>
      </c>
      <c r="Q172">
        <f t="shared" ca="1" si="51"/>
        <v>0.54121392767528953</v>
      </c>
      <c r="R172">
        <f t="shared" ca="1" si="52"/>
        <v>0.75134622662248629</v>
      </c>
      <c r="S172">
        <f t="shared" ca="1" si="49"/>
        <v>0.72032560821952774</v>
      </c>
      <c r="T172">
        <f t="shared" ca="1" si="50"/>
        <v>41.871469260115106</v>
      </c>
      <c r="U172">
        <f>70</f>
        <v>70</v>
      </c>
      <c r="V172">
        <f>30</f>
        <v>30</v>
      </c>
      <c r="W172">
        <f t="shared" ca="1" si="48"/>
        <v>150.28220724134587</v>
      </c>
      <c r="X172">
        <f t="shared" ca="1" si="58"/>
        <v>152.22932186167449</v>
      </c>
      <c r="Y172">
        <f t="shared" ca="1" si="57"/>
        <v>-1.7137152545996912</v>
      </c>
      <c r="Z172">
        <f t="shared" ca="1" si="59"/>
        <v>-1.6907197312168756</v>
      </c>
      <c r="AA172">
        <f t="shared" ca="1" si="60"/>
        <v>-2.299552338281563E-2</v>
      </c>
      <c r="AB172">
        <f t="shared" ca="1" si="61"/>
        <v>157.07359999999997</v>
      </c>
    </row>
    <row r="173" spans="1:28" x14ac:dyDescent="0.25">
      <c r="A173" s="20">
        <f t="shared" ca="1" si="41"/>
        <v>45943</v>
      </c>
      <c r="B173" vm="509">
        <f ca="1"/>
        <v>45947</v>
      </c>
      <c r="C173" vm="510">
        <f ca="1"/>
        <v>151.4</v>
      </c>
      <c r="D173" vm="511">
        <f ca="1"/>
        <v>8612894</v>
      </c>
      <c r="E173">
        <f t="shared" ca="1" si="42"/>
        <v>1303992151.6000001</v>
      </c>
      <c r="F173">
        <f ca="1">SUM($E$2:E173)/SUM($D$2:D173)</f>
        <v>161.04872841149182</v>
      </c>
      <c r="G173">
        <f ca="1">_xlfn.STDEV.P($C$2:C173)</f>
        <v>6.6790116357514284</v>
      </c>
      <c r="H173">
        <f t="shared" ca="1" si="43"/>
        <v>167.72774004724326</v>
      </c>
      <c r="I173">
        <f t="shared" ca="1" si="44"/>
        <v>154.36971677574039</v>
      </c>
      <c r="J173">
        <f t="shared" ca="1" si="53"/>
        <v>151.315</v>
      </c>
      <c r="K173">
        <f t="shared" ca="1" si="54"/>
        <v>1.8691526366103368</v>
      </c>
      <c r="L173">
        <f t="shared" ca="1" si="55"/>
        <v>155.05330527322067</v>
      </c>
      <c r="M173">
        <f t="shared" ca="1" si="56"/>
        <v>147.57669472677932</v>
      </c>
      <c r="N173">
        <f t="shared" ca="1" si="45"/>
        <v>1.8000000000000114</v>
      </c>
      <c r="O173">
        <f t="shared" ca="1" si="46"/>
        <v>1.8000000000000114</v>
      </c>
      <c r="P173">
        <f t="shared" ca="1" si="47"/>
        <v>0</v>
      </c>
      <c r="Q173">
        <f t="shared" ca="1" si="51"/>
        <v>0.63112721855562681</v>
      </c>
      <c r="R173">
        <f t="shared" ca="1" si="52"/>
        <v>0.69767863900659433</v>
      </c>
      <c r="S173">
        <f t="shared" ca="1" si="49"/>
        <v>0.9046102077229593</v>
      </c>
      <c r="T173">
        <f t="shared" ca="1" si="50"/>
        <v>47.495818517346834</v>
      </c>
      <c r="U173">
        <f>70</f>
        <v>70</v>
      </c>
      <c r="V173">
        <f>30</f>
        <v>30</v>
      </c>
      <c r="W173">
        <f t="shared" ca="1" si="48"/>
        <v>150.45417535806189</v>
      </c>
      <c r="X173">
        <f t="shared" ca="1" si="58"/>
        <v>152.16789061266158</v>
      </c>
      <c r="Y173">
        <f t="shared" ca="1" si="57"/>
        <v>-1.4666506204291352</v>
      </c>
      <c r="Z173">
        <f t="shared" ca="1" si="59"/>
        <v>-1.6459059090593275</v>
      </c>
      <c r="AA173">
        <f t="shared" ca="1" si="60"/>
        <v>0.17925528863019236</v>
      </c>
      <c r="AB173">
        <f t="shared" ca="1" si="61"/>
        <v>156.90999999999997</v>
      </c>
    </row>
    <row r="174" spans="1:28" x14ac:dyDescent="0.25">
      <c r="A174" s="20">
        <f t="shared" ca="1" si="41"/>
        <v>45950</v>
      </c>
      <c r="B174" vm="512">
        <f ca="1"/>
        <v>45950</v>
      </c>
      <c r="C174" vm="513">
        <f ca="1"/>
        <v>151.96</v>
      </c>
      <c r="D174" vm="514">
        <f ca="1"/>
        <v>5601287</v>
      </c>
      <c r="E174">
        <f t="shared" ca="1" si="42"/>
        <v>851171572.5200001</v>
      </c>
      <c r="F174">
        <f ca="1">SUM($E$2:E174)/SUM($D$2:D174)</f>
        <v>161.01217200626252</v>
      </c>
      <c r="G174">
        <f ca="1">_xlfn.STDEV.P($C$2:C174)</f>
        <v>6.6941207861078311</v>
      </c>
      <c r="H174">
        <f t="shared" ca="1" si="43"/>
        <v>167.70629279237033</v>
      </c>
      <c r="I174">
        <f t="shared" ca="1" si="44"/>
        <v>154.3180512201547</v>
      </c>
      <c r="J174">
        <f t="shared" ca="1" si="53"/>
        <v>151.25949999999997</v>
      </c>
      <c r="K174">
        <f t="shared" ca="1" si="54"/>
        <v>1.8303766509138313</v>
      </c>
      <c r="L174">
        <f t="shared" ca="1" si="55"/>
        <v>154.92025330182764</v>
      </c>
      <c r="M174">
        <f t="shared" ca="1" si="56"/>
        <v>147.59874669817231</v>
      </c>
      <c r="N174">
        <f t="shared" ca="1" si="45"/>
        <v>0.56000000000000227</v>
      </c>
      <c r="O174">
        <f t="shared" ca="1" si="46"/>
        <v>0.56000000000000227</v>
      </c>
      <c r="P174">
        <f t="shared" ca="1" si="47"/>
        <v>0</v>
      </c>
      <c r="Q174">
        <f t="shared" ca="1" si="51"/>
        <v>0.62604670294451081</v>
      </c>
      <c r="R174">
        <f t="shared" ca="1" si="52"/>
        <v>0.64784445050612327</v>
      </c>
      <c r="S174">
        <f t="shared" ca="1" si="49"/>
        <v>0.96635342396684398</v>
      </c>
      <c r="T174">
        <f t="shared" ca="1" si="50"/>
        <v>49.144442305664498</v>
      </c>
      <c r="U174">
        <f>70</f>
        <v>70</v>
      </c>
      <c r="V174">
        <f>30</f>
        <v>30</v>
      </c>
      <c r="W174">
        <f t="shared" ca="1" si="48"/>
        <v>150.68584068759083</v>
      </c>
      <c r="X174">
        <f t="shared" ca="1" si="58"/>
        <v>152.15249130801996</v>
      </c>
      <c r="Y174">
        <f t="shared" ca="1" si="57"/>
        <v>-1.283490002541356</v>
      </c>
      <c r="Z174">
        <f t="shared" ca="1" si="59"/>
        <v>-1.5734227277557333</v>
      </c>
      <c r="AA174">
        <f t="shared" ca="1" si="60"/>
        <v>0.2899327252143773</v>
      </c>
      <c r="AB174">
        <f t="shared" ca="1" si="61"/>
        <v>156.75599999999997</v>
      </c>
    </row>
    <row r="175" spans="1:28" x14ac:dyDescent="0.25">
      <c r="A175" s="20">
        <f t="shared" ca="1" si="41"/>
        <v>45950</v>
      </c>
      <c r="B175" vm="515">
        <f ca="1"/>
        <v>45951</v>
      </c>
      <c r="C175" vm="516">
        <f ca="1"/>
        <v>151.62</v>
      </c>
      <c r="D175" vm="517">
        <f ca="1"/>
        <v>6013379</v>
      </c>
      <c r="E175">
        <f t="shared" ca="1" si="42"/>
        <v>911748523.98000002</v>
      </c>
      <c r="F175">
        <f ca="1">SUM($E$2:E175)/SUM($D$2:D175)</f>
        <v>160.97179018870315</v>
      </c>
      <c r="G175">
        <f ca="1">_xlfn.STDEV.P($C$2:C175)</f>
        <v>6.7112555199443387</v>
      </c>
      <c r="H175">
        <f t="shared" ca="1" si="43"/>
        <v>167.68304570864748</v>
      </c>
      <c r="I175">
        <f t="shared" ca="1" si="44"/>
        <v>154.26053466875882</v>
      </c>
      <c r="J175">
        <f t="shared" ca="1" si="53"/>
        <v>151.21549999999999</v>
      </c>
      <c r="K175">
        <f t="shared" ca="1" si="54"/>
        <v>1.8094444480354523</v>
      </c>
      <c r="L175">
        <f t="shared" ca="1" si="55"/>
        <v>154.83438889607089</v>
      </c>
      <c r="M175">
        <f t="shared" ca="1" si="56"/>
        <v>147.59661110392909</v>
      </c>
      <c r="N175">
        <f t="shared" ca="1" si="45"/>
        <v>-0.34000000000000341</v>
      </c>
      <c r="O175">
        <f t="shared" ca="1" si="46"/>
        <v>0</v>
      </c>
      <c r="P175">
        <f t="shared" ca="1" si="47"/>
        <v>0.34000000000000341</v>
      </c>
      <c r="Q175">
        <f t="shared" ca="1" si="51"/>
        <v>0.58132908130561722</v>
      </c>
      <c r="R175">
        <f t="shared" ca="1" si="52"/>
        <v>0.62585556118425756</v>
      </c>
      <c r="S175">
        <f t="shared" ca="1" si="49"/>
        <v>0.92885502240423279</v>
      </c>
      <c r="T175">
        <f t="shared" ca="1" si="50"/>
        <v>48.155771772129143</v>
      </c>
      <c r="U175">
        <f>70</f>
        <v>70</v>
      </c>
      <c r="V175">
        <f>30</f>
        <v>30</v>
      </c>
      <c r="W175">
        <f t="shared" ca="1" si="48"/>
        <v>150.82955750488455</v>
      </c>
      <c r="X175">
        <f t="shared" ca="1" si="58"/>
        <v>152.1130475074259</v>
      </c>
      <c r="Y175">
        <f t="shared" ca="1" si="57"/>
        <v>-1.0790936209763515</v>
      </c>
      <c r="Z175">
        <f t="shared" ca="1" si="59"/>
        <v>-1.4745569063998569</v>
      </c>
      <c r="AA175">
        <f t="shared" ca="1" si="60"/>
        <v>0.3954632854235054</v>
      </c>
      <c r="AB175">
        <f t="shared" ca="1" si="61"/>
        <v>156.58659999999998</v>
      </c>
    </row>
    <row r="176" spans="1:28" x14ac:dyDescent="0.25">
      <c r="A176" s="20">
        <f t="shared" ca="1" si="41"/>
        <v>45950</v>
      </c>
      <c r="B176" vm="518">
        <f ca="1"/>
        <v>45952</v>
      </c>
      <c r="C176" vm="519">
        <f ca="1"/>
        <v>152.19999999999999</v>
      </c>
      <c r="D176" vm="520">
        <f ca="1"/>
        <v>6394378</v>
      </c>
      <c r="E176">
        <f t="shared" ca="1" si="42"/>
        <v>973224331.5999999</v>
      </c>
      <c r="F176">
        <f ca="1">SUM($E$2:E176)/SUM($D$2:D176)</f>
        <v>160.93186869793897</v>
      </c>
      <c r="G176">
        <f ca="1">_xlfn.STDEV.P($C$2:C176)</f>
        <v>6.7233837049570262</v>
      </c>
      <c r="H176">
        <f t="shared" ca="1" si="43"/>
        <v>167.655252402896</v>
      </c>
      <c r="I176">
        <f t="shared" ca="1" si="44"/>
        <v>154.20848499298194</v>
      </c>
      <c r="J176">
        <f t="shared" ca="1" si="53"/>
        <v>151.2045</v>
      </c>
      <c r="K176">
        <f t="shared" ca="1" si="54"/>
        <v>1.8023916129176247</v>
      </c>
      <c r="L176">
        <f t="shared" ca="1" si="55"/>
        <v>154.80928322583526</v>
      </c>
      <c r="M176">
        <f t="shared" ca="1" si="56"/>
        <v>147.59971677416473</v>
      </c>
      <c r="N176">
        <f t="shared" ca="1" si="45"/>
        <v>0.57999999999998408</v>
      </c>
      <c r="O176">
        <f t="shared" ca="1" si="46"/>
        <v>0.57999999999998408</v>
      </c>
      <c r="P176">
        <f t="shared" ca="1" si="47"/>
        <v>0</v>
      </c>
      <c r="Q176">
        <f t="shared" ca="1" si="51"/>
        <v>0.58123414692664344</v>
      </c>
      <c r="R176">
        <f t="shared" ca="1" si="52"/>
        <v>0.58115159252823911</v>
      </c>
      <c r="S176">
        <f t="shared" ca="1" si="49"/>
        <v>1.0001420531225687</v>
      </c>
      <c r="T176">
        <f t="shared" ca="1" si="50"/>
        <v>50.003551075843518</v>
      </c>
      <c r="U176">
        <f>70</f>
        <v>70</v>
      </c>
      <c r="V176">
        <f>30</f>
        <v>30</v>
      </c>
      <c r="W176">
        <f t="shared" ca="1" si="48"/>
        <v>151.04039481182539</v>
      </c>
      <c r="X176">
        <f t="shared" ca="1" si="58"/>
        <v>152.11948843280175</v>
      </c>
      <c r="Y176">
        <f t="shared" ca="1" si="57"/>
        <v>-0.90585892179038296</v>
      </c>
      <c r="Z176">
        <f t="shared" ca="1" si="59"/>
        <v>-1.3608173094779623</v>
      </c>
      <c r="AA176">
        <f t="shared" ca="1" si="60"/>
        <v>0.45495838768757935</v>
      </c>
      <c r="AB176">
        <f t="shared" ca="1" si="61"/>
        <v>156.40969999999999</v>
      </c>
    </row>
    <row r="177" spans="1:28" x14ac:dyDescent="0.25">
      <c r="A177" s="20">
        <f t="shared" ca="1" si="41"/>
        <v>45950</v>
      </c>
      <c r="B177" vm="521">
        <f ca="1"/>
        <v>45953</v>
      </c>
      <c r="C177" vm="522">
        <f ca="1"/>
        <v>152.21</v>
      </c>
      <c r="D177" vm="523">
        <f ca="1"/>
        <v>8205353</v>
      </c>
      <c r="E177">
        <f t="shared" ca="1" si="42"/>
        <v>1248936780.1300001</v>
      </c>
      <c r="F177">
        <f ca="1">SUM($E$2:E177)/SUM($D$2:D177)</f>
        <v>160.88122818525508</v>
      </c>
      <c r="G177">
        <f ca="1">_xlfn.STDEV.P($C$2:C177)</f>
        <v>6.7349283429740234</v>
      </c>
      <c r="H177">
        <f t="shared" ca="1" si="43"/>
        <v>167.61615652822911</v>
      </c>
      <c r="I177">
        <f t="shared" ca="1" si="44"/>
        <v>154.14629984228105</v>
      </c>
      <c r="J177">
        <f t="shared" ca="1" si="53"/>
        <v>151.20749999999998</v>
      </c>
      <c r="K177">
        <f t="shared" ca="1" si="54"/>
        <v>1.8040973103641516</v>
      </c>
      <c r="L177">
        <f t="shared" ca="1" si="55"/>
        <v>154.81569462072829</v>
      </c>
      <c r="M177">
        <f t="shared" ca="1" si="56"/>
        <v>147.59930537927167</v>
      </c>
      <c r="N177">
        <f t="shared" ca="1" si="45"/>
        <v>1.0000000000019327E-2</v>
      </c>
      <c r="O177">
        <f t="shared" ca="1" si="46"/>
        <v>1.0000000000019327E-2</v>
      </c>
      <c r="P177">
        <f t="shared" ca="1" si="47"/>
        <v>0</v>
      </c>
      <c r="Q177">
        <f t="shared" ca="1" si="51"/>
        <v>0.54043170786045602</v>
      </c>
      <c r="R177">
        <f t="shared" ca="1" si="52"/>
        <v>0.5396407644905078</v>
      </c>
      <c r="S177">
        <f t="shared" ca="1" si="49"/>
        <v>1.0014656849926729</v>
      </c>
      <c r="T177">
        <f t="shared" ca="1" si="50"/>
        <v>50.036615291575139</v>
      </c>
      <c r="U177">
        <f>70</f>
        <v>70</v>
      </c>
      <c r="V177">
        <f>30</f>
        <v>30</v>
      </c>
      <c r="W177">
        <f t="shared" ca="1" si="48"/>
        <v>151.22033407154456</v>
      </c>
      <c r="X177">
        <f t="shared" ca="1" si="58"/>
        <v>152.12619299333494</v>
      </c>
      <c r="Y177">
        <f t="shared" ca="1" si="57"/>
        <v>-0.73747436918839071</v>
      </c>
      <c r="Z177">
        <f t="shared" ca="1" si="59"/>
        <v>-1.2361487214200482</v>
      </c>
      <c r="AA177">
        <f t="shared" ca="1" si="60"/>
        <v>0.49867435223165746</v>
      </c>
      <c r="AB177">
        <f t="shared" ca="1" si="61"/>
        <v>156.25399999999996</v>
      </c>
    </row>
    <row r="178" spans="1:28" x14ac:dyDescent="0.25">
      <c r="A178" s="20">
        <f t="shared" ca="1" si="41"/>
        <v>45950</v>
      </c>
      <c r="B178" vm="524">
        <f ca="1"/>
        <v>45954</v>
      </c>
      <c r="C178" vm="525">
        <f ca="1"/>
        <v>152.49</v>
      </c>
      <c r="D178" vm="526">
        <f ca="1"/>
        <v>11968491</v>
      </c>
      <c r="E178">
        <f t="shared" ca="1" si="42"/>
        <v>1825075192.5900002</v>
      </c>
      <c r="F178">
        <f ca="1">SUM($E$2:E178)/SUM($D$2:D178)</f>
        <v>160.81075990574962</v>
      </c>
      <c r="G178">
        <f ca="1">_xlfn.STDEV.P($C$2:C178)</f>
        <v>6.7440317840020034</v>
      </c>
      <c r="H178">
        <f t="shared" ca="1" si="43"/>
        <v>167.55479168975162</v>
      </c>
      <c r="I178">
        <f t="shared" ca="1" si="44"/>
        <v>154.06672812174762</v>
      </c>
      <c r="J178">
        <f t="shared" ca="1" si="53"/>
        <v>151.20700000000002</v>
      </c>
      <c r="K178">
        <f t="shared" ca="1" si="54"/>
        <v>1.803721591307089</v>
      </c>
      <c r="L178">
        <f t="shared" ca="1" si="55"/>
        <v>154.81444318261421</v>
      </c>
      <c r="M178">
        <f t="shared" ca="1" si="56"/>
        <v>147.59955681738583</v>
      </c>
      <c r="N178">
        <f t="shared" ca="1" si="45"/>
        <v>0.28000000000000114</v>
      </c>
      <c r="O178">
        <f t="shared" ca="1" si="46"/>
        <v>0.28000000000000114</v>
      </c>
      <c r="P178">
        <f t="shared" ca="1" si="47"/>
        <v>0</v>
      </c>
      <c r="Q178">
        <f t="shared" ca="1" si="51"/>
        <v>0.52182944301328071</v>
      </c>
      <c r="R178">
        <f t="shared" ca="1" si="52"/>
        <v>0.50109499559832871</v>
      </c>
      <c r="S178">
        <f t="shared" ca="1" si="49"/>
        <v>1.0413782767680491</v>
      </c>
      <c r="T178">
        <f t="shared" ca="1" si="50"/>
        <v>51.013488711008527</v>
      </c>
      <c r="U178">
        <f>70</f>
        <v>70</v>
      </c>
      <c r="V178">
        <f>30</f>
        <v>30</v>
      </c>
      <c r="W178">
        <f t="shared" ca="1" si="48"/>
        <v>151.41566729130693</v>
      </c>
      <c r="X178">
        <f t="shared" ca="1" si="58"/>
        <v>152.15314166049532</v>
      </c>
      <c r="Y178">
        <f t="shared" ca="1" si="57"/>
        <v>-0.65697394342683424</v>
      </c>
      <c r="Z178">
        <f t="shared" ca="1" si="59"/>
        <v>-1.1203137658214055</v>
      </c>
      <c r="AA178">
        <f t="shared" ca="1" si="60"/>
        <v>0.46333982239457128</v>
      </c>
      <c r="AB178">
        <f t="shared" ca="1" si="61"/>
        <v>156.11039999999997</v>
      </c>
    </row>
    <row r="179" spans="1:28" x14ac:dyDescent="0.25">
      <c r="A179" s="20">
        <f t="shared" ca="1" si="41"/>
        <v>45957</v>
      </c>
      <c r="B179" vm="527">
        <f ca="1"/>
        <v>45957</v>
      </c>
      <c r="C179" vm="528">
        <f ca="1"/>
        <v>151.74</v>
      </c>
      <c r="D179" vm="529">
        <f ca="1"/>
        <v>7775323</v>
      </c>
      <c r="E179">
        <f t="shared" ca="1" si="42"/>
        <v>1179827512.02</v>
      </c>
      <c r="F179">
        <f ca="1">SUM($E$2:E179)/SUM($D$2:D179)</f>
        <v>160.76154145626711</v>
      </c>
      <c r="G179">
        <f ca="1">_xlfn.STDEV.P($C$2:C179)</f>
        <v>6.7580052564406943</v>
      </c>
      <c r="H179">
        <f t="shared" ca="1" si="43"/>
        <v>167.51954671270781</v>
      </c>
      <c r="I179">
        <f t="shared" ca="1" si="44"/>
        <v>154.00353619982641</v>
      </c>
      <c r="J179">
        <f t="shared" ca="1" si="53"/>
        <v>151.11749999999998</v>
      </c>
      <c r="K179">
        <f t="shared" ca="1" si="54"/>
        <v>1.7250839033752012</v>
      </c>
      <c r="L179">
        <f t="shared" ca="1" si="55"/>
        <v>154.56766780675039</v>
      </c>
      <c r="M179">
        <f t="shared" ca="1" si="56"/>
        <v>147.66733219324956</v>
      </c>
      <c r="N179">
        <f t="shared" ca="1" si="45"/>
        <v>-0.75</v>
      </c>
      <c r="O179">
        <f t="shared" ca="1" si="46"/>
        <v>0</v>
      </c>
      <c r="P179">
        <f t="shared" ca="1" si="47"/>
        <v>0.75</v>
      </c>
      <c r="Q179">
        <f t="shared" ca="1" si="51"/>
        <v>0.48455591136947496</v>
      </c>
      <c r="R179">
        <f t="shared" ca="1" si="52"/>
        <v>0.51887392448416236</v>
      </c>
      <c r="S179">
        <f t="shared" ca="1" si="49"/>
        <v>0.93386059407628819</v>
      </c>
      <c r="T179">
        <f t="shared" ca="1" si="50"/>
        <v>48.289964485384651</v>
      </c>
      <c r="U179">
        <f>70</f>
        <v>70</v>
      </c>
      <c r="V179">
        <f>30</f>
        <v>30</v>
      </c>
      <c r="W179">
        <f t="shared" ca="1" si="48"/>
        <v>151.46556463110588</v>
      </c>
      <c r="X179">
        <f t="shared" ca="1" si="58"/>
        <v>152.12253857453271</v>
      </c>
      <c r="Y179">
        <f t="shared" ca="1" si="57"/>
        <v>-0.61593259625266228</v>
      </c>
      <c r="Z179">
        <f t="shared" ca="1" si="59"/>
        <v>-1.019437531907657</v>
      </c>
      <c r="AA179">
        <f t="shared" ca="1" si="60"/>
        <v>0.40350493565499468</v>
      </c>
      <c r="AB179">
        <f t="shared" ca="1" si="61"/>
        <v>155.96829999999997</v>
      </c>
    </row>
    <row r="180" spans="1:28" x14ac:dyDescent="0.25">
      <c r="A180" s="20">
        <f t="shared" ca="1" si="41"/>
        <v>45957</v>
      </c>
      <c r="B180" vm="530">
        <f ca="1"/>
        <v>45958</v>
      </c>
      <c r="C180" vm="531">
        <f ca="1"/>
        <v>151.37</v>
      </c>
      <c r="D180" vm="532">
        <f ca="1"/>
        <v>5819257</v>
      </c>
      <c r="E180">
        <f t="shared" ca="1" si="42"/>
        <v>880860932.09000003</v>
      </c>
      <c r="F180">
        <f ca="1">SUM($E$2:E180)/SUM($D$2:D180)</f>
        <v>160.72355663085204</v>
      </c>
      <c r="G180">
        <f ca="1">_xlfn.STDEV.P($C$2:C180)</f>
        <v>6.7741770052760577</v>
      </c>
      <c r="H180">
        <f t="shared" ca="1" si="43"/>
        <v>167.49773363612809</v>
      </c>
      <c r="I180">
        <f t="shared" ca="1" si="44"/>
        <v>153.949379625576</v>
      </c>
      <c r="J180">
        <f t="shared" ca="1" si="53"/>
        <v>151.00349999999997</v>
      </c>
      <c r="K180">
        <f t="shared" ca="1" si="54"/>
        <v>1.6211213630336934</v>
      </c>
      <c r="L180">
        <f t="shared" ca="1" si="55"/>
        <v>154.24574272606736</v>
      </c>
      <c r="M180">
        <f t="shared" ca="1" si="56"/>
        <v>147.76125727393259</v>
      </c>
      <c r="N180">
        <f t="shared" ca="1" si="45"/>
        <v>-0.37000000000000455</v>
      </c>
      <c r="O180">
        <f t="shared" ca="1" si="46"/>
        <v>0</v>
      </c>
      <c r="P180">
        <f t="shared" ca="1" si="47"/>
        <v>0.37000000000000455</v>
      </c>
      <c r="Q180">
        <f t="shared" ca="1" si="51"/>
        <v>0.44994477484308387</v>
      </c>
      <c r="R180">
        <f t="shared" ca="1" si="52"/>
        <v>0.50824007273529392</v>
      </c>
      <c r="S180">
        <f t="shared" ca="1" si="49"/>
        <v>0.88529968213944454</v>
      </c>
      <c r="T180">
        <f t="shared" ca="1" si="50"/>
        <v>46.958034869809318</v>
      </c>
      <c r="U180">
        <f>70</f>
        <v>70</v>
      </c>
      <c r="V180">
        <f>30</f>
        <v>30</v>
      </c>
      <c r="W180">
        <f t="shared" ca="1" si="48"/>
        <v>151.45086238016651</v>
      </c>
      <c r="X180">
        <f t="shared" ca="1" si="58"/>
        <v>152.06679497641917</v>
      </c>
      <c r="Y180">
        <f t="shared" ca="1" si="57"/>
        <v>-0.7841659271418564</v>
      </c>
      <c r="Z180">
        <f t="shared" ca="1" si="59"/>
        <v>-0.97238321095449698</v>
      </c>
      <c r="AA180">
        <f t="shared" ca="1" si="60"/>
        <v>0.18821728381264058</v>
      </c>
      <c r="AB180">
        <f t="shared" ca="1" si="61"/>
        <v>155.85399999999998</v>
      </c>
    </row>
    <row r="181" spans="1:28" x14ac:dyDescent="0.25">
      <c r="A181" s="20">
        <f t="shared" ca="1" si="41"/>
        <v>45957</v>
      </c>
      <c r="B181" vm="533">
        <f ca="1"/>
        <v>45959</v>
      </c>
      <c r="C181" vm="534">
        <f ca="1"/>
        <v>148.77000000000001</v>
      </c>
      <c r="D181" vm="535">
        <f ca="1"/>
        <v>7405466</v>
      </c>
      <c r="E181">
        <f t="shared" ca="1" si="42"/>
        <v>1101711176.8200002</v>
      </c>
      <c r="F181">
        <f ca="1">SUM($E$2:E181)/SUM($D$2:D181)</f>
        <v>160.66234616964346</v>
      </c>
      <c r="G181">
        <f ca="1">_xlfn.STDEV.P($C$2:C181)</f>
        <v>6.8118917225324545</v>
      </c>
      <c r="H181">
        <f t="shared" ca="1" si="43"/>
        <v>167.47423789217592</v>
      </c>
      <c r="I181">
        <f t="shared" ca="1" si="44"/>
        <v>153.85045444711099</v>
      </c>
      <c r="J181">
        <f t="shared" ca="1" si="53"/>
        <v>150.78299999999996</v>
      </c>
      <c r="K181">
        <f t="shared" ca="1" si="54"/>
        <v>1.6093741836993352</v>
      </c>
      <c r="L181">
        <f t="shared" ca="1" si="55"/>
        <v>154.00174836739862</v>
      </c>
      <c r="M181">
        <f t="shared" ca="1" si="56"/>
        <v>147.5642516326013</v>
      </c>
      <c r="N181">
        <f t="shared" ca="1" si="45"/>
        <v>-2.5999999999999943</v>
      </c>
      <c r="O181">
        <f t="shared" ca="1" si="46"/>
        <v>0</v>
      </c>
      <c r="P181">
        <f t="shared" ca="1" si="47"/>
        <v>2.5999999999999943</v>
      </c>
      <c r="Q181">
        <f t="shared" ca="1" si="51"/>
        <v>0.41780586235429212</v>
      </c>
      <c r="R181">
        <f t="shared" ca="1" si="52"/>
        <v>0.65765149611134388</v>
      </c>
      <c r="S181">
        <f t="shared" ca="1" si="49"/>
        <v>0.63529979757478627</v>
      </c>
      <c r="T181">
        <f t="shared" ca="1" si="50"/>
        <v>38.849133260883463</v>
      </c>
      <c r="U181">
        <f>70</f>
        <v>70</v>
      </c>
      <c r="V181">
        <f>30</f>
        <v>30</v>
      </c>
      <c r="W181">
        <f t="shared" ca="1" si="48"/>
        <v>151.03842201398703</v>
      </c>
      <c r="X181">
        <f t="shared" ca="1" si="58"/>
        <v>151.82258794112889</v>
      </c>
      <c r="Y181">
        <f t="shared" ca="1" si="57"/>
        <v>-0.84242091940953401</v>
      </c>
      <c r="Z181">
        <f t="shared" ca="1" si="59"/>
        <v>-0.94639075264550443</v>
      </c>
      <c r="AA181">
        <f t="shared" ca="1" si="60"/>
        <v>0.10396983323597042</v>
      </c>
      <c r="AB181">
        <f t="shared" ca="1" si="61"/>
        <v>155.70149999999998</v>
      </c>
    </row>
    <row r="182" spans="1:28" x14ac:dyDescent="0.25">
      <c r="A182" s="20">
        <f t="shared" ca="1" si="41"/>
        <v>45957</v>
      </c>
      <c r="B182" vm="536">
        <f ca="1"/>
        <v>45960</v>
      </c>
      <c r="C182" vm="537">
        <f ca="1"/>
        <v>149.58000000000001</v>
      </c>
      <c r="D182" vm="538">
        <f ca="1"/>
        <v>6760702</v>
      </c>
      <c r="E182">
        <f t="shared" ca="1" si="42"/>
        <v>1011265805.1600001</v>
      </c>
      <c r="F182">
        <f ca="1">SUM($E$2:E182)/SUM($D$2:D182)</f>
        <v>160.6107789056723</v>
      </c>
      <c r="G182">
        <f ca="1">_xlfn.STDEV.P($C$2:C182)</f>
        <v>6.8410130001906069</v>
      </c>
      <c r="H182">
        <f t="shared" ca="1" si="43"/>
        <v>167.4517919058629</v>
      </c>
      <c r="I182">
        <f t="shared" ca="1" si="44"/>
        <v>153.76976590548171</v>
      </c>
      <c r="J182">
        <f t="shared" ca="1" si="53"/>
        <v>150.65950000000001</v>
      </c>
      <c r="K182">
        <f t="shared" ca="1" si="54"/>
        <v>1.6017834632552237</v>
      </c>
      <c r="L182">
        <f t="shared" ca="1" si="55"/>
        <v>153.86306692651044</v>
      </c>
      <c r="M182">
        <f t="shared" ca="1" si="56"/>
        <v>147.45593307348958</v>
      </c>
      <c r="N182">
        <f t="shared" ca="1" si="45"/>
        <v>0.81000000000000227</v>
      </c>
      <c r="O182">
        <f t="shared" ca="1" si="46"/>
        <v>0.81000000000000227</v>
      </c>
      <c r="P182">
        <f t="shared" ca="1" si="47"/>
        <v>0</v>
      </c>
      <c r="Q182">
        <f t="shared" ca="1" si="51"/>
        <v>0.44581972932898573</v>
      </c>
      <c r="R182">
        <f t="shared" ca="1" si="52"/>
        <v>0.61067638924624779</v>
      </c>
      <c r="S182">
        <f t="shared" ca="1" si="49"/>
        <v>0.73004251872134251</v>
      </c>
      <c r="T182">
        <f t="shared" ca="1" si="50"/>
        <v>42.197952409915899</v>
      </c>
      <c r="U182">
        <f>70</f>
        <v>70</v>
      </c>
      <c r="V182">
        <f>30</f>
        <v>30</v>
      </c>
      <c r="W182">
        <f t="shared" ca="1" si="48"/>
        <v>150.81404939645057</v>
      </c>
      <c r="X182">
        <f t="shared" ca="1" si="58"/>
        <v>151.6564703158601</v>
      </c>
      <c r="Y182">
        <f t="shared" ca="1" si="57"/>
        <v>-0.81544211370001562</v>
      </c>
      <c r="Z182">
        <f t="shared" ca="1" si="59"/>
        <v>-0.92020102485640676</v>
      </c>
      <c r="AA182">
        <f t="shared" ca="1" si="60"/>
        <v>0.10475891115639113</v>
      </c>
      <c r="AB182">
        <f t="shared" ca="1" si="61"/>
        <v>155.57169999999999</v>
      </c>
    </row>
    <row r="183" spans="1:28" x14ac:dyDescent="0.25">
      <c r="A183" s="20">
        <f t="shared" ca="1" si="41"/>
        <v>45957</v>
      </c>
      <c r="B183" vm="539">
        <f ca="1"/>
        <v>45961</v>
      </c>
      <c r="C183" vm="540">
        <f ca="1"/>
        <v>150.37</v>
      </c>
      <c r="D183" vm="541">
        <f ca="1"/>
        <v>7930334</v>
      </c>
      <c r="E183">
        <f t="shared" ca="1" si="42"/>
        <v>1192484323.5799999</v>
      </c>
      <c r="F183">
        <f ca="1">SUM($E$2:E183)/SUM($D$2:D183)</f>
        <v>160.55518706258684</v>
      </c>
      <c r="G183">
        <f ca="1">_xlfn.STDEV.P($C$2:C183)</f>
        <v>6.8625995628429592</v>
      </c>
      <c r="H183">
        <f t="shared" ca="1" si="43"/>
        <v>167.41778662542981</v>
      </c>
      <c r="I183">
        <f t="shared" ca="1" si="44"/>
        <v>153.69258749974387</v>
      </c>
      <c r="J183">
        <f t="shared" ca="1" si="53"/>
        <v>150.56449999999998</v>
      </c>
      <c r="K183">
        <f t="shared" ca="1" si="54"/>
        <v>1.5569554467478823</v>
      </c>
      <c r="L183">
        <f t="shared" ca="1" si="55"/>
        <v>153.67841089349574</v>
      </c>
      <c r="M183">
        <f t="shared" ca="1" si="56"/>
        <v>147.45058910650422</v>
      </c>
      <c r="N183">
        <f t="shared" ca="1" si="45"/>
        <v>0.78999999999999204</v>
      </c>
      <c r="O183">
        <f t="shared" ca="1" si="46"/>
        <v>0.78999999999999204</v>
      </c>
      <c r="P183">
        <f t="shared" ca="1" si="47"/>
        <v>0</v>
      </c>
      <c r="Q183">
        <f t="shared" ca="1" si="51"/>
        <v>0.47040403437691475</v>
      </c>
      <c r="R183">
        <f t="shared" ca="1" si="52"/>
        <v>0.56705664715723014</v>
      </c>
      <c r="S183">
        <f t="shared" ca="1" si="49"/>
        <v>0.82955386685817978</v>
      </c>
      <c r="T183">
        <f t="shared" ca="1" si="50"/>
        <v>45.341866226805315</v>
      </c>
      <c r="U183">
        <f>70</f>
        <v>70</v>
      </c>
      <c r="V183">
        <f>30</f>
        <v>30</v>
      </c>
      <c r="W183">
        <f t="shared" ca="1" si="48"/>
        <v>150.74573410468895</v>
      </c>
      <c r="X183">
        <f t="shared" ca="1" si="58"/>
        <v>151.56117621838897</v>
      </c>
      <c r="Y183">
        <f t="shared" ca="1" si="57"/>
        <v>-0.97247647260340386</v>
      </c>
      <c r="Z183">
        <f t="shared" ca="1" si="59"/>
        <v>-0.93065611440580631</v>
      </c>
      <c r="AA183">
        <f t="shared" ca="1" si="60"/>
        <v>-4.1820358197597551E-2</v>
      </c>
      <c r="AB183">
        <f t="shared" ca="1" si="61"/>
        <v>155.447</v>
      </c>
    </row>
    <row r="184" spans="1:28" x14ac:dyDescent="0.25">
      <c r="A184" s="20">
        <f t="shared" ca="1" si="41"/>
        <v>45964</v>
      </c>
      <c r="B184" vm="542">
        <f ca="1"/>
        <v>45964</v>
      </c>
      <c r="C184" vm="543">
        <f ca="1"/>
        <v>148.02000000000001</v>
      </c>
      <c r="D184" vm="544">
        <f ca="1"/>
        <v>8946383</v>
      </c>
      <c r="E184">
        <f t="shared" ca="1" si="42"/>
        <v>1324243611.6600001</v>
      </c>
      <c r="F184">
        <f ca="1">SUM($E$2:E184)/SUM($D$2:D184)</f>
        <v>160.47888901797012</v>
      </c>
      <c r="G184">
        <f ca="1">_xlfn.STDEV.P($C$2:C184)</f>
        <v>6.9041575471590946</v>
      </c>
      <c r="H184">
        <f t="shared" ca="1" si="43"/>
        <v>167.38304656512921</v>
      </c>
      <c r="I184">
        <f t="shared" ca="1" si="44"/>
        <v>153.57473147081103</v>
      </c>
      <c r="J184">
        <f t="shared" ca="1" si="53"/>
        <v>150.44499999999999</v>
      </c>
      <c r="K184">
        <f t="shared" ca="1" si="54"/>
        <v>1.6578854636332137</v>
      </c>
      <c r="L184">
        <f t="shared" ca="1" si="55"/>
        <v>153.76077092726641</v>
      </c>
      <c r="M184">
        <f t="shared" ca="1" si="56"/>
        <v>147.12922907273358</v>
      </c>
      <c r="N184">
        <f t="shared" ca="1" si="45"/>
        <v>-2.3499999999999943</v>
      </c>
      <c r="O184">
        <f t="shared" ca="1" si="46"/>
        <v>0</v>
      </c>
      <c r="P184">
        <f t="shared" ca="1" si="47"/>
        <v>2.3499999999999943</v>
      </c>
      <c r="Q184">
        <f t="shared" ca="1" si="51"/>
        <v>0.43680374620713514</v>
      </c>
      <c r="R184">
        <f t="shared" ca="1" si="52"/>
        <v>0.69440974378885623</v>
      </c>
      <c r="S184">
        <f t="shared" ca="1" si="49"/>
        <v>0.62902882644450719</v>
      </c>
      <c r="T184">
        <f t="shared" ca="1" si="50"/>
        <v>38.613732073570219</v>
      </c>
      <c r="U184">
        <f>70</f>
        <v>70</v>
      </c>
      <c r="V184">
        <f>30</f>
        <v>30</v>
      </c>
      <c r="W184">
        <f t="shared" ca="1" si="48"/>
        <v>150.32639039627526</v>
      </c>
      <c r="X184">
        <f t="shared" ca="1" si="58"/>
        <v>151.29886686887866</v>
      </c>
      <c r="Y184">
        <f t="shared" ca="1" si="57"/>
        <v>-1.1522330048199763</v>
      </c>
      <c r="Z184">
        <f t="shared" ca="1" si="59"/>
        <v>-0.97497149248864035</v>
      </c>
      <c r="AA184">
        <f t="shared" ca="1" si="60"/>
        <v>-0.17726151233133591</v>
      </c>
      <c r="AB184">
        <f t="shared" ca="1" si="61"/>
        <v>155.30610000000001</v>
      </c>
    </row>
    <row r="185" spans="1:28" x14ac:dyDescent="0.25">
      <c r="A185" s="20">
        <f t="shared" ca="1" si="41"/>
        <v>45964</v>
      </c>
      <c r="B185" vm="545">
        <f ca="1"/>
        <v>45965</v>
      </c>
      <c r="C185" vm="546">
        <f ca="1"/>
        <v>147.16999999999999</v>
      </c>
      <c r="D185" vm="547">
        <f ca="1"/>
        <v>9295449</v>
      </c>
      <c r="E185">
        <f t="shared" ca="1" si="42"/>
        <v>1368011229.3299999</v>
      </c>
      <c r="F185">
        <f ca="1">SUM($E$2:E185)/SUM($D$2:D185)</f>
        <v>160.39524991584634</v>
      </c>
      <c r="G185">
        <f ca="1">_xlfn.STDEV.P($C$2:C185)</f>
        <v>6.9527786830451035</v>
      </c>
      <c r="H185">
        <f t="shared" ca="1" si="43"/>
        <v>167.34802859889143</v>
      </c>
      <c r="I185">
        <f t="shared" ca="1" si="44"/>
        <v>153.44247123280124</v>
      </c>
      <c r="J185">
        <f t="shared" ca="1" si="53"/>
        <v>150.17649999999998</v>
      </c>
      <c r="K185">
        <f t="shared" ca="1" si="54"/>
        <v>1.7338405044111902</v>
      </c>
      <c r="L185">
        <f t="shared" ca="1" si="55"/>
        <v>153.64418100882236</v>
      </c>
      <c r="M185">
        <f t="shared" ca="1" si="56"/>
        <v>146.70881899117759</v>
      </c>
      <c r="N185">
        <f t="shared" ca="1" si="45"/>
        <v>-0.85000000000002274</v>
      </c>
      <c r="O185">
        <f t="shared" ca="1" si="46"/>
        <v>0</v>
      </c>
      <c r="P185">
        <f t="shared" ca="1" si="47"/>
        <v>0.85000000000002274</v>
      </c>
      <c r="Q185">
        <f t="shared" ca="1" si="51"/>
        <v>0.40560347862091117</v>
      </c>
      <c r="R185">
        <f t="shared" ca="1" si="52"/>
        <v>0.70552333351822527</v>
      </c>
      <c r="S185">
        <f t="shared" ca="1" si="49"/>
        <v>0.57489732706400065</v>
      </c>
      <c r="T185">
        <f t="shared" ca="1" si="50"/>
        <v>36.503797243452816</v>
      </c>
      <c r="U185">
        <f>70</f>
        <v>70</v>
      </c>
      <c r="V185">
        <f>30</f>
        <v>30</v>
      </c>
      <c r="W185">
        <f t="shared" ca="1" si="48"/>
        <v>149.84079187377137</v>
      </c>
      <c r="X185">
        <f t="shared" ca="1" si="58"/>
        <v>150.99302487859134</v>
      </c>
      <c r="Y185">
        <f t="shared" ca="1" si="57"/>
        <v>-1.3900225043649073</v>
      </c>
      <c r="Z185">
        <f t="shared" ca="1" si="59"/>
        <v>-1.0579816948638938</v>
      </c>
      <c r="AA185">
        <f t="shared" ca="1" si="60"/>
        <v>-0.33204080950101345</v>
      </c>
      <c r="AB185">
        <f t="shared" ca="1" si="61"/>
        <v>155.14600000000002</v>
      </c>
    </row>
    <row r="186" spans="1:28" x14ac:dyDescent="0.25">
      <c r="A186" s="20">
        <f t="shared" ca="1" si="41"/>
        <v>45964</v>
      </c>
      <c r="B186" vm="548">
        <f ca="1"/>
        <v>45966</v>
      </c>
      <c r="C186" vm="549">
        <f ca="1"/>
        <v>145.79</v>
      </c>
      <c r="D186" vm="550">
        <f ca="1"/>
        <v>11199878</v>
      </c>
      <c r="E186">
        <f t="shared" ca="1" si="42"/>
        <v>1632830213.6199999</v>
      </c>
      <c r="F186">
        <f ca="1">SUM($E$2:E186)/SUM($D$2:D186)</f>
        <v>160.28549009701507</v>
      </c>
      <c r="G186">
        <f ca="1">_xlfn.STDEV.P($C$2:C186)</f>
        <v>7.0143897247802682</v>
      </c>
      <c r="H186">
        <f t="shared" ca="1" si="43"/>
        <v>167.29987982179534</v>
      </c>
      <c r="I186">
        <f t="shared" ca="1" si="44"/>
        <v>153.2711003722348</v>
      </c>
      <c r="J186">
        <f t="shared" ca="1" si="53"/>
        <v>149.9315</v>
      </c>
      <c r="K186">
        <f t="shared" ca="1" si="54"/>
        <v>1.9854080185191185</v>
      </c>
      <c r="L186">
        <f t="shared" ca="1" si="55"/>
        <v>153.90231603703825</v>
      </c>
      <c r="M186">
        <f t="shared" ca="1" si="56"/>
        <v>145.96068396296175</v>
      </c>
      <c r="N186">
        <f t="shared" ca="1" si="45"/>
        <v>-1.3799999999999955</v>
      </c>
      <c r="O186">
        <f t="shared" ca="1" si="46"/>
        <v>0</v>
      </c>
      <c r="P186">
        <f t="shared" ca="1" si="47"/>
        <v>1.3799999999999955</v>
      </c>
      <c r="Q186">
        <f t="shared" ca="1" si="51"/>
        <v>0.3766318015765604</v>
      </c>
      <c r="R186">
        <f t="shared" ca="1" si="52"/>
        <v>0.75370023826692312</v>
      </c>
      <c r="S186">
        <f t="shared" ca="1" si="49"/>
        <v>0.49971033901036949</v>
      </c>
      <c r="T186">
        <f t="shared" ca="1" si="50"/>
        <v>33.32045702506251</v>
      </c>
      <c r="U186">
        <f>70</f>
        <v>70</v>
      </c>
      <c r="V186">
        <f>30</f>
        <v>30</v>
      </c>
      <c r="W186">
        <f t="shared" ca="1" si="48"/>
        <v>149.2175931239604</v>
      </c>
      <c r="X186">
        <f t="shared" ca="1" si="58"/>
        <v>150.60761562832531</v>
      </c>
      <c r="Y186">
        <f t="shared" ca="1" si="57"/>
        <v>-1.5333615994002514</v>
      </c>
      <c r="Z186">
        <f t="shared" ca="1" si="59"/>
        <v>-1.1530576757711652</v>
      </c>
      <c r="AA186">
        <f t="shared" ca="1" si="60"/>
        <v>-0.38030392362908616</v>
      </c>
      <c r="AB186">
        <f t="shared" ca="1" si="61"/>
        <v>155.00110000000004</v>
      </c>
    </row>
    <row r="187" spans="1:28" x14ac:dyDescent="0.25">
      <c r="A187" s="20">
        <f t="shared" ca="1" si="41"/>
        <v>45964</v>
      </c>
      <c r="B187" vm="551">
        <f ca="1"/>
        <v>45967</v>
      </c>
      <c r="C187" vm="552">
        <f ca="1"/>
        <v>146.13</v>
      </c>
      <c r="D187" vm="553">
        <f ca="1"/>
        <v>10024549</v>
      </c>
      <c r="E187">
        <f t="shared" ca="1" si="42"/>
        <v>1464887345.3699999</v>
      </c>
      <c r="F187">
        <f ca="1">SUM($E$2:E187)/SUM($D$2:D187)</f>
        <v>160.19091008368537</v>
      </c>
      <c r="G187">
        <f ca="1">_xlfn.STDEV.P($C$2:C187)</f>
        <v>7.0703125276905858</v>
      </c>
      <c r="H187">
        <f t="shared" ca="1" si="43"/>
        <v>167.26122261137596</v>
      </c>
      <c r="I187">
        <f t="shared" ca="1" si="44"/>
        <v>153.12059755599478</v>
      </c>
      <c r="J187">
        <f t="shared" ca="1" si="53"/>
        <v>149.709</v>
      </c>
      <c r="K187">
        <f t="shared" ca="1" si="54"/>
        <v>2.1513249283565781</v>
      </c>
      <c r="L187">
        <f t="shared" ca="1" si="55"/>
        <v>154.01164985671315</v>
      </c>
      <c r="M187">
        <f t="shared" ca="1" si="56"/>
        <v>145.40635014328686</v>
      </c>
      <c r="N187">
        <f t="shared" ca="1" si="45"/>
        <v>0.34000000000000341</v>
      </c>
      <c r="O187">
        <f t="shared" ca="1" si="46"/>
        <v>0.34000000000000341</v>
      </c>
      <c r="P187">
        <f t="shared" ca="1" si="47"/>
        <v>0</v>
      </c>
      <c r="Q187">
        <f t="shared" ca="1" si="51"/>
        <v>0.37401524432109207</v>
      </c>
      <c r="R187">
        <f t="shared" ca="1" si="52"/>
        <v>0.69986450696214297</v>
      </c>
      <c r="S187">
        <f t="shared" ca="1" si="49"/>
        <v>0.53441093325986211</v>
      </c>
      <c r="T187">
        <f t="shared" ca="1" si="50"/>
        <v>34.828410152455305</v>
      </c>
      <c r="U187">
        <f>70</f>
        <v>70</v>
      </c>
      <c r="V187">
        <f>30</f>
        <v>30</v>
      </c>
      <c r="W187">
        <f t="shared" ca="1" si="48"/>
        <v>148.74257879719727</v>
      </c>
      <c r="X187">
        <f t="shared" ca="1" si="58"/>
        <v>150.27594039659752</v>
      </c>
      <c r="Y187">
        <f t="shared" ca="1" si="57"/>
        <v>-1.5603838351185289</v>
      </c>
      <c r="Z187">
        <f t="shared" ca="1" si="59"/>
        <v>-1.2345229076406379</v>
      </c>
      <c r="AA187">
        <f t="shared" ca="1" si="60"/>
        <v>-0.32586092747789097</v>
      </c>
      <c r="AB187">
        <f t="shared" ca="1" si="61"/>
        <v>154.8536</v>
      </c>
    </row>
    <row r="188" spans="1:28" x14ac:dyDescent="0.25">
      <c r="A188" s="20">
        <f t="shared" ca="1" si="41"/>
        <v>45964</v>
      </c>
      <c r="B188" vm="554">
        <f ca="1"/>
        <v>45968</v>
      </c>
      <c r="C188" vm="555">
        <f ca="1"/>
        <v>146.97999999999999</v>
      </c>
      <c r="D188" vm="556">
        <f ca="1"/>
        <v>8500097</v>
      </c>
      <c r="E188">
        <f t="shared" ca="1" si="42"/>
        <v>1249344257.0599999</v>
      </c>
      <c r="F188">
        <f ca="1">SUM($E$2:E188)/SUM($D$2:D188)</f>
        <v>160.11648613455395</v>
      </c>
      <c r="G188">
        <f ca="1">_xlfn.STDEV.P($C$2:C188)</f>
        <v>7.1158305544325611</v>
      </c>
      <c r="H188">
        <f t="shared" ca="1" si="43"/>
        <v>167.23231668898651</v>
      </c>
      <c r="I188">
        <f t="shared" ca="1" si="44"/>
        <v>153.00065558012139</v>
      </c>
      <c r="J188">
        <f t="shared" ca="1" si="53"/>
        <v>149.57350000000002</v>
      </c>
      <c r="K188">
        <f t="shared" ca="1" si="54"/>
        <v>2.2362522101427738</v>
      </c>
      <c r="L188">
        <f t="shared" ca="1" si="55"/>
        <v>154.04600442028558</v>
      </c>
      <c r="M188">
        <f t="shared" ca="1" si="56"/>
        <v>145.10099557971446</v>
      </c>
      <c r="N188">
        <f t="shared" ca="1" si="45"/>
        <v>0.84999999999999432</v>
      </c>
      <c r="O188">
        <f t="shared" ca="1" si="46"/>
        <v>0.84999999999999432</v>
      </c>
      <c r="P188">
        <f t="shared" ca="1" si="47"/>
        <v>0</v>
      </c>
      <c r="Q188">
        <f t="shared" ca="1" si="51"/>
        <v>0.40801415544101366</v>
      </c>
      <c r="R188">
        <f t="shared" ca="1" si="52"/>
        <v>0.64987418503627559</v>
      </c>
      <c r="S188">
        <f t="shared" ca="1" si="49"/>
        <v>0.62783561008541766</v>
      </c>
      <c r="T188">
        <f t="shared" ca="1" si="50"/>
        <v>38.568735454341926</v>
      </c>
      <c r="U188">
        <f>70</f>
        <v>70</v>
      </c>
      <c r="V188">
        <f>30</f>
        <v>30</v>
      </c>
      <c r="W188">
        <f t="shared" ca="1" si="48"/>
        <v>148.47141282839769</v>
      </c>
      <c r="X188">
        <f t="shared" ca="1" si="58"/>
        <v>150.03179666351622</v>
      </c>
      <c r="Y188">
        <f t="shared" ca="1" si="57"/>
        <v>-1.6818356285146763</v>
      </c>
      <c r="Z188">
        <f t="shared" ca="1" si="59"/>
        <v>-1.3239854518154455</v>
      </c>
      <c r="AA188">
        <f t="shared" ca="1" si="60"/>
        <v>-0.3578501766992308</v>
      </c>
      <c r="AB188">
        <f t="shared" ca="1" si="61"/>
        <v>154.73820000000001</v>
      </c>
    </row>
    <row r="189" spans="1:28" x14ac:dyDescent="0.25">
      <c r="A189" s="20">
        <f t="shared" ca="1" si="41"/>
        <v>45971</v>
      </c>
      <c r="B189" vm="557">
        <f ca="1"/>
        <v>45971</v>
      </c>
      <c r="C189" vm="558">
        <f ca="1"/>
        <v>145.5</v>
      </c>
      <c r="D189" vm="559">
        <f ca="1"/>
        <v>10208085</v>
      </c>
      <c r="E189">
        <f t="shared" ca="1" si="42"/>
        <v>1485276367.5</v>
      </c>
      <c r="F189">
        <f ca="1">SUM($E$2:E189)/SUM($D$2:D189)</f>
        <v>160.01826272137134</v>
      </c>
      <c r="G189">
        <f ca="1">_xlfn.STDEV.P($C$2:C189)</f>
        <v>7.1749506877827436</v>
      </c>
      <c r="H189">
        <f t="shared" ca="1" si="43"/>
        <v>167.19321340915408</v>
      </c>
      <c r="I189">
        <f t="shared" ca="1" si="44"/>
        <v>152.8433120335886</v>
      </c>
      <c r="J189">
        <f t="shared" ca="1" si="53"/>
        <v>149.47399999999999</v>
      </c>
      <c r="K189">
        <f t="shared" ca="1" si="54"/>
        <v>2.3738718096015785</v>
      </c>
      <c r="L189">
        <f t="shared" ca="1" si="55"/>
        <v>154.22174361920315</v>
      </c>
      <c r="M189">
        <f t="shared" ca="1" si="56"/>
        <v>144.72625638079683</v>
      </c>
      <c r="N189">
        <f t="shared" ca="1" si="45"/>
        <v>-1.4799999999999898</v>
      </c>
      <c r="O189">
        <f t="shared" ca="1" si="46"/>
        <v>0</v>
      </c>
      <c r="P189">
        <f t="shared" ca="1" si="47"/>
        <v>1.4799999999999898</v>
      </c>
      <c r="Q189">
        <f t="shared" ca="1" si="51"/>
        <v>0.37887028719522692</v>
      </c>
      <c r="R189">
        <f t="shared" ca="1" si="52"/>
        <v>0.70916888610511231</v>
      </c>
      <c r="S189">
        <f t="shared" ca="1" si="49"/>
        <v>0.53424550148562377</v>
      </c>
      <c r="T189">
        <f t="shared" ca="1" si="50"/>
        <v>34.821382951314447</v>
      </c>
      <c r="U189">
        <f>70</f>
        <v>70</v>
      </c>
      <c r="V189">
        <f>30</f>
        <v>30</v>
      </c>
      <c r="W189">
        <f t="shared" ca="1" si="48"/>
        <v>148.0142723932596</v>
      </c>
      <c r="X189">
        <f t="shared" ca="1" si="58"/>
        <v>149.69610802177428</v>
      </c>
      <c r="Y189">
        <f t="shared" ca="1" si="57"/>
        <v>-1.5153168270043693</v>
      </c>
      <c r="Z189">
        <f t="shared" ca="1" si="59"/>
        <v>-1.3622517268532304</v>
      </c>
      <c r="AA189">
        <f t="shared" ca="1" si="60"/>
        <v>-0.15306510015113894</v>
      </c>
      <c r="AB189">
        <f t="shared" ca="1" si="61"/>
        <v>154.613</v>
      </c>
    </row>
    <row r="190" spans="1:28" x14ac:dyDescent="0.25">
      <c r="A190" s="20">
        <f t="shared" ca="1" si="41"/>
        <v>45971</v>
      </c>
      <c r="B190" vm="560">
        <f ca="1"/>
        <v>45972</v>
      </c>
      <c r="C190" vm="561">
        <f ca="1"/>
        <v>148.54</v>
      </c>
      <c r="D190" vm="562">
        <f ca="1"/>
        <v>7332540</v>
      </c>
      <c r="E190">
        <f t="shared" ca="1" si="42"/>
        <v>1089175491.5999999</v>
      </c>
      <c r="F190">
        <f ca="1">SUM($E$2:E190)/SUM($D$2:D190)</f>
        <v>159.96312268517926</v>
      </c>
      <c r="G190">
        <f ca="1">_xlfn.STDEV.P($C$2:C190)</f>
        <v>7.2035315518041738</v>
      </c>
      <c r="H190">
        <f t="shared" ca="1" si="43"/>
        <v>167.16665423698342</v>
      </c>
      <c r="I190">
        <f t="shared" ca="1" si="44"/>
        <v>152.7595911333751</v>
      </c>
      <c r="J190">
        <f t="shared" ca="1" si="53"/>
        <v>149.44300000000001</v>
      </c>
      <c r="K190">
        <f t="shared" ca="1" si="54"/>
        <v>2.3822216521558235</v>
      </c>
      <c r="L190">
        <f t="shared" ca="1" si="55"/>
        <v>154.20744330431165</v>
      </c>
      <c r="M190">
        <f t="shared" ca="1" si="56"/>
        <v>144.67855669568837</v>
      </c>
      <c r="N190">
        <f t="shared" ca="1" si="45"/>
        <v>3.039999999999992</v>
      </c>
      <c r="O190">
        <f t="shared" ca="1" si="46"/>
        <v>3.039999999999992</v>
      </c>
      <c r="P190">
        <f t="shared" ca="1" si="47"/>
        <v>0</v>
      </c>
      <c r="Q190">
        <f t="shared" ca="1" si="51"/>
        <v>0.56895098096699581</v>
      </c>
      <c r="R190">
        <f t="shared" ca="1" si="52"/>
        <v>0.65851396566903286</v>
      </c>
      <c r="S190">
        <f t="shared" ca="1" si="49"/>
        <v>0.86399227750463359</v>
      </c>
      <c r="T190">
        <f t="shared" ca="1" si="50"/>
        <v>46.351709067232754</v>
      </c>
      <c r="U190">
        <f>70</f>
        <v>70</v>
      </c>
      <c r="V190">
        <f>30</f>
        <v>30</v>
      </c>
      <c r="W190">
        <f t="shared" ca="1" si="48"/>
        <v>148.09515356352736</v>
      </c>
      <c r="X190">
        <f t="shared" ca="1" si="58"/>
        <v>149.61047039053173</v>
      </c>
      <c r="Y190">
        <f t="shared" ca="1" si="57"/>
        <v>-1.4098640129777493</v>
      </c>
      <c r="Z190">
        <f t="shared" ca="1" si="59"/>
        <v>-1.3717741840781343</v>
      </c>
      <c r="AA190">
        <f t="shared" ca="1" si="60"/>
        <v>-3.8089828899614986E-2</v>
      </c>
      <c r="AB190">
        <f t="shared" ca="1" si="61"/>
        <v>154.5076</v>
      </c>
    </row>
    <row r="191" spans="1:28" x14ac:dyDescent="0.25">
      <c r="A191" s="20">
        <f t="shared" ca="1" si="41"/>
        <v>45971</v>
      </c>
      <c r="B191" vm="563">
        <f ca="1"/>
        <v>45973</v>
      </c>
      <c r="C191" vm="564">
        <f ca="1"/>
        <v>148.01</v>
      </c>
      <c r="D191" vm="565">
        <f ca="1"/>
        <v>7851052</v>
      </c>
      <c r="E191">
        <f t="shared" ca="1" si="42"/>
        <v>1162034206.52</v>
      </c>
      <c r="F191">
        <f ca="1">SUM($E$2:E191)/SUM($D$2:D191)</f>
        <v>159.90195562905754</v>
      </c>
      <c r="G191">
        <f ca="1">_xlfn.STDEV.P($C$2:C191)</f>
        <v>7.235655229946226</v>
      </c>
      <c r="H191">
        <f t="shared" ca="1" si="43"/>
        <v>167.13761085900376</v>
      </c>
      <c r="I191">
        <f t="shared" ca="1" si="44"/>
        <v>152.66630039911132</v>
      </c>
      <c r="J191">
        <f t="shared" ca="1" si="53"/>
        <v>149.4725</v>
      </c>
      <c r="K191">
        <f t="shared" ca="1" si="54"/>
        <v>2.359395272656025</v>
      </c>
      <c r="L191">
        <f t="shared" ca="1" si="55"/>
        <v>154.19129054531206</v>
      </c>
      <c r="M191">
        <f t="shared" ca="1" si="56"/>
        <v>144.75370945468794</v>
      </c>
      <c r="N191">
        <f t="shared" ca="1" si="45"/>
        <v>-0.53000000000000114</v>
      </c>
      <c r="O191">
        <f t="shared" ca="1" si="46"/>
        <v>0</v>
      </c>
      <c r="P191">
        <f t="shared" ca="1" si="47"/>
        <v>0.53000000000000114</v>
      </c>
      <c r="Q191">
        <f t="shared" ca="1" si="51"/>
        <v>0.52831162518363894</v>
      </c>
      <c r="R191">
        <f t="shared" ca="1" si="52"/>
        <v>0.64933439669267357</v>
      </c>
      <c r="S191">
        <f t="shared" ca="1" si="49"/>
        <v>0.81362026696036238</v>
      </c>
      <c r="T191">
        <f t="shared" ca="1" si="50"/>
        <v>44.861666015896176</v>
      </c>
      <c r="U191">
        <f>70</f>
        <v>70</v>
      </c>
      <c r="V191">
        <f>30</f>
        <v>30</v>
      </c>
      <c r="W191">
        <f t="shared" ca="1" si="48"/>
        <v>148.08205301529239</v>
      </c>
      <c r="X191">
        <f t="shared" ca="1" si="58"/>
        <v>149.49191702827014</v>
      </c>
      <c r="Y191">
        <f t="shared" ca="1" si="57"/>
        <v>-1.3151660645183938</v>
      </c>
      <c r="Z191">
        <f t="shared" ca="1" si="59"/>
        <v>-1.3604525601661863</v>
      </c>
      <c r="AA191">
        <f t="shared" ca="1" si="60"/>
        <v>4.5286495647792524E-2</v>
      </c>
      <c r="AB191">
        <f t="shared" ca="1" si="61"/>
        <v>154.37739999999999</v>
      </c>
    </row>
    <row r="192" spans="1:28" x14ac:dyDescent="0.25">
      <c r="A192" s="20">
        <f t="shared" ca="1" si="41"/>
        <v>45971</v>
      </c>
      <c r="B192" vm="566">
        <f ca="1"/>
        <v>45974</v>
      </c>
      <c r="C192" vm="567">
        <f ca="1"/>
        <v>147.96</v>
      </c>
      <c r="D192" vm="568">
        <f ca="1"/>
        <v>7566789</v>
      </c>
      <c r="E192">
        <f t="shared" ca="1" si="42"/>
        <v>1119582100.4400001</v>
      </c>
      <c r="F192">
        <f ca="1">SUM($E$2:E192)/SUM($D$2:D192)</f>
        <v>159.84334737759087</v>
      </c>
      <c r="G192">
        <f ca="1">_xlfn.STDEV.P($C$2:C192)</f>
        <v>7.2671984100484472</v>
      </c>
      <c r="H192">
        <f t="shared" ca="1" si="43"/>
        <v>167.11054578763932</v>
      </c>
      <c r="I192">
        <f t="shared" ca="1" si="44"/>
        <v>152.57614896754242</v>
      </c>
      <c r="J192">
        <f t="shared" ca="1" si="53"/>
        <v>149.39050000000003</v>
      </c>
      <c r="K192">
        <f t="shared" ca="1" si="54"/>
        <v>2.3831104729566794</v>
      </c>
      <c r="L192">
        <f t="shared" ca="1" si="55"/>
        <v>154.15672094591338</v>
      </c>
      <c r="M192">
        <f t="shared" ca="1" si="56"/>
        <v>144.62427905408668</v>
      </c>
      <c r="N192">
        <f t="shared" ca="1" si="45"/>
        <v>-4.9999999999982947E-2</v>
      </c>
      <c r="O192">
        <f t="shared" ca="1" si="46"/>
        <v>0</v>
      </c>
      <c r="P192">
        <f t="shared" ca="1" si="47"/>
        <v>4.9999999999982947E-2</v>
      </c>
      <c r="Q192">
        <f t="shared" ca="1" si="51"/>
        <v>0.49057508052766474</v>
      </c>
      <c r="R192">
        <f t="shared" ca="1" si="52"/>
        <v>0.60652479692890993</v>
      </c>
      <c r="S192">
        <f t="shared" ca="1" si="49"/>
        <v>0.80882938836409102</v>
      </c>
      <c r="T192">
        <f t="shared" ca="1" si="50"/>
        <v>44.71562622584311</v>
      </c>
      <c r="U192">
        <f>70</f>
        <v>70</v>
      </c>
      <c r="V192">
        <f>30</f>
        <v>30</v>
      </c>
      <c r="W192">
        <f t="shared" ca="1" si="48"/>
        <v>148.06327562832433</v>
      </c>
      <c r="X192">
        <f t="shared" ca="1" si="58"/>
        <v>149.37844169284273</v>
      </c>
      <c r="Y192">
        <f t="shared" ca="1" si="57"/>
        <v>-1.2491187708306768</v>
      </c>
      <c r="Z192">
        <f t="shared" ca="1" si="59"/>
        <v>-1.3381858022990845</v>
      </c>
      <c r="AA192">
        <f t="shared" ca="1" si="60"/>
        <v>8.9067031468407665E-2</v>
      </c>
      <c r="AB192">
        <f t="shared" ca="1" si="61"/>
        <v>154.2534</v>
      </c>
    </row>
    <row r="193" spans="1:28" x14ac:dyDescent="0.25">
      <c r="A193" s="20">
        <f t="shared" ca="1" si="41"/>
        <v>45971</v>
      </c>
      <c r="B193" vm="569">
        <f ca="1"/>
        <v>45975</v>
      </c>
      <c r="C193" vm="570">
        <f ca="1"/>
        <v>147.66999999999999</v>
      </c>
      <c r="D193" vm="571">
        <f ca="1"/>
        <v>9151066</v>
      </c>
      <c r="E193">
        <f t="shared" ca="1" si="42"/>
        <v>1351337916.2199998</v>
      </c>
      <c r="F193">
        <f ca="1">SUM($E$2:E193)/SUM($D$2:D193)</f>
        <v>159.7715211036107</v>
      </c>
      <c r="G193">
        <f ca="1">_xlfn.STDEV.P($C$2:C193)</f>
        <v>7.3002162942414452</v>
      </c>
      <c r="H193">
        <f t="shared" ca="1" si="43"/>
        <v>167.07173739785213</v>
      </c>
      <c r="I193">
        <f t="shared" ca="1" si="44"/>
        <v>152.47130480936926</v>
      </c>
      <c r="J193">
        <f t="shared" ca="1" si="53"/>
        <v>149.20400000000001</v>
      </c>
      <c r="K193">
        <f t="shared" ca="1" si="54"/>
        <v>2.3634439634611759</v>
      </c>
      <c r="L193">
        <f t="shared" ca="1" si="55"/>
        <v>153.93088792692237</v>
      </c>
      <c r="M193">
        <f t="shared" ca="1" si="56"/>
        <v>144.47711207307765</v>
      </c>
      <c r="N193">
        <f t="shared" ca="1" si="45"/>
        <v>-0.29000000000002046</v>
      </c>
      <c r="O193">
        <f t="shared" ca="1" si="46"/>
        <v>0</v>
      </c>
      <c r="P193">
        <f t="shared" ca="1" si="47"/>
        <v>0.29000000000002046</v>
      </c>
      <c r="Q193">
        <f t="shared" ca="1" si="51"/>
        <v>0.45553400334711724</v>
      </c>
      <c r="R193">
        <f t="shared" ca="1" si="52"/>
        <v>0.5839158828625608</v>
      </c>
      <c r="S193">
        <f t="shared" ca="1" si="49"/>
        <v>0.78013634620440453</v>
      </c>
      <c r="T193">
        <f t="shared" ca="1" si="50"/>
        <v>43.824527703611366</v>
      </c>
      <c r="U193">
        <f>70</f>
        <v>70</v>
      </c>
      <c r="V193">
        <f>30</f>
        <v>30</v>
      </c>
      <c r="W193">
        <f t="shared" ca="1" si="48"/>
        <v>148.00277168550519</v>
      </c>
      <c r="X193">
        <f t="shared" ca="1" si="58"/>
        <v>149.25189045633587</v>
      </c>
      <c r="Y193">
        <f t="shared" ca="1" si="57"/>
        <v>-1.330715691493225</v>
      </c>
      <c r="Z193">
        <f t="shared" ca="1" si="59"/>
        <v>-1.3366917801379126</v>
      </c>
      <c r="AA193">
        <f t="shared" ca="1" si="60"/>
        <v>5.9760886446875716E-3</v>
      </c>
      <c r="AB193">
        <f t="shared" ca="1" si="61"/>
        <v>154.1404</v>
      </c>
    </row>
    <row r="194" spans="1:28" x14ac:dyDescent="0.25">
      <c r="A194" s="20">
        <f t="shared" ca="1" si="41"/>
        <v>45978</v>
      </c>
      <c r="B194" vm="572">
        <f ca="1"/>
        <v>45978</v>
      </c>
      <c r="C194" vm="573">
        <f ca="1"/>
        <v>145.82</v>
      </c>
      <c r="D194" vm="574">
        <f ca="1"/>
        <v>9902310</v>
      </c>
      <c r="E194">
        <f t="shared" ca="1" si="42"/>
        <v>1443954844.2</v>
      </c>
      <c r="F194">
        <f ca="1">SUM($E$2:E194)/SUM($D$2:D194)</f>
        <v>159.68301041841985</v>
      </c>
      <c r="G194">
        <f ca="1">_xlfn.STDEV.P($C$2:C194)</f>
        <v>7.3490263092214718</v>
      </c>
      <c r="H194">
        <f t="shared" ca="1" si="43"/>
        <v>167.03203672764133</v>
      </c>
      <c r="I194">
        <f t="shared" ca="1" si="44"/>
        <v>152.33398410919838</v>
      </c>
      <c r="J194">
        <f t="shared" ca="1" si="53"/>
        <v>148.89699999999999</v>
      </c>
      <c r="K194">
        <f t="shared" ca="1" si="54"/>
        <v>2.3852884631908986</v>
      </c>
      <c r="L194">
        <f t="shared" ca="1" si="55"/>
        <v>153.6675769263818</v>
      </c>
      <c r="M194">
        <f t="shared" ca="1" si="56"/>
        <v>144.12642307361818</v>
      </c>
      <c r="N194">
        <f t="shared" ca="1" si="45"/>
        <v>-1.8499999999999943</v>
      </c>
      <c r="O194">
        <f t="shared" ca="1" si="46"/>
        <v>0</v>
      </c>
      <c r="P194">
        <f t="shared" ca="1" si="47"/>
        <v>1.8499999999999943</v>
      </c>
      <c r="Q194">
        <f t="shared" ca="1" si="51"/>
        <v>0.42299586025089458</v>
      </c>
      <c r="R194">
        <f t="shared" ca="1" si="52"/>
        <v>0.67435046265809184</v>
      </c>
      <c r="S194">
        <f t="shared" ca="1" si="49"/>
        <v>0.6272641358968879</v>
      </c>
      <c r="T194">
        <f t="shared" ca="1" si="50"/>
        <v>38.547161586103719</v>
      </c>
      <c r="U194">
        <f>70</f>
        <v>70</v>
      </c>
      <c r="V194">
        <f>30</f>
        <v>30</v>
      </c>
      <c r="W194">
        <f t="shared" ca="1" si="48"/>
        <v>147.66696065696593</v>
      </c>
      <c r="X194">
        <f t="shared" ca="1" si="58"/>
        <v>148.99767634845915</v>
      </c>
      <c r="Y194">
        <f t="shared" ca="1" si="57"/>
        <v>-1.2861467183200546</v>
      </c>
      <c r="Z194">
        <f t="shared" ca="1" si="59"/>
        <v>-1.3265827677743411</v>
      </c>
      <c r="AA194">
        <f t="shared" ca="1" si="60"/>
        <v>4.0436049454286582E-2</v>
      </c>
      <c r="AB194">
        <f t="shared" ca="1" si="61"/>
        <v>154.01230000000001</v>
      </c>
    </row>
    <row r="195" spans="1:28" x14ac:dyDescent="0.25">
      <c r="A195" s="20">
        <f t="shared" ref="A195:A252" ca="1" si="62">B195 - WEEKDAY(B195, 2) + 1</f>
        <v>45978</v>
      </c>
      <c r="B195" vm="575">
        <f ca="1"/>
        <v>45979</v>
      </c>
      <c r="C195" vm="576">
        <f ca="1"/>
        <v>146.99</v>
      </c>
      <c r="D195" vm="577">
        <f ca="1"/>
        <v>10735177</v>
      </c>
      <c r="E195">
        <f t="shared" ref="E195:E252" ca="1" si="63">C195*D195</f>
        <v>1577963667.23</v>
      </c>
      <c r="F195">
        <f ca="1">SUM($E$2:E195)/SUM($D$2:D195)</f>
        <v>159.5963072989322</v>
      </c>
      <c r="G195">
        <f ca="1">_xlfn.STDEV.P($C$2:C195)</f>
        <v>7.3856052176062486</v>
      </c>
      <c r="H195">
        <f t="shared" ref="H195:H252" ca="1" si="64">F195 + G195</f>
        <v>166.98191251653844</v>
      </c>
      <c r="I195">
        <f t="shared" ref="I195:I252" ca="1" si="65">F195 - G195</f>
        <v>152.21070208132596</v>
      </c>
      <c r="J195">
        <f t="shared" ca="1" si="53"/>
        <v>148.66550000000001</v>
      </c>
      <c r="K195">
        <f t="shared" ca="1" si="54"/>
        <v>2.3311674847820951</v>
      </c>
      <c r="L195">
        <f t="shared" ca="1" si="55"/>
        <v>153.32783496956421</v>
      </c>
      <c r="M195">
        <f t="shared" ca="1" si="56"/>
        <v>144.00316503043581</v>
      </c>
      <c r="N195">
        <f t="shared" ca="1" si="45"/>
        <v>1.1700000000000159</v>
      </c>
      <c r="O195">
        <f t="shared" ca="1" si="46"/>
        <v>1.1700000000000159</v>
      </c>
      <c r="P195">
        <f t="shared" ca="1" si="47"/>
        <v>0</v>
      </c>
      <c r="Q195">
        <f t="shared" ca="1" si="51"/>
        <v>0.4763532988044033</v>
      </c>
      <c r="R195">
        <f t="shared" ca="1" si="52"/>
        <v>0.62618257246822817</v>
      </c>
      <c r="S195">
        <f t="shared" ca="1" si="49"/>
        <v>0.76072589648536248</v>
      </c>
      <c r="T195">
        <f t="shared" ca="1" si="50"/>
        <v>43.205242678821854</v>
      </c>
      <c r="U195">
        <f>70</f>
        <v>70</v>
      </c>
      <c r="V195">
        <f>30</f>
        <v>30</v>
      </c>
      <c r="W195">
        <f t="shared" ca="1" si="48"/>
        <v>147.56281286358657</v>
      </c>
      <c r="X195">
        <f t="shared" ca="1" si="58"/>
        <v>148.84895958190663</v>
      </c>
      <c r="Y195">
        <f t="shared" ca="1" si="57"/>
        <v>-1.2365710644855881</v>
      </c>
      <c r="Z195">
        <f t="shared" ca="1" si="59"/>
        <v>-1.3085804271165906</v>
      </c>
      <c r="AA195">
        <f t="shared" ca="1" si="60"/>
        <v>7.2009362631002549E-2</v>
      </c>
      <c r="AB195">
        <f t="shared" ca="1" si="61"/>
        <v>153.88360000000003</v>
      </c>
    </row>
    <row r="196" spans="1:28" x14ac:dyDescent="0.25">
      <c r="A196" s="20">
        <f t="shared" ca="1" si="62"/>
        <v>45978</v>
      </c>
      <c r="B196" vm="578">
        <f ca="1"/>
        <v>45980</v>
      </c>
      <c r="C196" vm="576">
        <f ca="1"/>
        <v>146.99</v>
      </c>
      <c r="D196" vm="579">
        <f ca="1"/>
        <v>6367038</v>
      </c>
      <c r="E196">
        <f t="shared" ca="1" si="63"/>
        <v>935890915.62</v>
      </c>
      <c r="F196">
        <f ca="1">SUM($E$2:E196)/SUM($D$2:D196)</f>
        <v>159.54544098232839</v>
      </c>
      <c r="G196">
        <f ca="1">_xlfn.STDEV.P($C$2:C196)</f>
        <v>7.421069526367976</v>
      </c>
      <c r="H196">
        <f t="shared" ca="1" si="64"/>
        <v>166.96651050869636</v>
      </c>
      <c r="I196">
        <f t="shared" ca="1" si="65"/>
        <v>152.12437145596041</v>
      </c>
      <c r="J196">
        <f t="shared" ca="1" si="53"/>
        <v>148.40500000000003</v>
      </c>
      <c r="K196">
        <f t="shared" ca="1" si="54"/>
        <v>2.2029872064038338</v>
      </c>
      <c r="L196">
        <f t="shared" ca="1" si="55"/>
        <v>152.8109744128077</v>
      </c>
      <c r="M196">
        <f t="shared" ca="1" si="56"/>
        <v>143.99902558719236</v>
      </c>
      <c r="N196">
        <f t="shared" ref="N196:N252" ca="1" si="66">C196-C195</f>
        <v>0</v>
      </c>
      <c r="O196">
        <f t="shared" ref="O196:O252" ca="1" si="67">MAX(N196,0)</f>
        <v>0</v>
      </c>
      <c r="P196">
        <f t="shared" ref="P196:P252" ca="1" si="68">MAX(-N196,0)</f>
        <v>0</v>
      </c>
      <c r="Q196">
        <f t="shared" ca="1" si="51"/>
        <v>0.44232806317551737</v>
      </c>
      <c r="R196">
        <f t="shared" ca="1" si="52"/>
        <v>0.58145524586335473</v>
      </c>
      <c r="S196">
        <f t="shared" ca="1" si="49"/>
        <v>0.76072589648536248</v>
      </c>
      <c r="T196">
        <f t="shared" ca="1" si="50"/>
        <v>43.205242678821854</v>
      </c>
      <c r="U196">
        <f>70</f>
        <v>70</v>
      </c>
      <c r="V196">
        <f>30</f>
        <v>30</v>
      </c>
      <c r="W196">
        <f t="shared" ca="1" si="48"/>
        <v>147.47468780765018</v>
      </c>
      <c r="X196">
        <f t="shared" ca="1" si="58"/>
        <v>148.71125887213577</v>
      </c>
      <c r="Y196">
        <f t="shared" ca="1" si="57"/>
        <v>-1.0879112665869286</v>
      </c>
      <c r="Z196">
        <f t="shared" ca="1" si="59"/>
        <v>-1.2644465950106583</v>
      </c>
      <c r="AA196">
        <f t="shared" ca="1" si="60"/>
        <v>0.17653532842372965</v>
      </c>
      <c r="AB196">
        <f t="shared" ca="1" si="61"/>
        <v>153.76030000000003</v>
      </c>
    </row>
    <row r="197" spans="1:28" x14ac:dyDescent="0.25">
      <c r="A197" s="20">
        <f t="shared" ca="1" si="62"/>
        <v>45978</v>
      </c>
      <c r="B197" vm="580">
        <f ca="1"/>
        <v>45981</v>
      </c>
      <c r="C197" vm="581">
        <f ca="1"/>
        <v>148.19</v>
      </c>
      <c r="D197" vm="582">
        <f ca="1"/>
        <v>9021325</v>
      </c>
      <c r="E197">
        <f t="shared" ca="1" si="63"/>
        <v>1336870151.75</v>
      </c>
      <c r="F197">
        <f ca="1">SUM($E$2:E197)/SUM($D$2:D197)</f>
        <v>159.48088991010485</v>
      </c>
      <c r="G197">
        <f ca="1">_xlfn.STDEV.P($C$2:C197)</f>
        <v>7.4457327329378078</v>
      </c>
      <c r="H197">
        <f t="shared" ca="1" si="64"/>
        <v>166.92662264304266</v>
      </c>
      <c r="I197">
        <f t="shared" ca="1" si="65"/>
        <v>152.03515717716704</v>
      </c>
      <c r="J197">
        <f t="shared" ca="1" si="53"/>
        <v>148.20400000000001</v>
      </c>
      <c r="K197">
        <f t="shared" ca="1" si="54"/>
        <v>2.0127237371545257</v>
      </c>
      <c r="L197">
        <f t="shared" ca="1" si="55"/>
        <v>152.22944747430907</v>
      </c>
      <c r="M197">
        <f t="shared" ca="1" si="56"/>
        <v>144.17855252569095</v>
      </c>
      <c r="N197">
        <f t="shared" ca="1" si="66"/>
        <v>1.1999999999999886</v>
      </c>
      <c r="O197">
        <f t="shared" ca="1" si="67"/>
        <v>1.1999999999999886</v>
      </c>
      <c r="P197">
        <f t="shared" ca="1" si="68"/>
        <v>0</v>
      </c>
      <c r="Q197">
        <f t="shared" ca="1" si="51"/>
        <v>0.49644748723440818</v>
      </c>
      <c r="R197">
        <f t="shared" ca="1" si="52"/>
        <v>0.53992272830168653</v>
      </c>
      <c r="S197">
        <f t="shared" ca="1" si="49"/>
        <v>0.91947877207535111</v>
      </c>
      <c r="T197">
        <f t="shared" ca="1" si="50"/>
        <v>47.902523614845997</v>
      </c>
      <c r="U197">
        <f>70</f>
        <v>70</v>
      </c>
      <c r="V197">
        <f>30</f>
        <v>30</v>
      </c>
      <c r="W197">
        <f t="shared" ca="1" si="48"/>
        <v>147.58473583724248</v>
      </c>
      <c r="X197">
        <f t="shared" ca="1" si="58"/>
        <v>148.67264710382941</v>
      </c>
      <c r="Y197">
        <f t="shared" ca="1" si="57"/>
        <v>-0.74126428798732036</v>
      </c>
      <c r="Z197">
        <f t="shared" ca="1" si="59"/>
        <v>-1.1598101336059907</v>
      </c>
      <c r="AA197">
        <f t="shared" ca="1" si="60"/>
        <v>0.41854584561867036</v>
      </c>
      <c r="AB197">
        <f t="shared" ca="1" si="61"/>
        <v>153.63000000000002</v>
      </c>
    </row>
    <row r="198" spans="1:28" x14ac:dyDescent="0.25">
      <c r="A198" s="20">
        <f t="shared" ca="1" si="62"/>
        <v>45978</v>
      </c>
      <c r="B198" vm="583">
        <f ca="1"/>
        <v>45982</v>
      </c>
      <c r="C198" vm="584">
        <f ca="1"/>
        <v>150.91999999999999</v>
      </c>
      <c r="D198" vm="585">
        <f ca="1"/>
        <v>12017986</v>
      </c>
      <c r="E198">
        <f t="shared" ca="1" si="63"/>
        <v>1813754447.1199999</v>
      </c>
      <c r="F198">
        <f ca="1">SUM($E$2:E198)/SUM($D$2:D198)</f>
        <v>159.41654661979152</v>
      </c>
      <c r="G198">
        <f ca="1">_xlfn.STDEV.P($C$2:C198)</f>
        <v>7.4513816760011045</v>
      </c>
      <c r="H198">
        <f t="shared" ca="1" si="64"/>
        <v>166.86792829579261</v>
      </c>
      <c r="I198">
        <f t="shared" ca="1" si="65"/>
        <v>151.96516494379043</v>
      </c>
      <c r="J198">
        <f t="shared" ca="1" si="53"/>
        <v>148.12549999999999</v>
      </c>
      <c r="K198">
        <f t="shared" ca="1" si="54"/>
        <v>1.8617153239333963</v>
      </c>
      <c r="L198">
        <f t="shared" ca="1" si="55"/>
        <v>151.84893064786678</v>
      </c>
      <c r="M198">
        <f t="shared" ca="1" si="56"/>
        <v>144.4020693521332</v>
      </c>
      <c r="N198">
        <f t="shared" ca="1" si="66"/>
        <v>2.7299999999999898</v>
      </c>
      <c r="O198">
        <f t="shared" ca="1" si="67"/>
        <v>2.7299999999999898</v>
      </c>
      <c r="P198">
        <f t="shared" ca="1" si="68"/>
        <v>0</v>
      </c>
      <c r="Q198">
        <f t="shared" ca="1" si="51"/>
        <v>0.65598695243194971</v>
      </c>
      <c r="R198">
        <f t="shared" ca="1" si="52"/>
        <v>0.50135681913728036</v>
      </c>
      <c r="S198">
        <f t="shared" ca="1" si="49"/>
        <v>1.3084233172708255</v>
      </c>
      <c r="T198">
        <f t="shared" ca="1" si="50"/>
        <v>56.680389055233256</v>
      </c>
      <c r="U198">
        <f>70</f>
        <v>70</v>
      </c>
      <c r="V198">
        <f>30</f>
        <v>30</v>
      </c>
      <c r="W198">
        <f t="shared" ca="1" si="48"/>
        <v>148.09785340074362</v>
      </c>
      <c r="X198">
        <f t="shared" ca="1" si="58"/>
        <v>148.83911768873094</v>
      </c>
      <c r="Y198">
        <f t="shared" ca="1" si="57"/>
        <v>-0.77552931286808757</v>
      </c>
      <c r="Z198">
        <f t="shared" ca="1" si="59"/>
        <v>-1.08295396945841</v>
      </c>
      <c r="AA198">
        <f t="shared" ca="1" si="60"/>
        <v>0.30742465659032248</v>
      </c>
      <c r="AB198">
        <f t="shared" ca="1" si="61"/>
        <v>153.52720000000002</v>
      </c>
    </row>
    <row r="199" spans="1:28" x14ac:dyDescent="0.25">
      <c r="A199" s="20">
        <f t="shared" ca="1" si="62"/>
        <v>45985</v>
      </c>
      <c r="B199" vm="586">
        <f ca="1"/>
        <v>45985</v>
      </c>
      <c r="C199" vm="555">
        <f ca="1"/>
        <v>146.97999999999999</v>
      </c>
      <c r="D199" vm="587">
        <f ca="1"/>
        <v>13846906</v>
      </c>
      <c r="E199">
        <f t="shared" ca="1" si="63"/>
        <v>2035218243.8799999</v>
      </c>
      <c r="F199">
        <f ca="1">SUM($E$2:E199)/SUM($D$2:D199)</f>
        <v>159.30977384862496</v>
      </c>
      <c r="G199">
        <f ca="1">_xlfn.STDEV.P($C$2:C199)</f>
        <v>7.4843771462779571</v>
      </c>
      <c r="H199">
        <f t="shared" ca="1" si="64"/>
        <v>166.79415099490291</v>
      </c>
      <c r="I199">
        <f t="shared" ca="1" si="65"/>
        <v>151.82539670234701</v>
      </c>
      <c r="J199">
        <f t="shared" ca="1" si="53"/>
        <v>147.88749999999999</v>
      </c>
      <c r="K199">
        <f t="shared" ca="1" si="54"/>
        <v>1.6696733843857974</v>
      </c>
      <c r="L199">
        <f t="shared" ca="1" si="55"/>
        <v>151.22684676877159</v>
      </c>
      <c r="M199">
        <f t="shared" ca="1" si="56"/>
        <v>144.54815323122838</v>
      </c>
      <c r="N199">
        <f t="shared" ca="1" si="66"/>
        <v>-3.9399999999999977</v>
      </c>
      <c r="O199">
        <f t="shared" ca="1" si="67"/>
        <v>0</v>
      </c>
      <c r="P199">
        <f t="shared" ca="1" si="68"/>
        <v>3.9399999999999977</v>
      </c>
      <c r="Q199">
        <f t="shared" ca="1" si="51"/>
        <v>0.60913074154395319</v>
      </c>
      <c r="R199">
        <f t="shared" ca="1" si="52"/>
        <v>0.7469741891989029</v>
      </c>
      <c r="S199">
        <f t="shared" ca="1" si="49"/>
        <v>0.81546424274340623</v>
      </c>
      <c r="T199">
        <f t="shared" ca="1" si="50"/>
        <v>44.917670287525581</v>
      </c>
      <c r="U199">
        <f>70</f>
        <v>70</v>
      </c>
      <c r="V199">
        <f>30</f>
        <v>30</v>
      </c>
      <c r="W199">
        <f t="shared" ca="1" si="48"/>
        <v>147.92587595447537</v>
      </c>
      <c r="X199">
        <f t="shared" ca="1" si="58"/>
        <v>148.70140526734346</v>
      </c>
      <c r="Y199">
        <f t="shared" ca="1" si="57"/>
        <v>-0.67308134873914582</v>
      </c>
      <c r="Z199">
        <f t="shared" ca="1" si="59"/>
        <v>-1.0009794453145573</v>
      </c>
      <c r="AA199">
        <f t="shared" ca="1" si="60"/>
        <v>0.32789809657541147</v>
      </c>
      <c r="AB199">
        <f t="shared" ca="1" si="61"/>
        <v>153.38870000000003</v>
      </c>
    </row>
    <row r="200" spans="1:28" x14ac:dyDescent="0.25">
      <c r="A200" s="20">
        <f t="shared" ca="1" si="62"/>
        <v>45985</v>
      </c>
      <c r="B200" vm="588">
        <f ca="1"/>
        <v>45986</v>
      </c>
      <c r="C200" vm="589">
        <f ca="1"/>
        <v>148.49</v>
      </c>
      <c r="D200" vm="590">
        <f ca="1"/>
        <v>10477661</v>
      </c>
      <c r="E200">
        <f t="shared" ca="1" si="63"/>
        <v>1555827881.8900001</v>
      </c>
      <c r="F200">
        <f ca="1">SUM($E$2:E200)/SUM($D$2:D200)</f>
        <v>159.23993802304324</v>
      </c>
      <c r="G200">
        <f ca="1">_xlfn.STDEV.P($C$2:C200)</f>
        <v>7.5047363905206392</v>
      </c>
      <c r="H200">
        <f t="shared" ca="1" si="64"/>
        <v>166.74467441356387</v>
      </c>
      <c r="I200">
        <f t="shared" ca="1" si="65"/>
        <v>151.7352016325226</v>
      </c>
      <c r="J200">
        <f t="shared" ca="1" si="53"/>
        <v>147.74349999999998</v>
      </c>
      <c r="K200">
        <f t="shared" ca="1" si="54"/>
        <v>1.4651900361745807</v>
      </c>
      <c r="L200">
        <f t="shared" ca="1" si="55"/>
        <v>150.67388007234914</v>
      </c>
      <c r="M200">
        <f t="shared" ca="1" si="56"/>
        <v>144.81311992765083</v>
      </c>
      <c r="N200">
        <f t="shared" ca="1" si="66"/>
        <v>1.5100000000000193</v>
      </c>
      <c r="O200">
        <f t="shared" ca="1" si="67"/>
        <v>1.5100000000000193</v>
      </c>
      <c r="P200">
        <f t="shared" ca="1" si="68"/>
        <v>0</v>
      </c>
      <c r="Q200">
        <f t="shared" ca="1" si="51"/>
        <v>0.67347854571938648</v>
      </c>
      <c r="R200">
        <f t="shared" ca="1" si="52"/>
        <v>0.69361888997040988</v>
      </c>
      <c r="S200">
        <f t="shared" ca="1" si="49"/>
        <v>0.97096338559654483</v>
      </c>
      <c r="T200">
        <f t="shared" ca="1" si="50"/>
        <v>49.263390314207513</v>
      </c>
      <c r="U200">
        <f>70</f>
        <v>70</v>
      </c>
      <c r="V200">
        <f>30</f>
        <v>30</v>
      </c>
      <c r="W200">
        <f t="shared" ca="1" si="48"/>
        <v>148.01266426917147</v>
      </c>
      <c r="X200">
        <f t="shared" ca="1" si="58"/>
        <v>148.68574561791061</v>
      </c>
      <c r="Y200">
        <f t="shared" ca="1" si="57"/>
        <v>-0.6042907062023346</v>
      </c>
      <c r="Z200">
        <f t="shared" ca="1" si="59"/>
        <v>-0.92164169749211278</v>
      </c>
      <c r="AA200">
        <f t="shared" ca="1" si="60"/>
        <v>0.31735099128977817</v>
      </c>
      <c r="AB200">
        <f t="shared" ca="1" si="61"/>
        <v>153.26860000000002</v>
      </c>
    </row>
    <row r="201" spans="1:28" x14ac:dyDescent="0.25">
      <c r="A201" s="20">
        <f t="shared" ca="1" si="62"/>
        <v>45985</v>
      </c>
      <c r="B201" vm="591">
        <f ca="1"/>
        <v>45987</v>
      </c>
      <c r="C201" vm="592">
        <f ca="1"/>
        <v>148.25</v>
      </c>
      <c r="D201" vm="593">
        <f ca="1"/>
        <v>9238450</v>
      </c>
      <c r="E201">
        <f t="shared" ca="1" si="63"/>
        <v>1369600212.5</v>
      </c>
      <c r="F201">
        <f ca="1">SUM($E$2:E201)/SUM($D$2:D201)</f>
        <v>159.17774731487913</v>
      </c>
      <c r="G201">
        <f ca="1">_xlfn.STDEV.P($C$2:C201)</f>
        <v>7.5261789772433652</v>
      </c>
      <c r="H201">
        <f t="shared" ca="1" si="64"/>
        <v>166.7039262921225</v>
      </c>
      <c r="I201">
        <f t="shared" ca="1" si="65"/>
        <v>151.65156833763575</v>
      </c>
      <c r="J201">
        <f t="shared" ca="1" si="53"/>
        <v>147.71749999999997</v>
      </c>
      <c r="K201">
        <f t="shared" ca="1" si="54"/>
        <v>1.4505566082315489</v>
      </c>
      <c r="L201">
        <f t="shared" ca="1" si="55"/>
        <v>150.61861321646307</v>
      </c>
      <c r="M201">
        <f t="shared" ca="1" si="56"/>
        <v>144.81638678353687</v>
      </c>
      <c r="N201">
        <f t="shared" ca="1" si="66"/>
        <v>-0.24000000000000909</v>
      </c>
      <c r="O201">
        <f t="shared" ca="1" si="67"/>
        <v>0</v>
      </c>
      <c r="P201">
        <f t="shared" ca="1" si="68"/>
        <v>0.24000000000000909</v>
      </c>
      <c r="Q201">
        <f t="shared" ca="1" si="51"/>
        <v>0.6253729353108588</v>
      </c>
      <c r="R201">
        <f t="shared" ca="1" si="52"/>
        <v>0.66121754068680982</v>
      </c>
      <c r="S201">
        <f t="shared" ca="1" si="49"/>
        <v>0.94578999622617532</v>
      </c>
      <c r="T201">
        <f t="shared" ca="1" si="50"/>
        <v>48.606992432920201</v>
      </c>
      <c r="U201">
        <f>70</f>
        <v>70</v>
      </c>
      <c r="V201">
        <f>30</f>
        <v>30</v>
      </c>
      <c r="W201">
        <f t="shared" ca="1" si="48"/>
        <v>148.0491774585297</v>
      </c>
      <c r="X201">
        <f t="shared" ca="1" si="58"/>
        <v>148.65346816473203</v>
      </c>
      <c r="Y201">
        <f t="shared" ca="1" si="57"/>
        <v>-0.55068788705008842</v>
      </c>
      <c r="Z201">
        <f t="shared" ca="1" si="59"/>
        <v>-0.84745093540370797</v>
      </c>
      <c r="AA201">
        <f t="shared" ca="1" si="60"/>
        <v>0.29676304835361955</v>
      </c>
      <c r="AB201">
        <f t="shared" ca="1" si="61"/>
        <v>153.17220000000003</v>
      </c>
    </row>
    <row r="202" spans="1:28" x14ac:dyDescent="0.25">
      <c r="A202" s="20">
        <f t="shared" ca="1" si="62"/>
        <v>45985</v>
      </c>
      <c r="B202" vm="594">
        <f ca="1"/>
        <v>45989</v>
      </c>
      <c r="C202" vm="595">
        <f ca="1"/>
        <v>148.16</v>
      </c>
      <c r="D202" vm="596">
        <f ca="1"/>
        <v>4707161</v>
      </c>
      <c r="E202">
        <f t="shared" ca="1" si="63"/>
        <v>697412973.75999999</v>
      </c>
      <c r="F202">
        <f ca="1">SUM($E$2:E202)/SUM($D$2:D202)</f>
        <v>159.14607114916259</v>
      </c>
      <c r="G202">
        <f ca="1">_xlfn.STDEV.P($C$2:C202)</f>
        <v>7.5476018745743207</v>
      </c>
      <c r="H202">
        <f t="shared" ca="1" si="64"/>
        <v>166.69367302373692</v>
      </c>
      <c r="I202">
        <f t="shared" ca="1" si="65"/>
        <v>151.59846927458827</v>
      </c>
      <c r="J202">
        <f t="shared" ca="1" si="53"/>
        <v>147.6465</v>
      </c>
      <c r="K202">
        <f t="shared" ca="1" si="54"/>
        <v>1.3879984642794483</v>
      </c>
      <c r="L202">
        <f t="shared" ca="1" si="55"/>
        <v>150.4224969285589</v>
      </c>
      <c r="M202">
        <f t="shared" ca="1" si="56"/>
        <v>144.87050307144111</v>
      </c>
      <c r="N202">
        <f t="shared" ca="1" si="66"/>
        <v>-9.0000000000003411E-2</v>
      </c>
      <c r="O202">
        <f t="shared" ca="1" si="67"/>
        <v>0</v>
      </c>
      <c r="P202">
        <f t="shared" ca="1" si="68"/>
        <v>9.0000000000003411E-2</v>
      </c>
      <c r="Q202">
        <f t="shared" ca="1" si="51"/>
        <v>0.58070343993151174</v>
      </c>
      <c r="R202">
        <f t="shared" ca="1" si="52"/>
        <v>0.62041628778060942</v>
      </c>
      <c r="S202">
        <f t="shared" ca="1" si="49"/>
        <v>0.93598999795579052</v>
      </c>
      <c r="T202">
        <f t="shared" ca="1" si="50"/>
        <v>48.346840579966901</v>
      </c>
      <c r="U202">
        <f>70</f>
        <v>70</v>
      </c>
      <c r="V202">
        <f>30</f>
        <v>30</v>
      </c>
      <c r="W202">
        <f t="shared" ca="1" si="48"/>
        <v>148.06622708029437</v>
      </c>
      <c r="X202">
        <f t="shared" ca="1" si="58"/>
        <v>148.61691496734446</v>
      </c>
      <c r="Y202">
        <f t="shared" ca="1" si="57"/>
        <v>-0.5598516283177446</v>
      </c>
      <c r="Z202">
        <f t="shared" ca="1" si="59"/>
        <v>-0.7899310739865153</v>
      </c>
      <c r="AA202">
        <f t="shared" ca="1" si="60"/>
        <v>0.2300794456687707</v>
      </c>
      <c r="AB202">
        <f t="shared" ca="1" si="61"/>
        <v>153.07859999999999</v>
      </c>
    </row>
    <row r="203" spans="1:28" x14ac:dyDescent="0.25">
      <c r="A203" s="20">
        <f t="shared" ca="1" si="62"/>
        <v>45992</v>
      </c>
      <c r="B203" vm="597">
        <f ca="1"/>
        <v>45992</v>
      </c>
      <c r="C203" vm="598">
        <f ca="1"/>
        <v>147.44</v>
      </c>
      <c r="D203" vm="599">
        <f ca="1"/>
        <v>8240689</v>
      </c>
      <c r="E203">
        <f t="shared" ca="1" si="63"/>
        <v>1215007186.1600001</v>
      </c>
      <c r="F203">
        <f ca="1">SUM($E$2:E203)/SUM($D$2:D203)</f>
        <v>159.08744720680201</v>
      </c>
      <c r="G203">
        <f ca="1">_xlfn.STDEV.P($C$2:C203)</f>
        <v>7.5736798868986295</v>
      </c>
      <c r="H203">
        <f t="shared" ca="1" si="64"/>
        <v>166.66112709370063</v>
      </c>
      <c r="I203">
        <f t="shared" ca="1" si="65"/>
        <v>151.51376731990339</v>
      </c>
      <c r="J203">
        <f t="shared" ca="1" si="53"/>
        <v>147.50000000000003</v>
      </c>
      <c r="K203">
        <f t="shared" ca="1" si="54"/>
        <v>1.2311782974045633</v>
      </c>
      <c r="L203">
        <f t="shared" ca="1" si="55"/>
        <v>149.96235659480917</v>
      </c>
      <c r="M203">
        <f t="shared" ca="1" si="56"/>
        <v>145.03764340519089</v>
      </c>
      <c r="N203">
        <f t="shared" ca="1" si="66"/>
        <v>-0.71999999999999886</v>
      </c>
      <c r="O203">
        <f t="shared" ca="1" si="67"/>
        <v>0</v>
      </c>
      <c r="P203">
        <f t="shared" ca="1" si="68"/>
        <v>0.71999999999999886</v>
      </c>
      <c r="Q203">
        <f t="shared" ca="1" si="51"/>
        <v>0.53922462279354666</v>
      </c>
      <c r="R203">
        <f t="shared" ca="1" si="52"/>
        <v>0.62752941008199437</v>
      </c>
      <c r="S203">
        <f t="shared" ca="1" si="49"/>
        <v>0.85928183465232388</v>
      </c>
      <c r="T203">
        <f t="shared" ca="1" si="50"/>
        <v>46.215792497806291</v>
      </c>
      <c r="U203">
        <f>70</f>
        <v>70</v>
      </c>
      <c r="V203">
        <f>30</f>
        <v>30</v>
      </c>
      <c r="W203">
        <f t="shared" ca="1" si="48"/>
        <v>147.96988445255676</v>
      </c>
      <c r="X203">
        <f t="shared" ca="1" si="58"/>
        <v>148.5297360808745</v>
      </c>
      <c r="Y203">
        <f t="shared" ca="1" si="57"/>
        <v>-0.6866910081904507</v>
      </c>
      <c r="Z203">
        <f t="shared" ca="1" si="59"/>
        <v>-0.76928306082730247</v>
      </c>
      <c r="AA203">
        <f t="shared" ca="1" si="60"/>
        <v>8.2592052636851765E-2</v>
      </c>
      <c r="AB203">
        <f t="shared" ca="1" si="61"/>
        <v>152.96810000000002</v>
      </c>
    </row>
    <row r="204" spans="1:28" x14ac:dyDescent="0.25">
      <c r="A204" s="20">
        <f t="shared" ca="1" si="62"/>
        <v>45992</v>
      </c>
      <c r="B204" vm="600">
        <f ca="1"/>
        <v>45993</v>
      </c>
      <c r="C204" vm="601">
        <f ca="1"/>
        <v>145.86000000000001</v>
      </c>
      <c r="D204" vm="602">
        <f ca="1"/>
        <v>16376769</v>
      </c>
      <c r="E204">
        <f t="shared" ca="1" si="63"/>
        <v>2388715526.3400002</v>
      </c>
      <c r="F204">
        <f ca="1">SUM($E$2:E204)/SUM($D$2:D204)</f>
        <v>158.95709941324998</v>
      </c>
      <c r="G204">
        <f ca="1">_xlfn.STDEV.P($C$2:C204)</f>
        <v>7.6116545928914894</v>
      </c>
      <c r="H204">
        <f t="shared" ca="1" si="64"/>
        <v>166.56875400614146</v>
      </c>
      <c r="I204">
        <f t="shared" ca="1" si="65"/>
        <v>151.34544482035849</v>
      </c>
      <c r="J204">
        <f t="shared" ca="1" si="53"/>
        <v>147.392</v>
      </c>
      <c r="K204">
        <f t="shared" ca="1" si="54"/>
        <v>1.2770467575827547</v>
      </c>
      <c r="L204">
        <f t="shared" ca="1" si="55"/>
        <v>149.9460935151655</v>
      </c>
      <c r="M204">
        <f t="shared" ca="1" si="56"/>
        <v>144.83790648483449</v>
      </c>
      <c r="N204">
        <f t="shared" ca="1" si="66"/>
        <v>-1.5799999999999841</v>
      </c>
      <c r="O204">
        <f t="shared" ca="1" si="67"/>
        <v>0</v>
      </c>
      <c r="P204">
        <f t="shared" ca="1" si="68"/>
        <v>1.5799999999999841</v>
      </c>
      <c r="Q204">
        <f t="shared" ca="1" si="51"/>
        <v>0.5007085783082933</v>
      </c>
      <c r="R204">
        <f t="shared" ca="1" si="52"/>
        <v>0.69556302364756506</v>
      </c>
      <c r="S204">
        <f t="shared" ca="1" si="49"/>
        <v>0.7198608340083319</v>
      </c>
      <c r="T204">
        <f t="shared" ca="1" si="50"/>
        <v>41.855760639110208</v>
      </c>
      <c r="U204">
        <f>70</f>
        <v>70</v>
      </c>
      <c r="V204">
        <f>30</f>
        <v>30</v>
      </c>
      <c r="W204">
        <f t="shared" ca="1" si="48"/>
        <v>147.64528684447112</v>
      </c>
      <c r="X204">
        <f t="shared" ca="1" si="58"/>
        <v>148.33197785266157</v>
      </c>
      <c r="Y204">
        <f t="shared" ca="1" si="57"/>
        <v>-0.71043478435066731</v>
      </c>
      <c r="Z204">
        <f t="shared" ca="1" si="59"/>
        <v>-0.75751340553197555</v>
      </c>
      <c r="AA204">
        <f t="shared" ca="1" si="60"/>
        <v>4.7078621181308233E-2</v>
      </c>
      <c r="AB204">
        <f t="shared" ca="1" si="61"/>
        <v>152.85620000000003</v>
      </c>
    </row>
    <row r="205" spans="1:28" x14ac:dyDescent="0.25">
      <c r="A205" s="20">
        <f t="shared" ca="1" si="62"/>
        <v>45992</v>
      </c>
      <c r="B205" vm="603">
        <f ca="1"/>
        <v>45994</v>
      </c>
      <c r="C205" vm="604">
        <f ca="1"/>
        <v>146.71</v>
      </c>
      <c r="D205" vm="605">
        <f ca="1"/>
        <v>9125320</v>
      </c>
      <c r="E205">
        <f t="shared" ca="1" si="63"/>
        <v>1338775697.2</v>
      </c>
      <c r="F205">
        <f ca="1">SUM($E$2:E205)/SUM($D$2:D205)</f>
        <v>158.89021843699177</v>
      </c>
      <c r="G205">
        <f ca="1">_xlfn.STDEV.P($C$2:C205)</f>
        <v>7.64160877180319</v>
      </c>
      <c r="H205">
        <f t="shared" ca="1" si="64"/>
        <v>166.53182720879497</v>
      </c>
      <c r="I205">
        <f t="shared" ca="1" si="65"/>
        <v>151.24860966518858</v>
      </c>
      <c r="J205">
        <f t="shared" ca="1" si="53"/>
        <v>147.369</v>
      </c>
      <c r="K205">
        <f t="shared" ca="1" si="54"/>
        <v>1.2853707226854192</v>
      </c>
      <c r="L205">
        <f t="shared" ca="1" si="55"/>
        <v>149.93974144537083</v>
      </c>
      <c r="M205">
        <f t="shared" ca="1" si="56"/>
        <v>144.79825855462917</v>
      </c>
      <c r="N205">
        <f t="shared" ca="1" si="66"/>
        <v>0.84999999999999432</v>
      </c>
      <c r="O205">
        <f t="shared" ca="1" si="67"/>
        <v>0.84999999999999432</v>
      </c>
      <c r="P205">
        <f t="shared" ca="1" si="68"/>
        <v>0</v>
      </c>
      <c r="Q205">
        <f t="shared" ca="1" si="51"/>
        <v>0.5256579655719863</v>
      </c>
      <c r="R205">
        <f t="shared" ca="1" si="52"/>
        <v>0.6458799505298819</v>
      </c>
      <c r="S205">
        <f t="shared" ca="1" si="49"/>
        <v>0.81386326536492559</v>
      </c>
      <c r="T205">
        <f t="shared" ca="1" si="50"/>
        <v>44.869052750852582</v>
      </c>
      <c r="U205">
        <f>70</f>
        <v>70</v>
      </c>
      <c r="V205">
        <f>30</f>
        <v>30</v>
      </c>
      <c r="W205">
        <f t="shared" ca="1" si="48"/>
        <v>147.50139656070633</v>
      </c>
      <c r="X205">
        <f t="shared" ca="1" si="58"/>
        <v>148.21183134505699</v>
      </c>
      <c r="Y205">
        <f t="shared" ca="1" si="57"/>
        <v>-0.82863364277420715</v>
      </c>
      <c r="Z205">
        <f t="shared" ca="1" si="59"/>
        <v>-0.77173745298042196</v>
      </c>
      <c r="AA205">
        <f t="shared" ca="1" si="60"/>
        <v>-5.689618979378519E-2</v>
      </c>
      <c r="AB205">
        <f t="shared" ca="1" si="61"/>
        <v>152.78570000000002</v>
      </c>
    </row>
    <row r="206" spans="1:28" x14ac:dyDescent="0.25">
      <c r="A206" s="20">
        <f t="shared" ca="1" si="62"/>
        <v>45992</v>
      </c>
      <c r="B206" vm="606">
        <f ca="1"/>
        <v>45995</v>
      </c>
      <c r="C206" vm="607">
        <f ca="1"/>
        <v>145.36000000000001</v>
      </c>
      <c r="D206" vm="608">
        <f ca="1"/>
        <v>10479267</v>
      </c>
      <c r="E206">
        <f t="shared" ca="1" si="63"/>
        <v>1523266251.1200001</v>
      </c>
      <c r="F206">
        <f ca="1">SUM($E$2:E206)/SUM($D$2:D206)</f>
        <v>158.80589623889489</v>
      </c>
      <c r="G206">
        <f ca="1">_xlfn.STDEV.P($C$2:C206)</f>
        <v>7.6817326650734277</v>
      </c>
      <c r="H206">
        <f t="shared" ca="1" si="64"/>
        <v>166.48762890396833</v>
      </c>
      <c r="I206">
        <f t="shared" ca="1" si="65"/>
        <v>151.12416357382145</v>
      </c>
      <c r="J206">
        <f t="shared" ca="1" si="53"/>
        <v>147.34750000000003</v>
      </c>
      <c r="K206">
        <f t="shared" ca="1" si="54"/>
        <v>1.3163940979253221</v>
      </c>
      <c r="L206">
        <f t="shared" ca="1" si="55"/>
        <v>149.98028819585068</v>
      </c>
      <c r="M206">
        <f t="shared" ca="1" si="56"/>
        <v>144.71471180414937</v>
      </c>
      <c r="N206">
        <f t="shared" ca="1" si="66"/>
        <v>-1.3499999999999943</v>
      </c>
      <c r="O206">
        <f t="shared" ca="1" si="67"/>
        <v>0</v>
      </c>
      <c r="P206">
        <f t="shared" ca="1" si="68"/>
        <v>1.3499999999999943</v>
      </c>
      <c r="Q206">
        <f t="shared" ca="1" si="51"/>
        <v>0.48811096803113013</v>
      </c>
      <c r="R206">
        <f t="shared" ca="1" si="52"/>
        <v>0.69617423977774706</v>
      </c>
      <c r="S206">
        <f t="shared" ca="1" si="49"/>
        <v>0.70113333723316029</v>
      </c>
      <c r="T206">
        <f t="shared" ca="1" si="50"/>
        <v>41.215660282898902</v>
      </c>
      <c r="U206">
        <f>70</f>
        <v>70</v>
      </c>
      <c r="V206">
        <f>30</f>
        <v>30</v>
      </c>
      <c r="W206">
        <f t="shared" ca="1" si="48"/>
        <v>147.17195093598227</v>
      </c>
      <c r="X206">
        <f t="shared" ca="1" si="58"/>
        <v>148.00058457875647</v>
      </c>
      <c r="Y206">
        <f t="shared" ca="1" si="57"/>
        <v>-1.0641611399120166</v>
      </c>
      <c r="Z206">
        <f t="shared" ca="1" si="59"/>
        <v>-0.83022219036674094</v>
      </c>
      <c r="AA206">
        <f t="shared" ca="1" si="60"/>
        <v>-0.23393894954527561</v>
      </c>
      <c r="AB206">
        <f t="shared" ca="1" si="61"/>
        <v>152.71250000000001</v>
      </c>
    </row>
    <row r="207" spans="1:28" x14ac:dyDescent="0.25">
      <c r="A207" s="20">
        <f t="shared" ca="1" si="62"/>
        <v>45992</v>
      </c>
      <c r="B207" vm="609">
        <f ca="1"/>
        <v>45996</v>
      </c>
      <c r="C207" vm="610">
        <f ca="1"/>
        <v>143.44999999999999</v>
      </c>
      <c r="D207" vm="611">
        <f ca="1"/>
        <v>12791745</v>
      </c>
      <c r="E207">
        <f t="shared" ca="1" si="63"/>
        <v>1834975820.2499998</v>
      </c>
      <c r="F207">
        <f ca="1">SUM($E$2:E207)/SUM($D$2:D207)</f>
        <v>158.68995983616821</v>
      </c>
      <c r="G207">
        <f ca="1">_xlfn.STDEV.P($C$2:C207)</f>
        <v>7.7380108446509173</v>
      </c>
      <c r="H207">
        <f t="shared" ca="1" si="64"/>
        <v>166.42797068081913</v>
      </c>
      <c r="I207">
        <f t="shared" ca="1" si="65"/>
        <v>150.9519489915173</v>
      </c>
      <c r="J207">
        <f t="shared" ca="1" si="53"/>
        <v>147.21350000000001</v>
      </c>
      <c r="K207">
        <f t="shared" ca="1" si="54"/>
        <v>1.5606013517062465</v>
      </c>
      <c r="L207">
        <f t="shared" ca="1" si="55"/>
        <v>150.33470270341252</v>
      </c>
      <c r="M207">
        <f t="shared" ca="1" si="56"/>
        <v>144.0922972965875</v>
      </c>
      <c r="N207">
        <f t="shared" ca="1" si="66"/>
        <v>-1.910000000000025</v>
      </c>
      <c r="O207">
        <f t="shared" ca="1" si="67"/>
        <v>0</v>
      </c>
      <c r="P207">
        <f t="shared" ca="1" si="68"/>
        <v>1.910000000000025</v>
      </c>
      <c r="Q207">
        <f t="shared" ca="1" si="51"/>
        <v>0.45324589888604944</v>
      </c>
      <c r="R207">
        <f t="shared" ca="1" si="52"/>
        <v>0.78287607979362406</v>
      </c>
      <c r="S207">
        <f t="shared" ca="1" si="49"/>
        <v>0.57894973493829416</v>
      </c>
      <c r="T207">
        <f t="shared" ca="1" si="50"/>
        <v>36.666761590160419</v>
      </c>
      <c r="U207">
        <f>70</f>
        <v>70</v>
      </c>
      <c r="V207">
        <f>30</f>
        <v>30</v>
      </c>
      <c r="W207">
        <f t="shared" ref="W207:W252" ca="1" si="69">C207*(2/(12+1)) + W206*(1-(2/(12+1)))</f>
        <v>146.5993430996773</v>
      </c>
      <c r="X207">
        <f t="shared" ca="1" si="58"/>
        <v>147.66350423958932</v>
      </c>
      <c r="Y207">
        <f t="shared" ca="1" si="57"/>
        <v>-1.644199365419837</v>
      </c>
      <c r="Z207">
        <f t="shared" ca="1" si="59"/>
        <v>-0.99301762537736027</v>
      </c>
      <c r="AA207">
        <f t="shared" ca="1" si="60"/>
        <v>-0.65118174004247675</v>
      </c>
      <c r="AB207">
        <f t="shared" ca="1" si="61"/>
        <v>152.60970000000003</v>
      </c>
    </row>
    <row r="208" spans="1:28" x14ac:dyDescent="0.25">
      <c r="A208" s="20">
        <f t="shared" ca="1" si="62"/>
        <v>45999</v>
      </c>
      <c r="B208" vm="612">
        <f ca="1"/>
        <v>45999</v>
      </c>
      <c r="C208" vm="613">
        <f ca="1"/>
        <v>138.34</v>
      </c>
      <c r="D208" vm="614">
        <f ca="1"/>
        <v>17507504</v>
      </c>
      <c r="E208">
        <f t="shared" ca="1" si="63"/>
        <v>2421988103.3600001</v>
      </c>
      <c r="F208">
        <f ca="1">SUM($E$2:E208)/SUM($D$2:D208)</f>
        <v>158.48182825595447</v>
      </c>
      <c r="G208">
        <f ca="1">_xlfn.STDEV.P($C$2:C208)</f>
        <v>7.8489779314486539</v>
      </c>
      <c r="H208">
        <f t="shared" ca="1" si="64"/>
        <v>166.33080618740311</v>
      </c>
      <c r="I208">
        <f t="shared" ca="1" si="65"/>
        <v>150.63285032450582</v>
      </c>
      <c r="J208">
        <f t="shared" ca="1" si="53"/>
        <v>146.78150000000002</v>
      </c>
      <c r="K208">
        <f t="shared" ca="1" si="54"/>
        <v>2.5259292714188408</v>
      </c>
      <c r="L208">
        <f t="shared" ca="1" si="55"/>
        <v>151.83335854283771</v>
      </c>
      <c r="M208">
        <f t="shared" ca="1" si="56"/>
        <v>141.72964145716233</v>
      </c>
      <c r="N208">
        <f t="shared" ca="1" si="66"/>
        <v>-5.1099999999999852</v>
      </c>
      <c r="O208">
        <f t="shared" ca="1" si="67"/>
        <v>0</v>
      </c>
      <c r="P208">
        <f t="shared" ca="1" si="68"/>
        <v>5.1099999999999852</v>
      </c>
      <c r="Q208">
        <f t="shared" ca="1" si="51"/>
        <v>0.42087119182276023</v>
      </c>
      <c r="R208">
        <f t="shared" ca="1" si="52"/>
        <v>1.0919563598083641</v>
      </c>
      <c r="S208">
        <f t="shared" ref="S208:S252" ca="1" si="70">IF(R208=0,NA(),Q208/R208)</f>
        <v>0.38542858241754474</v>
      </c>
      <c r="T208">
        <f t="shared" ref="T208:T252" ca="1" si="71">100-(100/(1+S208))</f>
        <v>27.820169679549963</v>
      </c>
      <c r="U208">
        <f>70</f>
        <v>70</v>
      </c>
      <c r="V208">
        <f>30</f>
        <v>30</v>
      </c>
      <c r="W208">
        <f t="shared" ca="1" si="69"/>
        <v>145.32867493049619</v>
      </c>
      <c r="X208">
        <f t="shared" ca="1" si="58"/>
        <v>146.97287429591603</v>
      </c>
      <c r="Y208">
        <f t="shared" ca="1" si="57"/>
        <v>-1.9770019709838778</v>
      </c>
      <c r="Z208">
        <f t="shared" ca="1" si="59"/>
        <v>-1.1898144944986639</v>
      </c>
      <c r="AA208">
        <f t="shared" ca="1" si="60"/>
        <v>-0.78718747648521381</v>
      </c>
      <c r="AB208">
        <f t="shared" ca="1" si="61"/>
        <v>152.43690000000004</v>
      </c>
    </row>
    <row r="209" spans="1:28" x14ac:dyDescent="0.25">
      <c r="A209" s="20">
        <f t="shared" ca="1" si="62"/>
        <v>45999</v>
      </c>
      <c r="B209" vm="615">
        <f ca="1"/>
        <v>46000</v>
      </c>
      <c r="C209" vm="616">
        <f ca="1"/>
        <v>139.63</v>
      </c>
      <c r="D209" vm="617">
        <f ca="1"/>
        <v>10375688</v>
      </c>
      <c r="E209">
        <f t="shared" ca="1" si="63"/>
        <v>1448757315.4400001</v>
      </c>
      <c r="F209">
        <f ca="1">SUM($E$2:E209)/SUM($D$2:D209)</f>
        <v>158.36824975874632</v>
      </c>
      <c r="G209">
        <f ca="1">_xlfn.STDEV.P($C$2:C209)</f>
        <v>7.9408039593192479</v>
      </c>
      <c r="H209">
        <f t="shared" ca="1" si="64"/>
        <v>166.30905371806557</v>
      </c>
      <c r="I209">
        <f t="shared" ca="1" si="65"/>
        <v>150.42744579942706</v>
      </c>
      <c r="J209">
        <f t="shared" ca="1" si="53"/>
        <v>146.48800000000003</v>
      </c>
      <c r="K209">
        <f t="shared" ca="1" si="54"/>
        <v>2.9824479525171395</v>
      </c>
      <c r="L209">
        <f t="shared" ca="1" si="55"/>
        <v>152.4528959050343</v>
      </c>
      <c r="M209">
        <f t="shared" ca="1" si="56"/>
        <v>140.52310409496576</v>
      </c>
      <c r="N209">
        <f t="shared" ca="1" si="66"/>
        <v>1.289999999999992</v>
      </c>
      <c r="O209">
        <f t="shared" ca="1" si="67"/>
        <v>1.289999999999992</v>
      </c>
      <c r="P209">
        <f t="shared" ca="1" si="68"/>
        <v>0</v>
      </c>
      <c r="Q209">
        <f t="shared" ref="Q209:Q252" ca="1" si="72">(Q208*13+O209)/14</f>
        <v>0.48295182097827677</v>
      </c>
      <c r="R209">
        <f t="shared" ref="R209:R252" ca="1" si="73">(R208*13+P209)/14</f>
        <v>1.0139594769649096</v>
      </c>
      <c r="S209">
        <f t="shared" ca="1" si="70"/>
        <v>0.47630288187048564</v>
      </c>
      <c r="T209">
        <f t="shared" ca="1" si="71"/>
        <v>32.263222386114066</v>
      </c>
      <c r="U209">
        <f>70</f>
        <v>70</v>
      </c>
      <c r="V209">
        <f>30</f>
        <v>30</v>
      </c>
      <c r="W209">
        <f t="shared" ca="1" si="69"/>
        <v>144.45195571041984</v>
      </c>
      <c r="X209">
        <f t="shared" ca="1" si="58"/>
        <v>146.42895768140372</v>
      </c>
      <c r="Y209">
        <f t="shared" ca="1" si="57"/>
        <v>-2.200058120972983</v>
      </c>
      <c r="Z209">
        <f t="shared" ca="1" si="59"/>
        <v>-1.3918632197935277</v>
      </c>
      <c r="AA209">
        <f t="shared" ca="1" si="60"/>
        <v>-0.80819490117945536</v>
      </c>
      <c r="AB209">
        <f t="shared" ca="1" si="61"/>
        <v>152.28220000000002</v>
      </c>
    </row>
    <row r="210" spans="1:28" x14ac:dyDescent="0.25">
      <c r="A210" s="20">
        <f t="shared" ca="1" si="62"/>
        <v>45999</v>
      </c>
      <c r="B210" vm="618">
        <f ca="1"/>
        <v>46001</v>
      </c>
      <c r="C210" vm="619">
        <f ca="1"/>
        <v>139.82</v>
      </c>
      <c r="D210" vm="620">
        <f ca="1"/>
        <v>13650378</v>
      </c>
      <c r="E210">
        <f t="shared" ca="1" si="63"/>
        <v>1908595851.9599998</v>
      </c>
      <c r="F210">
        <f ca="1">SUM($E$2:E210)/SUM($D$2:D210)</f>
        <v>158.22238694874983</v>
      </c>
      <c r="G210">
        <f ca="1">_xlfn.STDEV.P($C$2:C210)</f>
        <v>8.0275492690914536</v>
      </c>
      <c r="H210">
        <f t="shared" ca="1" si="64"/>
        <v>166.24993621784128</v>
      </c>
      <c r="I210">
        <f t="shared" ca="1" si="65"/>
        <v>150.19483767965838</v>
      </c>
      <c r="J210">
        <f t="shared" ca="1" si="53"/>
        <v>146.05200000000005</v>
      </c>
      <c r="K210">
        <f t="shared" ca="1" si="54"/>
        <v>3.2883728178954534</v>
      </c>
      <c r="L210">
        <f t="shared" ca="1" si="55"/>
        <v>152.62874563579095</v>
      </c>
      <c r="M210">
        <f t="shared" ca="1" si="56"/>
        <v>139.47525436420915</v>
      </c>
      <c r="N210">
        <f t="shared" ca="1" si="66"/>
        <v>0.18999999999999773</v>
      </c>
      <c r="O210">
        <f t="shared" ca="1" si="67"/>
        <v>0.18999999999999773</v>
      </c>
      <c r="P210">
        <f t="shared" ca="1" si="68"/>
        <v>0</v>
      </c>
      <c r="Q210">
        <f t="shared" ca="1" si="72"/>
        <v>0.46202669090839971</v>
      </c>
      <c r="R210">
        <f t="shared" ca="1" si="73"/>
        <v>0.94153380003884468</v>
      </c>
      <c r="S210">
        <f t="shared" ca="1" si="70"/>
        <v>0.490717052207088</v>
      </c>
      <c r="T210">
        <f t="shared" ca="1" si="71"/>
        <v>32.918188698556492</v>
      </c>
      <c r="U210">
        <f>70</f>
        <v>70</v>
      </c>
      <c r="V210">
        <f>30</f>
        <v>30</v>
      </c>
      <c r="W210">
        <f t="shared" ca="1" si="69"/>
        <v>143.73934713958602</v>
      </c>
      <c r="X210">
        <f t="shared" ca="1" si="58"/>
        <v>145.939405260559</v>
      </c>
      <c r="Y210">
        <f t="shared" ca="1" si="57"/>
        <v>-2.2747595704405512</v>
      </c>
      <c r="Z210">
        <f t="shared" ca="1" si="59"/>
        <v>-1.5684424899229323</v>
      </c>
      <c r="AA210">
        <f t="shared" ca="1" si="60"/>
        <v>-0.70631708051761888</v>
      </c>
      <c r="AB210">
        <f t="shared" ca="1" si="61"/>
        <v>152.1301</v>
      </c>
    </row>
    <row r="211" spans="1:28" x14ac:dyDescent="0.25">
      <c r="A211" s="20">
        <f t="shared" ca="1" si="62"/>
        <v>45999</v>
      </c>
      <c r="B211" vm="621">
        <f ca="1"/>
        <v>46002</v>
      </c>
      <c r="C211" vm="622">
        <f ca="1"/>
        <v>140.76</v>
      </c>
      <c r="D211" vm="623">
        <f ca="1"/>
        <v>11797981</v>
      </c>
      <c r="E211">
        <f t="shared" ca="1" si="63"/>
        <v>1660683805.5599999</v>
      </c>
      <c r="F211">
        <f ca="1">SUM($E$2:E211)/SUM($D$2:D211)</f>
        <v>158.10449980779842</v>
      </c>
      <c r="G211">
        <f ca="1">_xlfn.STDEV.P($C$2:C211)</f>
        <v>8.1015331663987222</v>
      </c>
      <c r="H211">
        <f t="shared" ca="1" si="64"/>
        <v>166.20603297419714</v>
      </c>
      <c r="I211">
        <f t="shared" ca="1" si="65"/>
        <v>150.00296664139969</v>
      </c>
      <c r="J211">
        <f t="shared" ca="1" si="53"/>
        <v>145.68950000000004</v>
      </c>
      <c r="K211">
        <f t="shared" ca="1" si="54"/>
        <v>3.4564805267177414</v>
      </c>
      <c r="L211">
        <f t="shared" ca="1" si="55"/>
        <v>152.60246105343552</v>
      </c>
      <c r="M211">
        <f t="shared" ca="1" si="56"/>
        <v>138.77653894656456</v>
      </c>
      <c r="N211">
        <f t="shared" ca="1" si="66"/>
        <v>0.93999999999999773</v>
      </c>
      <c r="O211">
        <f t="shared" ca="1" si="67"/>
        <v>0.93999999999999773</v>
      </c>
      <c r="P211">
        <f t="shared" ca="1" si="68"/>
        <v>0</v>
      </c>
      <c r="Q211">
        <f t="shared" ca="1" si="72"/>
        <v>0.49616764155779958</v>
      </c>
      <c r="R211">
        <f t="shared" ca="1" si="73"/>
        <v>0.87428138575035574</v>
      </c>
      <c r="S211">
        <f t="shared" ca="1" si="70"/>
        <v>0.56751481804906734</v>
      </c>
      <c r="T211">
        <f t="shared" ca="1" si="71"/>
        <v>36.204749806154787</v>
      </c>
      <c r="U211">
        <f>70</f>
        <v>70</v>
      </c>
      <c r="V211">
        <f>30</f>
        <v>30</v>
      </c>
      <c r="W211">
        <f t="shared" ca="1" si="69"/>
        <v>143.28098604118816</v>
      </c>
      <c r="X211">
        <f t="shared" ca="1" si="58"/>
        <v>145.55574561162871</v>
      </c>
      <c r="Y211">
        <f t="shared" ca="1" si="57"/>
        <v>-2.1414372351750615</v>
      </c>
      <c r="Z211">
        <f t="shared" ca="1" si="59"/>
        <v>-1.6830414389733583</v>
      </c>
      <c r="AA211">
        <f t="shared" ca="1" si="60"/>
        <v>-0.45839579620170312</v>
      </c>
      <c r="AB211">
        <f t="shared" ca="1" si="61"/>
        <v>151.95450000000002</v>
      </c>
    </row>
    <row r="212" spans="1:28" x14ac:dyDescent="0.25">
      <c r="A212" s="20">
        <f t="shared" ca="1" si="62"/>
        <v>45999</v>
      </c>
      <c r="B212" vm="624">
        <f ca="1"/>
        <v>46003</v>
      </c>
      <c r="C212" vm="625">
        <f ca="1"/>
        <v>142.84</v>
      </c>
      <c r="D212" vm="626">
        <f ca="1"/>
        <v>10268768</v>
      </c>
      <c r="E212">
        <f t="shared" ca="1" si="63"/>
        <v>1466790821.1200001</v>
      </c>
      <c r="F212">
        <f ca="1">SUM($E$2:E212)/SUM($D$2:D212)</f>
        <v>158.01533126745557</v>
      </c>
      <c r="G212">
        <f ca="1">_xlfn.STDEV.P($C$2:C212)</f>
        <v>8.1532587763488085</v>
      </c>
      <c r="H212">
        <f t="shared" ca="1" si="64"/>
        <v>166.16859004380439</v>
      </c>
      <c r="I212">
        <f t="shared" ca="1" si="65"/>
        <v>149.86207249110674</v>
      </c>
      <c r="J212">
        <f t="shared" ca="1" si="53"/>
        <v>145.43350000000004</v>
      </c>
      <c r="K212">
        <f t="shared" ca="1" si="54"/>
        <v>3.4690485196345917</v>
      </c>
      <c r="L212">
        <f t="shared" ca="1" si="55"/>
        <v>152.37159703926923</v>
      </c>
      <c r="M212">
        <f t="shared" ca="1" si="56"/>
        <v>138.49540296073084</v>
      </c>
      <c r="N212">
        <f t="shared" ca="1" si="66"/>
        <v>2.0800000000000125</v>
      </c>
      <c r="O212">
        <f t="shared" ca="1" si="67"/>
        <v>2.0800000000000125</v>
      </c>
      <c r="P212">
        <f t="shared" ca="1" si="68"/>
        <v>0</v>
      </c>
      <c r="Q212">
        <f t="shared" ca="1" si="72"/>
        <v>0.60929852430367204</v>
      </c>
      <c r="R212">
        <f t="shared" ca="1" si="73"/>
        <v>0.81183271533961598</v>
      </c>
      <c r="S212">
        <f t="shared" ca="1" si="70"/>
        <v>0.75052226005548772</v>
      </c>
      <c r="T212">
        <f t="shared" ca="1" si="71"/>
        <v>42.874191158911501</v>
      </c>
      <c r="U212">
        <f>70</f>
        <v>70</v>
      </c>
      <c r="V212">
        <f>30</f>
        <v>30</v>
      </c>
      <c r="W212">
        <f t="shared" ca="1" si="69"/>
        <v>143.21314203485153</v>
      </c>
      <c r="X212">
        <f t="shared" ca="1" si="58"/>
        <v>145.35457927002659</v>
      </c>
      <c r="Y212">
        <f t="shared" ca="1" si="57"/>
        <v>-1.8299005082841404</v>
      </c>
      <c r="Z212">
        <f t="shared" ca="1" si="59"/>
        <v>-1.7124132528355147</v>
      </c>
      <c r="AA212">
        <f t="shared" ca="1" si="60"/>
        <v>-0.1174872554486257</v>
      </c>
      <c r="AB212">
        <f t="shared" ca="1" si="61"/>
        <v>151.80010000000001</v>
      </c>
    </row>
    <row r="213" spans="1:28" x14ac:dyDescent="0.25">
      <c r="A213" s="20">
        <f t="shared" ca="1" si="62"/>
        <v>46006</v>
      </c>
      <c r="B213" vm="627">
        <f ca="1"/>
        <v>46006</v>
      </c>
      <c r="C213" vm="628">
        <f ca="1"/>
        <v>145.13</v>
      </c>
      <c r="D213" vm="629">
        <f ca="1"/>
        <v>13877674</v>
      </c>
      <c r="E213">
        <f t="shared" ca="1" si="63"/>
        <v>2014066827.6199999</v>
      </c>
      <c r="F213">
        <f ca="1">SUM($E$2:E213)/SUM($D$2:D213)</f>
        <v>157.91440414062785</v>
      </c>
      <c r="G213">
        <f ca="1">_xlfn.STDEV.P($C$2:C213)</f>
        <v>8.1846121403381975</v>
      </c>
      <c r="H213">
        <f t="shared" ca="1" si="64"/>
        <v>166.09901628096605</v>
      </c>
      <c r="I213">
        <f t="shared" ca="1" si="65"/>
        <v>149.72979200028965</v>
      </c>
      <c r="J213">
        <f t="shared" ca="1" si="53"/>
        <v>145.30650000000006</v>
      </c>
      <c r="K213">
        <f t="shared" ca="1" si="54"/>
        <v>3.4291264423894812</v>
      </c>
      <c r="L213">
        <f t="shared" ca="1" si="55"/>
        <v>152.16475288477901</v>
      </c>
      <c r="M213">
        <f t="shared" ca="1" si="56"/>
        <v>138.44824711522111</v>
      </c>
      <c r="N213">
        <f t="shared" ca="1" si="66"/>
        <v>2.289999999999992</v>
      </c>
      <c r="O213">
        <f t="shared" ca="1" si="67"/>
        <v>2.289999999999992</v>
      </c>
      <c r="P213">
        <f t="shared" ca="1" si="68"/>
        <v>0</v>
      </c>
      <c r="Q213">
        <f t="shared" ca="1" si="72"/>
        <v>0.72934862971055203</v>
      </c>
      <c r="R213">
        <f t="shared" ca="1" si="73"/>
        <v>0.75384466424392915</v>
      </c>
      <c r="S213">
        <f t="shared" ca="1" si="70"/>
        <v>0.96750519610303864</v>
      </c>
      <c r="T213">
        <f t="shared" ca="1" si="71"/>
        <v>49.174213009416128</v>
      </c>
      <c r="U213">
        <f>70</f>
        <v>70</v>
      </c>
      <c r="V213">
        <f>30</f>
        <v>30</v>
      </c>
      <c r="W213">
        <f t="shared" ca="1" si="69"/>
        <v>143.508043260259</v>
      </c>
      <c r="X213">
        <f t="shared" ca="1" si="58"/>
        <v>145.33794376854314</v>
      </c>
      <c r="Y213">
        <f t="shared" ca="1" si="57"/>
        <v>-1.558583693674052</v>
      </c>
      <c r="Z213">
        <f t="shared" ca="1" si="59"/>
        <v>-1.6816473410032224</v>
      </c>
      <c r="AA213">
        <f t="shared" ca="1" si="60"/>
        <v>0.12306364732917041</v>
      </c>
      <c r="AB213">
        <f t="shared" ca="1" si="61"/>
        <v>151.66329999999999</v>
      </c>
    </row>
    <row r="214" spans="1:28" x14ac:dyDescent="0.25">
      <c r="A214" s="20">
        <f t="shared" ca="1" si="62"/>
        <v>46006</v>
      </c>
      <c r="B214" vm="630">
        <f ca="1"/>
        <v>46007</v>
      </c>
      <c r="C214" vm="631">
        <f ca="1"/>
        <v>145.21</v>
      </c>
      <c r="D214" vm="632">
        <f ca="1"/>
        <v>10251720</v>
      </c>
      <c r="E214">
        <f t="shared" ca="1" si="63"/>
        <v>1488652261.2</v>
      </c>
      <c r="F214">
        <f ca="1">SUM($E$2:E214)/SUM($D$2:D214)</f>
        <v>157.84131699337775</v>
      </c>
      <c r="G214">
        <f ca="1">_xlfn.STDEV.P($C$2:C214)</f>
        <v>8.2144845463530931</v>
      </c>
      <c r="H214">
        <f t="shared" ca="1" si="64"/>
        <v>166.05580153973085</v>
      </c>
      <c r="I214">
        <f t="shared" ca="1" si="65"/>
        <v>149.62683244702464</v>
      </c>
      <c r="J214">
        <f t="shared" ref="J214:J252" ca="1" si="74">AVERAGE(C195:C214)</f>
        <v>145.27600000000001</v>
      </c>
      <c r="K214">
        <f t="shared" ref="K214:K252" ca="1" si="75">_xlfn.STDEV.S(C195:C214)</f>
        <v>3.4270309383826092</v>
      </c>
      <c r="L214">
        <f t="shared" ref="L214:L252" ca="1" si="76">J214 + 2*K214</f>
        <v>152.13006187676524</v>
      </c>
      <c r="M214">
        <f t="shared" ref="M214:M252" ca="1" si="77">J214-2*K214</f>
        <v>138.42193812323478</v>
      </c>
      <c r="N214">
        <f t="shared" ca="1" si="66"/>
        <v>8.0000000000012506E-2</v>
      </c>
      <c r="O214">
        <f t="shared" ca="1" si="67"/>
        <v>8.0000000000012506E-2</v>
      </c>
      <c r="P214">
        <f t="shared" ca="1" si="68"/>
        <v>0</v>
      </c>
      <c r="Q214">
        <f t="shared" ca="1" si="72"/>
        <v>0.68296658473122773</v>
      </c>
      <c r="R214">
        <f t="shared" ca="1" si="73"/>
        <v>0.69999861679793418</v>
      </c>
      <c r="S214">
        <f t="shared" ca="1" si="70"/>
        <v>0.97566847753983055</v>
      </c>
      <c r="T214">
        <f t="shared" ca="1" si="71"/>
        <v>49.38422051227775</v>
      </c>
      <c r="U214">
        <f>70</f>
        <v>70</v>
      </c>
      <c r="V214">
        <f>30</f>
        <v>30</v>
      </c>
      <c r="W214">
        <f t="shared" ca="1" si="69"/>
        <v>143.76988275868069</v>
      </c>
      <c r="X214">
        <f t="shared" ca="1" si="58"/>
        <v>145.32846645235475</v>
      </c>
      <c r="Y214">
        <f t="shared" ca="1" si="57"/>
        <v>-1.1208444948350973</v>
      </c>
      <c r="Z214">
        <f t="shared" ca="1" si="59"/>
        <v>-1.5694867717695975</v>
      </c>
      <c r="AA214">
        <f t="shared" ca="1" si="60"/>
        <v>0.44864227693450021</v>
      </c>
      <c r="AB214">
        <f t="shared" ca="1" si="61"/>
        <v>151.5324</v>
      </c>
    </row>
    <row r="215" spans="1:28" x14ac:dyDescent="0.25">
      <c r="A215" s="20">
        <f t="shared" ca="1" si="62"/>
        <v>46006</v>
      </c>
      <c r="B215" vm="633">
        <f ca="1"/>
        <v>46008</v>
      </c>
      <c r="C215" vm="634">
        <f ca="1"/>
        <v>147.81</v>
      </c>
      <c r="D215" vm="635">
        <f ca="1"/>
        <v>9833261</v>
      </c>
      <c r="E215">
        <f t="shared" ca="1" si="63"/>
        <v>1453454308.4100001</v>
      </c>
      <c r="F215">
        <f ca="1">SUM($E$2:E215)/SUM($D$2:D215)</f>
        <v>157.78626721008237</v>
      </c>
      <c r="G215">
        <f ca="1">_xlfn.STDEV.P($C$2:C215)</f>
        <v>8.2262498946110103</v>
      </c>
      <c r="H215">
        <f t="shared" ca="1" si="64"/>
        <v>166.01251710469339</v>
      </c>
      <c r="I215">
        <f t="shared" ca="1" si="65"/>
        <v>149.56001731547136</v>
      </c>
      <c r="J215">
        <f t="shared" ca="1" si="74"/>
        <v>145.31700000000004</v>
      </c>
      <c r="K215">
        <f t="shared" ca="1" si="75"/>
        <v>3.4534195105416137</v>
      </c>
      <c r="L215">
        <f t="shared" ca="1" si="76"/>
        <v>152.22383902108325</v>
      </c>
      <c r="M215">
        <f t="shared" ca="1" si="77"/>
        <v>138.41016097891682</v>
      </c>
      <c r="N215">
        <f t="shared" ca="1" si="66"/>
        <v>2.5999999999999943</v>
      </c>
      <c r="O215">
        <f t="shared" ca="1" si="67"/>
        <v>2.5999999999999943</v>
      </c>
      <c r="P215">
        <f t="shared" ca="1" si="68"/>
        <v>0</v>
      </c>
      <c r="Q215">
        <f t="shared" ca="1" si="72"/>
        <v>0.81989754296471096</v>
      </c>
      <c r="R215">
        <f t="shared" ca="1" si="73"/>
        <v>0.64999871559808164</v>
      </c>
      <c r="S215">
        <f t="shared" ca="1" si="70"/>
        <v>1.2613833278275031</v>
      </c>
      <c r="T215">
        <f t="shared" ca="1" si="71"/>
        <v>55.779279536800438</v>
      </c>
      <c r="U215">
        <f>70</f>
        <v>70</v>
      </c>
      <c r="V215">
        <f>30</f>
        <v>30</v>
      </c>
      <c r="W215">
        <f t="shared" ca="1" si="69"/>
        <v>144.39143925734521</v>
      </c>
      <c r="X215">
        <f t="shared" ca="1" si="58"/>
        <v>145.51228375218031</v>
      </c>
      <c r="Y215">
        <f t="shared" ca="1" si="57"/>
        <v>-0.94779133910844848</v>
      </c>
      <c r="Z215">
        <f t="shared" ca="1" si="59"/>
        <v>-1.4451476852373677</v>
      </c>
      <c r="AA215">
        <f t="shared" ca="1" si="60"/>
        <v>0.49735634612891921</v>
      </c>
      <c r="AB215">
        <f t="shared" ca="1" si="61"/>
        <v>151.43939999999998</v>
      </c>
    </row>
    <row r="216" spans="1:28" x14ac:dyDescent="0.25">
      <c r="A216" s="20">
        <f t="shared" ca="1" si="62"/>
        <v>46006</v>
      </c>
      <c r="B216" vm="636">
        <f ca="1"/>
        <v>46009</v>
      </c>
      <c r="C216" vm="637">
        <f ca="1"/>
        <v>145.52000000000001</v>
      </c>
      <c r="D216" vm="638">
        <f ca="1"/>
        <v>12239860</v>
      </c>
      <c r="E216">
        <f t="shared" ca="1" si="63"/>
        <v>1781144427.2</v>
      </c>
      <c r="F216">
        <f ca="1">SUM($E$2:E216)/SUM($D$2:D216)</f>
        <v>157.7030463044091</v>
      </c>
      <c r="G216">
        <f ca="1">_xlfn.STDEV.P($C$2:C216)</f>
        <v>8.2524606606218303</v>
      </c>
      <c r="H216">
        <f t="shared" ca="1" si="64"/>
        <v>165.95550696503093</v>
      </c>
      <c r="I216">
        <f t="shared" ca="1" si="65"/>
        <v>149.45058564378726</v>
      </c>
      <c r="J216">
        <f t="shared" ca="1" si="74"/>
        <v>145.24350000000001</v>
      </c>
      <c r="K216">
        <f t="shared" ca="1" si="75"/>
        <v>3.4315122874539399</v>
      </c>
      <c r="L216">
        <f t="shared" ca="1" si="76"/>
        <v>152.10652457490789</v>
      </c>
      <c r="M216">
        <f t="shared" ca="1" si="77"/>
        <v>138.38047542509213</v>
      </c>
      <c r="N216">
        <f t="shared" ca="1" si="66"/>
        <v>-2.289999999999992</v>
      </c>
      <c r="O216">
        <f t="shared" ca="1" si="67"/>
        <v>0</v>
      </c>
      <c r="P216">
        <f t="shared" ca="1" si="68"/>
        <v>2.289999999999992</v>
      </c>
      <c r="Q216">
        <f t="shared" ca="1" si="72"/>
        <v>0.76133343275294585</v>
      </c>
      <c r="R216">
        <f t="shared" ca="1" si="73"/>
        <v>0.7671416644839324</v>
      </c>
      <c r="S216">
        <f t="shared" ca="1" si="70"/>
        <v>0.99242873643827723</v>
      </c>
      <c r="T216">
        <f t="shared" ca="1" si="71"/>
        <v>49.809999137654046</v>
      </c>
      <c r="U216">
        <f>70</f>
        <v>70</v>
      </c>
      <c r="V216">
        <f>30</f>
        <v>30</v>
      </c>
      <c r="W216">
        <f t="shared" ca="1" si="69"/>
        <v>144.56506398698443</v>
      </c>
      <c r="X216">
        <f t="shared" ca="1" si="58"/>
        <v>145.51285532609288</v>
      </c>
      <c r="Y216">
        <f t="shared" ca="1" si="57"/>
        <v>-0.88596574599944233</v>
      </c>
      <c r="Z216">
        <f t="shared" ca="1" si="59"/>
        <v>-1.3333112973897827</v>
      </c>
      <c r="AA216">
        <f t="shared" ca="1" si="60"/>
        <v>0.44734555139034038</v>
      </c>
      <c r="AB216">
        <f t="shared" ca="1" si="61"/>
        <v>151.32849999999999</v>
      </c>
    </row>
    <row r="217" spans="1:28" x14ac:dyDescent="0.25">
      <c r="A217" s="20">
        <f t="shared" ca="1" si="62"/>
        <v>46006</v>
      </c>
      <c r="B217" vm="639">
        <f ca="1"/>
        <v>46010</v>
      </c>
      <c r="C217" vm="640">
        <f ca="1"/>
        <v>144.46</v>
      </c>
      <c r="D217" vm="641">
        <f ca="1"/>
        <v>19345622</v>
      </c>
      <c r="E217">
        <f t="shared" ca="1" si="63"/>
        <v>2794668554.1200004</v>
      </c>
      <c r="F217">
        <f ca="1">SUM($E$2:E217)/SUM($D$2:D217)</f>
        <v>157.5625444982127</v>
      </c>
      <c r="G217">
        <f ca="1">_xlfn.STDEV.P($C$2:C217)</f>
        <v>8.2856994408555575</v>
      </c>
      <c r="H217">
        <f t="shared" ca="1" si="64"/>
        <v>165.84824393906825</v>
      </c>
      <c r="I217">
        <f t="shared" ca="1" si="65"/>
        <v>149.27684505735715</v>
      </c>
      <c r="J217">
        <f t="shared" ca="1" si="74"/>
        <v>145.05700000000002</v>
      </c>
      <c r="K217">
        <f t="shared" ca="1" si="75"/>
        <v>3.3636338432681625</v>
      </c>
      <c r="L217">
        <f t="shared" ca="1" si="76"/>
        <v>151.78426768653634</v>
      </c>
      <c r="M217">
        <f t="shared" ca="1" si="77"/>
        <v>138.32973231346369</v>
      </c>
      <c r="N217">
        <f t="shared" ca="1" si="66"/>
        <v>-1.0600000000000023</v>
      </c>
      <c r="O217">
        <f t="shared" ca="1" si="67"/>
        <v>0</v>
      </c>
      <c r="P217">
        <f t="shared" ca="1" si="68"/>
        <v>1.0600000000000023</v>
      </c>
      <c r="Q217">
        <f t="shared" ca="1" si="72"/>
        <v>0.70695247327059263</v>
      </c>
      <c r="R217">
        <f t="shared" ca="1" si="73"/>
        <v>0.78806011702079459</v>
      </c>
      <c r="S217">
        <f t="shared" ca="1" si="70"/>
        <v>0.89707936996377424</v>
      </c>
      <c r="T217">
        <f t="shared" ca="1" si="71"/>
        <v>47.287392618733946</v>
      </c>
      <c r="U217">
        <f>70</f>
        <v>70</v>
      </c>
      <c r="V217">
        <f>30</f>
        <v>30</v>
      </c>
      <c r="W217">
        <f t="shared" ca="1" si="69"/>
        <v>144.54890029667914</v>
      </c>
      <c r="X217">
        <f t="shared" ca="1" si="58"/>
        <v>145.43486604267858</v>
      </c>
      <c r="Y217">
        <f t="shared" ca="1" si="57"/>
        <v>-0.96862699645819816</v>
      </c>
      <c r="Z217">
        <f t="shared" ca="1" si="59"/>
        <v>-1.260374437203466</v>
      </c>
      <c r="AA217">
        <f t="shared" ca="1" si="60"/>
        <v>0.29174744074526782</v>
      </c>
      <c r="AB217">
        <f t="shared" ca="1" si="61"/>
        <v>151.24429999999998</v>
      </c>
    </row>
    <row r="218" spans="1:28" x14ac:dyDescent="0.25">
      <c r="A218" s="20">
        <f t="shared" ca="1" si="62"/>
        <v>46013</v>
      </c>
      <c r="B218" vm="642">
        <f ca="1"/>
        <v>46013</v>
      </c>
      <c r="C218" vm="643">
        <f ca="1"/>
        <v>142.69</v>
      </c>
      <c r="D218" vm="644">
        <f ca="1"/>
        <v>11731360</v>
      </c>
      <c r="E218">
        <f t="shared" ca="1" si="63"/>
        <v>1673947758.3999999</v>
      </c>
      <c r="F218">
        <f ca="1">SUM($E$2:E218)/SUM($D$2:D218)</f>
        <v>157.46747093128099</v>
      </c>
      <c r="G218">
        <f ca="1">_xlfn.STDEV.P($C$2:C218)</f>
        <v>8.3321867932766516</v>
      </c>
      <c r="H218">
        <f t="shared" ca="1" si="64"/>
        <v>165.79965772455765</v>
      </c>
      <c r="I218">
        <f t="shared" ca="1" si="65"/>
        <v>149.13528413800432</v>
      </c>
      <c r="J218">
        <f t="shared" ca="1" si="74"/>
        <v>144.6455</v>
      </c>
      <c r="K218">
        <f t="shared" ca="1" si="75"/>
        <v>3.1018491513764421</v>
      </c>
      <c r="L218">
        <f t="shared" ca="1" si="76"/>
        <v>150.84919830275288</v>
      </c>
      <c r="M218">
        <f t="shared" ca="1" si="77"/>
        <v>138.44180169724712</v>
      </c>
      <c r="N218">
        <f t="shared" ca="1" si="66"/>
        <v>-1.7700000000000102</v>
      </c>
      <c r="O218">
        <f t="shared" ca="1" si="67"/>
        <v>0</v>
      </c>
      <c r="P218">
        <f t="shared" ca="1" si="68"/>
        <v>1.7700000000000102</v>
      </c>
      <c r="Q218">
        <f t="shared" ca="1" si="72"/>
        <v>0.65645586803697886</v>
      </c>
      <c r="R218">
        <f t="shared" ca="1" si="73"/>
        <v>0.85819868009073852</v>
      </c>
      <c r="S218">
        <f t="shared" ca="1" si="70"/>
        <v>0.76492295230233964</v>
      </c>
      <c r="T218">
        <f t="shared" ca="1" si="71"/>
        <v>43.340302833304911</v>
      </c>
      <c r="U218">
        <f>70</f>
        <v>70</v>
      </c>
      <c r="V218">
        <f>30</f>
        <v>30</v>
      </c>
      <c r="W218">
        <f t="shared" ca="1" si="69"/>
        <v>144.26291563565158</v>
      </c>
      <c r="X218">
        <f t="shared" ca="1" si="58"/>
        <v>145.23154263210978</v>
      </c>
      <c r="Y218">
        <f t="shared" ca="1" si="57"/>
        <v>-0.98326328104604954</v>
      </c>
      <c r="Z218">
        <f t="shared" ca="1" si="59"/>
        <v>-1.2049522059719828</v>
      </c>
      <c r="AA218">
        <f t="shared" ca="1" si="60"/>
        <v>0.22168892492593328</v>
      </c>
      <c r="AB218">
        <f t="shared" ca="1" si="61"/>
        <v>151.16649999999998</v>
      </c>
    </row>
    <row r="219" spans="1:28" x14ac:dyDescent="0.25">
      <c r="A219" s="20">
        <f t="shared" ca="1" si="62"/>
        <v>46013</v>
      </c>
      <c r="B219" vm="645">
        <f ca="1"/>
        <v>46014</v>
      </c>
      <c r="C219" vm="646">
        <f ca="1"/>
        <v>143.18</v>
      </c>
      <c r="D219" vm="647">
        <f ca="1"/>
        <v>9541563</v>
      </c>
      <c r="E219">
        <f t="shared" ca="1" si="63"/>
        <v>1366160990.3400002</v>
      </c>
      <c r="F219">
        <f ca="1">SUM($E$2:E219)/SUM($D$2:D219)</f>
        <v>157.3935701807483</v>
      </c>
      <c r="G219">
        <f ca="1">_xlfn.STDEV.P($C$2:C219)</f>
        <v>8.373368296765646</v>
      </c>
      <c r="H219">
        <f t="shared" ca="1" si="64"/>
        <v>165.76693847751395</v>
      </c>
      <c r="I219">
        <f t="shared" ca="1" si="65"/>
        <v>149.02020188398265</v>
      </c>
      <c r="J219">
        <f t="shared" ca="1" si="74"/>
        <v>144.45549999999997</v>
      </c>
      <c r="K219">
        <f t="shared" ca="1" si="75"/>
        <v>3.0675182408414057</v>
      </c>
      <c r="L219">
        <f t="shared" ca="1" si="76"/>
        <v>150.59053648168279</v>
      </c>
      <c r="M219">
        <f t="shared" ca="1" si="77"/>
        <v>138.32046351831715</v>
      </c>
      <c r="N219">
        <f t="shared" ca="1" si="66"/>
        <v>0.49000000000000909</v>
      </c>
      <c r="O219">
        <f t="shared" ca="1" si="67"/>
        <v>0.49000000000000909</v>
      </c>
      <c r="P219">
        <f t="shared" ca="1" si="68"/>
        <v>0</v>
      </c>
      <c r="Q219">
        <f t="shared" ca="1" si="72"/>
        <v>0.64456616317719528</v>
      </c>
      <c r="R219">
        <f t="shared" ca="1" si="73"/>
        <v>0.79689877436997147</v>
      </c>
      <c r="S219">
        <f t="shared" ca="1" si="70"/>
        <v>0.80884321059069209</v>
      </c>
      <c r="T219">
        <f t="shared" ca="1" si="71"/>
        <v>44.716048679894037</v>
      </c>
      <c r="U219">
        <f>70</f>
        <v>70</v>
      </c>
      <c r="V219">
        <f>30</f>
        <v>30</v>
      </c>
      <c r="W219">
        <f t="shared" ca="1" si="69"/>
        <v>144.09631323016671</v>
      </c>
      <c r="X219">
        <f t="shared" ca="1" si="58"/>
        <v>145.07957651121276</v>
      </c>
      <c r="Y219">
        <f t="shared" ca="1" si="57"/>
        <v>-0.87902375152319223</v>
      </c>
      <c r="Z219">
        <f t="shared" ca="1" si="59"/>
        <v>-1.1397665150822247</v>
      </c>
      <c r="AA219">
        <f t="shared" ca="1" si="60"/>
        <v>0.26074276355903248</v>
      </c>
      <c r="AB219">
        <f t="shared" ca="1" si="61"/>
        <v>151.09179999999998</v>
      </c>
    </row>
    <row r="220" spans="1:28" x14ac:dyDescent="0.25">
      <c r="A220" s="20">
        <f t="shared" ca="1" si="62"/>
        <v>46013</v>
      </c>
      <c r="B220" vm="648">
        <f ca="1"/>
        <v>46015</v>
      </c>
      <c r="C220" vm="649">
        <f ca="1"/>
        <v>144.49</v>
      </c>
      <c r="D220" vm="650">
        <f ca="1"/>
        <v>3259209</v>
      </c>
      <c r="E220">
        <f t="shared" ca="1" si="63"/>
        <v>470923108.41000003</v>
      </c>
      <c r="F220">
        <f ca="1">SUM($E$2:E220)/SUM($D$2:D220)</f>
        <v>157.37081242489481</v>
      </c>
      <c r="G220">
        <f ca="1">_xlfn.STDEV.P($C$2:C220)</f>
        <v>8.4034299006041753</v>
      </c>
      <c r="H220">
        <f t="shared" ca="1" si="64"/>
        <v>165.77424232549899</v>
      </c>
      <c r="I220">
        <f t="shared" ca="1" si="65"/>
        <v>148.96738252429063</v>
      </c>
      <c r="J220">
        <f t="shared" ca="1" si="74"/>
        <v>144.25549999999998</v>
      </c>
      <c r="K220">
        <f t="shared" ca="1" si="75"/>
        <v>2.9173500502664202</v>
      </c>
      <c r="L220">
        <f t="shared" ca="1" si="76"/>
        <v>150.09020010053283</v>
      </c>
      <c r="M220">
        <f t="shared" ca="1" si="77"/>
        <v>138.42079989946714</v>
      </c>
      <c r="N220">
        <f t="shared" ca="1" si="66"/>
        <v>1.3100000000000023</v>
      </c>
      <c r="O220">
        <f t="shared" ca="1" si="67"/>
        <v>1.3100000000000023</v>
      </c>
      <c r="P220">
        <f t="shared" ca="1" si="68"/>
        <v>0</v>
      </c>
      <c r="Q220">
        <f t="shared" ca="1" si="72"/>
        <v>0.6920971515216815</v>
      </c>
      <c r="R220">
        <f t="shared" ca="1" si="73"/>
        <v>0.73997743334354493</v>
      </c>
      <c r="S220">
        <f t="shared" ca="1" si="70"/>
        <v>0.93529494324506735</v>
      </c>
      <c r="T220">
        <f t="shared" ca="1" si="71"/>
        <v>48.328289520396396</v>
      </c>
      <c r="U220">
        <f>70</f>
        <v>70</v>
      </c>
      <c r="V220">
        <f>30</f>
        <v>30</v>
      </c>
      <c r="W220">
        <f t="shared" ca="1" si="69"/>
        <v>144.15688042552569</v>
      </c>
      <c r="X220">
        <f t="shared" ca="1" si="58"/>
        <v>145.03590417704888</v>
      </c>
      <c r="Y220">
        <f t="shared" ref="Y220:Y252" ca="1" si="78">W221-X221</f>
        <v>-0.7673942198283612</v>
      </c>
      <c r="Z220">
        <f t="shared" ca="1" si="59"/>
        <v>-1.0652920560314521</v>
      </c>
      <c r="AA220">
        <f t="shared" ca="1" si="60"/>
        <v>0.29789783620309085</v>
      </c>
      <c r="AB220">
        <f t="shared" ca="1" si="61"/>
        <v>151.02909999999997</v>
      </c>
    </row>
    <row r="221" spans="1:28" x14ac:dyDescent="0.25">
      <c r="A221" s="20">
        <f t="shared" ca="1" si="62"/>
        <v>46013</v>
      </c>
      <c r="B221" vm="651">
        <f ca="1"/>
        <v>46017</v>
      </c>
      <c r="C221" vm="652">
        <f ca="1"/>
        <v>144.74</v>
      </c>
      <c r="D221" vm="653">
        <f ca="1"/>
        <v>4711505</v>
      </c>
      <c r="E221">
        <f t="shared" ca="1" si="63"/>
        <v>681943233.70000005</v>
      </c>
      <c r="F221">
        <f ca="1">SUM($E$2:E221)/SUM($D$2:D221)</f>
        <v>157.33869117606986</v>
      </c>
      <c r="G221">
        <f ca="1">_xlfn.STDEV.P($C$2:C221)</f>
        <v>8.4308882676385242</v>
      </c>
      <c r="H221">
        <f t="shared" ca="1" si="64"/>
        <v>165.76957944370838</v>
      </c>
      <c r="I221">
        <f t="shared" ca="1" si="65"/>
        <v>148.90780290843134</v>
      </c>
      <c r="J221">
        <f t="shared" ca="1" si="74"/>
        <v>144.07999999999998</v>
      </c>
      <c r="K221">
        <f t="shared" ca="1" si="75"/>
        <v>2.7660574260507573</v>
      </c>
      <c r="L221">
        <f t="shared" ca="1" si="76"/>
        <v>149.61211485210151</v>
      </c>
      <c r="M221">
        <f t="shared" ca="1" si="77"/>
        <v>138.54788514789846</v>
      </c>
      <c r="N221">
        <f t="shared" ca="1" si="66"/>
        <v>0.25</v>
      </c>
      <c r="O221">
        <f t="shared" ca="1" si="67"/>
        <v>0.25</v>
      </c>
      <c r="P221">
        <f t="shared" ca="1" si="68"/>
        <v>0</v>
      </c>
      <c r="Q221">
        <f t="shared" ca="1" si="72"/>
        <v>0.66051878355584714</v>
      </c>
      <c r="R221">
        <f t="shared" ca="1" si="73"/>
        <v>0.68712190239043458</v>
      </c>
      <c r="S221">
        <f t="shared" ca="1" si="70"/>
        <v>0.96128326175888501</v>
      </c>
      <c r="T221">
        <f t="shared" ca="1" si="71"/>
        <v>49.012974336853475</v>
      </c>
      <c r="U221">
        <f>70</f>
        <v>70</v>
      </c>
      <c r="V221">
        <f>30</f>
        <v>30</v>
      </c>
      <c r="W221">
        <f t="shared" ca="1" si="69"/>
        <v>144.24659112929098</v>
      </c>
      <c r="X221">
        <f t="shared" ref="X221:X252" ca="1" si="79">C221*(2/(26+1)) + X220*(1-(2/(26+1)))</f>
        <v>145.01398534911934</v>
      </c>
      <c r="Y221">
        <f t="shared" ca="1" si="78"/>
        <v>-0.68475120531155653</v>
      </c>
      <c r="Z221">
        <f t="shared" ca="1" si="59"/>
        <v>-0.98918388588747308</v>
      </c>
      <c r="AA221">
        <f t="shared" ca="1" si="60"/>
        <v>0.30443268057591655</v>
      </c>
      <c r="AB221">
        <f t="shared" ca="1" si="61"/>
        <v>150.97139999999999</v>
      </c>
    </row>
    <row r="222" spans="1:28" x14ac:dyDescent="0.25">
      <c r="A222" s="20">
        <f t="shared" ca="1" si="62"/>
        <v>46020</v>
      </c>
      <c r="B222" vm="654">
        <f ca="1"/>
        <v>46020</v>
      </c>
      <c r="C222" vm="655">
        <f ca="1"/>
        <v>144.57</v>
      </c>
      <c r="D222" vm="656">
        <f ca="1"/>
        <v>7662127</v>
      </c>
      <c r="E222">
        <f t="shared" ca="1" si="63"/>
        <v>1107713700.3899999</v>
      </c>
      <c r="F222">
        <f ca="1">SUM($E$2:E222)/SUM($D$2:D222)</f>
        <v>157.28610097953518</v>
      </c>
      <c r="G222">
        <f ca="1">_xlfn.STDEV.P($C$2:C222)</f>
        <v>8.4587864791870171</v>
      </c>
      <c r="H222">
        <f t="shared" ca="1" si="64"/>
        <v>165.74488745872219</v>
      </c>
      <c r="I222">
        <f t="shared" ca="1" si="65"/>
        <v>148.82731450034817</v>
      </c>
      <c r="J222">
        <f t="shared" ca="1" si="74"/>
        <v>143.90049999999999</v>
      </c>
      <c r="K222">
        <f t="shared" ca="1" si="75"/>
        <v>2.5987820527883354</v>
      </c>
      <c r="L222">
        <f t="shared" ca="1" si="76"/>
        <v>149.09806410557667</v>
      </c>
      <c r="M222">
        <f t="shared" ca="1" si="77"/>
        <v>138.70293589442332</v>
      </c>
      <c r="N222">
        <f t="shared" ca="1" si="66"/>
        <v>-0.17000000000001592</v>
      </c>
      <c r="O222">
        <f t="shared" ca="1" si="67"/>
        <v>0</v>
      </c>
      <c r="P222">
        <f t="shared" ca="1" si="68"/>
        <v>0.17000000000001592</v>
      </c>
      <c r="Q222">
        <f t="shared" ca="1" si="72"/>
        <v>0.61333887044471525</v>
      </c>
      <c r="R222">
        <f t="shared" ca="1" si="73"/>
        <v>0.65018462364826191</v>
      </c>
      <c r="S222">
        <f t="shared" ca="1" si="70"/>
        <v>0.94333032209097656</v>
      </c>
      <c r="T222">
        <f t="shared" ca="1" si="71"/>
        <v>48.541944278210813</v>
      </c>
      <c r="U222">
        <f>70</f>
        <v>70</v>
      </c>
      <c r="V222">
        <f>30</f>
        <v>30</v>
      </c>
      <c r="W222">
        <f t="shared" ca="1" si="69"/>
        <v>144.29634634016929</v>
      </c>
      <c r="X222">
        <f t="shared" ca="1" si="79"/>
        <v>144.98109754548085</v>
      </c>
      <c r="Y222">
        <f t="shared" ca="1" si="78"/>
        <v>-0.65368045370652794</v>
      </c>
      <c r="Z222">
        <f t="shared" ca="1" si="59"/>
        <v>-0.92208319945128414</v>
      </c>
      <c r="AA222">
        <f t="shared" ca="1" si="60"/>
        <v>0.2684027457447562</v>
      </c>
      <c r="AB222">
        <f t="shared" ca="1" si="61"/>
        <v>150.88849999999999</v>
      </c>
    </row>
    <row r="223" spans="1:28" x14ac:dyDescent="0.25">
      <c r="A223" s="20">
        <f t="shared" ca="1" si="62"/>
        <v>46020</v>
      </c>
      <c r="B223" vm="657">
        <f ca="1"/>
        <v>46021</v>
      </c>
      <c r="C223" vm="658">
        <f ca="1"/>
        <v>144.05000000000001</v>
      </c>
      <c r="D223" vm="659">
        <f ca="1"/>
        <v>6006432</v>
      </c>
      <c r="E223">
        <f t="shared" ca="1" si="63"/>
        <v>865226529.60000002</v>
      </c>
      <c r="F223">
        <f ca="1">SUM($E$2:E223)/SUM($D$2:D223)</f>
        <v>157.24350331787574</v>
      </c>
      <c r="G223">
        <f ca="1">_xlfn.STDEV.P($C$2:C223)</f>
        <v>8.4896235949412837</v>
      </c>
      <c r="H223">
        <f t="shared" ca="1" si="64"/>
        <v>165.73312691281703</v>
      </c>
      <c r="I223">
        <f t="shared" ca="1" si="65"/>
        <v>148.75387972293444</v>
      </c>
      <c r="J223">
        <f t="shared" ca="1" si="74"/>
        <v>143.73100000000002</v>
      </c>
      <c r="K223">
        <f t="shared" ca="1" si="75"/>
        <v>2.4627688739132236</v>
      </c>
      <c r="L223">
        <f t="shared" ca="1" si="76"/>
        <v>148.65653774782646</v>
      </c>
      <c r="M223">
        <f t="shared" ca="1" si="77"/>
        <v>138.80546225217358</v>
      </c>
      <c r="N223">
        <f t="shared" ca="1" si="66"/>
        <v>-0.51999999999998181</v>
      </c>
      <c r="O223">
        <f t="shared" ca="1" si="67"/>
        <v>0</v>
      </c>
      <c r="P223">
        <f t="shared" ca="1" si="68"/>
        <v>0.51999999999998181</v>
      </c>
      <c r="Q223">
        <f t="shared" ca="1" si="72"/>
        <v>0.56952895112723556</v>
      </c>
      <c r="R223">
        <f t="shared" ca="1" si="73"/>
        <v>0.64088572195909899</v>
      </c>
      <c r="S223">
        <f t="shared" ca="1" si="70"/>
        <v>0.88865913471478875</v>
      </c>
      <c r="T223">
        <f t="shared" ca="1" si="71"/>
        <v>47.052383269201592</v>
      </c>
      <c r="U223">
        <f>70</f>
        <v>70</v>
      </c>
      <c r="V223">
        <f>30</f>
        <v>30</v>
      </c>
      <c r="W223">
        <f t="shared" ca="1" si="69"/>
        <v>144.25844690322018</v>
      </c>
      <c r="X223">
        <f t="shared" ca="1" si="79"/>
        <v>144.9121273569267</v>
      </c>
      <c r="Y223">
        <f t="shared" ca="1" si="78"/>
        <v>-0.680919261381149</v>
      </c>
      <c r="Z223">
        <f t="shared" ca="1" si="59"/>
        <v>-0.8738504118372572</v>
      </c>
      <c r="AA223">
        <f t="shared" ca="1" si="60"/>
        <v>0.1929311504561082</v>
      </c>
      <c r="AB223">
        <f t="shared" ca="1" si="61"/>
        <v>150.79409999999996</v>
      </c>
    </row>
    <row r="224" spans="1:28" x14ac:dyDescent="0.25">
      <c r="A224" s="20">
        <f t="shared" ca="1" si="62"/>
        <v>46020</v>
      </c>
      <c r="B224" vm="660">
        <f ca="1"/>
        <v>46022</v>
      </c>
      <c r="C224" vm="661">
        <f ca="1"/>
        <v>143.31</v>
      </c>
      <c r="D224" vm="662">
        <f ca="1"/>
        <v>5293220</v>
      </c>
      <c r="E224">
        <f t="shared" ca="1" si="63"/>
        <v>758571358.20000005</v>
      </c>
      <c r="F224">
        <f ca="1">SUM($E$2:E224)/SUM($D$2:D224)</f>
        <v>157.20409758465209</v>
      </c>
      <c r="G224">
        <f ca="1">_xlfn.STDEV.P($C$2:C224)</f>
        <v>8.5250716666969417</v>
      </c>
      <c r="H224">
        <f t="shared" ca="1" si="64"/>
        <v>165.72916925134902</v>
      </c>
      <c r="I224">
        <f t="shared" ca="1" si="65"/>
        <v>148.67902591795516</v>
      </c>
      <c r="J224">
        <f t="shared" ca="1" si="74"/>
        <v>143.6035</v>
      </c>
      <c r="K224">
        <f t="shared" ca="1" si="75"/>
        <v>2.4122369504804402</v>
      </c>
      <c r="L224">
        <f t="shared" ca="1" si="76"/>
        <v>148.42797390096086</v>
      </c>
      <c r="M224">
        <f t="shared" ca="1" si="77"/>
        <v>138.77902609903913</v>
      </c>
      <c r="N224">
        <f t="shared" ca="1" si="66"/>
        <v>-0.74000000000000909</v>
      </c>
      <c r="O224">
        <f t="shared" ca="1" si="67"/>
        <v>0</v>
      </c>
      <c r="P224">
        <f t="shared" ca="1" si="68"/>
        <v>0.74000000000000909</v>
      </c>
      <c r="Q224">
        <f t="shared" ca="1" si="72"/>
        <v>0.52884831176100444</v>
      </c>
      <c r="R224">
        <f t="shared" ca="1" si="73"/>
        <v>0.64796531324773543</v>
      </c>
      <c r="S224">
        <f t="shared" ca="1" si="70"/>
        <v>0.81616762648961549</v>
      </c>
      <c r="T224">
        <f t="shared" ca="1" si="71"/>
        <v>44.939003128645524</v>
      </c>
      <c r="U224">
        <f>70</f>
        <v>70</v>
      </c>
      <c r="V224">
        <f>30</f>
        <v>30</v>
      </c>
      <c r="W224">
        <f t="shared" ca="1" si="69"/>
        <v>144.11253199503247</v>
      </c>
      <c r="X224">
        <f t="shared" ca="1" si="79"/>
        <v>144.79345125641362</v>
      </c>
      <c r="Y224">
        <f t="shared" ca="1" si="78"/>
        <v>-0.81575400515606589</v>
      </c>
      <c r="Z224">
        <f t="shared" ca="1" si="59"/>
        <v>-0.86223113050101896</v>
      </c>
      <c r="AA224">
        <f t="shared" ca="1" si="60"/>
        <v>4.6477125344953074E-2</v>
      </c>
      <c r="AB224">
        <f t="shared" ca="1" si="61"/>
        <v>150.69209999999995</v>
      </c>
    </row>
    <row r="225" spans="1:28" x14ac:dyDescent="0.25">
      <c r="A225" s="20">
        <f t="shared" ca="1" si="62"/>
        <v>46020</v>
      </c>
      <c r="B225" vm="663">
        <f ca="1"/>
        <v>46024</v>
      </c>
      <c r="C225" vm="664">
        <f ca="1"/>
        <v>141.79</v>
      </c>
      <c r="D225" vm="665">
        <f ca="1"/>
        <v>8946091</v>
      </c>
      <c r="E225">
        <f t="shared" ca="1" si="63"/>
        <v>1268466242.8899999</v>
      </c>
      <c r="F225">
        <f ca="1">SUM($E$2:E225)/SUM($D$2:D225)</f>
        <v>157.13077130514947</v>
      </c>
      <c r="G225">
        <f ca="1">_xlfn.STDEV.P($C$2:C225)</f>
        <v>8.5714867500583232</v>
      </c>
      <c r="H225">
        <f t="shared" ca="1" si="64"/>
        <v>165.70225805520778</v>
      </c>
      <c r="I225">
        <f t="shared" ca="1" si="65"/>
        <v>148.55928455509115</v>
      </c>
      <c r="J225">
        <f t="shared" ca="1" si="74"/>
        <v>143.35750000000002</v>
      </c>
      <c r="K225">
        <f t="shared" ca="1" si="75"/>
        <v>2.328168186635831</v>
      </c>
      <c r="L225">
        <f t="shared" ca="1" si="76"/>
        <v>148.01383637327169</v>
      </c>
      <c r="M225">
        <f t="shared" ca="1" si="77"/>
        <v>138.70116362672834</v>
      </c>
      <c r="N225">
        <f t="shared" ca="1" si="66"/>
        <v>-1.5200000000000102</v>
      </c>
      <c r="O225">
        <f t="shared" ca="1" si="67"/>
        <v>0</v>
      </c>
      <c r="P225">
        <f t="shared" ca="1" si="68"/>
        <v>1.5200000000000102</v>
      </c>
      <c r="Q225">
        <f t="shared" ca="1" si="72"/>
        <v>0.49107343234950412</v>
      </c>
      <c r="R225">
        <f t="shared" ca="1" si="73"/>
        <v>0.71025350515861219</v>
      </c>
      <c r="S225">
        <f t="shared" ca="1" si="70"/>
        <v>0.69140585549076417</v>
      </c>
      <c r="T225">
        <f t="shared" ca="1" si="71"/>
        <v>40.877584362515499</v>
      </c>
      <c r="U225">
        <f>70</f>
        <v>70</v>
      </c>
      <c r="V225">
        <f>30</f>
        <v>30</v>
      </c>
      <c r="W225">
        <f t="shared" ca="1" si="69"/>
        <v>143.75521938041209</v>
      </c>
      <c r="X225">
        <f t="shared" ca="1" si="79"/>
        <v>144.57097338556815</v>
      </c>
      <c r="Y225">
        <f t="shared" ca="1" si="78"/>
        <v>-1.0253737730121486</v>
      </c>
      <c r="Z225">
        <f t="shared" ca="1" si="59"/>
        <v>-0.89485965900324493</v>
      </c>
      <c r="AA225">
        <f t="shared" ca="1" si="60"/>
        <v>-0.13051411400890367</v>
      </c>
      <c r="AB225">
        <f t="shared" ca="1" si="61"/>
        <v>150.56019999999998</v>
      </c>
    </row>
    <row r="226" spans="1:28" x14ac:dyDescent="0.25">
      <c r="A226" s="20">
        <f t="shared" ca="1" si="62"/>
        <v>46027</v>
      </c>
      <c r="B226" vm="666">
        <f ca="1"/>
        <v>46027</v>
      </c>
      <c r="C226" vm="667">
        <f ca="1"/>
        <v>140.37</v>
      </c>
      <c r="D226" vm="668">
        <f ca="1"/>
        <v>12297334</v>
      </c>
      <c r="E226">
        <f t="shared" ca="1" si="63"/>
        <v>1726176773.5800002</v>
      </c>
      <c r="F226">
        <f ca="1">SUM($E$2:E226)/SUM($D$2:D226)</f>
        <v>157.02188267224284</v>
      </c>
      <c r="G226">
        <f ca="1">_xlfn.STDEV.P($C$2:C226)</f>
        <v>8.6286912158661391</v>
      </c>
      <c r="H226">
        <f t="shared" ca="1" si="64"/>
        <v>165.65057388810897</v>
      </c>
      <c r="I226">
        <f t="shared" ca="1" si="65"/>
        <v>148.39319145637671</v>
      </c>
      <c r="J226">
        <f t="shared" ca="1" si="74"/>
        <v>143.108</v>
      </c>
      <c r="K226">
        <f t="shared" ca="1" si="75"/>
        <v>2.369289478214716</v>
      </c>
      <c r="L226">
        <f t="shared" ca="1" si="76"/>
        <v>147.84657895642943</v>
      </c>
      <c r="M226">
        <f t="shared" ca="1" si="77"/>
        <v>138.36942104357058</v>
      </c>
      <c r="N226">
        <f t="shared" ca="1" si="66"/>
        <v>-1.4199999999999875</v>
      </c>
      <c r="O226">
        <f t="shared" ca="1" si="67"/>
        <v>0</v>
      </c>
      <c r="P226">
        <f t="shared" ca="1" si="68"/>
        <v>1.4199999999999875</v>
      </c>
      <c r="Q226">
        <f t="shared" ca="1" si="72"/>
        <v>0.45599675861025385</v>
      </c>
      <c r="R226">
        <f t="shared" ca="1" si="73"/>
        <v>0.76094968336156754</v>
      </c>
      <c r="S226">
        <f t="shared" ca="1" si="70"/>
        <v>0.59924692601992402</v>
      </c>
      <c r="T226">
        <f t="shared" ca="1" si="71"/>
        <v>37.470569195420069</v>
      </c>
      <c r="U226">
        <f>70</f>
        <v>70</v>
      </c>
      <c r="V226">
        <f>30</f>
        <v>30</v>
      </c>
      <c r="W226">
        <f t="shared" ca="1" si="69"/>
        <v>143.23441639881023</v>
      </c>
      <c r="X226">
        <f t="shared" ca="1" si="79"/>
        <v>144.25979017182237</v>
      </c>
      <c r="Y226">
        <f t="shared" ca="1" si="78"/>
        <v>-1.2146157703579092</v>
      </c>
      <c r="Z226">
        <f t="shared" ca="1" si="59"/>
        <v>-0.9588108812741778</v>
      </c>
      <c r="AA226">
        <f t="shared" ca="1" si="60"/>
        <v>-0.25580488908373145</v>
      </c>
      <c r="AB226">
        <f t="shared" ca="1" si="61"/>
        <v>150.41299999999998</v>
      </c>
    </row>
    <row r="227" spans="1:28" x14ac:dyDescent="0.25">
      <c r="A227" s="20">
        <f t="shared" ca="1" si="62"/>
        <v>46027</v>
      </c>
      <c r="B227" vm="669">
        <f ca="1"/>
        <v>46028</v>
      </c>
      <c r="C227" vm="670">
        <f ca="1"/>
        <v>139.91</v>
      </c>
      <c r="D227" vm="671">
        <f ca="1"/>
        <v>10421756</v>
      </c>
      <c r="E227">
        <f t="shared" ca="1" si="63"/>
        <v>1458107881.96</v>
      </c>
      <c r="F227">
        <f ca="1">SUM($E$2:E227)/SUM($D$2:D227)</f>
        <v>156.92818437434744</v>
      </c>
      <c r="G227">
        <f ca="1">_xlfn.STDEV.P($C$2:C227)</f>
        <v>8.6884034792366975</v>
      </c>
      <c r="H227">
        <f t="shared" ca="1" si="64"/>
        <v>165.61658785358412</v>
      </c>
      <c r="I227">
        <f t="shared" ca="1" si="65"/>
        <v>148.23978089511075</v>
      </c>
      <c r="J227">
        <f t="shared" ca="1" si="74"/>
        <v>142.93099999999998</v>
      </c>
      <c r="K227">
        <f t="shared" ca="1" si="75"/>
        <v>2.4723819752576586</v>
      </c>
      <c r="L227">
        <f t="shared" ca="1" si="76"/>
        <v>147.87576395051531</v>
      </c>
      <c r="M227">
        <f t="shared" ca="1" si="77"/>
        <v>137.98623604948466</v>
      </c>
      <c r="N227">
        <f t="shared" ca="1" si="66"/>
        <v>-0.46000000000000796</v>
      </c>
      <c r="O227">
        <f t="shared" ca="1" si="67"/>
        <v>0</v>
      </c>
      <c r="P227">
        <f t="shared" ca="1" si="68"/>
        <v>0.46000000000000796</v>
      </c>
      <c r="Q227">
        <f t="shared" ca="1" si="72"/>
        <v>0.42342556156666428</v>
      </c>
      <c r="R227">
        <f t="shared" ca="1" si="73"/>
        <v>0.73945327740717037</v>
      </c>
      <c r="S227">
        <f t="shared" ca="1" si="70"/>
        <v>0.57261976449867091</v>
      </c>
      <c r="T227">
        <f t="shared" ca="1" si="71"/>
        <v>36.411838222141007</v>
      </c>
      <c r="U227">
        <f>70</f>
        <v>70</v>
      </c>
      <c r="V227">
        <f>30</f>
        <v>30</v>
      </c>
      <c r="W227">
        <f t="shared" ca="1" si="69"/>
        <v>142.72296772207019</v>
      </c>
      <c r="X227">
        <f t="shared" ca="1" si="79"/>
        <v>143.9375834924281</v>
      </c>
      <c r="Y227">
        <f t="shared" ca="1" si="78"/>
        <v>-1.498214306507947</v>
      </c>
      <c r="Z227">
        <f t="shared" ca="1" si="59"/>
        <v>-1.0666915663209318</v>
      </c>
      <c r="AA227">
        <f t="shared" ca="1" si="60"/>
        <v>-0.4315227401870152</v>
      </c>
      <c r="AB227">
        <f t="shared" ca="1" si="61"/>
        <v>150.25799999999998</v>
      </c>
    </row>
    <row r="228" spans="1:28" x14ac:dyDescent="0.25">
      <c r="A228" s="20">
        <f t="shared" ca="1" si="62"/>
        <v>46027</v>
      </c>
      <c r="B228" vm="672">
        <f ca="1"/>
        <v>46029</v>
      </c>
      <c r="C228" vm="673">
        <f ca="1"/>
        <v>138.04</v>
      </c>
      <c r="D228" vm="674">
        <f ca="1"/>
        <v>14369142</v>
      </c>
      <c r="E228">
        <f t="shared" ca="1" si="63"/>
        <v>1983516361.6799998</v>
      </c>
      <c r="F228">
        <f ca="1">SUM($E$2:E228)/SUM($D$2:D228)</f>
        <v>156.78665466243908</v>
      </c>
      <c r="G228">
        <f ca="1">_xlfn.STDEV.P($C$2:C228)</f>
        <v>8.7637874499051858</v>
      </c>
      <c r="H228">
        <f t="shared" ca="1" si="64"/>
        <v>165.55044211234426</v>
      </c>
      <c r="I228">
        <f t="shared" ca="1" si="65"/>
        <v>148.0228672125339</v>
      </c>
      <c r="J228">
        <f t="shared" ca="1" si="74"/>
        <v>142.916</v>
      </c>
      <c r="K228">
        <f t="shared" ca="1" si="75"/>
        <v>2.5024291356494772</v>
      </c>
      <c r="L228">
        <f t="shared" ca="1" si="76"/>
        <v>147.92085827129895</v>
      </c>
      <c r="M228">
        <f t="shared" ca="1" si="77"/>
        <v>137.91114172870104</v>
      </c>
      <c r="N228">
        <f t="shared" ca="1" si="66"/>
        <v>-1.8700000000000045</v>
      </c>
      <c r="O228">
        <f t="shared" ca="1" si="67"/>
        <v>0</v>
      </c>
      <c r="P228">
        <f t="shared" ca="1" si="68"/>
        <v>1.8700000000000045</v>
      </c>
      <c r="Q228">
        <f t="shared" ca="1" si="72"/>
        <v>0.39318087859761686</v>
      </c>
      <c r="R228">
        <f t="shared" ca="1" si="73"/>
        <v>0.82020661473522993</v>
      </c>
      <c r="S228">
        <f t="shared" ca="1" si="70"/>
        <v>0.47936809034945321</v>
      </c>
      <c r="T228">
        <f t="shared" ca="1" si="71"/>
        <v>32.403571056897533</v>
      </c>
      <c r="U228">
        <f>70</f>
        <v>70</v>
      </c>
      <c r="V228">
        <f>30</f>
        <v>30</v>
      </c>
      <c r="W228">
        <f t="shared" ca="1" si="69"/>
        <v>142.00251114944399</v>
      </c>
      <c r="X228">
        <f t="shared" ca="1" si="79"/>
        <v>143.50072545595194</v>
      </c>
      <c r="Y228">
        <f t="shared" ca="1" si="78"/>
        <v>-1.4249286660954681</v>
      </c>
      <c r="Z228">
        <f t="shared" ca="1" si="59"/>
        <v>-1.1383389862758391</v>
      </c>
      <c r="AA228">
        <f t="shared" ca="1" si="60"/>
        <v>-0.28658967981962902</v>
      </c>
      <c r="AB228">
        <f t="shared" ca="1" si="61"/>
        <v>150.101</v>
      </c>
    </row>
    <row r="229" spans="1:28" x14ac:dyDescent="0.25">
      <c r="A229" s="20">
        <f t="shared" ca="1" si="62"/>
        <v>46027</v>
      </c>
      <c r="B229" vm="675">
        <f ca="1"/>
        <v>46030</v>
      </c>
      <c r="C229" vm="676">
        <f ca="1"/>
        <v>141.53</v>
      </c>
      <c r="D229" vm="677">
        <f ca="1"/>
        <v>9297080</v>
      </c>
      <c r="E229">
        <f t="shared" ca="1" si="63"/>
        <v>1315815732.4000001</v>
      </c>
      <c r="F229">
        <f ca="1">SUM($E$2:E229)/SUM($D$2:D229)</f>
        <v>156.71304547335009</v>
      </c>
      <c r="G229">
        <f ca="1">_xlfn.STDEV.P($C$2:C229)</f>
        <v>8.8067350962956183</v>
      </c>
      <c r="H229">
        <f t="shared" ca="1" si="64"/>
        <v>165.51978056964572</v>
      </c>
      <c r="I229">
        <f t="shared" ca="1" si="65"/>
        <v>147.90631037705447</v>
      </c>
      <c r="J229">
        <f t="shared" ca="1" si="74"/>
        <v>143.011</v>
      </c>
      <c r="K229">
        <f t="shared" ca="1" si="75"/>
        <v>2.4052965677744162</v>
      </c>
      <c r="L229">
        <f t="shared" ca="1" si="76"/>
        <v>147.82159313554882</v>
      </c>
      <c r="M229">
        <f t="shared" ca="1" si="77"/>
        <v>138.20040686445117</v>
      </c>
      <c r="N229">
        <f t="shared" ca="1" si="66"/>
        <v>3.4900000000000091</v>
      </c>
      <c r="O229">
        <f t="shared" ca="1" si="67"/>
        <v>3.4900000000000091</v>
      </c>
      <c r="P229">
        <f t="shared" ca="1" si="68"/>
        <v>0</v>
      </c>
      <c r="Q229">
        <f t="shared" ca="1" si="72"/>
        <v>0.61438224441207345</v>
      </c>
      <c r="R229">
        <f t="shared" ca="1" si="73"/>
        <v>0.76162042796842777</v>
      </c>
      <c r="S229">
        <f t="shared" ca="1" si="70"/>
        <v>0.80667773847781044</v>
      </c>
      <c r="T229">
        <f t="shared" ca="1" si="71"/>
        <v>44.649785697667639</v>
      </c>
      <c r="U229">
        <f>70</f>
        <v>70</v>
      </c>
      <c r="V229">
        <f>30</f>
        <v>30</v>
      </c>
      <c r="W229">
        <f t="shared" ca="1" si="69"/>
        <v>141.9298171264526</v>
      </c>
      <c r="X229">
        <f t="shared" ca="1" si="79"/>
        <v>143.35474579254807</v>
      </c>
      <c r="Y229">
        <f t="shared" ca="1" si="78"/>
        <v>-1.3241501311159425</v>
      </c>
      <c r="Z229">
        <f t="shared" ca="1" si="59"/>
        <v>-1.1755012152438598</v>
      </c>
      <c r="AA229">
        <f t="shared" ca="1" si="60"/>
        <v>-0.14864891587208273</v>
      </c>
      <c r="AB229">
        <f t="shared" ca="1" si="61"/>
        <v>149.97269999999997</v>
      </c>
    </row>
    <row r="230" spans="1:28" x14ac:dyDescent="0.25">
      <c r="A230" s="20">
        <f t="shared" ca="1" si="62"/>
        <v>46027</v>
      </c>
      <c r="B230" vm="678">
        <f ca="1"/>
        <v>46031</v>
      </c>
      <c r="C230" vm="679">
        <f ca="1"/>
        <v>141.87</v>
      </c>
      <c r="D230" vm="680">
        <f ca="1"/>
        <v>9528476</v>
      </c>
      <c r="E230">
        <f t="shared" ca="1" si="63"/>
        <v>1351804890.1200001</v>
      </c>
      <c r="F230">
        <f ca="1">SUM($E$2:E230)/SUM($D$2:D230)</f>
        <v>156.64001057986977</v>
      </c>
      <c r="G230">
        <f ca="1">_xlfn.STDEV.P($C$2:C230)</f>
        <v>8.8459640820000782</v>
      </c>
      <c r="H230">
        <f t="shared" ca="1" si="64"/>
        <v>165.48597466186985</v>
      </c>
      <c r="I230">
        <f t="shared" ca="1" si="65"/>
        <v>147.79404649786969</v>
      </c>
      <c r="J230">
        <f t="shared" ca="1" si="74"/>
        <v>143.11349999999999</v>
      </c>
      <c r="K230">
        <f t="shared" ca="1" si="75"/>
        <v>2.3036910314582268</v>
      </c>
      <c r="L230">
        <f t="shared" ca="1" si="76"/>
        <v>147.72088206291644</v>
      </c>
      <c r="M230">
        <f t="shared" ca="1" si="77"/>
        <v>138.50611793708353</v>
      </c>
      <c r="N230">
        <f t="shared" ca="1" si="66"/>
        <v>0.34000000000000341</v>
      </c>
      <c r="O230">
        <f t="shared" ca="1" si="67"/>
        <v>0.34000000000000341</v>
      </c>
      <c r="P230">
        <f t="shared" ca="1" si="68"/>
        <v>0</v>
      </c>
      <c r="Q230">
        <f t="shared" ca="1" si="72"/>
        <v>0.59478351266835416</v>
      </c>
      <c r="R230">
        <f t="shared" ca="1" si="73"/>
        <v>0.70721896882782587</v>
      </c>
      <c r="S230">
        <f t="shared" ca="1" si="70"/>
        <v>0.84101747674298544</v>
      </c>
      <c r="T230">
        <f t="shared" ca="1" si="71"/>
        <v>45.682210373736467</v>
      </c>
      <c r="U230">
        <f>70</f>
        <v>70</v>
      </c>
      <c r="V230">
        <f>30</f>
        <v>30</v>
      </c>
      <c r="W230">
        <f t="shared" ca="1" si="69"/>
        <v>141.92061449161375</v>
      </c>
      <c r="X230">
        <f t="shared" ca="1" si="79"/>
        <v>143.24476462272969</v>
      </c>
      <c r="Y230">
        <f t="shared" ca="1" si="78"/>
        <v>-1.1032649526434852</v>
      </c>
      <c r="Z230">
        <f t="shared" ref="Z230:Z252" ca="1" si="80">Y230*(2/(9+1)) + Z229*(1-(2/(9+1)))</f>
        <v>-1.161053962723785</v>
      </c>
      <c r="AA230">
        <f t="shared" ref="AA230:AA252" ca="1" si="81">Y230-Z230</f>
        <v>5.7789010080299796E-2</v>
      </c>
      <c r="AB230">
        <f t="shared" ref="AB230:AB252" ca="1" si="82">AVERAGE(C131:C230)</f>
        <v>149.83419999999998</v>
      </c>
    </row>
    <row r="231" spans="1:28" x14ac:dyDescent="0.25">
      <c r="A231" s="20">
        <f t="shared" ca="1" si="62"/>
        <v>46034</v>
      </c>
      <c r="B231" vm="681">
        <f ca="1"/>
        <v>46034</v>
      </c>
      <c r="C231" vm="682">
        <f ca="1"/>
        <v>143.46</v>
      </c>
      <c r="D231" vm="683">
        <f ca="1"/>
        <v>12812014</v>
      </c>
      <c r="E231">
        <f t="shared" ca="1" si="63"/>
        <v>1838011528.4400001</v>
      </c>
      <c r="F231">
        <f ca="1">SUM($E$2:E231)/SUM($D$2:D231)</f>
        <v>156.55338358801723</v>
      </c>
      <c r="G231">
        <f ca="1">_xlfn.STDEV.P($C$2:C231)</f>
        <v>8.8729079217953029</v>
      </c>
      <c r="H231">
        <f t="shared" ca="1" si="64"/>
        <v>165.42629150981253</v>
      </c>
      <c r="I231">
        <f t="shared" ca="1" si="65"/>
        <v>147.68047566622192</v>
      </c>
      <c r="J231">
        <f t="shared" ca="1" si="74"/>
        <v>143.24849999999998</v>
      </c>
      <c r="K231">
        <f t="shared" ca="1" si="75"/>
        <v>2.2366499267290032</v>
      </c>
      <c r="L231">
        <f t="shared" ca="1" si="76"/>
        <v>147.72179985345798</v>
      </c>
      <c r="M231">
        <f t="shared" ca="1" si="77"/>
        <v>138.77520014654198</v>
      </c>
      <c r="N231">
        <f t="shared" ca="1" si="66"/>
        <v>1.5900000000000034</v>
      </c>
      <c r="O231">
        <f t="shared" ca="1" si="67"/>
        <v>1.5900000000000034</v>
      </c>
      <c r="P231">
        <f t="shared" ca="1" si="68"/>
        <v>0</v>
      </c>
      <c r="Q231">
        <f t="shared" ca="1" si="72"/>
        <v>0.66587040462061486</v>
      </c>
      <c r="R231">
        <f t="shared" ca="1" si="73"/>
        <v>0.65670332819726684</v>
      </c>
      <c r="S231">
        <f t="shared" ca="1" si="70"/>
        <v>1.0139592355173725</v>
      </c>
      <c r="T231">
        <f t="shared" ca="1" si="71"/>
        <v>50.346562017522331</v>
      </c>
      <c r="U231">
        <f>70</f>
        <v>70</v>
      </c>
      <c r="V231">
        <f>30</f>
        <v>30</v>
      </c>
      <c r="W231">
        <f t="shared" ca="1" si="69"/>
        <v>142.15744303136549</v>
      </c>
      <c r="X231">
        <f t="shared" ca="1" si="79"/>
        <v>143.26070798400897</v>
      </c>
      <c r="Y231">
        <f t="shared" ca="1" si="78"/>
        <v>-0.85541172218623274</v>
      </c>
      <c r="Z231">
        <f t="shared" ca="1" si="80"/>
        <v>-1.0999255146162747</v>
      </c>
      <c r="AA231">
        <f t="shared" ca="1" si="81"/>
        <v>0.24451379243004201</v>
      </c>
      <c r="AB231">
        <f t="shared" ca="1" si="82"/>
        <v>149.68479999999997</v>
      </c>
    </row>
    <row r="232" spans="1:28" x14ac:dyDescent="0.25">
      <c r="A232" s="20">
        <f t="shared" ca="1" si="62"/>
        <v>46034</v>
      </c>
      <c r="B232" vm="684">
        <f ca="1"/>
        <v>46035</v>
      </c>
      <c r="C232" vm="685">
        <f ca="1"/>
        <v>144.24</v>
      </c>
      <c r="D232" vm="686">
        <f ca="1"/>
        <v>15549150</v>
      </c>
      <c r="E232">
        <f t="shared" ca="1" si="63"/>
        <v>2242809396</v>
      </c>
      <c r="F232">
        <f ca="1">SUM($E$2:E232)/SUM($D$2:D232)</f>
        <v>156.45593992267251</v>
      </c>
      <c r="G232">
        <f ca="1">_xlfn.STDEV.P($C$2:C232)</f>
        <v>8.8941183779777742</v>
      </c>
      <c r="H232">
        <f t="shared" ca="1" si="64"/>
        <v>165.35005830065029</v>
      </c>
      <c r="I232">
        <f t="shared" ca="1" si="65"/>
        <v>147.56182154469474</v>
      </c>
      <c r="J232">
        <f t="shared" ca="1" si="74"/>
        <v>143.3185</v>
      </c>
      <c r="K232">
        <f t="shared" ca="1" si="75"/>
        <v>2.2450841620609361</v>
      </c>
      <c r="L232">
        <f t="shared" ca="1" si="76"/>
        <v>147.80866832412187</v>
      </c>
      <c r="M232">
        <f t="shared" ca="1" si="77"/>
        <v>138.82833167587813</v>
      </c>
      <c r="N232">
        <f t="shared" ca="1" si="66"/>
        <v>0.78000000000000114</v>
      </c>
      <c r="O232">
        <f t="shared" ca="1" si="67"/>
        <v>0.78000000000000114</v>
      </c>
      <c r="P232">
        <f t="shared" ca="1" si="68"/>
        <v>0</v>
      </c>
      <c r="Q232">
        <f t="shared" ca="1" si="72"/>
        <v>0.67402251857628526</v>
      </c>
      <c r="R232">
        <f t="shared" ca="1" si="73"/>
        <v>0.60979594761174771</v>
      </c>
      <c r="S232">
        <f t="shared" ca="1" si="70"/>
        <v>1.1053246929830864</v>
      </c>
      <c r="T232">
        <f t="shared" ca="1" si="71"/>
        <v>52.501388344850724</v>
      </c>
      <c r="U232">
        <f>70</f>
        <v>70</v>
      </c>
      <c r="V232">
        <f>30</f>
        <v>30</v>
      </c>
      <c r="W232">
        <f t="shared" ca="1" si="69"/>
        <v>142.47783641115541</v>
      </c>
      <c r="X232">
        <f t="shared" ca="1" si="79"/>
        <v>143.33324813334164</v>
      </c>
      <c r="Y232">
        <f t="shared" ca="1" si="78"/>
        <v>-0.4831573482132967</v>
      </c>
      <c r="Z232">
        <f t="shared" ca="1" si="80"/>
        <v>-0.97657188133567918</v>
      </c>
      <c r="AA232">
        <f t="shared" ca="1" si="81"/>
        <v>0.49341453312238248</v>
      </c>
      <c r="AB232">
        <f t="shared" ca="1" si="82"/>
        <v>149.53209999999999</v>
      </c>
    </row>
    <row r="233" spans="1:28" x14ac:dyDescent="0.25">
      <c r="A233" s="20">
        <f t="shared" ca="1" si="62"/>
        <v>46034</v>
      </c>
      <c r="B233" vm="687">
        <f ca="1"/>
        <v>46036</v>
      </c>
      <c r="C233" vm="688">
        <f ca="1"/>
        <v>146.35</v>
      </c>
      <c r="D233" vm="689">
        <f ca="1"/>
        <v>13474983</v>
      </c>
      <c r="E233">
        <f t="shared" ca="1" si="63"/>
        <v>1972063762.05</v>
      </c>
      <c r="F233">
        <f ca="1">SUM($E$2:E233)/SUM($D$2:D233)</f>
        <v>156.38710540707484</v>
      </c>
      <c r="G233">
        <f ca="1">_xlfn.STDEV.P($C$2:C233)</f>
        <v>8.9027636058496427</v>
      </c>
      <c r="H233">
        <f t="shared" ca="1" si="64"/>
        <v>165.2898690129245</v>
      </c>
      <c r="I233">
        <f t="shared" ca="1" si="65"/>
        <v>147.48434180122518</v>
      </c>
      <c r="J233">
        <f t="shared" ca="1" si="74"/>
        <v>143.37950000000004</v>
      </c>
      <c r="K233">
        <f t="shared" ca="1" si="75"/>
        <v>2.3124570550777714</v>
      </c>
      <c r="L233">
        <f t="shared" ca="1" si="76"/>
        <v>148.00441411015558</v>
      </c>
      <c r="M233">
        <f t="shared" ca="1" si="77"/>
        <v>138.75458588984449</v>
      </c>
      <c r="N233">
        <f t="shared" ca="1" si="66"/>
        <v>2.1099999999999852</v>
      </c>
      <c r="O233">
        <f t="shared" ca="1" si="67"/>
        <v>2.1099999999999852</v>
      </c>
      <c r="P233">
        <f t="shared" ca="1" si="68"/>
        <v>0</v>
      </c>
      <c r="Q233">
        <f t="shared" ca="1" si="72"/>
        <v>0.77659233867797806</v>
      </c>
      <c r="R233">
        <f t="shared" ca="1" si="73"/>
        <v>0.56623909421090857</v>
      </c>
      <c r="S233">
        <f t="shared" ca="1" si="70"/>
        <v>1.3714919132530237</v>
      </c>
      <c r="T233">
        <f t="shared" ca="1" si="71"/>
        <v>57.832451613622425</v>
      </c>
      <c r="U233">
        <f>70</f>
        <v>70</v>
      </c>
      <c r="V233">
        <f>30</f>
        <v>30</v>
      </c>
      <c r="W233">
        <f t="shared" ca="1" si="69"/>
        <v>143.07355388636228</v>
      </c>
      <c r="X233">
        <f t="shared" ca="1" si="79"/>
        <v>143.55671123457557</v>
      </c>
      <c r="Y233">
        <f t="shared" ca="1" si="78"/>
        <v>-0.32320697147426358</v>
      </c>
      <c r="Z233">
        <f t="shared" ca="1" si="80"/>
        <v>-0.84589889936339613</v>
      </c>
      <c r="AA233">
        <f t="shared" ca="1" si="81"/>
        <v>0.52269192788913255</v>
      </c>
      <c r="AB233">
        <f t="shared" ca="1" si="82"/>
        <v>149.4083</v>
      </c>
    </row>
    <row r="234" spans="1:28" x14ac:dyDescent="0.25">
      <c r="A234" s="20">
        <f t="shared" ca="1" si="62"/>
        <v>46034</v>
      </c>
      <c r="B234" vm="690">
        <f ca="1"/>
        <v>46037</v>
      </c>
      <c r="C234" vm="691">
        <f ca="1"/>
        <v>144.63</v>
      </c>
      <c r="D234" vm="692">
        <f ca="1"/>
        <v>10102757</v>
      </c>
      <c r="E234">
        <f t="shared" ca="1" si="63"/>
        <v>1461161744.9099998</v>
      </c>
      <c r="F234">
        <f ca="1">SUM($E$2:E234)/SUM($D$2:D234)</f>
        <v>156.32737032442674</v>
      </c>
      <c r="G234">
        <f ca="1">_xlfn.STDEV.P($C$2:C234)</f>
        <v>8.9206120888115219</v>
      </c>
      <c r="H234">
        <f t="shared" ca="1" si="64"/>
        <v>165.24798241323825</v>
      </c>
      <c r="I234">
        <f t="shared" ca="1" si="65"/>
        <v>147.40675823561523</v>
      </c>
      <c r="J234">
        <f t="shared" ca="1" si="74"/>
        <v>143.35049999999998</v>
      </c>
      <c r="K234">
        <f t="shared" ca="1" si="75"/>
        <v>2.2918378628240035</v>
      </c>
      <c r="L234">
        <f t="shared" ca="1" si="76"/>
        <v>147.934175725648</v>
      </c>
      <c r="M234">
        <f t="shared" ca="1" si="77"/>
        <v>138.76682427435196</v>
      </c>
      <c r="N234">
        <f t="shared" ca="1" si="66"/>
        <v>-1.7199999999999989</v>
      </c>
      <c r="O234">
        <f t="shared" ca="1" si="67"/>
        <v>0</v>
      </c>
      <c r="P234">
        <f t="shared" ca="1" si="68"/>
        <v>1.7199999999999989</v>
      </c>
      <c r="Q234">
        <f t="shared" ca="1" si="72"/>
        <v>0.72112145734383681</v>
      </c>
      <c r="R234">
        <f t="shared" ca="1" si="73"/>
        <v>0.64865058748155791</v>
      </c>
      <c r="S234">
        <f t="shared" ca="1" si="70"/>
        <v>1.1117255904194172</v>
      </c>
      <c r="T234">
        <f t="shared" ca="1" si="71"/>
        <v>52.645362421289477</v>
      </c>
      <c r="U234">
        <f>70</f>
        <v>70</v>
      </c>
      <c r="V234">
        <f>30</f>
        <v>30</v>
      </c>
      <c r="W234">
        <f t="shared" ca="1" si="69"/>
        <v>143.31300713461422</v>
      </c>
      <c r="X234">
        <f t="shared" ca="1" si="79"/>
        <v>143.63621410608849</v>
      </c>
      <c r="Y234">
        <f t="shared" ca="1" si="78"/>
        <v>-0.2021836623883928</v>
      </c>
      <c r="Z234">
        <f t="shared" ca="1" si="80"/>
        <v>-0.71715585196839549</v>
      </c>
      <c r="AA234">
        <f t="shared" ca="1" si="81"/>
        <v>0.51497218958000268</v>
      </c>
      <c r="AB234">
        <f t="shared" ca="1" si="82"/>
        <v>149.2679</v>
      </c>
    </row>
    <row r="235" spans="1:28" x14ac:dyDescent="0.25">
      <c r="A235" s="20">
        <f t="shared" ca="1" si="62"/>
        <v>46034</v>
      </c>
      <c r="B235" vm="693">
        <f ca="1"/>
        <v>46038</v>
      </c>
      <c r="C235" vm="694">
        <f ca="1"/>
        <v>144.53</v>
      </c>
      <c r="D235" vm="695">
        <f ca="1"/>
        <v>11729334</v>
      </c>
      <c r="E235">
        <f t="shared" ca="1" si="63"/>
        <v>1695240643.02</v>
      </c>
      <c r="F235">
        <f ca="1">SUM($E$2:E235)/SUM($D$2:D235)</f>
        <v>156.25818827355263</v>
      </c>
      <c r="G235">
        <f ca="1">_xlfn.STDEV.P($C$2:C235)</f>
        <v>8.9385501525536739</v>
      </c>
      <c r="H235">
        <f t="shared" ca="1" si="64"/>
        <v>165.19673842610632</v>
      </c>
      <c r="I235">
        <f t="shared" ca="1" si="65"/>
        <v>147.31963812099895</v>
      </c>
      <c r="J235">
        <f t="shared" ca="1" si="74"/>
        <v>143.18650000000002</v>
      </c>
      <c r="K235">
        <f t="shared" ca="1" si="75"/>
        <v>2.0617322175399293</v>
      </c>
      <c r="L235">
        <f t="shared" ca="1" si="76"/>
        <v>147.30996443507988</v>
      </c>
      <c r="M235">
        <f t="shared" ca="1" si="77"/>
        <v>139.06303556492017</v>
      </c>
      <c r="N235">
        <f t="shared" ca="1" si="66"/>
        <v>-9.9999999999994316E-2</v>
      </c>
      <c r="O235">
        <f t="shared" ca="1" si="67"/>
        <v>0</v>
      </c>
      <c r="P235">
        <f t="shared" ca="1" si="68"/>
        <v>9.9999999999994316E-2</v>
      </c>
      <c r="Q235">
        <f t="shared" ca="1" si="72"/>
        <v>0.66961278181927697</v>
      </c>
      <c r="R235">
        <f t="shared" ca="1" si="73"/>
        <v>0.60946125980430332</v>
      </c>
      <c r="S235">
        <f t="shared" ca="1" si="70"/>
        <v>1.0986962190743481</v>
      </c>
      <c r="T235">
        <f t="shared" ca="1" si="71"/>
        <v>52.351369821352215</v>
      </c>
      <c r="U235">
        <f>70</f>
        <v>70</v>
      </c>
      <c r="V235">
        <f>30</f>
        <v>30</v>
      </c>
      <c r="W235">
        <f t="shared" ca="1" si="69"/>
        <v>143.50023680621206</v>
      </c>
      <c r="X235">
        <f t="shared" ca="1" si="79"/>
        <v>143.70242046860045</v>
      </c>
      <c r="Y235">
        <f t="shared" ca="1" si="78"/>
        <v>9.1976293874182602E-2</v>
      </c>
      <c r="Z235">
        <f t="shared" ca="1" si="80"/>
        <v>-0.55532942279987996</v>
      </c>
      <c r="AA235">
        <f t="shared" ca="1" si="81"/>
        <v>0.64730571667406256</v>
      </c>
      <c r="AB235">
        <f t="shared" ca="1" si="82"/>
        <v>149.15170000000001</v>
      </c>
    </row>
    <row r="236" spans="1:28" x14ac:dyDescent="0.25">
      <c r="A236" s="20">
        <f t="shared" ca="1" si="62"/>
        <v>46041</v>
      </c>
      <c r="B236" vm="696">
        <f ca="1"/>
        <v>46042</v>
      </c>
      <c r="C236" vm="697">
        <f ca="1"/>
        <v>147</v>
      </c>
      <c r="D236" vm="698">
        <f ca="1"/>
        <v>12901430</v>
      </c>
      <c r="E236">
        <f t="shared" ca="1" si="63"/>
        <v>1896510210</v>
      </c>
      <c r="F236">
        <f ca="1">SUM($E$2:E236)/SUM($D$2:D236)</f>
        <v>156.19885388955913</v>
      </c>
      <c r="G236">
        <f ca="1">_xlfn.STDEV.P($C$2:C236)</f>
        <v>8.9429250573432935</v>
      </c>
      <c r="H236">
        <f t="shared" ca="1" si="64"/>
        <v>165.14177894690243</v>
      </c>
      <c r="I236">
        <f t="shared" ca="1" si="65"/>
        <v>147.25592883221583</v>
      </c>
      <c r="J236">
        <f t="shared" ca="1" si="74"/>
        <v>143.26050000000001</v>
      </c>
      <c r="K236">
        <f t="shared" ca="1" si="75"/>
        <v>2.1734291968417598</v>
      </c>
      <c r="L236">
        <f t="shared" ca="1" si="76"/>
        <v>147.60735839368354</v>
      </c>
      <c r="M236">
        <f t="shared" ca="1" si="77"/>
        <v>138.91364160631647</v>
      </c>
      <c r="N236">
        <f t="shared" ca="1" si="66"/>
        <v>2.4699999999999989</v>
      </c>
      <c r="O236">
        <f t="shared" ca="1" si="67"/>
        <v>2.4699999999999989</v>
      </c>
      <c r="P236">
        <f t="shared" ca="1" si="68"/>
        <v>0</v>
      </c>
      <c r="Q236">
        <f t="shared" ca="1" si="72"/>
        <v>0.79821186883218576</v>
      </c>
      <c r="R236">
        <f t="shared" ca="1" si="73"/>
        <v>0.56592831267542454</v>
      </c>
      <c r="S236">
        <f t="shared" ca="1" si="70"/>
        <v>1.4104469611330124</v>
      </c>
      <c r="T236">
        <f t="shared" ca="1" si="71"/>
        <v>58.513918118739376</v>
      </c>
      <c r="U236">
        <f>70</f>
        <v>70</v>
      </c>
      <c r="V236">
        <f>30</f>
        <v>30</v>
      </c>
      <c r="W236">
        <f t="shared" ca="1" si="69"/>
        <v>144.03866191294867</v>
      </c>
      <c r="X236">
        <f t="shared" ca="1" si="79"/>
        <v>143.94668561907449</v>
      </c>
      <c r="Y236">
        <f t="shared" ca="1" si="78"/>
        <v>0.24640957819528353</v>
      </c>
      <c r="Z236">
        <f t="shared" ca="1" si="80"/>
        <v>-0.39498162260084729</v>
      </c>
      <c r="AA236">
        <f t="shared" ca="1" si="81"/>
        <v>0.64139120079613088</v>
      </c>
      <c r="AB236">
        <f t="shared" ca="1" si="82"/>
        <v>149.06199999999998</v>
      </c>
    </row>
    <row r="237" spans="1:28" x14ac:dyDescent="0.25">
      <c r="A237" s="20">
        <f t="shared" ca="1" si="62"/>
        <v>46041</v>
      </c>
      <c r="B237" vm="699">
        <f ca="1"/>
        <v>46043</v>
      </c>
      <c r="C237" vm="700">
        <f ca="1"/>
        <v>146.06</v>
      </c>
      <c r="D237" vm="701">
        <f ca="1"/>
        <v>14126814</v>
      </c>
      <c r="E237">
        <f t="shared" ca="1" si="63"/>
        <v>2063362452.8399999</v>
      </c>
      <c r="F237">
        <f ca="1">SUM($E$2:E237)/SUM($D$2:D237)</f>
        <v>156.12819958558248</v>
      </c>
      <c r="G237">
        <f ca="1">_xlfn.STDEV.P($C$2:C237)</f>
        <v>8.9516560398663589</v>
      </c>
      <c r="H237">
        <f t="shared" ca="1" si="64"/>
        <v>165.07985562544883</v>
      </c>
      <c r="I237">
        <f t="shared" ca="1" si="65"/>
        <v>147.17654354571613</v>
      </c>
      <c r="J237">
        <f t="shared" ca="1" si="74"/>
        <v>143.34049999999999</v>
      </c>
      <c r="K237">
        <f t="shared" ca="1" si="75"/>
        <v>2.2480692885931686</v>
      </c>
      <c r="L237">
        <f t="shared" ca="1" si="76"/>
        <v>147.83663857718633</v>
      </c>
      <c r="M237">
        <f t="shared" ca="1" si="77"/>
        <v>138.84436142281365</v>
      </c>
      <c r="N237">
        <f t="shared" ca="1" si="66"/>
        <v>-0.93999999999999773</v>
      </c>
      <c r="O237">
        <f t="shared" ca="1" si="67"/>
        <v>0</v>
      </c>
      <c r="P237">
        <f t="shared" ca="1" si="68"/>
        <v>0.93999999999999773</v>
      </c>
      <c r="Q237">
        <f t="shared" ca="1" si="72"/>
        <v>0.74119673534417252</v>
      </c>
      <c r="R237">
        <f t="shared" ca="1" si="73"/>
        <v>0.59264771891289403</v>
      </c>
      <c r="S237">
        <f t="shared" ca="1" si="70"/>
        <v>1.250653148051873</v>
      </c>
      <c r="T237">
        <f t="shared" ca="1" si="71"/>
        <v>55.568453501349907</v>
      </c>
      <c r="U237">
        <f>70</f>
        <v>70</v>
      </c>
      <c r="V237">
        <f>30</f>
        <v>30</v>
      </c>
      <c r="W237">
        <f t="shared" ca="1" si="69"/>
        <v>144.34963700326426</v>
      </c>
      <c r="X237">
        <f t="shared" ca="1" si="79"/>
        <v>144.10322742506898</v>
      </c>
      <c r="Y237">
        <f t="shared" ca="1" si="78"/>
        <v>0.6733141789802346</v>
      </c>
      <c r="Z237">
        <f t="shared" ca="1" si="80"/>
        <v>-0.18132246228463095</v>
      </c>
      <c r="AA237">
        <f t="shared" ca="1" si="81"/>
        <v>0.8546366412648656</v>
      </c>
      <c r="AB237">
        <f t="shared" ca="1" si="82"/>
        <v>148.95299999999997</v>
      </c>
    </row>
    <row r="238" spans="1:28" x14ac:dyDescent="0.25">
      <c r="A238" s="20">
        <f t="shared" ca="1" si="62"/>
        <v>46041</v>
      </c>
      <c r="B238" vm="702">
        <f ca="1"/>
        <v>46044</v>
      </c>
      <c r="C238" vm="703">
        <f ca="1"/>
        <v>149.93</v>
      </c>
      <c r="D238" vm="704">
        <f ca="1"/>
        <v>18501854</v>
      </c>
      <c r="E238">
        <f t="shared" ca="1" si="63"/>
        <v>2773982970.2200003</v>
      </c>
      <c r="F238">
        <f ca="1">SUM($E$2:E238)/SUM($D$2:D238)</f>
        <v>156.07214120126261</v>
      </c>
      <c r="G238">
        <f ca="1">_xlfn.STDEV.P($C$2:C238)</f>
        <v>8.9439948104703166</v>
      </c>
      <c r="H238">
        <f t="shared" ca="1" si="64"/>
        <v>165.01613601173293</v>
      </c>
      <c r="I238">
        <f t="shared" ca="1" si="65"/>
        <v>147.1281463907923</v>
      </c>
      <c r="J238">
        <f t="shared" ca="1" si="74"/>
        <v>143.70250000000001</v>
      </c>
      <c r="K238">
        <f t="shared" ca="1" si="75"/>
        <v>2.6793555293449933</v>
      </c>
      <c r="L238">
        <f t="shared" ca="1" si="76"/>
        <v>149.06121105868999</v>
      </c>
      <c r="M238">
        <f t="shared" ca="1" si="77"/>
        <v>138.34378894131004</v>
      </c>
      <c r="N238">
        <f t="shared" ca="1" si="66"/>
        <v>3.8700000000000045</v>
      </c>
      <c r="O238">
        <f t="shared" ca="1" si="67"/>
        <v>3.8700000000000045</v>
      </c>
      <c r="P238">
        <f t="shared" ca="1" si="68"/>
        <v>0</v>
      </c>
      <c r="Q238">
        <f t="shared" ca="1" si="72"/>
        <v>0.96468268281958913</v>
      </c>
      <c r="R238">
        <f t="shared" ca="1" si="73"/>
        <v>0.55031573899054442</v>
      </c>
      <c r="S238">
        <f t="shared" ca="1" si="70"/>
        <v>1.7529621896497574</v>
      </c>
      <c r="T238">
        <f t="shared" ca="1" si="71"/>
        <v>63.675490939916472</v>
      </c>
      <c r="U238">
        <f>70</f>
        <v>70</v>
      </c>
      <c r="V238">
        <f>30</f>
        <v>30</v>
      </c>
      <c r="W238">
        <f t="shared" ca="1" si="69"/>
        <v>145.20815438737745</v>
      </c>
      <c r="X238">
        <f t="shared" ca="1" si="79"/>
        <v>144.53484020839721</v>
      </c>
      <c r="Y238">
        <f t="shared" ca="1" si="78"/>
        <v>1.0176603570427289</v>
      </c>
      <c r="Z238">
        <f t="shared" ca="1" si="80"/>
        <v>5.8474101580841015E-2</v>
      </c>
      <c r="AA238">
        <f t="shared" ca="1" si="81"/>
        <v>0.95918625546188796</v>
      </c>
      <c r="AB238">
        <f t="shared" ca="1" si="82"/>
        <v>148.89579999999998</v>
      </c>
    </row>
    <row r="239" spans="1:28" x14ac:dyDescent="0.25">
      <c r="A239" s="20">
        <f t="shared" ca="1" si="62"/>
        <v>46041</v>
      </c>
      <c r="B239" vm="705">
        <f ca="1"/>
        <v>46045</v>
      </c>
      <c r="C239" vm="706">
        <f ca="1"/>
        <v>150.15</v>
      </c>
      <c r="D239" vm="707">
        <f ca="1"/>
        <v>14562626</v>
      </c>
      <c r="E239">
        <f t="shared" ca="1" si="63"/>
        <v>2186578293.9000001</v>
      </c>
      <c r="F239">
        <f ca="1">SUM($E$2:E239)/SUM($D$2:D239)</f>
        <v>156.03028136037915</v>
      </c>
      <c r="G239">
        <f ca="1">_xlfn.STDEV.P($C$2:C239)</f>
        <v>8.9355992165733351</v>
      </c>
      <c r="H239">
        <f t="shared" ca="1" si="64"/>
        <v>164.96588057695249</v>
      </c>
      <c r="I239">
        <f t="shared" ca="1" si="65"/>
        <v>147.09468214380581</v>
      </c>
      <c r="J239">
        <f t="shared" ca="1" si="74"/>
        <v>144.05099999999999</v>
      </c>
      <c r="K239">
        <f t="shared" ca="1" si="75"/>
        <v>3.0372094186327674</v>
      </c>
      <c r="L239">
        <f t="shared" ca="1" si="76"/>
        <v>150.12541883726553</v>
      </c>
      <c r="M239">
        <f t="shared" ca="1" si="77"/>
        <v>137.97658116273445</v>
      </c>
      <c r="N239">
        <f t="shared" ca="1" si="66"/>
        <v>0.21999999999999886</v>
      </c>
      <c r="O239">
        <f t="shared" ca="1" si="67"/>
        <v>0.21999999999999886</v>
      </c>
      <c r="P239">
        <f t="shared" ca="1" si="68"/>
        <v>0</v>
      </c>
      <c r="Q239">
        <f t="shared" ca="1" si="72"/>
        <v>0.9114910626181898</v>
      </c>
      <c r="R239">
        <f t="shared" ca="1" si="73"/>
        <v>0.51100747191979123</v>
      </c>
      <c r="S239">
        <f t="shared" ca="1" si="70"/>
        <v>1.7837137668336467</v>
      </c>
      <c r="T239">
        <f t="shared" ca="1" si="71"/>
        <v>64.07676637180063</v>
      </c>
      <c r="U239">
        <f>70</f>
        <v>70</v>
      </c>
      <c r="V239">
        <f>30</f>
        <v>30</v>
      </c>
      <c r="W239">
        <f t="shared" ca="1" si="69"/>
        <v>145.96843832778092</v>
      </c>
      <c r="X239">
        <f t="shared" ca="1" si="79"/>
        <v>144.95077797073819</v>
      </c>
      <c r="Y239">
        <f t="shared" ca="1" si="78"/>
        <v>1.2232004070114613</v>
      </c>
      <c r="Z239">
        <f t="shared" ca="1" si="80"/>
        <v>0.29141936266696511</v>
      </c>
      <c r="AA239">
        <f t="shared" ca="1" si="81"/>
        <v>0.93178104434449616</v>
      </c>
      <c r="AB239">
        <f t="shared" ca="1" si="82"/>
        <v>148.82689999999997</v>
      </c>
    </row>
    <row r="240" spans="1:28" x14ac:dyDescent="0.25">
      <c r="A240" s="20">
        <f t="shared" ca="1" si="62"/>
        <v>46048</v>
      </c>
      <c r="B240" vm="708">
        <f ca="1"/>
        <v>46048</v>
      </c>
      <c r="C240" vm="709">
        <f ca="1"/>
        <v>149.49</v>
      </c>
      <c r="D240" vm="710">
        <f ca="1"/>
        <v>12655663</v>
      </c>
      <c r="E240">
        <f t="shared" ca="1" si="63"/>
        <v>1891895061.8700001</v>
      </c>
      <c r="F240">
        <f ca="1">SUM($E$2:E240)/SUM($D$2:D240)</f>
        <v>155.99035121940983</v>
      </c>
      <c r="G240">
        <f ca="1">_xlfn.STDEV.P($C$2:C240)</f>
        <v>8.9293259123479025</v>
      </c>
      <c r="H240">
        <f t="shared" ca="1" si="64"/>
        <v>164.91967713175774</v>
      </c>
      <c r="I240">
        <f t="shared" ca="1" si="65"/>
        <v>147.06102530706193</v>
      </c>
      <c r="J240">
        <f t="shared" ca="1" si="74"/>
        <v>144.30099999999999</v>
      </c>
      <c r="K240">
        <f t="shared" ca="1" si="75"/>
        <v>3.2719556360394839</v>
      </c>
      <c r="L240">
        <f t="shared" ca="1" si="76"/>
        <v>150.84491127207895</v>
      </c>
      <c r="M240">
        <f t="shared" ca="1" si="77"/>
        <v>137.75708872792103</v>
      </c>
      <c r="N240">
        <f t="shared" ca="1" si="66"/>
        <v>-0.65999999999999659</v>
      </c>
      <c r="O240">
        <f t="shared" ca="1" si="67"/>
        <v>0</v>
      </c>
      <c r="P240">
        <f t="shared" ca="1" si="68"/>
        <v>0.65999999999999659</v>
      </c>
      <c r="Q240">
        <f t="shared" ca="1" si="72"/>
        <v>0.84638455814546198</v>
      </c>
      <c r="R240">
        <f t="shared" ca="1" si="73"/>
        <v>0.52164979535409162</v>
      </c>
      <c r="S240">
        <f t="shared" ca="1" si="70"/>
        <v>1.6225148858171086</v>
      </c>
      <c r="T240">
        <f t="shared" ca="1" si="71"/>
        <v>61.868662580024761</v>
      </c>
      <c r="U240">
        <f>70</f>
        <v>70</v>
      </c>
      <c r="V240">
        <f>30</f>
        <v>30</v>
      </c>
      <c r="W240">
        <f t="shared" ca="1" si="69"/>
        <v>146.51021704658385</v>
      </c>
      <c r="X240">
        <f t="shared" ca="1" si="79"/>
        <v>145.28701663957239</v>
      </c>
      <c r="Y240">
        <f t="shared" ca="1" si="78"/>
        <v>1.2785585611805459</v>
      </c>
      <c r="Z240">
        <f t="shared" ca="1" si="80"/>
        <v>0.48884720236968127</v>
      </c>
      <c r="AA240">
        <f t="shared" ca="1" si="81"/>
        <v>0.78971135881086463</v>
      </c>
      <c r="AB240">
        <f t="shared" ca="1" si="82"/>
        <v>148.74189999999999</v>
      </c>
    </row>
    <row r="241" spans="1:28" x14ac:dyDescent="0.25">
      <c r="A241" s="20">
        <f t="shared" ca="1" si="62"/>
        <v>46048</v>
      </c>
      <c r="B241" vm="711">
        <f ca="1"/>
        <v>46049</v>
      </c>
      <c r="C241" vm="712">
        <f ca="1"/>
        <v>148.34</v>
      </c>
      <c r="D241" vm="713">
        <f ca="1"/>
        <v>9546000</v>
      </c>
      <c r="E241">
        <f t="shared" ca="1" si="63"/>
        <v>1416053640</v>
      </c>
      <c r="F241">
        <f ca="1">SUM($E$2:E241)/SUM($D$2:D241)</f>
        <v>155.95528193321792</v>
      </c>
      <c r="G241">
        <f ca="1">_xlfn.STDEV.P($C$2:C241)</f>
        <v>8.9271909766944582</v>
      </c>
      <c r="H241">
        <f t="shared" ca="1" si="64"/>
        <v>164.88247290991237</v>
      </c>
      <c r="I241">
        <f t="shared" ca="1" si="65"/>
        <v>147.02809095652347</v>
      </c>
      <c r="J241">
        <f t="shared" ca="1" si="74"/>
        <v>144.48099999999999</v>
      </c>
      <c r="K241">
        <f t="shared" ca="1" si="75"/>
        <v>3.3941201479834775</v>
      </c>
      <c r="L241">
        <f t="shared" ca="1" si="76"/>
        <v>151.26924029596694</v>
      </c>
      <c r="M241">
        <f t="shared" ca="1" si="77"/>
        <v>137.69275970403305</v>
      </c>
      <c r="N241">
        <f t="shared" ca="1" si="66"/>
        <v>-1.1500000000000057</v>
      </c>
      <c r="O241">
        <f t="shared" ca="1" si="67"/>
        <v>0</v>
      </c>
      <c r="P241">
        <f t="shared" ca="1" si="68"/>
        <v>1.1500000000000057</v>
      </c>
      <c r="Q241">
        <f t="shared" ca="1" si="72"/>
        <v>0.78592851827792898</v>
      </c>
      <c r="R241">
        <f t="shared" ca="1" si="73"/>
        <v>0.56653195282879976</v>
      </c>
      <c r="S241">
        <f t="shared" ca="1" si="70"/>
        <v>1.387262473640968</v>
      </c>
      <c r="T241">
        <f t="shared" ca="1" si="71"/>
        <v>58.111015816587795</v>
      </c>
      <c r="U241">
        <f>70</f>
        <v>70</v>
      </c>
      <c r="V241">
        <f>30</f>
        <v>30</v>
      </c>
      <c r="W241">
        <f t="shared" ca="1" si="69"/>
        <v>146.79172211634017</v>
      </c>
      <c r="X241">
        <f t="shared" ca="1" si="79"/>
        <v>145.51316355515962</v>
      </c>
      <c r="Y241">
        <f t="shared" ca="1" si="78"/>
        <v>1.2275877866841824</v>
      </c>
      <c r="Z241">
        <f t="shared" ca="1" si="80"/>
        <v>0.6365953192325815</v>
      </c>
      <c r="AA241">
        <f t="shared" ca="1" si="81"/>
        <v>0.59099246745160094</v>
      </c>
      <c r="AB241">
        <f t="shared" ca="1" si="82"/>
        <v>148.64359999999999</v>
      </c>
    </row>
    <row r="242" spans="1:28" x14ac:dyDescent="0.25">
      <c r="A242" s="20">
        <f t="shared" ca="1" si="62"/>
        <v>46048</v>
      </c>
      <c r="B242" vm="714">
        <f ca="1"/>
        <v>46050</v>
      </c>
      <c r="C242" vm="715">
        <f ca="1"/>
        <v>147.34</v>
      </c>
      <c r="D242" vm="716">
        <f ca="1"/>
        <v>7465812</v>
      </c>
      <c r="E242">
        <f t="shared" ca="1" si="63"/>
        <v>1100012740.0799999</v>
      </c>
      <c r="F242">
        <f ca="1">SUM($E$2:E242)/SUM($D$2:D242)</f>
        <v>155.92450562930568</v>
      </c>
      <c r="G242">
        <f ca="1">_xlfn.STDEV.P($C$2:C242)</f>
        <v>8.9290492921523441</v>
      </c>
      <c r="H242">
        <f t="shared" ca="1" si="64"/>
        <v>164.85355492145803</v>
      </c>
      <c r="I242">
        <f t="shared" ca="1" si="65"/>
        <v>146.99545633715334</v>
      </c>
      <c r="J242">
        <f t="shared" ca="1" si="74"/>
        <v>144.61950000000002</v>
      </c>
      <c r="K242">
        <f t="shared" ca="1" si="75"/>
        <v>3.4539321222721178</v>
      </c>
      <c r="L242">
        <f t="shared" ca="1" si="76"/>
        <v>151.52736424454426</v>
      </c>
      <c r="M242">
        <f t="shared" ca="1" si="77"/>
        <v>137.71163575545577</v>
      </c>
      <c r="N242">
        <f t="shared" ca="1" si="66"/>
        <v>-1</v>
      </c>
      <c r="O242">
        <f t="shared" ca="1" si="67"/>
        <v>0</v>
      </c>
      <c r="P242">
        <f t="shared" ca="1" si="68"/>
        <v>1</v>
      </c>
      <c r="Q242">
        <f t="shared" ca="1" si="72"/>
        <v>0.72979076697236256</v>
      </c>
      <c r="R242">
        <f t="shared" ca="1" si="73"/>
        <v>0.59749395619817125</v>
      </c>
      <c r="S242">
        <f t="shared" ca="1" si="70"/>
        <v>1.2214194962171505</v>
      </c>
      <c r="T242">
        <f t="shared" ca="1" si="71"/>
        <v>54.983738924462607</v>
      </c>
      <c r="U242">
        <f>70</f>
        <v>70</v>
      </c>
      <c r="V242">
        <f>30</f>
        <v>30</v>
      </c>
      <c r="W242">
        <f t="shared" ca="1" si="69"/>
        <v>146.87607255998014</v>
      </c>
      <c r="X242">
        <f t="shared" ca="1" si="79"/>
        <v>145.64848477329596</v>
      </c>
      <c r="Y242">
        <f t="shared" ca="1" si="78"/>
        <v>1.377880339011142</v>
      </c>
      <c r="Z242">
        <f t="shared" ca="1" si="80"/>
        <v>0.78485232318829368</v>
      </c>
      <c r="AA242">
        <f t="shared" ca="1" si="81"/>
        <v>0.59302801582284836</v>
      </c>
      <c r="AB242">
        <f t="shared" ca="1" si="82"/>
        <v>148.52509999999998</v>
      </c>
    </row>
    <row r="243" spans="1:28" x14ac:dyDescent="0.25">
      <c r="A243" s="20">
        <f t="shared" ca="1" si="62"/>
        <v>46048</v>
      </c>
      <c r="B243" vm="717">
        <f ca="1"/>
        <v>46051</v>
      </c>
      <c r="C243" vm="718">
        <f ca="1"/>
        <v>149.9</v>
      </c>
      <c r="D243" vm="719">
        <f ca="1"/>
        <v>11035563</v>
      </c>
      <c r="E243">
        <f t="shared" ca="1" si="63"/>
        <v>1654230893.7</v>
      </c>
      <c r="F243">
        <f ca="1">SUM($E$2:E243)/SUM($D$2:D243)</f>
        <v>155.89286110113721</v>
      </c>
      <c r="G243">
        <f ca="1">_xlfn.STDEV.P($C$2:C243)</f>
        <v>8.9212056257330428</v>
      </c>
      <c r="H243">
        <f t="shared" ca="1" si="64"/>
        <v>164.81406672687027</v>
      </c>
      <c r="I243">
        <f t="shared" ca="1" si="65"/>
        <v>146.97165547540416</v>
      </c>
      <c r="J243">
        <f t="shared" ca="1" si="74"/>
        <v>144.91200000000001</v>
      </c>
      <c r="K243">
        <f t="shared" ca="1" si="75"/>
        <v>3.6455561989907688</v>
      </c>
      <c r="L243">
        <f t="shared" ca="1" si="76"/>
        <v>152.20311239798156</v>
      </c>
      <c r="M243">
        <f t="shared" ca="1" si="77"/>
        <v>137.62088760201846</v>
      </c>
      <c r="N243">
        <f t="shared" ca="1" si="66"/>
        <v>2.5600000000000023</v>
      </c>
      <c r="O243">
        <f t="shared" ca="1" si="67"/>
        <v>2.5600000000000023</v>
      </c>
      <c r="P243">
        <f t="shared" ca="1" si="68"/>
        <v>0</v>
      </c>
      <c r="Q243">
        <f t="shared" ca="1" si="72"/>
        <v>0.86051999790290823</v>
      </c>
      <c r="R243">
        <f t="shared" ca="1" si="73"/>
        <v>0.55481581646973044</v>
      </c>
      <c r="S243">
        <f t="shared" ca="1" si="70"/>
        <v>1.5510012014047483</v>
      </c>
      <c r="T243">
        <f t="shared" ca="1" si="71"/>
        <v>60.799704859043793</v>
      </c>
      <c r="U243">
        <f>70</f>
        <v>70</v>
      </c>
      <c r="V243">
        <f>30</f>
        <v>30</v>
      </c>
      <c r="W243">
        <f t="shared" ca="1" si="69"/>
        <v>147.34129216613704</v>
      </c>
      <c r="X243">
        <f t="shared" ca="1" si="79"/>
        <v>145.9634118271259</v>
      </c>
      <c r="Y243">
        <f t="shared" ca="1" si="78"/>
        <v>1.629102363324165</v>
      </c>
      <c r="Z243">
        <f t="shared" ca="1" si="80"/>
        <v>0.95370233121546799</v>
      </c>
      <c r="AA243">
        <f t="shared" ca="1" si="81"/>
        <v>0.67540003210869703</v>
      </c>
      <c r="AB243">
        <f t="shared" ca="1" si="82"/>
        <v>148.42389999999997</v>
      </c>
    </row>
    <row r="244" spans="1:28" x14ac:dyDescent="0.25">
      <c r="A244" s="20">
        <f t="shared" ca="1" si="62"/>
        <v>46048</v>
      </c>
      <c r="B244" vm="720">
        <f ca="1"/>
        <v>46052</v>
      </c>
      <c r="C244" vm="721">
        <f ca="1"/>
        <v>151.77000000000001</v>
      </c>
      <c r="D244" vm="722">
        <f ca="1"/>
        <v>12651426</v>
      </c>
      <c r="E244">
        <f t="shared" ca="1" si="63"/>
        <v>1920106924.0200002</v>
      </c>
      <c r="F244">
        <f ca="1">SUM($E$2:E244)/SUM($D$2:D244)</f>
        <v>155.86818289816438</v>
      </c>
      <c r="G244">
        <f ca="1">_xlfn.STDEV.P($C$2:C244)</f>
        <v>8.9083254388620148</v>
      </c>
      <c r="H244">
        <f t="shared" ca="1" si="64"/>
        <v>164.7765083370264</v>
      </c>
      <c r="I244">
        <f t="shared" ca="1" si="65"/>
        <v>146.95985745930236</v>
      </c>
      <c r="J244">
        <f t="shared" ca="1" si="74"/>
        <v>145.33500000000004</v>
      </c>
      <c r="K244">
        <f t="shared" ca="1" si="75"/>
        <v>3.9296357136642182</v>
      </c>
      <c r="L244">
        <f t="shared" ca="1" si="76"/>
        <v>153.19427142732846</v>
      </c>
      <c r="M244">
        <f t="shared" ca="1" si="77"/>
        <v>137.47572857267161</v>
      </c>
      <c r="N244">
        <f t="shared" ca="1" si="66"/>
        <v>1.8700000000000045</v>
      </c>
      <c r="O244">
        <f t="shared" ca="1" si="67"/>
        <v>1.8700000000000045</v>
      </c>
      <c r="P244">
        <f t="shared" ca="1" si="68"/>
        <v>0</v>
      </c>
      <c r="Q244">
        <f t="shared" ca="1" si="72"/>
        <v>0.93262571233841507</v>
      </c>
      <c r="R244">
        <f t="shared" ca="1" si="73"/>
        <v>0.51518611529332115</v>
      </c>
      <c r="S244">
        <f t="shared" ca="1" si="70"/>
        <v>1.810269501939944</v>
      </c>
      <c r="T244">
        <f t="shared" ca="1" si="71"/>
        <v>64.41622416249777</v>
      </c>
      <c r="U244">
        <f>70</f>
        <v>70</v>
      </c>
      <c r="V244">
        <f>30</f>
        <v>30</v>
      </c>
      <c r="W244">
        <f t="shared" ca="1" si="69"/>
        <v>148.02263183288517</v>
      </c>
      <c r="X244">
        <f t="shared" ca="1" si="79"/>
        <v>146.393529469561</v>
      </c>
      <c r="Y244">
        <f t="shared" ca="1" si="78"/>
        <v>1.9206398198278123</v>
      </c>
      <c r="Z244">
        <f t="shared" ca="1" si="80"/>
        <v>1.1470898289379368</v>
      </c>
      <c r="AA244">
        <f t="shared" ca="1" si="81"/>
        <v>0.77354999088987553</v>
      </c>
      <c r="AB244">
        <f t="shared" ca="1" si="82"/>
        <v>148.35149999999999</v>
      </c>
    </row>
    <row r="245" spans="1:28" x14ac:dyDescent="0.25">
      <c r="A245" s="20">
        <f t="shared" ca="1" si="62"/>
        <v>46055</v>
      </c>
      <c r="B245" vm="723">
        <f ca="1"/>
        <v>46055</v>
      </c>
      <c r="C245" vm="724">
        <f ca="1"/>
        <v>153.19</v>
      </c>
      <c r="D245" vm="725">
        <f ca="1"/>
        <v>10554872</v>
      </c>
      <c r="E245">
        <f t="shared" ca="1" si="63"/>
        <v>1616900841.6800001</v>
      </c>
      <c r="F245">
        <f ca="1">SUM($E$2:E245)/SUM($D$2:D245)</f>
        <v>155.85487513131287</v>
      </c>
      <c r="G245">
        <f ca="1">_xlfn.STDEV.P($C$2:C245)</f>
        <v>8.8927787448633122</v>
      </c>
      <c r="H245">
        <f t="shared" ca="1" si="64"/>
        <v>164.74765387617617</v>
      </c>
      <c r="I245">
        <f t="shared" ca="1" si="65"/>
        <v>146.96209638644956</v>
      </c>
      <c r="J245">
        <f t="shared" ca="1" si="74"/>
        <v>145.90500000000003</v>
      </c>
      <c r="K245">
        <f t="shared" ca="1" si="75"/>
        <v>4.2054770052997892</v>
      </c>
      <c r="L245">
        <f t="shared" ca="1" si="76"/>
        <v>154.3159540105996</v>
      </c>
      <c r="M245">
        <f t="shared" ca="1" si="77"/>
        <v>137.49404598940046</v>
      </c>
      <c r="N245">
        <f t="shared" ca="1" si="66"/>
        <v>1.4199999999999875</v>
      </c>
      <c r="O245">
        <f t="shared" ca="1" si="67"/>
        <v>1.4199999999999875</v>
      </c>
      <c r="P245">
        <f t="shared" ca="1" si="68"/>
        <v>0</v>
      </c>
      <c r="Q245">
        <f t="shared" ca="1" si="72"/>
        <v>0.96743816145709882</v>
      </c>
      <c r="R245">
        <f t="shared" ca="1" si="73"/>
        <v>0.4783871070580839</v>
      </c>
      <c r="S245">
        <f t="shared" ca="1" si="70"/>
        <v>2.0222914605841087</v>
      </c>
      <c r="T245">
        <f t="shared" ca="1" si="71"/>
        <v>66.912522731784009</v>
      </c>
      <c r="U245">
        <f>70</f>
        <v>70</v>
      </c>
      <c r="V245">
        <f>30</f>
        <v>30</v>
      </c>
      <c r="W245">
        <f t="shared" ca="1" si="69"/>
        <v>148.81761155090283</v>
      </c>
      <c r="X245">
        <f t="shared" ca="1" si="79"/>
        <v>146.89697173107501</v>
      </c>
      <c r="Y245">
        <f t="shared" ca="1" si="78"/>
        <v>2.2970792536147258</v>
      </c>
      <c r="Z245">
        <f t="shared" ca="1" si="80"/>
        <v>1.3770877138732946</v>
      </c>
      <c r="AA245">
        <f t="shared" ca="1" si="81"/>
        <v>0.91999153974143111</v>
      </c>
      <c r="AB245">
        <f t="shared" ca="1" si="82"/>
        <v>148.28879999999998</v>
      </c>
    </row>
    <row r="246" spans="1:28" x14ac:dyDescent="0.25">
      <c r="A246" s="20">
        <f t="shared" ca="1" si="62"/>
        <v>46055</v>
      </c>
      <c r="B246" vm="726">
        <f ca="1"/>
        <v>46056</v>
      </c>
      <c r="C246" vm="727">
        <f ca="1"/>
        <v>155.32</v>
      </c>
      <c r="D246" vm="728">
        <f ca="1"/>
        <v>12424740</v>
      </c>
      <c r="E246">
        <f t="shared" ca="1" si="63"/>
        <v>1929810616.8</v>
      </c>
      <c r="F246">
        <f ca="1">SUM($E$2:E246)/SUM($D$2:D246)</f>
        <v>155.8517647129695</v>
      </c>
      <c r="G246">
        <f ca="1">_xlfn.STDEV.P($C$2:C246)</f>
        <v>8.875000287556233</v>
      </c>
      <c r="H246">
        <f t="shared" ca="1" si="64"/>
        <v>164.72676500052575</v>
      </c>
      <c r="I246">
        <f t="shared" ca="1" si="65"/>
        <v>146.97676442541325</v>
      </c>
      <c r="J246">
        <f t="shared" ca="1" si="74"/>
        <v>146.65250000000003</v>
      </c>
      <c r="K246">
        <f t="shared" ca="1" si="75"/>
        <v>4.4889664441653059</v>
      </c>
      <c r="L246">
        <f t="shared" ca="1" si="76"/>
        <v>155.63043288833063</v>
      </c>
      <c r="M246">
        <f t="shared" ca="1" si="77"/>
        <v>137.67456711166943</v>
      </c>
      <c r="N246">
        <f t="shared" ca="1" si="66"/>
        <v>2.1299999999999955</v>
      </c>
      <c r="O246">
        <f t="shared" ca="1" si="67"/>
        <v>2.1299999999999955</v>
      </c>
      <c r="P246">
        <f t="shared" ca="1" si="68"/>
        <v>0</v>
      </c>
      <c r="Q246">
        <f t="shared" ca="1" si="72"/>
        <v>1.0504782927815914</v>
      </c>
      <c r="R246">
        <f t="shared" ca="1" si="73"/>
        <v>0.44421659941107794</v>
      </c>
      <c r="S246">
        <f t="shared" ca="1" si="70"/>
        <v>2.3647884707016074</v>
      </c>
      <c r="T246">
        <f t="shared" ca="1" si="71"/>
        <v>70.280449760591182</v>
      </c>
      <c r="U246">
        <f>70</f>
        <v>70</v>
      </c>
      <c r="V246">
        <f>30</f>
        <v>30</v>
      </c>
      <c r="W246">
        <f t="shared" ca="1" si="69"/>
        <v>149.81797900461009</v>
      </c>
      <c r="X246">
        <f t="shared" ca="1" si="79"/>
        <v>147.52089975099537</v>
      </c>
      <c r="Y246">
        <f t="shared" ca="1" si="78"/>
        <v>2.6894796162270893</v>
      </c>
      <c r="Z246">
        <f t="shared" ca="1" si="80"/>
        <v>1.6395660943440538</v>
      </c>
      <c r="AA246">
        <f t="shared" ca="1" si="81"/>
        <v>1.0499135218830355</v>
      </c>
      <c r="AB246">
        <f t="shared" ca="1" si="82"/>
        <v>148.26849999999996</v>
      </c>
    </row>
    <row r="247" spans="1:28" x14ac:dyDescent="0.25">
      <c r="A247" s="20">
        <f t="shared" ca="1" si="62"/>
        <v>46055</v>
      </c>
      <c r="B247" vm="729">
        <f ca="1"/>
        <v>46057</v>
      </c>
      <c r="C247" vm="730">
        <f ca="1"/>
        <v>156.87</v>
      </c>
      <c r="D247" vm="731">
        <f ca="1"/>
        <v>12178463</v>
      </c>
      <c r="E247">
        <f t="shared" ca="1" si="63"/>
        <v>1910435490.8099999</v>
      </c>
      <c r="F247">
        <f ca="1">SUM($E$2:E247)/SUM($D$2:D247)</f>
        <v>155.85753571572764</v>
      </c>
      <c r="G247">
        <f ca="1">_xlfn.STDEV.P($C$2:C247)</f>
        <v>8.8569578889779113</v>
      </c>
      <c r="H247">
        <f t="shared" ca="1" si="64"/>
        <v>164.71449360470555</v>
      </c>
      <c r="I247">
        <f t="shared" ca="1" si="65"/>
        <v>147.00057782674972</v>
      </c>
      <c r="J247">
        <f t="shared" ca="1" si="74"/>
        <v>147.50050000000002</v>
      </c>
      <c r="K247">
        <f t="shared" ca="1" si="75"/>
        <v>4.7429698391131314</v>
      </c>
      <c r="L247">
        <f t="shared" ca="1" si="76"/>
        <v>156.98643967822628</v>
      </c>
      <c r="M247">
        <f t="shared" ca="1" si="77"/>
        <v>138.01456032177376</v>
      </c>
      <c r="N247">
        <f t="shared" ca="1" si="66"/>
        <v>1.5500000000000114</v>
      </c>
      <c r="O247">
        <f t="shared" ca="1" si="67"/>
        <v>1.5500000000000114</v>
      </c>
      <c r="P247">
        <f t="shared" ca="1" si="68"/>
        <v>0</v>
      </c>
      <c r="Q247">
        <f t="shared" ca="1" si="72"/>
        <v>1.0861584147257644</v>
      </c>
      <c r="R247">
        <f t="shared" ca="1" si="73"/>
        <v>0.41248684231028665</v>
      </c>
      <c r="S247">
        <f t="shared" ca="1" si="70"/>
        <v>2.6331953005878401</v>
      </c>
      <c r="T247">
        <f t="shared" ca="1" si="71"/>
        <v>72.476018565855711</v>
      </c>
      <c r="U247">
        <f>70</f>
        <v>70</v>
      </c>
      <c r="V247">
        <f>30</f>
        <v>30</v>
      </c>
      <c r="W247">
        <f t="shared" ca="1" si="69"/>
        <v>150.90290531159317</v>
      </c>
      <c r="X247">
        <f t="shared" ca="1" si="79"/>
        <v>148.21342569536608</v>
      </c>
      <c r="Y247">
        <f t="shared" ca="1" si="78"/>
        <v>3.1050698762085176</v>
      </c>
      <c r="Z247">
        <f t="shared" ca="1" si="80"/>
        <v>1.9326668507169464</v>
      </c>
      <c r="AA247">
        <f t="shared" ca="1" si="81"/>
        <v>1.1724030254915712</v>
      </c>
      <c r="AB247">
        <f t="shared" ca="1" si="82"/>
        <v>148.2509</v>
      </c>
    </row>
    <row r="248" spans="1:28" x14ac:dyDescent="0.25">
      <c r="A248" s="20">
        <f t="shared" ca="1" si="62"/>
        <v>46055</v>
      </c>
      <c r="B248" vm="732">
        <f ca="1"/>
        <v>46058</v>
      </c>
      <c r="C248" vm="733">
        <f ca="1"/>
        <v>158.61000000000001</v>
      </c>
      <c r="D248" vm="734">
        <f ca="1"/>
        <v>13077657</v>
      </c>
      <c r="E248">
        <f t="shared" ca="1" si="63"/>
        <v>2074247176.7700002</v>
      </c>
      <c r="F248">
        <f ca="1">SUM($E$2:E248)/SUM($D$2:D248)</f>
        <v>155.87418621015576</v>
      </c>
      <c r="G248">
        <f ca="1">_xlfn.STDEV.P($C$2:C248)</f>
        <v>8.8399153330936642</v>
      </c>
      <c r="H248">
        <f t="shared" ca="1" si="64"/>
        <v>164.71410154324943</v>
      </c>
      <c r="I248">
        <f t="shared" ca="1" si="65"/>
        <v>147.03427087706208</v>
      </c>
      <c r="J248">
        <f t="shared" ca="1" si="74"/>
        <v>148.52900000000002</v>
      </c>
      <c r="K248">
        <f t="shared" ca="1" si="75"/>
        <v>4.8132666443356005</v>
      </c>
      <c r="L248">
        <f t="shared" ca="1" si="76"/>
        <v>158.15553328867122</v>
      </c>
      <c r="M248">
        <f t="shared" ca="1" si="77"/>
        <v>138.90246671132883</v>
      </c>
      <c r="N248">
        <f t="shared" ca="1" si="66"/>
        <v>1.7400000000000091</v>
      </c>
      <c r="O248">
        <f t="shared" ca="1" si="67"/>
        <v>1.7400000000000091</v>
      </c>
      <c r="P248">
        <f t="shared" ca="1" si="68"/>
        <v>0</v>
      </c>
      <c r="Q248">
        <f t="shared" ca="1" si="72"/>
        <v>1.1328613851024962</v>
      </c>
      <c r="R248">
        <f t="shared" ca="1" si="73"/>
        <v>0.38302349643098044</v>
      </c>
      <c r="S248">
        <f t="shared" ca="1" si="70"/>
        <v>2.9576811753287156</v>
      </c>
      <c r="T248">
        <f t="shared" ca="1" si="71"/>
        <v>74.732679169970226</v>
      </c>
      <c r="U248">
        <f>70</f>
        <v>70</v>
      </c>
      <c r="V248">
        <f>30</f>
        <v>30</v>
      </c>
      <c r="W248">
        <f t="shared" ca="1" si="69"/>
        <v>152.08861218673269</v>
      </c>
      <c r="X248">
        <f t="shared" ca="1" si="79"/>
        <v>148.98354231052417</v>
      </c>
      <c r="Y248">
        <f t="shared" ca="1" si="78"/>
        <v>3.4399617337300583</v>
      </c>
      <c r="Z248">
        <f t="shared" ca="1" si="80"/>
        <v>2.234125827319569</v>
      </c>
      <c r="AA248">
        <f t="shared" ca="1" si="81"/>
        <v>1.2058359064104893</v>
      </c>
      <c r="AB248">
        <f t="shared" ca="1" si="82"/>
        <v>148.25799999999998</v>
      </c>
    </row>
    <row r="249" spans="1:28" x14ac:dyDescent="0.25">
      <c r="A249" s="20">
        <f t="shared" ca="1" si="62"/>
        <v>46055</v>
      </c>
      <c r="B249" vm="735">
        <f ca="1"/>
        <v>46059</v>
      </c>
      <c r="C249" vm="736">
        <f ca="1"/>
        <v>159.16999999999999</v>
      </c>
      <c r="D249" vm="737">
        <f ca="1"/>
        <v>10441737</v>
      </c>
      <c r="E249">
        <f t="shared" ca="1" si="63"/>
        <v>1662011278.29</v>
      </c>
      <c r="F249">
        <f ca="1">SUM($E$2:E249)/SUM($D$2:D249)</f>
        <v>155.89002851325117</v>
      </c>
      <c r="G249">
        <f ca="1">_xlfn.STDEV.P($C$2:C249)</f>
        <v>8.8235473739832155</v>
      </c>
      <c r="H249">
        <f t="shared" ca="1" si="64"/>
        <v>164.71357588723438</v>
      </c>
      <c r="I249">
        <f t="shared" ca="1" si="65"/>
        <v>147.06648113926795</v>
      </c>
      <c r="J249">
        <f t="shared" ca="1" si="74"/>
        <v>149.411</v>
      </c>
      <c r="K249">
        <f t="shared" ca="1" si="75"/>
        <v>5.072472562245836</v>
      </c>
      <c r="L249">
        <f t="shared" ca="1" si="76"/>
        <v>159.55594512449167</v>
      </c>
      <c r="M249">
        <f t="shared" ca="1" si="77"/>
        <v>139.26605487550833</v>
      </c>
      <c r="N249">
        <f t="shared" ca="1" si="66"/>
        <v>0.55999999999997385</v>
      </c>
      <c r="O249">
        <f t="shared" ca="1" si="67"/>
        <v>0.55999999999997385</v>
      </c>
      <c r="P249">
        <f t="shared" ca="1" si="68"/>
        <v>0</v>
      </c>
      <c r="Q249">
        <f t="shared" ca="1" si="72"/>
        <v>1.0919427147380303</v>
      </c>
      <c r="R249">
        <f t="shared" ca="1" si="73"/>
        <v>0.35566467525733897</v>
      </c>
      <c r="S249">
        <f t="shared" ca="1" si="70"/>
        <v>3.0701466597658649</v>
      </c>
      <c r="T249">
        <f t="shared" ca="1" si="71"/>
        <v>75.430860762704668</v>
      </c>
      <c r="U249">
        <f>70</f>
        <v>70</v>
      </c>
      <c r="V249">
        <f>30</f>
        <v>30</v>
      </c>
      <c r="W249">
        <f t="shared" ca="1" si="69"/>
        <v>153.17805646569687</v>
      </c>
      <c r="X249">
        <f t="shared" ca="1" si="79"/>
        <v>149.73809473196681</v>
      </c>
      <c r="Y249">
        <f t="shared" ca="1" si="78"/>
        <v>3.5163589242813487</v>
      </c>
      <c r="Z249">
        <f t="shared" ca="1" si="80"/>
        <v>2.490572446711925</v>
      </c>
      <c r="AA249">
        <f t="shared" ca="1" si="81"/>
        <v>1.0257864775694236</v>
      </c>
      <c r="AB249">
        <f t="shared" ca="1" si="82"/>
        <v>148.28139999999996</v>
      </c>
    </row>
    <row r="250" spans="1:28" x14ac:dyDescent="0.25">
      <c r="A250" s="20">
        <f t="shared" ca="1" si="62"/>
        <v>46062</v>
      </c>
      <c r="B250" vm="738">
        <f ca="1"/>
        <v>46062</v>
      </c>
      <c r="C250" vm="739">
        <f ca="1"/>
        <v>157.33000000000001</v>
      </c>
      <c r="D250" vm="740">
        <f ca="1"/>
        <v>11439942</v>
      </c>
      <c r="E250">
        <f t="shared" ca="1" si="63"/>
        <v>1799846074.8600001</v>
      </c>
      <c r="F250">
        <f ca="1">SUM($E$2:E250)/SUM($D$2:D250)</f>
        <v>155.89757212775302</v>
      </c>
      <c r="G250">
        <f ca="1">_xlfn.STDEV.P($C$2:C250)</f>
        <v>8.8059207519527902</v>
      </c>
      <c r="H250">
        <f t="shared" ca="1" si="64"/>
        <v>164.70349287970581</v>
      </c>
      <c r="I250">
        <f t="shared" ca="1" si="65"/>
        <v>147.09165137580024</v>
      </c>
      <c r="J250">
        <f t="shared" ca="1" si="74"/>
        <v>150.18400000000003</v>
      </c>
      <c r="K250">
        <f t="shared" ca="1" si="75"/>
        <v>5.04069168186063</v>
      </c>
      <c r="L250">
        <f t="shared" ca="1" si="76"/>
        <v>160.2653833637213</v>
      </c>
      <c r="M250">
        <f t="shared" ca="1" si="77"/>
        <v>140.10261663627875</v>
      </c>
      <c r="N250">
        <f t="shared" ca="1" si="66"/>
        <v>-1.839999999999975</v>
      </c>
      <c r="O250">
        <f t="shared" ca="1" si="67"/>
        <v>0</v>
      </c>
      <c r="P250">
        <f t="shared" ca="1" si="68"/>
        <v>1.839999999999975</v>
      </c>
      <c r="Q250">
        <f t="shared" ca="1" si="72"/>
        <v>1.0139468065424568</v>
      </c>
      <c r="R250">
        <f t="shared" ca="1" si="73"/>
        <v>0.46168862702467012</v>
      </c>
      <c r="S250">
        <f t="shared" ca="1" si="70"/>
        <v>2.1961702047477054</v>
      </c>
      <c r="T250">
        <f t="shared" ca="1" si="71"/>
        <v>68.712554840960465</v>
      </c>
      <c r="U250">
        <f>70</f>
        <v>70</v>
      </c>
      <c r="V250">
        <f>30</f>
        <v>30</v>
      </c>
      <c r="W250">
        <f t="shared" ca="1" si="69"/>
        <v>153.81681700943579</v>
      </c>
      <c r="X250">
        <f t="shared" ca="1" si="79"/>
        <v>150.30045808515445</v>
      </c>
      <c r="Y250">
        <f t="shared" ca="1" si="78"/>
        <v>3.6757429462314235</v>
      </c>
      <c r="Z250">
        <f t="shared" ca="1" si="80"/>
        <v>2.7276065466158248</v>
      </c>
      <c r="AA250">
        <f t="shared" ca="1" si="81"/>
        <v>0.9481363996155987</v>
      </c>
      <c r="AB250">
        <f t="shared" ca="1" si="82"/>
        <v>148.27419999999998</v>
      </c>
    </row>
    <row r="251" spans="1:28" x14ac:dyDescent="0.25">
      <c r="A251" s="20">
        <f t="shared" ca="1" si="62"/>
        <v>46062</v>
      </c>
      <c r="B251" vm="741">
        <f ca="1"/>
        <v>46063</v>
      </c>
      <c r="C251" vm="264">
        <f ca="1"/>
        <v>159.08000000000001</v>
      </c>
      <c r="D251" vm="742">
        <f ca="1"/>
        <v>9910099</v>
      </c>
      <c r="E251">
        <f t="shared" ca="1" si="63"/>
        <v>1576498548.9200001</v>
      </c>
      <c r="F251">
        <f ca="1">SUM($E$2:E251)/SUM($D$2:D251)</f>
        <v>155.91194924766381</v>
      </c>
      <c r="G251">
        <f ca="1">_xlfn.STDEV.P($C$2:C251)</f>
        <v>8.7896412112440618</v>
      </c>
      <c r="H251">
        <f t="shared" ca="1" si="64"/>
        <v>164.70159045890787</v>
      </c>
      <c r="I251">
        <f t="shared" ca="1" si="65"/>
        <v>147.12230803641975</v>
      </c>
      <c r="J251">
        <f t="shared" ca="1" si="74"/>
        <v>150.965</v>
      </c>
      <c r="K251">
        <f t="shared" ca="1" si="75"/>
        <v>5.1528750278491708</v>
      </c>
      <c r="L251">
        <f t="shared" ca="1" si="76"/>
        <v>161.27075005569836</v>
      </c>
      <c r="M251">
        <f t="shared" ca="1" si="77"/>
        <v>140.65924994430165</v>
      </c>
      <c r="N251">
        <f t="shared" ca="1" si="66"/>
        <v>1.75</v>
      </c>
      <c r="O251">
        <f t="shared" ca="1" si="67"/>
        <v>1.75</v>
      </c>
      <c r="P251">
        <f t="shared" ca="1" si="68"/>
        <v>0</v>
      </c>
      <c r="Q251">
        <f t="shared" ca="1" si="72"/>
        <v>1.0665220346465671</v>
      </c>
      <c r="R251">
        <f t="shared" ca="1" si="73"/>
        <v>0.42871086795147939</v>
      </c>
      <c r="S251">
        <f t="shared" ca="1" si="70"/>
        <v>2.4877420060348783</v>
      </c>
      <c r="T251">
        <f t="shared" ca="1" si="71"/>
        <v>71.328154483052671</v>
      </c>
      <c r="U251">
        <f>70</f>
        <v>70</v>
      </c>
      <c r="V251">
        <f>30</f>
        <v>30</v>
      </c>
      <c r="W251">
        <f t="shared" ca="1" si="69"/>
        <v>154.62653746952259</v>
      </c>
      <c r="X251">
        <f t="shared" ca="1" si="79"/>
        <v>150.95079452329117</v>
      </c>
      <c r="Y251">
        <f t="shared" ca="1" si="78"/>
        <v>3.8321179725885486</v>
      </c>
      <c r="Z251">
        <f t="shared" ca="1" si="80"/>
        <v>2.9485088318103698</v>
      </c>
      <c r="AA251">
        <f t="shared" ca="1" si="81"/>
        <v>0.88360914077817876</v>
      </c>
      <c r="AB251">
        <f t="shared" ca="1" si="82"/>
        <v>148.26169999999999</v>
      </c>
    </row>
    <row r="252" spans="1:28" x14ac:dyDescent="0.25">
      <c r="A252" s="20">
        <f t="shared" ca="1" si="62"/>
        <v>46062</v>
      </c>
      <c r="B252" vm="743">
        <f ca="1"/>
        <v>46064</v>
      </c>
      <c r="C252" vm="744">
        <f ca="1"/>
        <v>160</v>
      </c>
      <c r="D252" vm="745">
        <f ca="1"/>
        <v>10217309</v>
      </c>
      <c r="E252">
        <f t="shared" ca="1" si="63"/>
        <v>1634769440</v>
      </c>
      <c r="F252">
        <f ca="1">SUM($E$2:E252)/SUM($D$2:D252)</f>
        <v>155.93090190106287</v>
      </c>
      <c r="G252">
        <f ca="1">_xlfn.STDEV.P($C$2:C252)</f>
        <v>8.7746536047526522</v>
      </c>
      <c r="H252">
        <f t="shared" ca="1" si="64"/>
        <v>164.70555550581551</v>
      </c>
      <c r="I252">
        <f t="shared" ca="1" si="65"/>
        <v>147.15624829631022</v>
      </c>
      <c r="J252">
        <f t="shared" ca="1" si="74"/>
        <v>151.75299999999999</v>
      </c>
      <c r="K252">
        <f t="shared" ca="1" si="75"/>
        <v>5.2739529766580224</v>
      </c>
      <c r="L252">
        <f t="shared" ca="1" si="76"/>
        <v>162.30090595331603</v>
      </c>
      <c r="M252">
        <f t="shared" ca="1" si="77"/>
        <v>141.20509404668394</v>
      </c>
      <c r="N252">
        <f t="shared" ca="1" si="66"/>
        <v>0.91999999999998749</v>
      </c>
      <c r="O252">
        <f t="shared" ca="1" si="67"/>
        <v>0.91999999999998749</v>
      </c>
      <c r="P252">
        <f t="shared" ca="1" si="68"/>
        <v>0</v>
      </c>
      <c r="Q252">
        <f t="shared" ca="1" si="72"/>
        <v>1.0560561750289543</v>
      </c>
      <c r="R252">
        <f t="shared" ca="1" si="73"/>
        <v>0.39808866309780233</v>
      </c>
      <c r="S252">
        <f t="shared" ca="1" si="70"/>
        <v>2.6528165027636135</v>
      </c>
      <c r="T252">
        <f t="shared" ca="1" si="71"/>
        <v>72.623864373054886</v>
      </c>
      <c r="U252">
        <f>70</f>
        <v>70</v>
      </c>
      <c r="V252">
        <f>30</f>
        <v>30</v>
      </c>
      <c r="W252">
        <f t="shared" ca="1" si="69"/>
        <v>155.45322401267296</v>
      </c>
      <c r="X252">
        <f t="shared" ca="1" si="79"/>
        <v>151.62110604008441</v>
      </c>
      <c r="Y252">
        <f t="shared" si="78"/>
        <v>0</v>
      </c>
      <c r="Z252">
        <f t="shared" ca="1" si="80"/>
        <v>2.3588070654482958</v>
      </c>
      <c r="AA252">
        <f t="shared" ca="1" si="81"/>
        <v>-2.3588070654482958</v>
      </c>
      <c r="AB252">
        <f t="shared" ca="1" si="82"/>
        <v>148.28849999999997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55B7-0149-4130-9727-C977573A2BA0}">
  <dimension ref="A1:E62"/>
  <sheetViews>
    <sheetView workbookViewId="0">
      <selection activeCell="P6" sqref="P6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3.5703125" bestFit="1" customWidth="1"/>
    <col min="4" max="4" width="15.5703125" bestFit="1" customWidth="1"/>
  </cols>
  <sheetData>
    <row r="1" spans="1:5" x14ac:dyDescent="0.25">
      <c r="A1" t="s">
        <v>45</v>
      </c>
      <c r="B1" t="s">
        <v>46</v>
      </c>
      <c r="C1" t="s">
        <v>47</v>
      </c>
      <c r="D1" t="s">
        <v>48</v>
      </c>
      <c r="E1" t="s">
        <v>51</v>
      </c>
    </row>
    <row r="2" spans="1:5" x14ac:dyDescent="0.25">
      <c r="A2" s="23">
        <v>45698</v>
      </c>
      <c r="B2">
        <v>167.83</v>
      </c>
    </row>
    <row r="3" spans="1:5" x14ac:dyDescent="0.25">
      <c r="A3" s="23">
        <v>45705</v>
      </c>
      <c r="B3">
        <v>167.34</v>
      </c>
    </row>
    <row r="4" spans="1:5" x14ac:dyDescent="0.25">
      <c r="A4" s="23">
        <v>45712</v>
      </c>
      <c r="B4">
        <v>172.06</v>
      </c>
    </row>
    <row r="5" spans="1:5" x14ac:dyDescent="0.25">
      <c r="A5" s="23">
        <v>45719</v>
      </c>
      <c r="B5">
        <v>174.798</v>
      </c>
    </row>
    <row r="6" spans="1:5" x14ac:dyDescent="0.25">
      <c r="A6" s="23">
        <v>45726</v>
      </c>
      <c r="B6">
        <v>170.86199999999999</v>
      </c>
    </row>
    <row r="7" spans="1:5" x14ac:dyDescent="0.25">
      <c r="A7" s="23">
        <v>45733</v>
      </c>
      <c r="B7">
        <v>168.05600000000001</v>
      </c>
    </row>
    <row r="8" spans="1:5" x14ac:dyDescent="0.25">
      <c r="A8" s="23">
        <v>45740</v>
      </c>
      <c r="B8">
        <v>166.364</v>
      </c>
    </row>
    <row r="9" spans="1:5" x14ac:dyDescent="0.25">
      <c r="A9" s="23">
        <v>45747</v>
      </c>
      <c r="B9">
        <v>169.32399999999998</v>
      </c>
    </row>
    <row r="10" spans="1:5" x14ac:dyDescent="0.25">
      <c r="A10" s="23">
        <v>45754</v>
      </c>
      <c r="B10">
        <v>162.28199999999998</v>
      </c>
    </row>
    <row r="11" spans="1:5" x14ac:dyDescent="0.25">
      <c r="A11" s="23">
        <v>45761</v>
      </c>
      <c r="B11">
        <v>168.655</v>
      </c>
    </row>
    <row r="12" spans="1:5" x14ac:dyDescent="0.25">
      <c r="A12" s="23">
        <v>45768</v>
      </c>
      <c r="B12">
        <v>163.982</v>
      </c>
    </row>
    <row r="13" spans="1:5" x14ac:dyDescent="0.25">
      <c r="A13" s="23">
        <v>45775</v>
      </c>
      <c r="B13">
        <v>161.43600000000001</v>
      </c>
    </row>
    <row r="14" spans="1:5" x14ac:dyDescent="0.25">
      <c r="A14" s="23">
        <v>45782</v>
      </c>
      <c r="B14">
        <v>158.73599999999999</v>
      </c>
    </row>
    <row r="15" spans="1:5" x14ac:dyDescent="0.25">
      <c r="A15" s="23">
        <v>45789</v>
      </c>
      <c r="B15">
        <v>160.66800000000001</v>
      </c>
    </row>
    <row r="16" spans="1:5" x14ac:dyDescent="0.25">
      <c r="A16" s="23">
        <v>45796</v>
      </c>
      <c r="B16">
        <v>165.346</v>
      </c>
    </row>
    <row r="17" spans="1:2" x14ac:dyDescent="0.25">
      <c r="A17" s="23">
        <v>45803</v>
      </c>
      <c r="B17">
        <v>168.39249999999998</v>
      </c>
    </row>
    <row r="18" spans="1:2" x14ac:dyDescent="0.25">
      <c r="A18" s="23">
        <v>45810</v>
      </c>
      <c r="B18">
        <v>165.48</v>
      </c>
    </row>
    <row r="19" spans="1:2" x14ac:dyDescent="0.25">
      <c r="A19" s="23">
        <v>45817</v>
      </c>
      <c r="B19">
        <v>162.19400000000002</v>
      </c>
    </row>
    <row r="20" spans="1:2" x14ac:dyDescent="0.25">
      <c r="A20" s="23">
        <v>45824</v>
      </c>
      <c r="B20">
        <v>159.125</v>
      </c>
    </row>
    <row r="21" spans="1:2" x14ac:dyDescent="0.25">
      <c r="A21" s="23">
        <v>45831</v>
      </c>
      <c r="B21">
        <v>159.77000000000001</v>
      </c>
    </row>
    <row r="22" spans="1:2" x14ac:dyDescent="0.25">
      <c r="A22" s="23">
        <v>45838</v>
      </c>
      <c r="B22">
        <v>160.64249999999998</v>
      </c>
    </row>
    <row r="23" spans="1:2" x14ac:dyDescent="0.25">
      <c r="A23" s="23">
        <v>45845</v>
      </c>
      <c r="B23">
        <v>158.29</v>
      </c>
    </row>
    <row r="24" spans="1:2" x14ac:dyDescent="0.25">
      <c r="A24" s="23">
        <v>45852</v>
      </c>
      <c r="B24">
        <v>154.178</v>
      </c>
    </row>
    <row r="25" spans="1:2" x14ac:dyDescent="0.25">
      <c r="A25" s="23">
        <v>45859</v>
      </c>
      <c r="B25">
        <v>157.74799999999999</v>
      </c>
    </row>
    <row r="26" spans="1:2" x14ac:dyDescent="0.25">
      <c r="A26" s="23">
        <v>45866</v>
      </c>
      <c r="B26">
        <v>153.54400000000001</v>
      </c>
    </row>
    <row r="27" spans="1:2" x14ac:dyDescent="0.25">
      <c r="A27" s="23">
        <v>45873</v>
      </c>
      <c r="B27">
        <v>152.226</v>
      </c>
    </row>
    <row r="28" spans="1:2" x14ac:dyDescent="0.25">
      <c r="A28" s="23">
        <v>45880</v>
      </c>
      <c r="B28">
        <v>154.71600000000001</v>
      </c>
    </row>
    <row r="29" spans="1:2" x14ac:dyDescent="0.25">
      <c r="A29" s="23">
        <v>45887</v>
      </c>
      <c r="B29">
        <v>158.20599999999999</v>
      </c>
    </row>
    <row r="30" spans="1:2" x14ac:dyDescent="0.25">
      <c r="A30" s="23">
        <v>45894</v>
      </c>
      <c r="B30">
        <v>156.35400000000001</v>
      </c>
    </row>
    <row r="31" spans="1:2" x14ac:dyDescent="0.25">
      <c r="A31" s="23">
        <v>45901</v>
      </c>
      <c r="B31">
        <v>158.8425</v>
      </c>
    </row>
    <row r="32" spans="1:2" x14ac:dyDescent="0.25">
      <c r="A32" s="23">
        <v>45908</v>
      </c>
      <c r="B32">
        <v>158.47</v>
      </c>
    </row>
    <row r="33" spans="1:2" x14ac:dyDescent="0.25">
      <c r="A33" s="23">
        <v>45915</v>
      </c>
      <c r="B33">
        <v>157.714</v>
      </c>
    </row>
    <row r="34" spans="1:2" x14ac:dyDescent="0.25">
      <c r="A34" s="23">
        <v>45922</v>
      </c>
      <c r="B34">
        <v>152.52799999999999</v>
      </c>
    </row>
    <row r="35" spans="1:2" x14ac:dyDescent="0.25">
      <c r="A35" s="23">
        <v>45929</v>
      </c>
      <c r="B35">
        <v>152.93600000000001</v>
      </c>
    </row>
    <row r="36" spans="1:2" x14ac:dyDescent="0.25">
      <c r="A36" s="23">
        <v>45936</v>
      </c>
      <c r="B36">
        <v>150.78200000000001</v>
      </c>
    </row>
    <row r="37" spans="1:2" x14ac:dyDescent="0.25">
      <c r="A37" s="23">
        <v>45943</v>
      </c>
      <c r="B37">
        <v>149.01400000000001</v>
      </c>
    </row>
    <row r="38" spans="1:2" x14ac:dyDescent="0.25">
      <c r="A38" s="23">
        <v>45950</v>
      </c>
      <c r="B38">
        <v>152.096</v>
      </c>
    </row>
    <row r="39" spans="1:2" x14ac:dyDescent="0.25">
      <c r="A39" s="23">
        <v>45957</v>
      </c>
      <c r="B39">
        <v>150.36600000000001</v>
      </c>
    </row>
    <row r="40" spans="1:2" x14ac:dyDescent="0.25">
      <c r="A40" s="23">
        <v>45964</v>
      </c>
      <c r="B40">
        <v>146.81799999999998</v>
      </c>
    </row>
    <row r="41" spans="1:2" x14ac:dyDescent="0.25">
      <c r="A41" s="23">
        <v>45971</v>
      </c>
      <c r="B41">
        <v>147.536</v>
      </c>
    </row>
    <row r="42" spans="1:2" x14ac:dyDescent="0.25">
      <c r="A42" s="23">
        <v>45978</v>
      </c>
      <c r="B42">
        <v>147.78200000000001</v>
      </c>
    </row>
    <row r="43" spans="1:2" x14ac:dyDescent="0.25">
      <c r="A43" s="23">
        <v>45985</v>
      </c>
      <c r="B43">
        <v>147.97</v>
      </c>
    </row>
    <row r="44" spans="1:2" x14ac:dyDescent="0.25">
      <c r="A44" s="23">
        <v>45992</v>
      </c>
      <c r="B44">
        <v>145.76400000000001</v>
      </c>
    </row>
    <row r="45" spans="1:2" x14ac:dyDescent="0.25">
      <c r="A45" s="23">
        <v>45999</v>
      </c>
      <c r="B45">
        <v>140.27799999999999</v>
      </c>
    </row>
    <row r="46" spans="1:2" x14ac:dyDescent="0.25">
      <c r="A46" s="23">
        <v>46006</v>
      </c>
      <c r="B46">
        <v>145.626</v>
      </c>
    </row>
    <row r="47" spans="1:2" x14ac:dyDescent="0.25">
      <c r="A47" s="23">
        <v>46013</v>
      </c>
      <c r="B47">
        <v>143.77500000000001</v>
      </c>
    </row>
    <row r="48" spans="1:2" x14ac:dyDescent="0.25">
      <c r="A48" s="23">
        <v>46020</v>
      </c>
      <c r="B48">
        <v>143.43</v>
      </c>
    </row>
    <row r="49" spans="1:5" x14ac:dyDescent="0.25">
      <c r="A49" s="23">
        <v>46027</v>
      </c>
      <c r="B49">
        <v>140.34399999999999</v>
      </c>
    </row>
    <row r="50" spans="1:5" x14ac:dyDescent="0.25">
      <c r="A50" s="23">
        <v>46034</v>
      </c>
      <c r="B50">
        <v>144.642</v>
      </c>
    </row>
    <row r="51" spans="1:5" x14ac:dyDescent="0.25">
      <c r="A51" s="23">
        <v>46041</v>
      </c>
      <c r="B51">
        <v>148.285</v>
      </c>
    </row>
    <row r="52" spans="1:5" x14ac:dyDescent="0.25">
      <c r="A52" s="23">
        <v>46048</v>
      </c>
      <c r="B52">
        <v>149.36799999999999</v>
      </c>
    </row>
    <row r="53" spans="1:5" x14ac:dyDescent="0.25">
      <c r="A53" s="23">
        <v>46055</v>
      </c>
      <c r="B53">
        <v>156.63200000000001</v>
      </c>
    </row>
    <row r="54" spans="1:5" ht="15.75" thickBot="1" x14ac:dyDescent="0.3">
      <c r="A54" s="23">
        <v>46062</v>
      </c>
      <c r="B54">
        <v>158.80333333333334</v>
      </c>
    </row>
    <row r="55" spans="1:5" ht="15.75" thickBot="1" x14ac:dyDescent="0.3">
      <c r="A55" s="23">
        <v>46069</v>
      </c>
      <c r="C55">
        <f>_xlfn.FORECAST.ETS(Forecast[[#This Row],[Week]],B2:B54,A2:A54,1,1,1)</f>
        <v>158.30610261785733</v>
      </c>
      <c r="D55">
        <v>154.26854510439099</v>
      </c>
      <c r="E55" s="29">
        <v>155.765366</v>
      </c>
    </row>
    <row r="56" spans="1:5" ht="15.75" thickBot="1" x14ac:dyDescent="0.3">
      <c r="A56" s="23">
        <v>46076</v>
      </c>
      <c r="C56">
        <f>_xlfn.FORECAST.ETS(Forecast[[#This Row],[Week]],B3:B55,A3:A55,1,1,1)</f>
        <v>158.48356018051658</v>
      </c>
      <c r="D56">
        <v>152.420819675221</v>
      </c>
      <c r="E56" s="30">
        <v>156.173224</v>
      </c>
    </row>
    <row r="57" spans="1:5" ht="15.75" thickBot="1" x14ac:dyDescent="0.3">
      <c r="A57" s="23">
        <v>46083</v>
      </c>
      <c r="C57">
        <f>_xlfn.FORECAST.ETS(Forecast[[#This Row],[Week]],B4:B56,A4:A56,1,1,1)</f>
        <v>144.07474981876658</v>
      </c>
      <c r="D57">
        <v>153.23806325212499</v>
      </c>
      <c r="E57" s="29">
        <v>155.75557800000001</v>
      </c>
    </row>
    <row r="58" spans="1:5" ht="15.75" thickBot="1" x14ac:dyDescent="0.3">
      <c r="A58" s="23">
        <v>46090</v>
      </c>
      <c r="C58">
        <f>_xlfn.FORECAST.ETS(Forecast[[#This Row],[Week]],B5:B57,A5:A57,1,1,1)</f>
        <v>140.25251439824942</v>
      </c>
      <c r="D58">
        <v>157.30526622462699</v>
      </c>
      <c r="E58" s="30">
        <v>157.44350900000001</v>
      </c>
    </row>
    <row r="59" spans="1:5" ht="15.75" thickBot="1" x14ac:dyDescent="0.3">
      <c r="A59" s="23">
        <v>46097</v>
      </c>
      <c r="C59">
        <f>_xlfn.FORECAST.ETS(Forecast[[#This Row],[Week]],B6:B58,A6:A58,1,1,1)</f>
        <v>143.5962228011943</v>
      </c>
      <c r="D59">
        <v>161.38372573151199</v>
      </c>
      <c r="E59" s="29">
        <v>155.50744700000001</v>
      </c>
    </row>
    <row r="60" spans="1:5" ht="15.75" thickBot="1" x14ac:dyDescent="0.3">
      <c r="A60" s="23">
        <v>46104</v>
      </c>
      <c r="C60">
        <f>_xlfn.FORECAST.ETS(Forecast[[#This Row],[Week]],B7:B59,A7:A59,1,1,1)</f>
        <v>140.93850494185315</v>
      </c>
      <c r="D60">
        <v>158.85424595733201</v>
      </c>
      <c r="E60" s="30">
        <v>158.64289400000001</v>
      </c>
    </row>
    <row r="61" spans="1:5" ht="15.75" thickBot="1" x14ac:dyDescent="0.3">
      <c r="A61" s="23">
        <v>46111</v>
      </c>
      <c r="C61">
        <f>_xlfn.FORECAST.ETS(Forecast[[#This Row],[Week]],B8:B60,A8:A60,1,1,1)</f>
        <v>141.56122153959765</v>
      </c>
      <c r="D61">
        <v>155.38165771577701</v>
      </c>
      <c r="E61" s="29">
        <v>158.519732</v>
      </c>
    </row>
    <row r="62" spans="1:5" ht="15.75" thickBot="1" x14ac:dyDescent="0.3">
      <c r="A62" s="23">
        <v>46118</v>
      </c>
      <c r="C62">
        <f>_xlfn.FORECAST.ETS(Forecast[[#This Row],[Week]],B9:B61,A9:A61,1,1,1)</f>
        <v>144.70596821735347</v>
      </c>
      <c r="D62">
        <v>152.991597282691</v>
      </c>
      <c r="E62" s="30">
        <v>153.54790800000001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5A20-FB82-4236-9E03-03402E37369F}">
  <dimension ref="A1:B252"/>
  <sheetViews>
    <sheetView workbookViewId="0">
      <selection sqref="A1:B252"/>
    </sheetView>
  </sheetViews>
  <sheetFormatPr defaultRowHeight="15" x14ac:dyDescent="0.25"/>
  <cols>
    <col min="1" max="1" width="13.28515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45698</v>
      </c>
      <c r="B2" vm="2">
        <v>169.58</v>
      </c>
    </row>
    <row r="3" spans="1:2" x14ac:dyDescent="0.25">
      <c r="A3" s="20">
        <v>45698</v>
      </c>
      <c r="B3" vm="5">
        <v>171.02</v>
      </c>
    </row>
    <row r="4" spans="1:2" x14ac:dyDescent="0.25">
      <c r="A4" s="20">
        <v>45698</v>
      </c>
      <c r="B4" vm="8">
        <v>162.88999999999999</v>
      </c>
    </row>
    <row r="5" spans="1:2" x14ac:dyDescent="0.25">
      <c r="A5" s="20">
        <v>45705</v>
      </c>
      <c r="B5" vm="11">
        <v>165.43</v>
      </c>
    </row>
    <row r="6" spans="1:2" x14ac:dyDescent="0.25">
      <c r="A6" s="20">
        <v>45705</v>
      </c>
      <c r="B6" vm="14">
        <v>166.49</v>
      </c>
    </row>
    <row r="7" spans="1:2" x14ac:dyDescent="0.25">
      <c r="A7" s="20">
        <v>45705</v>
      </c>
      <c r="B7" vm="17">
        <v>167.21</v>
      </c>
    </row>
    <row r="8" spans="1:2" x14ac:dyDescent="0.25">
      <c r="A8" s="20">
        <v>45705</v>
      </c>
      <c r="B8" vm="20">
        <v>170.23</v>
      </c>
    </row>
    <row r="9" spans="1:2" x14ac:dyDescent="0.25">
      <c r="A9" s="20">
        <v>45712</v>
      </c>
      <c r="B9" vm="23">
        <v>170.54</v>
      </c>
    </row>
    <row r="10" spans="1:2" x14ac:dyDescent="0.25">
      <c r="A10" s="20">
        <v>45712</v>
      </c>
      <c r="B10" vm="26">
        <v>172.65</v>
      </c>
    </row>
    <row r="11" spans="1:2" x14ac:dyDescent="0.25">
      <c r="A11" s="20">
        <v>45712</v>
      </c>
      <c r="B11" vm="29">
        <v>171.3</v>
      </c>
    </row>
    <row r="12" spans="1:2" x14ac:dyDescent="0.25">
      <c r="A12" s="20">
        <v>45712</v>
      </c>
      <c r="B12" vm="32">
        <v>171.97</v>
      </c>
    </row>
    <row r="13" spans="1:2" x14ac:dyDescent="0.25">
      <c r="A13" s="20">
        <v>45712</v>
      </c>
      <c r="B13" vm="35">
        <v>173.84</v>
      </c>
    </row>
    <row r="14" spans="1:2" x14ac:dyDescent="0.25">
      <c r="A14" s="20">
        <v>45719</v>
      </c>
      <c r="B14" vm="38">
        <v>175.59</v>
      </c>
    </row>
    <row r="15" spans="1:2" x14ac:dyDescent="0.25">
      <c r="A15" s="20">
        <v>45719</v>
      </c>
      <c r="B15" vm="41">
        <v>173.18</v>
      </c>
    </row>
    <row r="16" spans="1:2" x14ac:dyDescent="0.25">
      <c r="A16" s="20">
        <v>45719</v>
      </c>
      <c r="B16" vm="44">
        <v>174.61</v>
      </c>
    </row>
    <row r="17" spans="1:2" x14ac:dyDescent="0.25">
      <c r="A17" s="20">
        <v>45719</v>
      </c>
      <c r="B17" vm="47">
        <v>174.66</v>
      </c>
    </row>
    <row r="18" spans="1:2" x14ac:dyDescent="0.25">
      <c r="A18" s="20">
        <v>45719</v>
      </c>
      <c r="B18" vm="50">
        <v>175.95</v>
      </c>
    </row>
    <row r="19" spans="1:2" x14ac:dyDescent="0.25">
      <c r="A19" s="20">
        <v>45726</v>
      </c>
      <c r="B19" vm="53">
        <v>176.26</v>
      </c>
    </row>
    <row r="20" spans="1:2" x14ac:dyDescent="0.25">
      <c r="A20" s="20">
        <v>45726</v>
      </c>
      <c r="B20" vm="56">
        <v>173.12</v>
      </c>
    </row>
    <row r="21" spans="1:2" x14ac:dyDescent="0.25">
      <c r="A21" s="20">
        <v>45726</v>
      </c>
      <c r="B21" vm="59">
        <v>168.37</v>
      </c>
    </row>
    <row r="22" spans="1:2" x14ac:dyDescent="0.25">
      <c r="A22" s="20">
        <v>45726</v>
      </c>
      <c r="B22" vm="62">
        <v>168.59</v>
      </c>
    </row>
    <row r="23" spans="1:2" x14ac:dyDescent="0.25">
      <c r="A23" s="20">
        <v>45726</v>
      </c>
      <c r="B23" vm="65">
        <v>167.97</v>
      </c>
    </row>
    <row r="24" spans="1:2" x14ac:dyDescent="0.25">
      <c r="A24" s="20">
        <v>45733</v>
      </c>
      <c r="B24" vm="68">
        <v>169.76</v>
      </c>
    </row>
    <row r="25" spans="1:2" x14ac:dyDescent="0.25">
      <c r="A25" s="20">
        <v>45733</v>
      </c>
      <c r="B25" vm="71">
        <v>167.71</v>
      </c>
    </row>
    <row r="26" spans="1:2" x14ac:dyDescent="0.25">
      <c r="A26" s="20">
        <v>45733</v>
      </c>
      <c r="B26" vm="74">
        <v>168.57</v>
      </c>
    </row>
    <row r="27" spans="1:2" x14ac:dyDescent="0.25">
      <c r="A27" s="20">
        <v>45733</v>
      </c>
      <c r="B27" vm="77">
        <v>167.55</v>
      </c>
    </row>
    <row r="28" spans="1:2" x14ac:dyDescent="0.25">
      <c r="A28" s="20">
        <v>45733</v>
      </c>
      <c r="B28" vm="80">
        <v>166.69</v>
      </c>
    </row>
    <row r="29" spans="1:2" x14ac:dyDescent="0.25">
      <c r="A29" s="20">
        <v>45740</v>
      </c>
      <c r="B29" vm="83">
        <v>165.65</v>
      </c>
    </row>
    <row r="30" spans="1:2" x14ac:dyDescent="0.25">
      <c r="A30" s="20">
        <v>45740</v>
      </c>
      <c r="B30" vm="86">
        <v>162.85</v>
      </c>
    </row>
    <row r="31" spans="1:2" x14ac:dyDescent="0.25">
      <c r="A31" s="20">
        <v>45740</v>
      </c>
      <c r="B31" vm="89">
        <v>166.58</v>
      </c>
    </row>
    <row r="32" spans="1:2" x14ac:dyDescent="0.25">
      <c r="A32" s="20">
        <v>45740</v>
      </c>
      <c r="B32" vm="92">
        <v>168.71</v>
      </c>
    </row>
    <row r="33" spans="1:2" x14ac:dyDescent="0.25">
      <c r="A33" s="20">
        <v>45740</v>
      </c>
      <c r="B33" vm="95">
        <v>168.03</v>
      </c>
    </row>
    <row r="34" spans="1:2" x14ac:dyDescent="0.25">
      <c r="A34" s="20">
        <v>45747</v>
      </c>
      <c r="B34" vm="98">
        <v>170.42</v>
      </c>
    </row>
    <row r="35" spans="1:2" x14ac:dyDescent="0.25">
      <c r="A35" s="20">
        <v>45747</v>
      </c>
      <c r="B35" vm="101">
        <v>170.56</v>
      </c>
    </row>
    <row r="36" spans="1:2" x14ac:dyDescent="0.25">
      <c r="A36" s="20">
        <v>45747</v>
      </c>
      <c r="B36" vm="104">
        <v>169.5</v>
      </c>
    </row>
    <row r="37" spans="1:2" x14ac:dyDescent="0.25">
      <c r="A37" s="20">
        <v>45747</v>
      </c>
      <c r="B37" vm="107">
        <v>172.39</v>
      </c>
    </row>
    <row r="38" spans="1:2" x14ac:dyDescent="0.25">
      <c r="A38" s="20">
        <v>45747</v>
      </c>
      <c r="B38" vm="110">
        <v>163.75</v>
      </c>
    </row>
    <row r="39" spans="1:2" x14ac:dyDescent="0.25">
      <c r="A39" s="20">
        <v>45754</v>
      </c>
      <c r="B39" vm="113">
        <v>160.22999999999999</v>
      </c>
    </row>
    <row r="40" spans="1:2" x14ac:dyDescent="0.25">
      <c r="A40" s="20">
        <v>45754</v>
      </c>
      <c r="B40" vm="116">
        <v>158.38999999999999</v>
      </c>
    </row>
    <row r="41" spans="1:2" x14ac:dyDescent="0.25">
      <c r="A41" s="20">
        <v>45754</v>
      </c>
      <c r="B41" vm="119">
        <v>162.32</v>
      </c>
    </row>
    <row r="42" spans="1:2" x14ac:dyDescent="0.25">
      <c r="A42" s="20">
        <v>45754</v>
      </c>
      <c r="B42" vm="122">
        <v>163.56</v>
      </c>
    </row>
    <row r="43" spans="1:2" x14ac:dyDescent="0.25">
      <c r="A43" s="20">
        <v>45754</v>
      </c>
      <c r="B43" vm="125">
        <v>166.91</v>
      </c>
    </row>
    <row r="44" spans="1:2" x14ac:dyDescent="0.25">
      <c r="A44" s="20">
        <v>45761</v>
      </c>
      <c r="B44" vm="128">
        <v>169.13</v>
      </c>
    </row>
    <row r="45" spans="1:2" x14ac:dyDescent="0.25">
      <c r="A45" s="20">
        <v>45761</v>
      </c>
      <c r="B45" vm="131">
        <v>168.47</v>
      </c>
    </row>
    <row r="46" spans="1:2" x14ac:dyDescent="0.25">
      <c r="A46" s="20">
        <v>45761</v>
      </c>
      <c r="B46" vm="134">
        <v>166.39</v>
      </c>
    </row>
    <row r="47" spans="1:2" x14ac:dyDescent="0.25">
      <c r="A47" s="20">
        <v>45761</v>
      </c>
      <c r="B47" vm="137">
        <v>170.63</v>
      </c>
    </row>
    <row r="48" spans="1:2" x14ac:dyDescent="0.25">
      <c r="A48" s="20">
        <v>45768</v>
      </c>
      <c r="B48" vm="140">
        <v>165.75</v>
      </c>
    </row>
    <row r="49" spans="1:2" x14ac:dyDescent="0.25">
      <c r="A49" s="20">
        <v>45768</v>
      </c>
      <c r="B49" vm="143">
        <v>167.88</v>
      </c>
    </row>
    <row r="50" spans="1:2" x14ac:dyDescent="0.25">
      <c r="A50" s="20">
        <v>45768</v>
      </c>
      <c r="B50" vm="146">
        <v>165.73</v>
      </c>
    </row>
    <row r="51" spans="1:2" x14ac:dyDescent="0.25">
      <c r="A51" s="20">
        <v>45768</v>
      </c>
      <c r="B51" vm="149">
        <v>159.53</v>
      </c>
    </row>
    <row r="52" spans="1:2" x14ac:dyDescent="0.25">
      <c r="A52" s="20">
        <v>45768</v>
      </c>
      <c r="B52" vm="152">
        <v>161.02000000000001</v>
      </c>
    </row>
    <row r="53" spans="1:2" x14ac:dyDescent="0.25">
      <c r="A53" s="20">
        <v>45775</v>
      </c>
      <c r="B53" vm="155">
        <v>161.85</v>
      </c>
    </row>
    <row r="54" spans="1:2" x14ac:dyDescent="0.25">
      <c r="A54" s="20">
        <v>45775</v>
      </c>
      <c r="B54" vm="158">
        <v>162.26</v>
      </c>
    </row>
    <row r="55" spans="1:2" x14ac:dyDescent="0.25">
      <c r="A55" s="20">
        <v>45775</v>
      </c>
      <c r="B55" vm="161">
        <v>162.57</v>
      </c>
    </row>
    <row r="56" spans="1:2" x14ac:dyDescent="0.25">
      <c r="A56" s="20">
        <v>45775</v>
      </c>
      <c r="B56" vm="164">
        <v>159.97999999999999</v>
      </c>
    </row>
    <row r="57" spans="1:2" x14ac:dyDescent="0.25">
      <c r="A57" s="20">
        <v>45775</v>
      </c>
      <c r="B57" vm="167">
        <v>160.52000000000001</v>
      </c>
    </row>
    <row r="58" spans="1:2" x14ac:dyDescent="0.25">
      <c r="A58" s="20">
        <v>45782</v>
      </c>
      <c r="B58" vm="170">
        <v>158.83000000000001</v>
      </c>
    </row>
    <row r="59" spans="1:2" x14ac:dyDescent="0.25">
      <c r="A59" s="20">
        <v>45782</v>
      </c>
      <c r="B59" vm="173">
        <v>159.25</v>
      </c>
    </row>
    <row r="60" spans="1:2" x14ac:dyDescent="0.25">
      <c r="A60" s="20">
        <v>45782</v>
      </c>
      <c r="B60" vm="176">
        <v>159.29</v>
      </c>
    </row>
    <row r="61" spans="1:2" x14ac:dyDescent="0.25">
      <c r="A61" s="20">
        <v>45782</v>
      </c>
      <c r="B61" vm="179">
        <v>158.65</v>
      </c>
    </row>
    <row r="62" spans="1:2" x14ac:dyDescent="0.25">
      <c r="A62" s="20">
        <v>45782</v>
      </c>
      <c r="B62" vm="182">
        <v>157.66</v>
      </c>
    </row>
    <row r="63" spans="1:2" x14ac:dyDescent="0.25">
      <c r="A63" s="20">
        <v>45789</v>
      </c>
      <c r="B63" vm="185">
        <v>160.9</v>
      </c>
    </row>
    <row r="64" spans="1:2" x14ac:dyDescent="0.25">
      <c r="A64" s="20">
        <v>45789</v>
      </c>
      <c r="B64" vm="188">
        <v>158.72999999999999</v>
      </c>
    </row>
    <row r="65" spans="1:2" x14ac:dyDescent="0.25">
      <c r="A65" s="20">
        <v>45789</v>
      </c>
      <c r="B65" vm="191">
        <v>158.02000000000001</v>
      </c>
    </row>
    <row r="66" spans="1:2" x14ac:dyDescent="0.25">
      <c r="A66" s="20">
        <v>45789</v>
      </c>
      <c r="B66" vm="194">
        <v>162.41</v>
      </c>
    </row>
    <row r="67" spans="1:2" x14ac:dyDescent="0.25">
      <c r="A67" s="20">
        <v>45789</v>
      </c>
      <c r="B67" vm="197">
        <v>163.28</v>
      </c>
    </row>
    <row r="68" spans="1:2" x14ac:dyDescent="0.25">
      <c r="A68" s="20">
        <v>45796</v>
      </c>
      <c r="B68" vm="200">
        <v>164.77</v>
      </c>
    </row>
    <row r="69" spans="1:2" x14ac:dyDescent="0.25">
      <c r="A69" s="20">
        <v>45796</v>
      </c>
      <c r="B69" vm="203">
        <v>165.64</v>
      </c>
    </row>
    <row r="70" spans="1:2" x14ac:dyDescent="0.25">
      <c r="A70" s="20">
        <v>45796</v>
      </c>
      <c r="B70" vm="11">
        <v>165.43</v>
      </c>
    </row>
    <row r="71" spans="1:2" x14ac:dyDescent="0.25">
      <c r="A71" s="20">
        <v>45796</v>
      </c>
      <c r="B71" vm="208">
        <v>165.03</v>
      </c>
    </row>
    <row r="72" spans="1:2" x14ac:dyDescent="0.25">
      <c r="A72" s="20">
        <v>45796</v>
      </c>
      <c r="B72" vm="211">
        <v>165.86</v>
      </c>
    </row>
    <row r="73" spans="1:2" x14ac:dyDescent="0.25">
      <c r="A73" s="20">
        <v>45803</v>
      </c>
      <c r="B73" vm="214">
        <v>167.76</v>
      </c>
    </row>
    <row r="74" spans="1:2" x14ac:dyDescent="0.25">
      <c r="A74" s="20">
        <v>45803</v>
      </c>
      <c r="B74" vm="217">
        <v>167.36</v>
      </c>
    </row>
    <row r="75" spans="1:2" x14ac:dyDescent="0.25">
      <c r="A75" s="20">
        <v>45803</v>
      </c>
      <c r="B75" vm="220">
        <v>168.56</v>
      </c>
    </row>
    <row r="76" spans="1:2" x14ac:dyDescent="0.25">
      <c r="A76" s="20">
        <v>45803</v>
      </c>
      <c r="B76" vm="223">
        <v>169.89</v>
      </c>
    </row>
    <row r="77" spans="1:2" x14ac:dyDescent="0.25">
      <c r="A77" s="20">
        <v>45810</v>
      </c>
      <c r="B77" vm="226">
        <v>167.78</v>
      </c>
    </row>
    <row r="78" spans="1:2" x14ac:dyDescent="0.25">
      <c r="A78" s="20">
        <v>45810</v>
      </c>
      <c r="B78" vm="229">
        <v>166.85</v>
      </c>
    </row>
    <row r="79" spans="1:2" x14ac:dyDescent="0.25">
      <c r="A79" s="20">
        <v>45810</v>
      </c>
      <c r="B79" vm="232">
        <v>165.95</v>
      </c>
    </row>
    <row r="80" spans="1:2" x14ac:dyDescent="0.25">
      <c r="A80" s="20">
        <v>45810</v>
      </c>
      <c r="B80" vm="235">
        <v>162.80000000000001</v>
      </c>
    </row>
    <row r="81" spans="1:2" x14ac:dyDescent="0.25">
      <c r="A81" s="20">
        <v>45810</v>
      </c>
      <c r="B81" vm="238">
        <v>164.02</v>
      </c>
    </row>
    <row r="82" spans="1:2" x14ac:dyDescent="0.25">
      <c r="A82" s="20">
        <v>45817</v>
      </c>
      <c r="B82" vm="241">
        <v>162.56</v>
      </c>
    </row>
    <row r="83" spans="1:2" x14ac:dyDescent="0.25">
      <c r="A83" s="20">
        <v>45817</v>
      </c>
      <c r="B83" vm="244">
        <v>162.84</v>
      </c>
    </row>
    <row r="84" spans="1:2" x14ac:dyDescent="0.25">
      <c r="A84" s="20">
        <v>45817</v>
      </c>
      <c r="B84" vm="247">
        <v>162.11000000000001</v>
      </c>
    </row>
    <row r="85" spans="1:2" x14ac:dyDescent="0.25">
      <c r="A85" s="20">
        <v>45817</v>
      </c>
      <c r="B85" vm="250">
        <v>163.18</v>
      </c>
    </row>
    <row r="86" spans="1:2" x14ac:dyDescent="0.25">
      <c r="A86" s="20">
        <v>45817</v>
      </c>
      <c r="B86" vm="253">
        <v>160.28</v>
      </c>
    </row>
    <row r="87" spans="1:2" x14ac:dyDescent="0.25">
      <c r="A87" s="20">
        <v>45824</v>
      </c>
      <c r="B87" vm="256">
        <v>160.88</v>
      </c>
    </row>
    <row r="88" spans="1:2" x14ac:dyDescent="0.25">
      <c r="A88" s="20">
        <v>45824</v>
      </c>
      <c r="B88" vm="259">
        <v>158.52000000000001</v>
      </c>
    </row>
    <row r="89" spans="1:2" x14ac:dyDescent="0.25">
      <c r="A89" s="20">
        <v>45824</v>
      </c>
      <c r="B89" vm="191">
        <v>158.02000000000001</v>
      </c>
    </row>
    <row r="90" spans="1:2" x14ac:dyDescent="0.25">
      <c r="A90" s="20">
        <v>45824</v>
      </c>
      <c r="B90" vm="264">
        <v>159.08000000000001</v>
      </c>
    </row>
    <row r="91" spans="1:2" x14ac:dyDescent="0.25">
      <c r="A91" s="20">
        <v>45831</v>
      </c>
      <c r="B91" vm="267">
        <v>161.03</v>
      </c>
    </row>
    <row r="92" spans="1:2" x14ac:dyDescent="0.25">
      <c r="A92" s="20">
        <v>45831</v>
      </c>
      <c r="B92" vm="270">
        <v>160.36000000000001</v>
      </c>
    </row>
    <row r="93" spans="1:2" x14ac:dyDescent="0.25">
      <c r="A93" s="20">
        <v>45831</v>
      </c>
      <c r="B93" vm="273">
        <v>158.97</v>
      </c>
    </row>
    <row r="94" spans="1:2" x14ac:dyDescent="0.25">
      <c r="A94" s="20">
        <v>45831</v>
      </c>
      <c r="B94" vm="276">
        <v>158.63</v>
      </c>
    </row>
    <row r="95" spans="1:2" x14ac:dyDescent="0.25">
      <c r="A95" s="20">
        <v>45831</v>
      </c>
      <c r="B95" vm="279">
        <v>159.86000000000001</v>
      </c>
    </row>
    <row r="96" spans="1:2" x14ac:dyDescent="0.25">
      <c r="A96" s="20">
        <v>45838</v>
      </c>
      <c r="B96" vm="282">
        <v>159.32</v>
      </c>
    </row>
    <row r="97" spans="1:2" x14ac:dyDescent="0.25">
      <c r="A97" s="20">
        <v>45838</v>
      </c>
      <c r="B97" vm="285">
        <v>161.22</v>
      </c>
    </row>
    <row r="98" spans="1:2" x14ac:dyDescent="0.25">
      <c r="A98" s="20">
        <v>45838</v>
      </c>
      <c r="B98" vm="288">
        <v>161.19999999999999</v>
      </c>
    </row>
    <row r="99" spans="1:2" x14ac:dyDescent="0.25">
      <c r="A99" s="20">
        <v>45838</v>
      </c>
      <c r="B99" vm="291">
        <v>160.83000000000001</v>
      </c>
    </row>
    <row r="100" spans="1:2" x14ac:dyDescent="0.25">
      <c r="A100" s="20">
        <v>45845</v>
      </c>
      <c r="B100" vm="294">
        <v>160.5</v>
      </c>
    </row>
    <row r="101" spans="1:2" x14ac:dyDescent="0.25">
      <c r="A101" s="20">
        <v>45845</v>
      </c>
      <c r="B101" vm="297">
        <v>157.88999999999999</v>
      </c>
    </row>
    <row r="102" spans="1:2" x14ac:dyDescent="0.25">
      <c r="A102" s="20">
        <v>45845</v>
      </c>
      <c r="B102" vm="300">
        <v>157.52000000000001</v>
      </c>
    </row>
    <row r="103" spans="1:2" x14ac:dyDescent="0.25">
      <c r="A103" s="20">
        <v>45845</v>
      </c>
      <c r="B103" vm="303">
        <v>158.49</v>
      </c>
    </row>
    <row r="104" spans="1:2" x14ac:dyDescent="0.25">
      <c r="A104" s="20">
        <v>45845</v>
      </c>
      <c r="B104" vm="306">
        <v>157.05000000000001</v>
      </c>
    </row>
    <row r="105" spans="1:2" x14ac:dyDescent="0.25">
      <c r="A105" s="20">
        <v>45852</v>
      </c>
      <c r="B105" vm="309">
        <v>153.76</v>
      </c>
    </row>
    <row r="106" spans="1:2" x14ac:dyDescent="0.25">
      <c r="A106" s="20">
        <v>45852</v>
      </c>
      <c r="B106" vm="312">
        <v>152.68</v>
      </c>
    </row>
    <row r="107" spans="1:2" x14ac:dyDescent="0.25">
      <c r="A107" s="20">
        <v>45852</v>
      </c>
      <c r="B107" vm="315">
        <v>153.72999999999999</v>
      </c>
    </row>
    <row r="108" spans="1:2" x14ac:dyDescent="0.25">
      <c r="A108" s="20">
        <v>45852</v>
      </c>
      <c r="B108" vm="318">
        <v>155.62</v>
      </c>
    </row>
    <row r="109" spans="1:2" x14ac:dyDescent="0.25">
      <c r="A109" s="20">
        <v>45852</v>
      </c>
      <c r="B109" vm="321">
        <v>155.1</v>
      </c>
    </row>
    <row r="110" spans="1:2" x14ac:dyDescent="0.25">
      <c r="A110" s="20">
        <v>45859</v>
      </c>
      <c r="B110" vm="324">
        <v>155.03</v>
      </c>
    </row>
    <row r="111" spans="1:2" x14ac:dyDescent="0.25">
      <c r="A111" s="20">
        <v>45859</v>
      </c>
      <c r="B111" vm="327">
        <v>158.32</v>
      </c>
    </row>
    <row r="112" spans="1:2" x14ac:dyDescent="0.25">
      <c r="A112" s="20">
        <v>45859</v>
      </c>
      <c r="B112" vm="330">
        <v>158.28</v>
      </c>
    </row>
    <row r="113" spans="1:2" x14ac:dyDescent="0.25">
      <c r="A113" s="20">
        <v>45859</v>
      </c>
      <c r="B113" vm="333">
        <v>158.81</v>
      </c>
    </row>
    <row r="114" spans="1:2" x14ac:dyDescent="0.25">
      <c r="A114" s="20">
        <v>45859</v>
      </c>
      <c r="B114" vm="336">
        <v>158.30000000000001</v>
      </c>
    </row>
    <row r="115" spans="1:2" x14ac:dyDescent="0.25">
      <c r="A115" s="20">
        <v>45866</v>
      </c>
      <c r="B115" vm="339">
        <v>157.11000000000001</v>
      </c>
    </row>
    <row r="116" spans="1:2" x14ac:dyDescent="0.25">
      <c r="A116" s="20">
        <v>45866</v>
      </c>
      <c r="B116" vm="342">
        <v>156.61000000000001</v>
      </c>
    </row>
    <row r="117" spans="1:2" x14ac:dyDescent="0.25">
      <c r="A117" s="20">
        <v>45866</v>
      </c>
      <c r="B117" vm="345">
        <v>152.88</v>
      </c>
    </row>
    <row r="118" spans="1:2" x14ac:dyDescent="0.25">
      <c r="A118" s="20">
        <v>45866</v>
      </c>
      <c r="B118" vm="348">
        <v>150.47</v>
      </c>
    </row>
    <row r="119" spans="1:2" x14ac:dyDescent="0.25">
      <c r="A119" s="20">
        <v>45866</v>
      </c>
      <c r="B119" vm="351">
        <v>150.65</v>
      </c>
    </row>
    <row r="120" spans="1:2" x14ac:dyDescent="0.25">
      <c r="A120" s="20">
        <v>45873</v>
      </c>
      <c r="B120" vm="354">
        <v>150.76</v>
      </c>
    </row>
    <row r="121" spans="1:2" x14ac:dyDescent="0.25">
      <c r="A121" s="20">
        <v>45873</v>
      </c>
      <c r="B121" vm="357">
        <v>150.51</v>
      </c>
    </row>
    <row r="122" spans="1:2" x14ac:dyDescent="0.25">
      <c r="A122" s="20">
        <v>45873</v>
      </c>
      <c r="B122" vm="360">
        <v>152.86000000000001</v>
      </c>
    </row>
    <row r="123" spans="1:2" x14ac:dyDescent="0.25">
      <c r="A123" s="20">
        <v>45873</v>
      </c>
      <c r="B123" vm="363">
        <v>153.49</v>
      </c>
    </row>
    <row r="124" spans="1:2" x14ac:dyDescent="0.25">
      <c r="A124" s="20">
        <v>45873</v>
      </c>
      <c r="B124" vm="366">
        <v>153.51</v>
      </c>
    </row>
    <row r="125" spans="1:2" x14ac:dyDescent="0.25">
      <c r="A125" s="20">
        <v>45880</v>
      </c>
      <c r="B125" vm="369">
        <v>154.97999999999999</v>
      </c>
    </row>
    <row r="126" spans="1:2" x14ac:dyDescent="0.25">
      <c r="A126" s="20">
        <v>45880</v>
      </c>
      <c r="B126" vm="372">
        <v>155.09</v>
      </c>
    </row>
    <row r="127" spans="1:2" x14ac:dyDescent="0.25">
      <c r="A127" s="20">
        <v>45880</v>
      </c>
      <c r="B127" vm="375">
        <v>155.41</v>
      </c>
    </row>
    <row r="128" spans="1:2" x14ac:dyDescent="0.25">
      <c r="A128" s="20">
        <v>45880</v>
      </c>
      <c r="B128" vm="378">
        <v>153.74</v>
      </c>
    </row>
    <row r="129" spans="1:2" x14ac:dyDescent="0.25">
      <c r="A129" s="20">
        <v>45880</v>
      </c>
      <c r="B129" vm="381">
        <v>154.36000000000001</v>
      </c>
    </row>
    <row r="130" spans="1:2" x14ac:dyDescent="0.25">
      <c r="A130" s="20">
        <v>45887</v>
      </c>
      <c r="B130" vm="384">
        <v>155.72</v>
      </c>
    </row>
    <row r="131" spans="1:2" x14ac:dyDescent="0.25">
      <c r="A131" s="20">
        <v>45887</v>
      </c>
      <c r="B131" vm="387">
        <v>158.4</v>
      </c>
    </row>
    <row r="132" spans="1:2" x14ac:dyDescent="0.25">
      <c r="A132" s="20">
        <v>45887</v>
      </c>
      <c r="B132" vm="390">
        <v>159.51</v>
      </c>
    </row>
    <row r="133" spans="1:2" x14ac:dyDescent="0.25">
      <c r="A133" s="20">
        <v>45887</v>
      </c>
      <c r="B133" vm="188">
        <v>158.72999999999999</v>
      </c>
    </row>
    <row r="134" spans="1:2" x14ac:dyDescent="0.25">
      <c r="A134" s="20">
        <v>45887</v>
      </c>
      <c r="B134" vm="395">
        <v>158.66999999999999</v>
      </c>
    </row>
    <row r="135" spans="1:2" x14ac:dyDescent="0.25">
      <c r="A135" s="20">
        <v>45894</v>
      </c>
      <c r="B135" vm="398">
        <v>156.15</v>
      </c>
    </row>
    <row r="136" spans="1:2" x14ac:dyDescent="0.25">
      <c r="A136" s="20">
        <v>45894</v>
      </c>
      <c r="B136" vm="401">
        <v>155.97</v>
      </c>
    </row>
    <row r="137" spans="1:2" x14ac:dyDescent="0.25">
      <c r="A137" s="20">
        <v>45894</v>
      </c>
      <c r="B137" vm="404">
        <v>156.96</v>
      </c>
    </row>
    <row r="138" spans="1:2" x14ac:dyDescent="0.25">
      <c r="A138" s="20">
        <v>45894</v>
      </c>
      <c r="B138" vm="407">
        <v>155.65</v>
      </c>
    </row>
    <row r="139" spans="1:2" x14ac:dyDescent="0.25">
      <c r="A139" s="20">
        <v>45894</v>
      </c>
      <c r="B139" vm="410">
        <v>157.04</v>
      </c>
    </row>
    <row r="140" spans="1:2" x14ac:dyDescent="0.25">
      <c r="A140" s="20">
        <v>45901</v>
      </c>
      <c r="B140" vm="413">
        <v>157.99</v>
      </c>
    </row>
    <row r="141" spans="1:2" x14ac:dyDescent="0.25">
      <c r="A141" s="20">
        <v>45901</v>
      </c>
      <c r="B141" vm="416">
        <v>158.16999999999999</v>
      </c>
    </row>
    <row r="142" spans="1:2" x14ac:dyDescent="0.25">
      <c r="A142" s="20">
        <v>45901</v>
      </c>
      <c r="B142" vm="419">
        <v>159.19</v>
      </c>
    </row>
    <row r="143" spans="1:2" x14ac:dyDescent="0.25">
      <c r="A143" s="20">
        <v>45901</v>
      </c>
      <c r="B143" vm="422">
        <v>160.02000000000001</v>
      </c>
    </row>
    <row r="144" spans="1:2" x14ac:dyDescent="0.25">
      <c r="A144" s="20">
        <v>45908</v>
      </c>
      <c r="B144" vm="425">
        <v>159.01</v>
      </c>
    </row>
    <row r="145" spans="1:2" x14ac:dyDescent="0.25">
      <c r="A145" s="20">
        <v>45908</v>
      </c>
      <c r="B145" vm="428">
        <v>159.46</v>
      </c>
    </row>
    <row r="146" spans="1:2" x14ac:dyDescent="0.25">
      <c r="A146" s="20">
        <v>45908</v>
      </c>
      <c r="B146" vm="431">
        <v>157.35</v>
      </c>
    </row>
    <row r="147" spans="1:2" x14ac:dyDescent="0.25">
      <c r="A147" s="20">
        <v>45908</v>
      </c>
      <c r="B147" vm="276">
        <v>158.63</v>
      </c>
    </row>
    <row r="148" spans="1:2" x14ac:dyDescent="0.25">
      <c r="A148" s="20">
        <v>45908</v>
      </c>
      <c r="B148" vm="436">
        <v>157.9</v>
      </c>
    </row>
    <row r="149" spans="1:2" x14ac:dyDescent="0.25">
      <c r="A149" s="20">
        <v>45915</v>
      </c>
      <c r="B149" vm="439">
        <v>156.83000000000001</v>
      </c>
    </row>
    <row r="150" spans="1:2" x14ac:dyDescent="0.25">
      <c r="A150" s="20">
        <v>45915</v>
      </c>
      <c r="B150" vm="442">
        <v>158.05000000000001</v>
      </c>
    </row>
    <row r="151" spans="1:2" x14ac:dyDescent="0.25">
      <c r="A151" s="20">
        <v>45915</v>
      </c>
      <c r="B151" vm="445">
        <v>160.33000000000001</v>
      </c>
    </row>
    <row r="152" spans="1:2" x14ac:dyDescent="0.25">
      <c r="A152" s="20">
        <v>45915</v>
      </c>
      <c r="B152" vm="448">
        <v>157.32</v>
      </c>
    </row>
    <row r="153" spans="1:2" x14ac:dyDescent="0.25">
      <c r="A153" s="20">
        <v>45915</v>
      </c>
      <c r="B153" vm="451">
        <v>156.04</v>
      </c>
    </row>
    <row r="154" spans="1:2" x14ac:dyDescent="0.25">
      <c r="A154" s="20">
        <v>45922</v>
      </c>
      <c r="B154" vm="454">
        <v>153.07</v>
      </c>
    </row>
    <row r="155" spans="1:2" x14ac:dyDescent="0.25">
      <c r="A155" s="20">
        <v>45922</v>
      </c>
      <c r="B155" vm="457">
        <v>152.5</v>
      </c>
    </row>
    <row r="156" spans="1:2" x14ac:dyDescent="0.25">
      <c r="A156" s="20">
        <v>45922</v>
      </c>
      <c r="B156" vm="460">
        <v>152.41999999999999</v>
      </c>
    </row>
    <row r="157" spans="1:2" x14ac:dyDescent="0.25">
      <c r="A157" s="20">
        <v>45922</v>
      </c>
      <c r="B157" vm="463">
        <v>152.15</v>
      </c>
    </row>
    <row r="158" spans="1:2" x14ac:dyDescent="0.25">
      <c r="A158" s="20">
        <v>45922</v>
      </c>
      <c r="B158" vm="457">
        <v>152.5</v>
      </c>
    </row>
    <row r="159" spans="1:2" x14ac:dyDescent="0.25">
      <c r="A159" s="20">
        <v>45929</v>
      </c>
      <c r="B159" vm="468">
        <v>153.53</v>
      </c>
    </row>
    <row r="160" spans="1:2" x14ac:dyDescent="0.25">
      <c r="A160" s="20">
        <v>45929</v>
      </c>
      <c r="B160" vm="471">
        <v>153.65</v>
      </c>
    </row>
    <row r="161" spans="1:2" x14ac:dyDescent="0.25">
      <c r="A161" s="20">
        <v>45929</v>
      </c>
      <c r="B161" vm="474">
        <v>153.18</v>
      </c>
    </row>
    <row r="162" spans="1:2" x14ac:dyDescent="0.25">
      <c r="A162" s="20">
        <v>45929</v>
      </c>
      <c r="B162" vm="477">
        <v>152.05000000000001</v>
      </c>
    </row>
    <row r="163" spans="1:2" x14ac:dyDescent="0.25">
      <c r="A163" s="20">
        <v>45929</v>
      </c>
      <c r="B163" vm="480">
        <v>152.27000000000001</v>
      </c>
    </row>
    <row r="164" spans="1:2" x14ac:dyDescent="0.25">
      <c r="A164" s="20">
        <v>45936</v>
      </c>
      <c r="B164" vm="483">
        <v>150.41</v>
      </c>
    </row>
    <row r="165" spans="1:2" x14ac:dyDescent="0.25">
      <c r="A165" s="20">
        <v>45936</v>
      </c>
      <c r="B165" vm="486">
        <v>152.54</v>
      </c>
    </row>
    <row r="166" spans="1:2" x14ac:dyDescent="0.25">
      <c r="A166" s="20">
        <v>45936</v>
      </c>
      <c r="B166" vm="489">
        <v>150.69</v>
      </c>
    </row>
    <row r="167" spans="1:2" x14ac:dyDescent="0.25">
      <c r="A167" s="20">
        <v>45936</v>
      </c>
      <c r="B167" vm="492">
        <v>150.58000000000001</v>
      </c>
    </row>
    <row r="168" spans="1:2" x14ac:dyDescent="0.25">
      <c r="A168" s="20">
        <v>45936</v>
      </c>
      <c r="B168" vm="495">
        <v>149.69</v>
      </c>
    </row>
    <row r="169" spans="1:2" x14ac:dyDescent="0.25">
      <c r="A169" s="20">
        <v>45943</v>
      </c>
      <c r="B169" vm="498">
        <v>147.49</v>
      </c>
    </row>
    <row r="170" spans="1:2" x14ac:dyDescent="0.25">
      <c r="A170" s="20">
        <v>45943</v>
      </c>
      <c r="B170" vm="501">
        <v>149.16</v>
      </c>
    </row>
    <row r="171" spans="1:2" x14ac:dyDescent="0.25">
      <c r="A171" s="20">
        <v>45943</v>
      </c>
      <c r="B171" vm="504">
        <v>147.41999999999999</v>
      </c>
    </row>
    <row r="172" spans="1:2" x14ac:dyDescent="0.25">
      <c r="A172" s="20">
        <v>45943</v>
      </c>
      <c r="B172" vm="507">
        <v>149.6</v>
      </c>
    </row>
    <row r="173" spans="1:2" x14ac:dyDescent="0.25">
      <c r="A173" s="20">
        <v>45943</v>
      </c>
      <c r="B173" vm="510">
        <v>151.4</v>
      </c>
    </row>
    <row r="174" spans="1:2" x14ac:dyDescent="0.25">
      <c r="A174" s="20">
        <v>45950</v>
      </c>
      <c r="B174" vm="513">
        <v>151.96</v>
      </c>
    </row>
    <row r="175" spans="1:2" x14ac:dyDescent="0.25">
      <c r="A175" s="20">
        <v>45950</v>
      </c>
      <c r="B175" vm="516">
        <v>151.62</v>
      </c>
    </row>
    <row r="176" spans="1:2" x14ac:dyDescent="0.25">
      <c r="A176" s="20">
        <v>45950</v>
      </c>
      <c r="B176" vm="519">
        <v>152.19999999999999</v>
      </c>
    </row>
    <row r="177" spans="1:2" x14ac:dyDescent="0.25">
      <c r="A177" s="20">
        <v>45950</v>
      </c>
      <c r="B177" vm="522">
        <v>152.21</v>
      </c>
    </row>
    <row r="178" spans="1:2" x14ac:dyDescent="0.25">
      <c r="A178" s="20">
        <v>45950</v>
      </c>
      <c r="B178" vm="525">
        <v>152.49</v>
      </c>
    </row>
    <row r="179" spans="1:2" x14ac:dyDescent="0.25">
      <c r="A179" s="20">
        <v>45957</v>
      </c>
      <c r="B179" vm="528">
        <v>151.74</v>
      </c>
    </row>
    <row r="180" spans="1:2" x14ac:dyDescent="0.25">
      <c r="A180" s="20">
        <v>45957</v>
      </c>
      <c r="B180" vm="531">
        <v>151.37</v>
      </c>
    </row>
    <row r="181" spans="1:2" x14ac:dyDescent="0.25">
      <c r="A181" s="20">
        <v>45957</v>
      </c>
      <c r="B181" vm="534">
        <v>148.77000000000001</v>
      </c>
    </row>
    <row r="182" spans="1:2" x14ac:dyDescent="0.25">
      <c r="A182" s="20">
        <v>45957</v>
      </c>
      <c r="B182" vm="537">
        <v>149.58000000000001</v>
      </c>
    </row>
    <row r="183" spans="1:2" x14ac:dyDescent="0.25">
      <c r="A183" s="20">
        <v>45957</v>
      </c>
      <c r="B183" vm="540">
        <v>150.37</v>
      </c>
    </row>
    <row r="184" spans="1:2" x14ac:dyDescent="0.25">
      <c r="A184" s="20">
        <v>45964</v>
      </c>
      <c r="B184" vm="543">
        <v>148.02000000000001</v>
      </c>
    </row>
    <row r="185" spans="1:2" x14ac:dyDescent="0.25">
      <c r="A185" s="20">
        <v>45964</v>
      </c>
      <c r="B185" vm="546">
        <v>147.16999999999999</v>
      </c>
    </row>
    <row r="186" spans="1:2" x14ac:dyDescent="0.25">
      <c r="A186" s="20">
        <v>45964</v>
      </c>
      <c r="B186" vm="549">
        <v>145.79</v>
      </c>
    </row>
    <row r="187" spans="1:2" x14ac:dyDescent="0.25">
      <c r="A187" s="20">
        <v>45964</v>
      </c>
      <c r="B187" vm="552">
        <v>146.13</v>
      </c>
    </row>
    <row r="188" spans="1:2" x14ac:dyDescent="0.25">
      <c r="A188" s="20">
        <v>45964</v>
      </c>
      <c r="B188" vm="555">
        <v>146.97999999999999</v>
      </c>
    </row>
    <row r="189" spans="1:2" x14ac:dyDescent="0.25">
      <c r="A189" s="20">
        <v>45971</v>
      </c>
      <c r="B189" vm="558">
        <v>145.5</v>
      </c>
    </row>
    <row r="190" spans="1:2" x14ac:dyDescent="0.25">
      <c r="A190" s="20">
        <v>45971</v>
      </c>
      <c r="B190" vm="561">
        <v>148.54</v>
      </c>
    </row>
    <row r="191" spans="1:2" x14ac:dyDescent="0.25">
      <c r="A191" s="20">
        <v>45971</v>
      </c>
      <c r="B191" vm="564">
        <v>148.01</v>
      </c>
    </row>
    <row r="192" spans="1:2" x14ac:dyDescent="0.25">
      <c r="A192" s="20">
        <v>45971</v>
      </c>
      <c r="B192" vm="567">
        <v>147.96</v>
      </c>
    </row>
    <row r="193" spans="1:2" x14ac:dyDescent="0.25">
      <c r="A193" s="20">
        <v>45971</v>
      </c>
      <c r="B193" vm="570">
        <v>147.66999999999999</v>
      </c>
    </row>
    <row r="194" spans="1:2" x14ac:dyDescent="0.25">
      <c r="A194" s="20">
        <v>45978</v>
      </c>
      <c r="B194" vm="573">
        <v>145.82</v>
      </c>
    </row>
    <row r="195" spans="1:2" x14ac:dyDescent="0.25">
      <c r="A195" s="20">
        <v>45978</v>
      </c>
      <c r="B195" vm="576">
        <v>146.99</v>
      </c>
    </row>
    <row r="196" spans="1:2" x14ac:dyDescent="0.25">
      <c r="A196" s="20">
        <v>45978</v>
      </c>
      <c r="B196" vm="576">
        <v>146.99</v>
      </c>
    </row>
    <row r="197" spans="1:2" x14ac:dyDescent="0.25">
      <c r="A197" s="20">
        <v>45978</v>
      </c>
      <c r="B197" vm="581">
        <v>148.19</v>
      </c>
    </row>
    <row r="198" spans="1:2" x14ac:dyDescent="0.25">
      <c r="A198" s="20">
        <v>45978</v>
      </c>
      <c r="B198" vm="584">
        <v>150.91999999999999</v>
      </c>
    </row>
    <row r="199" spans="1:2" x14ac:dyDescent="0.25">
      <c r="A199" s="20">
        <v>45985</v>
      </c>
      <c r="B199" vm="555">
        <v>146.97999999999999</v>
      </c>
    </row>
    <row r="200" spans="1:2" x14ac:dyDescent="0.25">
      <c r="A200" s="20">
        <v>45985</v>
      </c>
      <c r="B200" vm="589">
        <v>148.49</v>
      </c>
    </row>
    <row r="201" spans="1:2" x14ac:dyDescent="0.25">
      <c r="A201" s="20">
        <v>45985</v>
      </c>
      <c r="B201" vm="592">
        <v>148.25</v>
      </c>
    </row>
    <row r="202" spans="1:2" x14ac:dyDescent="0.25">
      <c r="A202" s="20">
        <v>45985</v>
      </c>
      <c r="B202" vm="595">
        <v>148.16</v>
      </c>
    </row>
    <row r="203" spans="1:2" x14ac:dyDescent="0.25">
      <c r="A203" s="20">
        <v>45992</v>
      </c>
      <c r="B203" vm="598">
        <v>147.44</v>
      </c>
    </row>
    <row r="204" spans="1:2" x14ac:dyDescent="0.25">
      <c r="A204" s="20">
        <v>45992</v>
      </c>
      <c r="B204" vm="601">
        <v>145.86000000000001</v>
      </c>
    </row>
    <row r="205" spans="1:2" x14ac:dyDescent="0.25">
      <c r="A205" s="20">
        <v>45992</v>
      </c>
      <c r="B205" vm="604">
        <v>146.71</v>
      </c>
    </row>
    <row r="206" spans="1:2" x14ac:dyDescent="0.25">
      <c r="A206" s="20">
        <v>45992</v>
      </c>
      <c r="B206" vm="607">
        <v>145.36000000000001</v>
      </c>
    </row>
    <row r="207" spans="1:2" x14ac:dyDescent="0.25">
      <c r="A207" s="20">
        <v>45992</v>
      </c>
      <c r="B207" vm="610">
        <v>143.44999999999999</v>
      </c>
    </row>
    <row r="208" spans="1:2" x14ac:dyDescent="0.25">
      <c r="A208" s="20">
        <v>45999</v>
      </c>
      <c r="B208" vm="613">
        <v>138.34</v>
      </c>
    </row>
    <row r="209" spans="1:2" x14ac:dyDescent="0.25">
      <c r="A209" s="20">
        <v>45999</v>
      </c>
      <c r="B209" vm="616">
        <v>139.63</v>
      </c>
    </row>
    <row r="210" spans="1:2" x14ac:dyDescent="0.25">
      <c r="A210" s="20">
        <v>45999</v>
      </c>
      <c r="B210" vm="619">
        <v>139.82</v>
      </c>
    </row>
    <row r="211" spans="1:2" x14ac:dyDescent="0.25">
      <c r="A211" s="20">
        <v>45999</v>
      </c>
      <c r="B211" vm="622">
        <v>140.76</v>
      </c>
    </row>
    <row r="212" spans="1:2" x14ac:dyDescent="0.25">
      <c r="A212" s="20">
        <v>45999</v>
      </c>
      <c r="B212" vm="625">
        <v>142.84</v>
      </c>
    </row>
    <row r="213" spans="1:2" x14ac:dyDescent="0.25">
      <c r="A213" s="20">
        <v>46006</v>
      </c>
      <c r="B213" vm="628">
        <v>145.13</v>
      </c>
    </row>
    <row r="214" spans="1:2" x14ac:dyDescent="0.25">
      <c r="A214" s="20">
        <v>46006</v>
      </c>
      <c r="B214" vm="631">
        <v>145.21</v>
      </c>
    </row>
    <row r="215" spans="1:2" x14ac:dyDescent="0.25">
      <c r="A215" s="20">
        <v>46006</v>
      </c>
      <c r="B215" vm="634">
        <v>147.81</v>
      </c>
    </row>
    <row r="216" spans="1:2" x14ac:dyDescent="0.25">
      <c r="A216" s="20">
        <v>46006</v>
      </c>
      <c r="B216" vm="637">
        <v>145.52000000000001</v>
      </c>
    </row>
    <row r="217" spans="1:2" x14ac:dyDescent="0.25">
      <c r="A217" s="20">
        <v>46006</v>
      </c>
      <c r="B217" vm="640">
        <v>144.46</v>
      </c>
    </row>
    <row r="218" spans="1:2" x14ac:dyDescent="0.25">
      <c r="A218" s="20">
        <v>46013</v>
      </c>
      <c r="B218" vm="643">
        <v>142.69</v>
      </c>
    </row>
    <row r="219" spans="1:2" x14ac:dyDescent="0.25">
      <c r="A219" s="20">
        <v>46013</v>
      </c>
      <c r="B219" vm="646">
        <v>143.18</v>
      </c>
    </row>
    <row r="220" spans="1:2" x14ac:dyDescent="0.25">
      <c r="A220" s="20">
        <v>46013</v>
      </c>
      <c r="B220" vm="649">
        <v>144.49</v>
      </c>
    </row>
    <row r="221" spans="1:2" x14ac:dyDescent="0.25">
      <c r="A221" s="20">
        <v>46013</v>
      </c>
      <c r="B221" vm="652">
        <v>144.74</v>
      </c>
    </row>
    <row r="222" spans="1:2" x14ac:dyDescent="0.25">
      <c r="A222" s="20">
        <v>46020</v>
      </c>
      <c r="B222" vm="655">
        <v>144.57</v>
      </c>
    </row>
    <row r="223" spans="1:2" x14ac:dyDescent="0.25">
      <c r="A223" s="20">
        <v>46020</v>
      </c>
      <c r="B223" vm="658">
        <v>144.05000000000001</v>
      </c>
    </row>
    <row r="224" spans="1:2" x14ac:dyDescent="0.25">
      <c r="A224" s="20">
        <v>46020</v>
      </c>
      <c r="B224" vm="661">
        <v>143.31</v>
      </c>
    </row>
    <row r="225" spans="1:2" x14ac:dyDescent="0.25">
      <c r="A225" s="20">
        <v>46020</v>
      </c>
      <c r="B225" vm="664">
        <v>141.79</v>
      </c>
    </row>
    <row r="226" spans="1:2" x14ac:dyDescent="0.25">
      <c r="A226" s="20">
        <v>46027</v>
      </c>
      <c r="B226" vm="667">
        <v>140.37</v>
      </c>
    </row>
    <row r="227" spans="1:2" x14ac:dyDescent="0.25">
      <c r="A227" s="20">
        <v>46027</v>
      </c>
      <c r="B227" vm="670">
        <v>139.91</v>
      </c>
    </row>
    <row r="228" spans="1:2" x14ac:dyDescent="0.25">
      <c r="A228" s="20">
        <v>46027</v>
      </c>
      <c r="B228" vm="673">
        <v>138.04</v>
      </c>
    </row>
    <row r="229" spans="1:2" x14ac:dyDescent="0.25">
      <c r="A229" s="20">
        <v>46027</v>
      </c>
      <c r="B229" vm="676">
        <v>141.53</v>
      </c>
    </row>
    <row r="230" spans="1:2" x14ac:dyDescent="0.25">
      <c r="A230" s="20">
        <v>46027</v>
      </c>
      <c r="B230" vm="679">
        <v>141.87</v>
      </c>
    </row>
    <row r="231" spans="1:2" x14ac:dyDescent="0.25">
      <c r="A231" s="20">
        <v>46034</v>
      </c>
      <c r="B231" vm="682">
        <v>143.46</v>
      </c>
    </row>
    <row r="232" spans="1:2" x14ac:dyDescent="0.25">
      <c r="A232" s="20">
        <v>46034</v>
      </c>
      <c r="B232" vm="685">
        <v>144.24</v>
      </c>
    </row>
    <row r="233" spans="1:2" x14ac:dyDescent="0.25">
      <c r="A233" s="20">
        <v>46034</v>
      </c>
      <c r="B233" vm="688">
        <v>146.35</v>
      </c>
    </row>
    <row r="234" spans="1:2" x14ac:dyDescent="0.25">
      <c r="A234" s="20">
        <v>46034</v>
      </c>
      <c r="B234" vm="691">
        <v>144.63</v>
      </c>
    </row>
    <row r="235" spans="1:2" x14ac:dyDescent="0.25">
      <c r="A235" s="20">
        <v>46034</v>
      </c>
      <c r="B235" vm="694">
        <v>144.53</v>
      </c>
    </row>
    <row r="236" spans="1:2" x14ac:dyDescent="0.25">
      <c r="A236" s="20">
        <v>46041</v>
      </c>
      <c r="B236" vm="697">
        <v>147</v>
      </c>
    </row>
    <row r="237" spans="1:2" x14ac:dyDescent="0.25">
      <c r="A237" s="20">
        <v>46041</v>
      </c>
      <c r="B237" vm="700">
        <v>146.06</v>
      </c>
    </row>
    <row r="238" spans="1:2" x14ac:dyDescent="0.25">
      <c r="A238" s="20">
        <v>46041</v>
      </c>
      <c r="B238" vm="703">
        <v>149.93</v>
      </c>
    </row>
    <row r="239" spans="1:2" x14ac:dyDescent="0.25">
      <c r="A239" s="20">
        <v>46041</v>
      </c>
      <c r="B239" vm="706">
        <v>150.15</v>
      </c>
    </row>
    <row r="240" spans="1:2" x14ac:dyDescent="0.25">
      <c r="A240" s="20">
        <v>46048</v>
      </c>
      <c r="B240" vm="709">
        <v>149.49</v>
      </c>
    </row>
    <row r="241" spans="1:2" x14ac:dyDescent="0.25">
      <c r="A241" s="20">
        <v>46048</v>
      </c>
      <c r="B241" vm="712">
        <v>148.34</v>
      </c>
    </row>
    <row r="242" spans="1:2" x14ac:dyDescent="0.25">
      <c r="A242" s="20">
        <v>46048</v>
      </c>
      <c r="B242" vm="715">
        <v>147.34</v>
      </c>
    </row>
    <row r="243" spans="1:2" x14ac:dyDescent="0.25">
      <c r="A243" s="20">
        <v>46048</v>
      </c>
      <c r="B243" vm="718">
        <v>149.9</v>
      </c>
    </row>
    <row r="244" spans="1:2" x14ac:dyDescent="0.25">
      <c r="A244" s="20">
        <v>46048</v>
      </c>
      <c r="B244" vm="721">
        <v>151.77000000000001</v>
      </c>
    </row>
    <row r="245" spans="1:2" x14ac:dyDescent="0.25">
      <c r="A245" s="20">
        <v>46055</v>
      </c>
      <c r="B245" vm="724">
        <v>153.19</v>
      </c>
    </row>
    <row r="246" spans="1:2" x14ac:dyDescent="0.25">
      <c r="A246" s="20">
        <v>46055</v>
      </c>
      <c r="B246" vm="727">
        <v>155.32</v>
      </c>
    </row>
    <row r="247" spans="1:2" x14ac:dyDescent="0.25">
      <c r="A247" s="20">
        <v>46055</v>
      </c>
      <c r="B247" vm="730">
        <v>156.87</v>
      </c>
    </row>
    <row r="248" spans="1:2" x14ac:dyDescent="0.25">
      <c r="A248" s="20">
        <v>46055</v>
      </c>
      <c r="B248" vm="733">
        <v>158.61000000000001</v>
      </c>
    </row>
    <row r="249" spans="1:2" x14ac:dyDescent="0.25">
      <c r="A249" s="20">
        <v>46055</v>
      </c>
      <c r="B249" vm="736">
        <v>159.16999999999999</v>
      </c>
    </row>
    <row r="250" spans="1:2" x14ac:dyDescent="0.25">
      <c r="A250" s="20">
        <v>46062</v>
      </c>
      <c r="B250" vm="739">
        <v>157.33000000000001</v>
      </c>
    </row>
    <row r="251" spans="1:2" x14ac:dyDescent="0.25">
      <c r="A251" s="20">
        <v>46062</v>
      </c>
      <c r="B251" vm="264">
        <v>159.08000000000001</v>
      </c>
    </row>
    <row r="252" spans="1:2" x14ac:dyDescent="0.25">
      <c r="A252" s="20">
        <v>46062</v>
      </c>
      <c r="B252" vm="744">
        <v>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workbookViewId="0">
      <selection sqref="A1:B1048576"/>
    </sheetView>
  </sheetViews>
  <sheetFormatPr defaultRowHeight="15" x14ac:dyDescent="0.25"/>
  <cols>
    <col min="1" max="1" width="10.7109375" style="20" bestFit="1" customWidth="1"/>
    <col min="2" max="2" width="9.85546875" bestFit="1" customWidth="1"/>
  </cols>
  <sheetData>
    <row r="1" spans="1:2" ht="18" customHeight="1" thickBot="1" x14ac:dyDescent="0.3">
      <c r="A1" s="26" t="s">
        <v>49</v>
      </c>
      <c r="B1" s="22" t="s">
        <v>50</v>
      </c>
    </row>
    <row r="2" spans="1:2" ht="15.75" thickBot="1" x14ac:dyDescent="0.3">
      <c r="A2" s="27">
        <v>36544</v>
      </c>
      <c r="B2" s="24">
        <v>0.16</v>
      </c>
    </row>
    <row r="3" spans="1:2" ht="15.75" thickBot="1" x14ac:dyDescent="0.3">
      <c r="A3" s="27">
        <v>36634</v>
      </c>
      <c r="B3" s="24">
        <v>0.16</v>
      </c>
    </row>
    <row r="4" spans="1:2" ht="15.75" thickBot="1" x14ac:dyDescent="0.3">
      <c r="A4" s="27">
        <v>36726</v>
      </c>
      <c r="B4" s="24">
        <v>0.18</v>
      </c>
    </row>
    <row r="5" spans="1:2" ht="15.75" thickBot="1" x14ac:dyDescent="0.3">
      <c r="A5" s="27">
        <v>36817</v>
      </c>
      <c r="B5" s="24">
        <v>0.18</v>
      </c>
    </row>
    <row r="6" spans="1:2" ht="15.75" thickBot="1" x14ac:dyDescent="0.3">
      <c r="A6" s="27">
        <v>36908</v>
      </c>
      <c r="B6" s="24">
        <v>0.18</v>
      </c>
    </row>
    <row r="7" spans="1:2" ht="15.75" thickBot="1" x14ac:dyDescent="0.3">
      <c r="A7" s="27">
        <v>36999</v>
      </c>
      <c r="B7" s="24">
        <v>0.18</v>
      </c>
    </row>
    <row r="8" spans="1:2" ht="15.75" thickBot="1" x14ac:dyDescent="0.3">
      <c r="A8" s="27">
        <v>37090</v>
      </c>
      <c r="B8" s="24">
        <v>0.19</v>
      </c>
    </row>
    <row r="9" spans="1:2" ht="15.75" thickBot="1" x14ac:dyDescent="0.3">
      <c r="A9" s="27">
        <v>37181</v>
      </c>
      <c r="B9" s="24">
        <v>0.19</v>
      </c>
    </row>
    <row r="10" spans="1:2" ht="15.75" thickBot="1" x14ac:dyDescent="0.3">
      <c r="A10" s="27">
        <v>37272</v>
      </c>
      <c r="B10" s="24">
        <v>0.19</v>
      </c>
    </row>
    <row r="11" spans="1:2" ht="15.75" thickBot="1" x14ac:dyDescent="0.3">
      <c r="A11" s="27">
        <v>37363</v>
      </c>
      <c r="B11" s="24">
        <v>0.19</v>
      </c>
    </row>
    <row r="12" spans="1:2" ht="15.75" thickBot="1" x14ac:dyDescent="0.3">
      <c r="A12" s="27">
        <v>37410</v>
      </c>
      <c r="B12" s="24">
        <v>0.35</v>
      </c>
    </row>
    <row r="13" spans="1:2" ht="15.75" thickBot="1" x14ac:dyDescent="0.3">
      <c r="A13" s="27">
        <v>37454</v>
      </c>
      <c r="B13" s="24">
        <v>0.21</v>
      </c>
    </row>
    <row r="14" spans="1:2" ht="15.75" thickBot="1" x14ac:dyDescent="0.3">
      <c r="A14" s="27">
        <v>37545</v>
      </c>
      <c r="B14" s="24">
        <v>0.21</v>
      </c>
    </row>
    <row r="15" spans="1:2" ht="15.75" thickBot="1" x14ac:dyDescent="0.3">
      <c r="A15" s="27">
        <v>37643</v>
      </c>
      <c r="B15" s="24">
        <v>0.21</v>
      </c>
    </row>
    <row r="16" spans="1:2" ht="15.75" thickBot="1" x14ac:dyDescent="0.3">
      <c r="A16" s="27">
        <v>37726</v>
      </c>
      <c r="B16" s="24">
        <v>0.21</v>
      </c>
    </row>
    <row r="17" spans="1:2" ht="15.75" thickBot="1" x14ac:dyDescent="0.3">
      <c r="A17" s="27">
        <v>37818</v>
      </c>
      <c r="B17" s="24">
        <v>0.23</v>
      </c>
    </row>
    <row r="18" spans="1:2" ht="15.75" thickBot="1" x14ac:dyDescent="0.3">
      <c r="A18" s="27">
        <v>37916</v>
      </c>
      <c r="B18" s="24">
        <v>0.23</v>
      </c>
    </row>
    <row r="19" spans="1:2" ht="15.75" thickBot="1" x14ac:dyDescent="0.3">
      <c r="A19" s="27">
        <v>38007</v>
      </c>
      <c r="B19" s="24">
        <v>0.23</v>
      </c>
    </row>
    <row r="20" spans="1:2" ht="15.75" thickBot="1" x14ac:dyDescent="0.3">
      <c r="A20" s="27">
        <v>38098</v>
      </c>
      <c r="B20" s="24">
        <v>0.25</v>
      </c>
    </row>
    <row r="21" spans="1:2" ht="15.75" thickBot="1" x14ac:dyDescent="0.3">
      <c r="A21" s="27">
        <v>38189</v>
      </c>
      <c r="B21" s="24">
        <v>0.25</v>
      </c>
    </row>
    <row r="22" spans="1:2" ht="15.75" thickBot="1" x14ac:dyDescent="0.3">
      <c r="A22" s="27">
        <v>38280</v>
      </c>
      <c r="B22" s="24">
        <v>0.25</v>
      </c>
    </row>
    <row r="23" spans="1:2" ht="15.75" thickBot="1" x14ac:dyDescent="0.3">
      <c r="A23" s="27">
        <v>38371</v>
      </c>
      <c r="B23" s="24">
        <v>0.25</v>
      </c>
    </row>
    <row r="24" spans="1:2" ht="15.75" thickBot="1" x14ac:dyDescent="0.3">
      <c r="A24" s="27">
        <v>38462</v>
      </c>
      <c r="B24" s="24">
        <v>0.28000000000000003</v>
      </c>
    </row>
    <row r="25" spans="1:2" ht="15.75" thickBot="1" x14ac:dyDescent="0.3">
      <c r="A25" s="27">
        <v>38553</v>
      </c>
      <c r="B25" s="24">
        <v>0.28000000000000003</v>
      </c>
    </row>
    <row r="26" spans="1:2" ht="15.75" thickBot="1" x14ac:dyDescent="0.3">
      <c r="A26" s="27">
        <v>38644</v>
      </c>
      <c r="B26" s="24">
        <v>0.28000000000000003</v>
      </c>
    </row>
    <row r="27" spans="1:2" ht="15.75" thickBot="1" x14ac:dyDescent="0.3">
      <c r="A27" s="27">
        <v>38735</v>
      </c>
      <c r="B27" s="24">
        <v>0.28000000000000003</v>
      </c>
    </row>
    <row r="28" spans="1:2" ht="15.75" thickBot="1" x14ac:dyDescent="0.3">
      <c r="A28" s="27">
        <v>38826</v>
      </c>
      <c r="B28" s="24">
        <v>0.31</v>
      </c>
    </row>
    <row r="29" spans="1:2" ht="15.75" thickBot="1" x14ac:dyDescent="0.3">
      <c r="A29" s="27">
        <v>38917</v>
      </c>
      <c r="B29" s="24">
        <v>0.31</v>
      </c>
    </row>
    <row r="30" spans="1:2" ht="15.75" thickBot="1" x14ac:dyDescent="0.3">
      <c r="A30" s="27">
        <v>39008</v>
      </c>
      <c r="B30" s="24">
        <v>0.31</v>
      </c>
    </row>
    <row r="31" spans="1:2" ht="15.75" thickBot="1" x14ac:dyDescent="0.3">
      <c r="A31" s="27">
        <v>39099</v>
      </c>
      <c r="B31" s="24">
        <v>0.31</v>
      </c>
    </row>
    <row r="32" spans="1:2" ht="15.75" thickBot="1" x14ac:dyDescent="0.3">
      <c r="A32" s="27">
        <v>39197</v>
      </c>
      <c r="B32" s="24">
        <v>0.35</v>
      </c>
    </row>
    <row r="33" spans="1:2" ht="15.75" thickBot="1" x14ac:dyDescent="0.3">
      <c r="A33" s="27">
        <v>39281</v>
      </c>
      <c r="B33" s="24">
        <v>0.35</v>
      </c>
    </row>
    <row r="34" spans="1:2" ht="15.75" thickBot="1" x14ac:dyDescent="0.3">
      <c r="A34" s="27">
        <v>39372</v>
      </c>
      <c r="B34" s="24">
        <v>0.35</v>
      </c>
    </row>
    <row r="35" spans="1:2" ht="15.75" thickBot="1" x14ac:dyDescent="0.3">
      <c r="A35" s="27">
        <v>39463</v>
      </c>
      <c r="B35" s="24">
        <v>0.35</v>
      </c>
    </row>
    <row r="36" spans="1:2" ht="15.75" thickBot="1" x14ac:dyDescent="0.3">
      <c r="A36" s="27">
        <v>39554</v>
      </c>
      <c r="B36" s="24">
        <v>0.4</v>
      </c>
    </row>
    <row r="37" spans="1:2" ht="15.75" thickBot="1" x14ac:dyDescent="0.3">
      <c r="A37" s="27">
        <v>39645</v>
      </c>
      <c r="B37" s="24">
        <v>0.4</v>
      </c>
    </row>
    <row r="38" spans="1:2" ht="15.75" thickBot="1" x14ac:dyDescent="0.3">
      <c r="A38" s="27">
        <v>39743</v>
      </c>
      <c r="B38" s="24">
        <v>0.4</v>
      </c>
    </row>
    <row r="39" spans="1:2" ht="15.75" thickBot="1" x14ac:dyDescent="0.3">
      <c r="A39" s="27">
        <v>39834</v>
      </c>
      <c r="B39" s="24">
        <v>0.4</v>
      </c>
    </row>
    <row r="40" spans="1:2" ht="15.75" thickBot="1" x14ac:dyDescent="0.3">
      <c r="A40" s="27">
        <v>39925</v>
      </c>
      <c r="B40" s="24">
        <v>0.44</v>
      </c>
    </row>
    <row r="41" spans="1:2" ht="15.75" thickBot="1" x14ac:dyDescent="0.3">
      <c r="A41" s="27">
        <v>40016</v>
      </c>
      <c r="B41" s="24">
        <v>0.44</v>
      </c>
    </row>
    <row r="42" spans="1:2" ht="15.75" thickBot="1" x14ac:dyDescent="0.3">
      <c r="A42" s="27">
        <v>40107</v>
      </c>
      <c r="B42" s="24">
        <v>0.44</v>
      </c>
    </row>
    <row r="43" spans="1:2" ht="15.75" thickBot="1" x14ac:dyDescent="0.3">
      <c r="A43" s="27">
        <v>40198</v>
      </c>
      <c r="B43" s="24">
        <v>0.44</v>
      </c>
    </row>
    <row r="44" spans="1:2" ht="15.75" thickBot="1" x14ac:dyDescent="0.3">
      <c r="A44" s="27">
        <v>40296</v>
      </c>
      <c r="B44" s="24">
        <v>0.48</v>
      </c>
    </row>
    <row r="45" spans="1:2" ht="15.75" thickBot="1" x14ac:dyDescent="0.3">
      <c r="A45" s="27">
        <v>40380</v>
      </c>
      <c r="B45" s="24">
        <v>0.48</v>
      </c>
    </row>
    <row r="46" spans="1:2" ht="15.75" thickBot="1" x14ac:dyDescent="0.3">
      <c r="A46" s="27">
        <v>40471</v>
      </c>
      <c r="B46" s="24">
        <v>0.48</v>
      </c>
    </row>
    <row r="47" spans="1:2" ht="15.75" thickBot="1" x14ac:dyDescent="0.3">
      <c r="A47" s="27">
        <v>40562</v>
      </c>
      <c r="B47" s="24">
        <v>0.48</v>
      </c>
    </row>
    <row r="48" spans="1:2" ht="15.75" thickBot="1" x14ac:dyDescent="0.3">
      <c r="A48" s="27">
        <v>40660</v>
      </c>
      <c r="B48" s="24">
        <v>0.53</v>
      </c>
    </row>
    <row r="49" spans="1:2" ht="15.75" thickBot="1" x14ac:dyDescent="0.3">
      <c r="A49" s="27">
        <v>40744</v>
      </c>
      <c r="B49" s="24">
        <v>0.53</v>
      </c>
    </row>
    <row r="50" spans="1:2" ht="15.75" thickBot="1" x14ac:dyDescent="0.3">
      <c r="A50" s="27">
        <v>40835</v>
      </c>
      <c r="B50" s="24">
        <v>0.53</v>
      </c>
    </row>
    <row r="51" spans="1:2" ht="15.75" thickBot="1" x14ac:dyDescent="0.3">
      <c r="A51" s="27">
        <v>40926</v>
      </c>
      <c r="B51" s="24">
        <v>0.53</v>
      </c>
    </row>
    <row r="52" spans="1:2" ht="15.75" thickBot="1" x14ac:dyDescent="0.3">
      <c r="A52" s="27">
        <v>41024</v>
      </c>
      <c r="B52" s="24">
        <v>0.56000000000000005</v>
      </c>
    </row>
    <row r="53" spans="1:2" ht="15.75" thickBot="1" x14ac:dyDescent="0.3">
      <c r="A53" s="27">
        <v>41108</v>
      </c>
      <c r="B53" s="24">
        <v>0.56000000000000005</v>
      </c>
    </row>
    <row r="54" spans="1:2" ht="15.75" thickBot="1" x14ac:dyDescent="0.3">
      <c r="A54" s="27">
        <v>41199</v>
      </c>
      <c r="B54" s="24">
        <v>0.56000000000000005</v>
      </c>
    </row>
    <row r="55" spans="1:2" ht="15.75" thickBot="1" x14ac:dyDescent="0.3">
      <c r="A55" s="27">
        <v>41290</v>
      </c>
      <c r="B55" s="24">
        <v>0.56000000000000005</v>
      </c>
    </row>
    <row r="56" spans="1:2" ht="15.75" thickBot="1" x14ac:dyDescent="0.3">
      <c r="A56" s="27">
        <v>41388</v>
      </c>
      <c r="B56" s="24">
        <v>0.6</v>
      </c>
    </row>
    <row r="57" spans="1:2" ht="15.75" thickBot="1" x14ac:dyDescent="0.3">
      <c r="A57" s="27">
        <v>41472</v>
      </c>
      <c r="B57" s="24">
        <v>0.6</v>
      </c>
    </row>
    <row r="58" spans="1:2" ht="15.75" thickBot="1" x14ac:dyDescent="0.3">
      <c r="A58" s="27">
        <v>41563</v>
      </c>
      <c r="B58" s="24">
        <v>0.6</v>
      </c>
    </row>
    <row r="59" spans="1:2" ht="15.75" thickBot="1" x14ac:dyDescent="0.3">
      <c r="A59" s="27">
        <v>41661</v>
      </c>
      <c r="B59" s="24">
        <v>0.6</v>
      </c>
    </row>
    <row r="60" spans="1:2" ht="15.75" thickBot="1" x14ac:dyDescent="0.3">
      <c r="A60" s="27">
        <v>41752</v>
      </c>
      <c r="B60" s="24">
        <v>0.64</v>
      </c>
    </row>
    <row r="61" spans="1:2" ht="15.75" thickBot="1" x14ac:dyDescent="0.3">
      <c r="A61" s="27">
        <v>41836</v>
      </c>
      <c r="B61" s="24">
        <v>0.64</v>
      </c>
    </row>
    <row r="62" spans="1:2" ht="15.75" thickBot="1" x14ac:dyDescent="0.3">
      <c r="A62" s="27">
        <v>41934</v>
      </c>
      <c r="B62" s="24">
        <v>0.64</v>
      </c>
    </row>
    <row r="63" spans="1:2" ht="15.75" thickBot="1" x14ac:dyDescent="0.3">
      <c r="A63" s="27">
        <v>42025</v>
      </c>
      <c r="B63" s="24">
        <v>0.64</v>
      </c>
    </row>
    <row r="64" spans="1:2" ht="15.75" thickBot="1" x14ac:dyDescent="0.3">
      <c r="A64" s="27">
        <v>42117</v>
      </c>
      <c r="B64" s="24">
        <v>0.66</v>
      </c>
    </row>
    <row r="65" spans="1:2" ht="15.75" thickBot="1" x14ac:dyDescent="0.3">
      <c r="A65" s="27">
        <v>42207</v>
      </c>
      <c r="B65" s="24">
        <v>0.66</v>
      </c>
    </row>
    <row r="66" spans="1:2" ht="15.75" thickBot="1" x14ac:dyDescent="0.3">
      <c r="A66" s="27">
        <v>42298</v>
      </c>
      <c r="B66" s="24">
        <v>0.66</v>
      </c>
    </row>
    <row r="67" spans="1:2" ht="15.75" thickBot="1" x14ac:dyDescent="0.3">
      <c r="A67" s="27">
        <v>42389</v>
      </c>
      <c r="B67" s="24">
        <v>0.66</v>
      </c>
    </row>
    <row r="68" spans="1:2" ht="15.75" thickBot="1" x14ac:dyDescent="0.3">
      <c r="A68" s="27">
        <v>42474</v>
      </c>
      <c r="B68" s="24">
        <v>0.67</v>
      </c>
    </row>
    <row r="69" spans="1:2" ht="15.75" thickBot="1" x14ac:dyDescent="0.3">
      <c r="A69" s="27">
        <v>42571</v>
      </c>
      <c r="B69" s="24">
        <v>0.67</v>
      </c>
    </row>
    <row r="70" spans="1:2" ht="15.75" thickBot="1" x14ac:dyDescent="0.3">
      <c r="A70" s="27">
        <v>42662</v>
      </c>
      <c r="B70" s="24">
        <v>0.67</v>
      </c>
    </row>
    <row r="71" spans="1:2" ht="15.75" thickBot="1" x14ac:dyDescent="0.3">
      <c r="A71" s="27">
        <v>42753</v>
      </c>
      <c r="B71" s="24">
        <v>0.67</v>
      </c>
    </row>
    <row r="72" spans="1:2" ht="15.75" thickBot="1" x14ac:dyDescent="0.3">
      <c r="A72" s="27">
        <v>42844</v>
      </c>
      <c r="B72" s="24">
        <v>0.69</v>
      </c>
    </row>
    <row r="73" spans="1:2" ht="15.75" thickBot="1" x14ac:dyDescent="0.3">
      <c r="A73" s="27">
        <v>42935</v>
      </c>
      <c r="B73" s="24">
        <v>0.69</v>
      </c>
    </row>
    <row r="74" spans="1:2" ht="15.75" thickBot="1" x14ac:dyDescent="0.3">
      <c r="A74" s="27">
        <v>43027</v>
      </c>
      <c r="B74" s="24">
        <v>0.69</v>
      </c>
    </row>
    <row r="75" spans="1:2" ht="15.75" thickBot="1" x14ac:dyDescent="0.3">
      <c r="A75" s="27">
        <v>43118</v>
      </c>
      <c r="B75" s="24">
        <v>0.69</v>
      </c>
    </row>
    <row r="76" spans="1:2" ht="15.75" thickBot="1" x14ac:dyDescent="0.3">
      <c r="A76" s="27">
        <v>43209</v>
      </c>
      <c r="B76" s="24">
        <v>0.72</v>
      </c>
    </row>
    <row r="77" spans="1:2" ht="15.75" thickBot="1" x14ac:dyDescent="0.3">
      <c r="A77" s="27">
        <v>43300</v>
      </c>
      <c r="B77" s="24">
        <v>0.72</v>
      </c>
    </row>
    <row r="78" spans="1:2" ht="15.75" thickBot="1" x14ac:dyDescent="0.3">
      <c r="A78" s="27">
        <v>43391</v>
      </c>
      <c r="B78" s="24">
        <v>0.72</v>
      </c>
    </row>
    <row r="79" spans="1:2" ht="15.75" thickBot="1" x14ac:dyDescent="0.3">
      <c r="A79" s="27">
        <v>43482</v>
      </c>
      <c r="B79" s="24">
        <v>0.72</v>
      </c>
    </row>
    <row r="80" spans="1:2" ht="15.75" thickBot="1" x14ac:dyDescent="0.3">
      <c r="A80" s="27">
        <v>43572</v>
      </c>
      <c r="B80" s="24">
        <v>0.75</v>
      </c>
    </row>
    <row r="81" spans="1:2" ht="15.75" thickBot="1" x14ac:dyDescent="0.3">
      <c r="A81" s="27">
        <v>43664</v>
      </c>
      <c r="B81" s="24">
        <v>0.75</v>
      </c>
    </row>
    <row r="82" spans="1:2" ht="15.75" thickBot="1" x14ac:dyDescent="0.3">
      <c r="A82" s="27">
        <v>43755</v>
      </c>
      <c r="B82" s="24">
        <v>0.75</v>
      </c>
    </row>
    <row r="83" spans="1:2" ht="15.75" thickBot="1" x14ac:dyDescent="0.3">
      <c r="A83" s="27">
        <v>43853</v>
      </c>
      <c r="B83" s="24">
        <v>0.75</v>
      </c>
    </row>
    <row r="84" spans="1:2" ht="15.75" thickBot="1" x14ac:dyDescent="0.3">
      <c r="A84" s="27">
        <v>43944</v>
      </c>
      <c r="B84" s="24">
        <v>0.79</v>
      </c>
    </row>
    <row r="85" spans="1:2" ht="15.75" thickBot="1" x14ac:dyDescent="0.3">
      <c r="A85" s="27">
        <v>44035</v>
      </c>
      <c r="B85" s="24">
        <v>0.79</v>
      </c>
    </row>
    <row r="86" spans="1:2" ht="15.75" thickBot="1" x14ac:dyDescent="0.3">
      <c r="A86" s="27">
        <v>44126</v>
      </c>
      <c r="B86" s="24">
        <v>0.79</v>
      </c>
    </row>
    <row r="87" spans="1:2" ht="15.75" thickBot="1" x14ac:dyDescent="0.3">
      <c r="A87" s="27">
        <v>44217</v>
      </c>
      <c r="B87" s="24">
        <v>0.79</v>
      </c>
    </row>
    <row r="88" spans="1:2" ht="15.75" thickBot="1" x14ac:dyDescent="0.3">
      <c r="A88" s="27">
        <v>44308</v>
      </c>
      <c r="B88" s="24">
        <v>0.87</v>
      </c>
    </row>
    <row r="89" spans="1:2" ht="15.75" thickBot="1" x14ac:dyDescent="0.3">
      <c r="A89" s="27">
        <v>44399</v>
      </c>
      <c r="B89" s="24">
        <v>0.87</v>
      </c>
    </row>
    <row r="90" spans="1:2" ht="15.75" thickBot="1" x14ac:dyDescent="0.3">
      <c r="A90" s="27">
        <v>44490</v>
      </c>
      <c r="B90" s="24">
        <v>0.87</v>
      </c>
    </row>
    <row r="91" spans="1:2" ht="15.75" thickBot="1" x14ac:dyDescent="0.3">
      <c r="A91" s="27">
        <v>44581</v>
      </c>
      <c r="B91" s="24">
        <v>0.87</v>
      </c>
    </row>
    <row r="92" spans="1:2" ht="15.75" thickBot="1" x14ac:dyDescent="0.3">
      <c r="A92" s="27">
        <v>44672</v>
      </c>
      <c r="B92" s="24">
        <v>0.91</v>
      </c>
    </row>
    <row r="93" spans="1:2" ht="15.75" thickBot="1" x14ac:dyDescent="0.3">
      <c r="A93" s="27">
        <v>44763</v>
      </c>
      <c r="B93" s="24">
        <v>0.91</v>
      </c>
    </row>
    <row r="94" spans="1:2" ht="15.75" thickBot="1" x14ac:dyDescent="0.3">
      <c r="A94" s="27">
        <v>44854</v>
      </c>
      <c r="B94" s="24">
        <v>0.91</v>
      </c>
    </row>
    <row r="95" spans="1:2" ht="15.75" thickBot="1" x14ac:dyDescent="0.3">
      <c r="A95" s="27">
        <v>44945</v>
      </c>
      <c r="B95" s="24">
        <v>0.91</v>
      </c>
    </row>
    <row r="96" spans="1:2" ht="15.75" thickBot="1" x14ac:dyDescent="0.3">
      <c r="A96" s="27">
        <v>45036</v>
      </c>
      <c r="B96" s="24">
        <v>0.94</v>
      </c>
    </row>
    <row r="97" spans="1:2" ht="15.75" thickBot="1" x14ac:dyDescent="0.3">
      <c r="A97" s="27">
        <v>45127</v>
      </c>
      <c r="B97" s="24">
        <v>0.94</v>
      </c>
    </row>
    <row r="98" spans="1:2" ht="15.75" thickBot="1" x14ac:dyDescent="0.3">
      <c r="A98" s="27">
        <v>45218</v>
      </c>
      <c r="B98" s="24">
        <v>0.94</v>
      </c>
    </row>
    <row r="99" spans="1:2" ht="15.75" thickBot="1" x14ac:dyDescent="0.3">
      <c r="A99" s="27">
        <v>45309</v>
      </c>
      <c r="B99" s="24">
        <v>0.94</v>
      </c>
    </row>
    <row r="100" spans="1:2" ht="15.75" thickBot="1" x14ac:dyDescent="0.3">
      <c r="A100" s="27">
        <v>45400</v>
      </c>
      <c r="B100" s="24">
        <v>1.01</v>
      </c>
    </row>
    <row r="101" spans="1:2" ht="15.75" thickBot="1" x14ac:dyDescent="0.3">
      <c r="A101" s="27">
        <v>45492</v>
      </c>
      <c r="B101" s="24">
        <v>1.01</v>
      </c>
    </row>
    <row r="102" spans="1:2" ht="15.75" thickBot="1" x14ac:dyDescent="0.3">
      <c r="A102" s="27">
        <v>45583</v>
      </c>
      <c r="B102" s="24">
        <v>1.01</v>
      </c>
    </row>
    <row r="103" spans="1:2" ht="15.75" thickBot="1" x14ac:dyDescent="0.3">
      <c r="A103" s="27">
        <v>45681</v>
      </c>
      <c r="B103" s="24">
        <v>1.01</v>
      </c>
    </row>
    <row r="104" spans="1:2" ht="15.75" thickBot="1" x14ac:dyDescent="0.3">
      <c r="A104" s="27">
        <v>45768</v>
      </c>
      <c r="B104" s="24">
        <v>1.06</v>
      </c>
    </row>
    <row r="105" spans="1:2" ht="15.75" thickBot="1" x14ac:dyDescent="0.3">
      <c r="A105" s="27">
        <v>45856</v>
      </c>
      <c r="B105" s="24">
        <v>1.06</v>
      </c>
    </row>
    <row r="106" spans="1:2" ht="15.75" thickBot="1" x14ac:dyDescent="0.3">
      <c r="A106" s="27">
        <v>45954</v>
      </c>
      <c r="B106" s="24">
        <v>1.06</v>
      </c>
    </row>
    <row r="107" spans="1:2" ht="15.75" thickBot="1" x14ac:dyDescent="0.3">
      <c r="A107" s="27">
        <v>46045</v>
      </c>
      <c r="B107" s="24">
        <v>1.06</v>
      </c>
    </row>
    <row r="108" spans="1:2" ht="15.75" thickBot="1" x14ac:dyDescent="0.3">
      <c r="A108" s="28"/>
      <c r="B108" s="25"/>
    </row>
    <row r="109" spans="1:2" ht="15.75" thickBot="1" x14ac:dyDescent="0.3">
      <c r="A109" s="28"/>
      <c r="B109" s="25"/>
    </row>
    <row r="110" spans="1:2" ht="15.75" thickBot="1" x14ac:dyDescent="0.3">
      <c r="A110" s="28"/>
      <c r="B110" s="25"/>
    </row>
    <row r="111" spans="1:2" ht="15.75" thickBot="1" x14ac:dyDescent="0.3">
      <c r="A111" s="28"/>
      <c r="B111" s="25"/>
    </row>
    <row r="112" spans="1:2" ht="15.75" thickBot="1" x14ac:dyDescent="0.3">
      <c r="A112" s="28"/>
      <c r="B112" s="25"/>
    </row>
    <row r="113" spans="1:2" ht="15.75" thickBot="1" x14ac:dyDescent="0.3">
      <c r="A113" s="28"/>
      <c r="B113" s="25"/>
    </row>
    <row r="114" spans="1:2" ht="15.75" thickBot="1" x14ac:dyDescent="0.3">
      <c r="A114" s="28"/>
      <c r="B114" s="25"/>
    </row>
    <row r="115" spans="1:2" ht="15.75" thickBot="1" x14ac:dyDescent="0.3">
      <c r="A115" s="28"/>
      <c r="B115" s="25"/>
    </row>
    <row r="116" spans="1:2" ht="15.75" thickBot="1" x14ac:dyDescent="0.3">
      <c r="A116" s="28"/>
      <c r="B116" s="25"/>
    </row>
    <row r="117" spans="1:2" ht="15.75" thickBot="1" x14ac:dyDescent="0.3">
      <c r="A117" s="28"/>
      <c r="B117" s="25"/>
    </row>
    <row r="118" spans="1:2" ht="15.75" thickBot="1" x14ac:dyDescent="0.3">
      <c r="A118" s="28"/>
      <c r="B118" s="25"/>
    </row>
    <row r="119" spans="1:2" ht="15.75" thickBot="1" x14ac:dyDescent="0.3">
      <c r="A119" s="28"/>
      <c r="B119" s="25"/>
    </row>
    <row r="120" spans="1:2" ht="15.75" thickBot="1" x14ac:dyDescent="0.3">
      <c r="A120" s="28"/>
      <c r="B120" s="25"/>
    </row>
    <row r="121" spans="1:2" ht="15.75" thickBot="1" x14ac:dyDescent="0.3">
      <c r="A121" s="28"/>
      <c r="B121" s="25"/>
    </row>
    <row r="122" spans="1:2" ht="15.75" thickBot="1" x14ac:dyDescent="0.3">
      <c r="A122" s="28"/>
      <c r="B122" s="25"/>
    </row>
    <row r="123" spans="1:2" ht="15.75" thickBot="1" x14ac:dyDescent="0.3">
      <c r="A123" s="28"/>
      <c r="B123" s="25"/>
    </row>
    <row r="124" spans="1:2" ht="15.75" thickBot="1" x14ac:dyDescent="0.3">
      <c r="A124" s="28"/>
      <c r="B124" s="25"/>
    </row>
    <row r="125" spans="1:2" ht="15.75" thickBot="1" x14ac:dyDescent="0.3">
      <c r="A125" s="28"/>
      <c r="B125" s="25"/>
    </row>
    <row r="126" spans="1:2" ht="15.75" thickBot="1" x14ac:dyDescent="0.3">
      <c r="A126" s="28"/>
      <c r="B126" s="25"/>
    </row>
    <row r="127" spans="1:2" ht="15.75" thickBot="1" x14ac:dyDescent="0.3">
      <c r="A127" s="28"/>
      <c r="B127" s="25"/>
    </row>
    <row r="128" spans="1:2" ht="15.75" thickBot="1" x14ac:dyDescent="0.3">
      <c r="A128" s="28"/>
      <c r="B128" s="25"/>
    </row>
    <row r="129" spans="1:2" ht="15.75" thickBot="1" x14ac:dyDescent="0.3">
      <c r="A129" s="28"/>
      <c r="B129" s="25"/>
    </row>
    <row r="130" spans="1:2" ht="15.75" thickBot="1" x14ac:dyDescent="0.3">
      <c r="A130" s="28"/>
      <c r="B130" s="25"/>
    </row>
    <row r="131" spans="1:2" ht="15.75" thickBot="1" x14ac:dyDescent="0.3">
      <c r="A131" s="28"/>
      <c r="B131" s="25"/>
    </row>
    <row r="132" spans="1:2" ht="15.75" thickBot="1" x14ac:dyDescent="0.3">
      <c r="A132" s="28"/>
      <c r="B132" s="25"/>
    </row>
    <row r="133" spans="1:2" ht="15.75" thickBot="1" x14ac:dyDescent="0.3">
      <c r="A133" s="28"/>
      <c r="B133" s="25"/>
    </row>
    <row r="134" spans="1:2" ht="15.75" thickBot="1" x14ac:dyDescent="0.3">
      <c r="A134" s="28"/>
      <c r="B134" s="25"/>
    </row>
    <row r="135" spans="1:2" ht="15.75" thickBot="1" x14ac:dyDescent="0.3">
      <c r="A135" s="28"/>
      <c r="B135" s="25"/>
    </row>
    <row r="136" spans="1:2" ht="15.75" thickBot="1" x14ac:dyDescent="0.3">
      <c r="A136" s="28"/>
      <c r="B136" s="25"/>
    </row>
    <row r="137" spans="1:2" ht="15.75" thickBot="1" x14ac:dyDescent="0.3">
      <c r="A137" s="28"/>
      <c r="B137" s="25"/>
    </row>
    <row r="138" spans="1:2" ht="15.75" thickBot="1" x14ac:dyDescent="0.3">
      <c r="A138" s="28"/>
      <c r="B138" s="25"/>
    </row>
    <row r="139" spans="1:2" ht="15.75" thickBot="1" x14ac:dyDescent="0.3">
      <c r="A139" s="28"/>
      <c r="B139" s="25"/>
    </row>
    <row r="140" spans="1:2" ht="15.75" thickBot="1" x14ac:dyDescent="0.3">
      <c r="A140" s="28"/>
      <c r="B140" s="25"/>
    </row>
    <row r="141" spans="1:2" ht="15.75" thickBot="1" x14ac:dyDescent="0.3">
      <c r="A141" s="28"/>
      <c r="B141" s="25"/>
    </row>
    <row r="142" spans="1:2" ht="15.75" thickBot="1" x14ac:dyDescent="0.3">
      <c r="A142" s="28"/>
      <c r="B142" s="25"/>
    </row>
    <row r="143" spans="1:2" ht="15.75" thickBot="1" x14ac:dyDescent="0.3">
      <c r="A143" s="28"/>
      <c r="B143" s="25"/>
    </row>
    <row r="144" spans="1:2" ht="15.75" thickBot="1" x14ac:dyDescent="0.3">
      <c r="A144" s="28"/>
      <c r="B144" s="25"/>
    </row>
    <row r="145" spans="1:2" ht="15.75" thickBot="1" x14ac:dyDescent="0.3">
      <c r="A145" s="28"/>
      <c r="B145" s="25"/>
    </row>
    <row r="146" spans="1:2" ht="15.75" thickBot="1" x14ac:dyDescent="0.3">
      <c r="A146" s="28"/>
      <c r="B146" s="25"/>
    </row>
    <row r="147" spans="1:2" ht="15.75" thickBot="1" x14ac:dyDescent="0.3">
      <c r="A147" s="28"/>
      <c r="B147" s="25"/>
    </row>
    <row r="148" spans="1:2" ht="15.75" thickBot="1" x14ac:dyDescent="0.3">
      <c r="A148" s="28"/>
      <c r="B148" s="25"/>
    </row>
    <row r="149" spans="1:2" ht="15.75" thickBot="1" x14ac:dyDescent="0.3">
      <c r="A149" s="28"/>
      <c r="B149" s="25"/>
    </row>
    <row r="150" spans="1:2" ht="15.75" thickBot="1" x14ac:dyDescent="0.3">
      <c r="A150" s="28"/>
      <c r="B150" s="25"/>
    </row>
    <row r="151" spans="1:2" ht="15.75" thickBot="1" x14ac:dyDescent="0.3">
      <c r="A151" s="28"/>
      <c r="B151" s="25"/>
    </row>
    <row r="152" spans="1:2" ht="15.75" thickBot="1" x14ac:dyDescent="0.3">
      <c r="A152" s="28"/>
      <c r="B152" s="25"/>
    </row>
    <row r="153" spans="1:2" ht="15.75" thickBot="1" x14ac:dyDescent="0.3">
      <c r="A153" s="28"/>
      <c r="B153" s="25"/>
    </row>
    <row r="154" spans="1:2" ht="15.75" thickBot="1" x14ac:dyDescent="0.3">
      <c r="A154" s="28"/>
      <c r="B154" s="25"/>
    </row>
    <row r="155" spans="1:2" ht="15.75" thickBot="1" x14ac:dyDescent="0.3">
      <c r="A155" s="28"/>
      <c r="B155" s="25"/>
    </row>
    <row r="156" spans="1:2" ht="15.75" thickBot="1" x14ac:dyDescent="0.3">
      <c r="A156" s="28"/>
      <c r="B156" s="25"/>
    </row>
    <row r="157" spans="1:2" ht="15.75" thickBot="1" x14ac:dyDescent="0.3">
      <c r="A157" s="28"/>
      <c r="B157" s="25"/>
    </row>
    <row r="158" spans="1:2" ht="15.75" thickBot="1" x14ac:dyDescent="0.3">
      <c r="A158" s="28"/>
      <c r="B158" s="25"/>
    </row>
    <row r="159" spans="1:2" ht="15.75" thickBot="1" x14ac:dyDescent="0.3">
      <c r="A159" s="28"/>
      <c r="B159" s="25"/>
    </row>
    <row r="160" spans="1:2" ht="15.75" thickBot="1" x14ac:dyDescent="0.3">
      <c r="A160" s="28"/>
      <c r="B160" s="25"/>
    </row>
    <row r="161" spans="1:2" ht="15.75" thickBot="1" x14ac:dyDescent="0.3">
      <c r="A161" s="28"/>
      <c r="B161" s="25"/>
    </row>
    <row r="162" spans="1:2" ht="15.75" thickBot="1" x14ac:dyDescent="0.3">
      <c r="A162" s="28"/>
      <c r="B162" s="25"/>
    </row>
    <row r="163" spans="1:2" ht="15.75" thickBot="1" x14ac:dyDescent="0.3">
      <c r="A163" s="28"/>
      <c r="B163" s="25"/>
    </row>
    <row r="164" spans="1:2" ht="15.75" thickBot="1" x14ac:dyDescent="0.3">
      <c r="A164" s="28"/>
      <c r="B164" s="25"/>
    </row>
    <row r="165" spans="1:2" ht="15.75" thickBot="1" x14ac:dyDescent="0.3">
      <c r="A165" s="28"/>
      <c r="B165" s="25"/>
    </row>
    <row r="166" spans="1:2" ht="15.75" thickBot="1" x14ac:dyDescent="0.3">
      <c r="A166" s="28"/>
      <c r="B166" s="25"/>
    </row>
    <row r="167" spans="1:2" ht="15.75" thickBot="1" x14ac:dyDescent="0.3">
      <c r="A167" s="28"/>
      <c r="B167" s="25"/>
    </row>
    <row r="168" spans="1:2" ht="15.75" thickBot="1" x14ac:dyDescent="0.3">
      <c r="A168" s="28"/>
      <c r="B168" s="25"/>
    </row>
    <row r="169" spans="1:2" ht="15.75" thickBot="1" x14ac:dyDescent="0.3">
      <c r="A169" s="28"/>
      <c r="B169" s="25"/>
    </row>
    <row r="170" spans="1:2" ht="15.75" thickBot="1" x14ac:dyDescent="0.3">
      <c r="A170" s="28"/>
      <c r="B170" s="25"/>
    </row>
    <row r="171" spans="1:2" ht="15.75" thickBot="1" x14ac:dyDescent="0.3">
      <c r="A171" s="28"/>
      <c r="B171" s="25"/>
    </row>
    <row r="172" spans="1:2" ht="15.75" thickBot="1" x14ac:dyDescent="0.3">
      <c r="A172" s="28"/>
      <c r="B172" s="25"/>
    </row>
    <row r="173" spans="1:2" ht="15.75" thickBot="1" x14ac:dyDescent="0.3">
      <c r="A173" s="28"/>
      <c r="B173" s="25"/>
    </row>
    <row r="174" spans="1:2" ht="15.75" thickBot="1" x14ac:dyDescent="0.3">
      <c r="A174" s="28"/>
      <c r="B174" s="25"/>
    </row>
    <row r="175" spans="1:2" ht="15.75" thickBot="1" x14ac:dyDescent="0.3">
      <c r="A175" s="28"/>
      <c r="B175" s="25"/>
    </row>
    <row r="176" spans="1:2" ht="15.75" thickBot="1" x14ac:dyDescent="0.3">
      <c r="A176" s="28"/>
      <c r="B176" s="25"/>
    </row>
    <row r="177" spans="1:2" ht="15.75" thickBot="1" x14ac:dyDescent="0.3">
      <c r="A177" s="28"/>
      <c r="B177" s="25"/>
    </row>
    <row r="178" spans="1:2" ht="15.75" thickBot="1" x14ac:dyDescent="0.3">
      <c r="A178" s="28"/>
      <c r="B178" s="25"/>
    </row>
    <row r="179" spans="1:2" ht="15.75" thickBot="1" x14ac:dyDescent="0.3">
      <c r="A179" s="28"/>
      <c r="B179" s="25"/>
    </row>
    <row r="180" spans="1:2" ht="15.75" thickBot="1" x14ac:dyDescent="0.3">
      <c r="A180" s="28"/>
      <c r="B180" s="25"/>
    </row>
    <row r="181" spans="1:2" ht="15.75" thickBot="1" x14ac:dyDescent="0.3">
      <c r="A181" s="28"/>
      <c r="B181" s="25"/>
    </row>
    <row r="182" spans="1:2" ht="15.75" thickBot="1" x14ac:dyDescent="0.3">
      <c r="A182" s="28"/>
      <c r="B182" s="25"/>
    </row>
    <row r="183" spans="1:2" ht="15.75" thickBot="1" x14ac:dyDescent="0.3">
      <c r="A183" s="28"/>
      <c r="B183" s="25"/>
    </row>
    <row r="184" spans="1:2" ht="15.75" thickBot="1" x14ac:dyDescent="0.3">
      <c r="A184" s="28"/>
      <c r="B184" s="25"/>
    </row>
    <row r="185" spans="1:2" ht="15.75" thickBot="1" x14ac:dyDescent="0.3">
      <c r="A185" s="28"/>
      <c r="B185" s="25"/>
    </row>
    <row r="186" spans="1:2" ht="15.75" thickBot="1" x14ac:dyDescent="0.3">
      <c r="A186" s="28"/>
      <c r="B186" s="25"/>
    </row>
    <row r="187" spans="1:2" ht="15.75" thickBot="1" x14ac:dyDescent="0.3">
      <c r="A187" s="28"/>
      <c r="B187" s="25"/>
    </row>
    <row r="188" spans="1:2" ht="15.75" thickBot="1" x14ac:dyDescent="0.3">
      <c r="A188" s="28"/>
      <c r="B188" s="25"/>
    </row>
    <row r="189" spans="1:2" ht="15.75" thickBot="1" x14ac:dyDescent="0.3">
      <c r="A189" s="28"/>
      <c r="B189" s="25"/>
    </row>
    <row r="190" spans="1:2" ht="15.75" thickBot="1" x14ac:dyDescent="0.3">
      <c r="A190" s="28"/>
      <c r="B190" s="25"/>
    </row>
    <row r="191" spans="1:2" ht="15.75" thickBot="1" x14ac:dyDescent="0.3">
      <c r="A191" s="28"/>
      <c r="B191" s="25"/>
    </row>
    <row r="192" spans="1:2" ht="15.75" thickBot="1" x14ac:dyDescent="0.3">
      <c r="A192" s="28"/>
      <c r="B192" s="25"/>
    </row>
    <row r="193" spans="1:2" ht="15.75" thickBot="1" x14ac:dyDescent="0.3">
      <c r="A193" s="28"/>
      <c r="B193" s="25"/>
    </row>
    <row r="194" spans="1:2" ht="15.75" thickBot="1" x14ac:dyDescent="0.3">
      <c r="A194" s="28"/>
      <c r="B194" s="25"/>
    </row>
    <row r="195" spans="1:2" ht="15.75" thickBot="1" x14ac:dyDescent="0.3">
      <c r="A195" s="28"/>
      <c r="B195" s="25"/>
    </row>
    <row r="196" spans="1:2" ht="15.75" thickBot="1" x14ac:dyDescent="0.3">
      <c r="A196" s="28"/>
      <c r="B196" s="25"/>
    </row>
    <row r="197" spans="1:2" ht="15.75" thickBot="1" x14ac:dyDescent="0.3">
      <c r="A197" s="28"/>
      <c r="B197" s="25"/>
    </row>
    <row r="198" spans="1:2" ht="15.75" thickBot="1" x14ac:dyDescent="0.3">
      <c r="A198" s="28"/>
      <c r="B198" s="25"/>
    </row>
    <row r="199" spans="1:2" ht="15.75" thickBot="1" x14ac:dyDescent="0.3">
      <c r="A199" s="28"/>
      <c r="B199" s="25"/>
    </row>
    <row r="200" spans="1:2" ht="15.75" thickBot="1" x14ac:dyDescent="0.3">
      <c r="A200" s="28"/>
      <c r="B200" s="25"/>
    </row>
    <row r="201" spans="1:2" ht="15.75" thickBot="1" x14ac:dyDescent="0.3">
      <c r="A201" s="28"/>
      <c r="B201" s="25"/>
    </row>
    <row r="202" spans="1:2" ht="15.75" thickBot="1" x14ac:dyDescent="0.3">
      <c r="A202" s="28"/>
      <c r="B202" s="25"/>
    </row>
    <row r="203" spans="1:2" ht="15.75" thickBot="1" x14ac:dyDescent="0.3">
      <c r="A203" s="28"/>
      <c r="B203" s="25"/>
    </row>
    <row r="204" spans="1:2" ht="15.75" thickBot="1" x14ac:dyDescent="0.3">
      <c r="A204" s="28"/>
      <c r="B204" s="25"/>
    </row>
    <row r="205" spans="1:2" ht="15.75" thickBot="1" x14ac:dyDescent="0.3">
      <c r="A205" s="28"/>
      <c r="B205" s="25"/>
    </row>
    <row r="206" spans="1:2" ht="15.75" thickBot="1" x14ac:dyDescent="0.3">
      <c r="A206" s="28"/>
      <c r="B206" s="25"/>
    </row>
    <row r="207" spans="1:2" ht="15.75" thickBot="1" x14ac:dyDescent="0.3">
      <c r="A207" s="28"/>
      <c r="B207" s="25"/>
    </row>
    <row r="208" spans="1:2" ht="15.75" thickBot="1" x14ac:dyDescent="0.3">
      <c r="A208" s="28"/>
      <c r="B208" s="25"/>
    </row>
    <row r="209" spans="1:2" ht="15.75" thickBot="1" x14ac:dyDescent="0.3">
      <c r="A209" s="28"/>
      <c r="B209" s="25"/>
    </row>
    <row r="210" spans="1:2" ht="15.75" thickBot="1" x14ac:dyDescent="0.3">
      <c r="A210" s="28"/>
      <c r="B210" s="25"/>
    </row>
    <row r="211" spans="1:2" ht="15.75" thickBot="1" x14ac:dyDescent="0.3">
      <c r="A211" s="28"/>
      <c r="B211" s="25"/>
    </row>
    <row r="212" spans="1:2" ht="15.75" thickBot="1" x14ac:dyDescent="0.3">
      <c r="A212" s="28"/>
      <c r="B212" s="25"/>
    </row>
    <row r="213" spans="1:2" ht="15.75" thickBot="1" x14ac:dyDescent="0.3">
      <c r="A213" s="28"/>
      <c r="B213" s="25"/>
    </row>
    <row r="214" spans="1:2" ht="15.75" thickBot="1" x14ac:dyDescent="0.3">
      <c r="A214" s="28"/>
      <c r="B214" s="25"/>
    </row>
    <row r="215" spans="1:2" ht="15.75" thickBot="1" x14ac:dyDescent="0.3">
      <c r="A215" s="28"/>
      <c r="B215" s="25"/>
    </row>
    <row r="216" spans="1:2" ht="15.75" thickBot="1" x14ac:dyDescent="0.3">
      <c r="A216" s="28"/>
      <c r="B216" s="25"/>
    </row>
    <row r="217" spans="1:2" ht="15.75" thickBot="1" x14ac:dyDescent="0.3">
      <c r="A217" s="28"/>
      <c r="B217" s="25"/>
    </row>
    <row r="218" spans="1:2" ht="15.75" thickBot="1" x14ac:dyDescent="0.3">
      <c r="A218" s="28"/>
      <c r="B218" s="25"/>
    </row>
    <row r="219" spans="1:2" ht="15.75" thickBot="1" x14ac:dyDescent="0.3">
      <c r="A219" s="28"/>
      <c r="B219" s="25"/>
    </row>
    <row r="220" spans="1:2" ht="15.75" thickBot="1" x14ac:dyDescent="0.3">
      <c r="A220" s="28"/>
      <c r="B220" s="25"/>
    </row>
    <row r="221" spans="1:2" ht="15.75" thickBot="1" x14ac:dyDescent="0.3">
      <c r="A221" s="28"/>
      <c r="B221" s="25"/>
    </row>
    <row r="222" spans="1:2" ht="15.75" thickBot="1" x14ac:dyDescent="0.3">
      <c r="A222" s="28"/>
      <c r="B222" s="25"/>
    </row>
    <row r="223" spans="1:2" ht="15.75" thickBot="1" x14ac:dyDescent="0.3">
      <c r="A223" s="28"/>
      <c r="B223" s="25"/>
    </row>
    <row r="224" spans="1:2" ht="15.75" thickBot="1" x14ac:dyDescent="0.3">
      <c r="A224" s="28"/>
      <c r="B224" s="25"/>
    </row>
    <row r="225" spans="1:2" ht="15.75" thickBot="1" x14ac:dyDescent="0.3">
      <c r="A225" s="28"/>
      <c r="B225" s="25"/>
    </row>
    <row r="226" spans="1:2" ht="15.75" thickBot="1" x14ac:dyDescent="0.3">
      <c r="A226" s="28"/>
      <c r="B226" s="25"/>
    </row>
    <row r="227" spans="1:2" ht="15.75" thickBot="1" x14ac:dyDescent="0.3">
      <c r="A227" s="28"/>
      <c r="B227" s="25"/>
    </row>
    <row r="228" spans="1:2" ht="15.75" thickBot="1" x14ac:dyDescent="0.3">
      <c r="A228" s="28"/>
      <c r="B228" s="25"/>
    </row>
    <row r="229" spans="1:2" ht="15.75" thickBot="1" x14ac:dyDescent="0.3">
      <c r="A229" s="28"/>
      <c r="B229" s="25"/>
    </row>
    <row r="230" spans="1:2" ht="15.75" thickBot="1" x14ac:dyDescent="0.3">
      <c r="A230" s="28"/>
      <c r="B230" s="25"/>
    </row>
    <row r="231" spans="1:2" ht="15.75" thickBot="1" x14ac:dyDescent="0.3">
      <c r="A231" s="28"/>
      <c r="B231" s="25"/>
    </row>
    <row r="232" spans="1:2" ht="15.75" thickBot="1" x14ac:dyDescent="0.3">
      <c r="A232" s="28"/>
      <c r="B232" s="25"/>
    </row>
    <row r="233" spans="1:2" ht="15.75" thickBot="1" x14ac:dyDescent="0.3">
      <c r="A233" s="28"/>
      <c r="B233" s="25"/>
    </row>
    <row r="234" spans="1:2" ht="15.75" thickBot="1" x14ac:dyDescent="0.3">
      <c r="A234" s="28"/>
      <c r="B234" s="25"/>
    </row>
    <row r="235" spans="1:2" ht="15.75" thickBot="1" x14ac:dyDescent="0.3">
      <c r="A235" s="28"/>
      <c r="B235" s="25"/>
    </row>
    <row r="236" spans="1:2" ht="15.75" thickBot="1" x14ac:dyDescent="0.3">
      <c r="A236" s="28"/>
      <c r="B236" s="25"/>
    </row>
    <row r="237" spans="1:2" ht="15.75" thickBot="1" x14ac:dyDescent="0.3">
      <c r="A237" s="28"/>
      <c r="B237" s="25"/>
    </row>
    <row r="238" spans="1:2" ht="15.75" thickBot="1" x14ac:dyDescent="0.3">
      <c r="A238" s="28"/>
      <c r="B238" s="25"/>
    </row>
    <row r="239" spans="1:2" ht="15.75" thickBot="1" x14ac:dyDescent="0.3">
      <c r="A239" s="28"/>
      <c r="B239" s="25"/>
    </row>
    <row r="240" spans="1:2" ht="15.75" thickBot="1" x14ac:dyDescent="0.3">
      <c r="A240" s="28"/>
      <c r="B240" s="25"/>
    </row>
    <row r="241" spans="1:2" ht="15.75" thickBot="1" x14ac:dyDescent="0.3">
      <c r="A241" s="28"/>
      <c r="B241" s="25"/>
    </row>
    <row r="242" spans="1:2" ht="15.75" thickBot="1" x14ac:dyDescent="0.3">
      <c r="A242" s="28"/>
      <c r="B242" s="25"/>
    </row>
    <row r="243" spans="1:2" ht="15.75" thickBot="1" x14ac:dyDescent="0.3">
      <c r="A243" s="28"/>
      <c r="B243" s="25"/>
    </row>
    <row r="244" spans="1:2" ht="15.75" thickBot="1" x14ac:dyDescent="0.3">
      <c r="A244" s="28"/>
      <c r="B244" s="25"/>
    </row>
    <row r="245" spans="1:2" ht="15.75" thickBot="1" x14ac:dyDescent="0.3">
      <c r="A245" s="28"/>
      <c r="B245" s="25"/>
    </row>
    <row r="246" spans="1:2" ht="15.75" thickBot="1" x14ac:dyDescent="0.3">
      <c r="A246" s="28"/>
      <c r="B246" s="25"/>
    </row>
    <row r="247" spans="1:2" ht="15.75" thickBot="1" x14ac:dyDescent="0.3">
      <c r="A247" s="28"/>
      <c r="B247" s="25"/>
    </row>
    <row r="248" spans="1:2" ht="15.75" thickBot="1" x14ac:dyDescent="0.3">
      <c r="A248" s="28"/>
      <c r="B248" s="25"/>
    </row>
    <row r="249" spans="1:2" ht="15.75" thickBot="1" x14ac:dyDescent="0.3">
      <c r="A249" s="28"/>
      <c r="B249" s="25"/>
    </row>
    <row r="250" spans="1:2" ht="15.75" thickBot="1" x14ac:dyDescent="0.3">
      <c r="A250" s="28"/>
      <c r="B250" s="25"/>
    </row>
    <row r="251" spans="1:2" ht="15.75" thickBot="1" x14ac:dyDescent="0.3">
      <c r="A251" s="28"/>
      <c r="B251" s="25"/>
    </row>
    <row r="252" spans="1:2" ht="15.75" thickBot="1" x14ac:dyDescent="0.3">
      <c r="A252" s="28"/>
      <c r="B252" s="25"/>
    </row>
    <row r="253" spans="1:2" ht="15.75" thickBot="1" x14ac:dyDescent="0.3">
      <c r="A253" s="28"/>
      <c r="B253" s="25"/>
    </row>
    <row r="254" spans="1:2" ht="15.75" thickBot="1" x14ac:dyDescent="0.3">
      <c r="A254" s="28"/>
      <c r="B254" s="25"/>
    </row>
    <row r="255" spans="1:2" ht="15.75" thickBot="1" x14ac:dyDescent="0.3">
      <c r="A255" s="28"/>
      <c r="B255" s="25"/>
    </row>
    <row r="256" spans="1:2" ht="15.75" thickBot="1" x14ac:dyDescent="0.3">
      <c r="A256" s="28"/>
      <c r="B256" s="25"/>
    </row>
    <row r="257" spans="1:2" ht="15.75" thickBot="1" x14ac:dyDescent="0.3">
      <c r="A257" s="28"/>
      <c r="B257" s="25"/>
    </row>
    <row r="258" spans="1:2" ht="15.75" thickBot="1" x14ac:dyDescent="0.3">
      <c r="A258" s="28"/>
      <c r="B258" s="25"/>
    </row>
    <row r="259" spans="1:2" ht="15.75" thickBot="1" x14ac:dyDescent="0.3">
      <c r="A259" s="28"/>
      <c r="B259" s="25"/>
    </row>
    <row r="260" spans="1:2" ht="15.75" thickBot="1" x14ac:dyDescent="0.3">
      <c r="A260" s="28"/>
      <c r="B260" s="25"/>
    </row>
    <row r="261" spans="1:2" ht="15.75" thickBot="1" x14ac:dyDescent="0.3">
      <c r="A261" s="28"/>
      <c r="B261" s="25"/>
    </row>
    <row r="262" spans="1:2" ht="15.75" thickBot="1" x14ac:dyDescent="0.3">
      <c r="A262" s="28"/>
      <c r="B262" s="25"/>
    </row>
    <row r="263" spans="1:2" ht="15.75" thickBot="1" x14ac:dyDescent="0.3">
      <c r="A263" s="28"/>
      <c r="B263" s="25"/>
    </row>
    <row r="264" spans="1:2" ht="15.75" thickBot="1" x14ac:dyDescent="0.3">
      <c r="A264" s="28"/>
      <c r="B264" s="25"/>
    </row>
    <row r="265" spans="1:2" ht="15.75" thickBot="1" x14ac:dyDescent="0.3">
      <c r="A265" s="28"/>
      <c r="B265" s="25"/>
    </row>
    <row r="266" spans="1:2" ht="15.75" thickBot="1" x14ac:dyDescent="0.3">
      <c r="A266" s="28"/>
      <c r="B266" s="25"/>
    </row>
    <row r="267" spans="1:2" ht="15.75" thickBot="1" x14ac:dyDescent="0.3">
      <c r="A267" s="28"/>
      <c r="B267" s="25"/>
    </row>
    <row r="268" spans="1:2" ht="15.75" thickBot="1" x14ac:dyDescent="0.3">
      <c r="A268" s="28"/>
      <c r="B268" s="25"/>
    </row>
    <row r="269" spans="1:2" ht="15.75" thickBot="1" x14ac:dyDescent="0.3">
      <c r="A269" s="28"/>
      <c r="B269" s="25"/>
    </row>
    <row r="270" spans="1:2" ht="15.75" thickBot="1" x14ac:dyDescent="0.3">
      <c r="A270" s="28"/>
      <c r="B270" s="25"/>
    </row>
    <row r="271" spans="1:2" ht="15.75" thickBot="1" x14ac:dyDescent="0.3">
      <c r="A271" s="28"/>
      <c r="B271" s="25"/>
    </row>
    <row r="272" spans="1:2" ht="15.75" thickBot="1" x14ac:dyDescent="0.3">
      <c r="A272" s="28"/>
      <c r="B272" s="25"/>
    </row>
    <row r="273" spans="1:2" ht="15.75" thickBot="1" x14ac:dyDescent="0.3">
      <c r="A273" s="28"/>
      <c r="B273" s="25"/>
    </row>
    <row r="274" spans="1:2" ht="15.75" thickBot="1" x14ac:dyDescent="0.3">
      <c r="A274" s="28"/>
      <c r="B274" s="25"/>
    </row>
    <row r="275" spans="1:2" ht="15.75" thickBot="1" x14ac:dyDescent="0.3">
      <c r="A275" s="28"/>
      <c r="B275" s="25"/>
    </row>
    <row r="276" spans="1:2" ht="15.75" thickBot="1" x14ac:dyDescent="0.3">
      <c r="A276" s="28"/>
      <c r="B276" s="25"/>
    </row>
    <row r="277" spans="1:2" ht="15.75" thickBot="1" x14ac:dyDescent="0.3">
      <c r="A277" s="28"/>
      <c r="B277" s="25"/>
    </row>
    <row r="278" spans="1:2" ht="15.75" thickBot="1" x14ac:dyDescent="0.3">
      <c r="A278" s="28"/>
      <c r="B278" s="25"/>
    </row>
    <row r="279" spans="1:2" ht="15.75" thickBot="1" x14ac:dyDescent="0.3">
      <c r="A279" s="28"/>
      <c r="B279" s="25"/>
    </row>
    <row r="280" spans="1:2" ht="15.75" thickBot="1" x14ac:dyDescent="0.3">
      <c r="A280" s="28"/>
      <c r="B280" s="25"/>
    </row>
    <row r="281" spans="1:2" ht="15.75" thickBot="1" x14ac:dyDescent="0.3">
      <c r="A281" s="28"/>
      <c r="B281" s="25"/>
    </row>
    <row r="282" spans="1:2" ht="15.75" thickBot="1" x14ac:dyDescent="0.3">
      <c r="A282" s="28"/>
      <c r="B282" s="25"/>
    </row>
    <row r="283" spans="1:2" ht="15.75" thickBot="1" x14ac:dyDescent="0.3">
      <c r="A283" s="28"/>
      <c r="B283" s="25"/>
    </row>
    <row r="284" spans="1:2" ht="15.75" thickBot="1" x14ac:dyDescent="0.3">
      <c r="A284" s="28"/>
      <c r="B284" s="25"/>
    </row>
    <row r="285" spans="1:2" ht="15.75" thickBot="1" x14ac:dyDescent="0.3">
      <c r="A285" s="28"/>
      <c r="B285" s="25"/>
    </row>
    <row r="286" spans="1:2" ht="15.75" thickBot="1" x14ac:dyDescent="0.3">
      <c r="A286" s="28"/>
      <c r="B286" s="25"/>
    </row>
    <row r="287" spans="1:2" ht="15.75" thickBot="1" x14ac:dyDescent="0.3">
      <c r="A287" s="28"/>
      <c r="B287" s="25"/>
    </row>
    <row r="288" spans="1:2" ht="15.75" thickBot="1" x14ac:dyDescent="0.3">
      <c r="A288" s="28"/>
      <c r="B288" s="25"/>
    </row>
    <row r="289" spans="1:2" ht="15.75" thickBot="1" x14ac:dyDescent="0.3">
      <c r="A289" s="28"/>
      <c r="B289" s="25"/>
    </row>
    <row r="290" spans="1:2" ht="15.75" thickBot="1" x14ac:dyDescent="0.3">
      <c r="A290" s="28"/>
      <c r="B290" s="25"/>
    </row>
    <row r="291" spans="1:2" ht="15.75" thickBot="1" x14ac:dyDescent="0.3">
      <c r="A291" s="28"/>
      <c r="B291" s="25"/>
    </row>
    <row r="292" spans="1:2" ht="15.75" thickBot="1" x14ac:dyDescent="0.3">
      <c r="A292" s="28"/>
      <c r="B292" s="25"/>
    </row>
    <row r="293" spans="1:2" ht="15.75" thickBot="1" x14ac:dyDescent="0.3">
      <c r="A293" s="28"/>
      <c r="B293" s="25"/>
    </row>
    <row r="294" spans="1:2" ht="15.75" thickBot="1" x14ac:dyDescent="0.3">
      <c r="A294" s="28"/>
      <c r="B294" s="25"/>
    </row>
    <row r="295" spans="1:2" ht="15.75" thickBot="1" x14ac:dyDescent="0.3">
      <c r="A295" s="28"/>
      <c r="B295" s="25"/>
    </row>
    <row r="296" spans="1:2" ht="15.75" thickBot="1" x14ac:dyDescent="0.3">
      <c r="A296" s="28"/>
      <c r="B296" s="25"/>
    </row>
    <row r="297" spans="1:2" ht="15.75" thickBot="1" x14ac:dyDescent="0.3">
      <c r="A297" s="28"/>
      <c r="B297" s="25"/>
    </row>
    <row r="298" spans="1:2" ht="15.75" thickBot="1" x14ac:dyDescent="0.3">
      <c r="A298" s="28"/>
      <c r="B298" s="25"/>
    </row>
    <row r="299" spans="1:2" ht="15.75" thickBot="1" x14ac:dyDescent="0.3">
      <c r="A299" s="28"/>
      <c r="B299" s="25"/>
    </row>
    <row r="300" spans="1:2" ht="15.75" thickBot="1" x14ac:dyDescent="0.3">
      <c r="A300" s="28"/>
      <c r="B300" s="25"/>
    </row>
    <row r="301" spans="1:2" ht="15.75" thickBot="1" x14ac:dyDescent="0.3">
      <c r="A301" s="28"/>
      <c r="B301" s="25"/>
    </row>
    <row r="302" spans="1:2" ht="15.75" thickBot="1" x14ac:dyDescent="0.3">
      <c r="A302" s="28"/>
      <c r="B302" s="25"/>
    </row>
    <row r="303" spans="1:2" ht="15.75" thickBot="1" x14ac:dyDescent="0.3">
      <c r="A303" s="28"/>
      <c r="B303" s="25"/>
    </row>
    <row r="304" spans="1:2" ht="15.75" thickBot="1" x14ac:dyDescent="0.3">
      <c r="A304" s="28"/>
      <c r="B304" s="25"/>
    </row>
    <row r="305" spans="1:2" ht="15.75" thickBot="1" x14ac:dyDescent="0.3">
      <c r="A305" s="28"/>
      <c r="B305" s="25"/>
    </row>
    <row r="306" spans="1:2" ht="15.75" thickBot="1" x14ac:dyDescent="0.3">
      <c r="A306" s="28"/>
      <c r="B306" s="25"/>
    </row>
    <row r="307" spans="1:2" ht="15.75" thickBot="1" x14ac:dyDescent="0.3">
      <c r="A307" s="28"/>
      <c r="B307" s="25"/>
    </row>
    <row r="308" spans="1:2" ht="15.75" thickBot="1" x14ac:dyDescent="0.3">
      <c r="A308" s="28"/>
      <c r="B308" s="25"/>
    </row>
    <row r="309" spans="1:2" ht="15.75" thickBot="1" x14ac:dyDescent="0.3">
      <c r="A309" s="28"/>
      <c r="B309" s="25"/>
    </row>
    <row r="310" spans="1:2" ht="15.75" thickBot="1" x14ac:dyDescent="0.3">
      <c r="A310" s="28"/>
      <c r="B310" s="25"/>
    </row>
    <row r="311" spans="1:2" ht="15.75" thickBot="1" x14ac:dyDescent="0.3">
      <c r="A311" s="28"/>
      <c r="B311" s="25"/>
    </row>
    <row r="312" spans="1:2" ht="15.75" thickBot="1" x14ac:dyDescent="0.3">
      <c r="A312" s="28"/>
      <c r="B312" s="25"/>
    </row>
    <row r="313" spans="1:2" ht="15.75" thickBot="1" x14ac:dyDescent="0.3">
      <c r="A313" s="28"/>
      <c r="B313" s="25"/>
    </row>
    <row r="314" spans="1:2" ht="15.75" thickBot="1" x14ac:dyDescent="0.3">
      <c r="A314" s="28"/>
      <c r="B314" s="25"/>
    </row>
    <row r="315" spans="1:2" ht="15.75" thickBot="1" x14ac:dyDescent="0.3">
      <c r="A315" s="28"/>
      <c r="B315" s="25"/>
    </row>
    <row r="316" spans="1:2" ht="15.75" thickBot="1" x14ac:dyDescent="0.3">
      <c r="A316" s="28"/>
      <c r="B316" s="25"/>
    </row>
    <row r="317" spans="1:2" ht="15.75" thickBot="1" x14ac:dyDescent="0.3">
      <c r="A317" s="28"/>
      <c r="B317" s="25"/>
    </row>
    <row r="318" spans="1:2" ht="15.75" thickBot="1" x14ac:dyDescent="0.3">
      <c r="A318" s="28"/>
      <c r="B318" s="25"/>
    </row>
    <row r="319" spans="1:2" ht="15.75" thickBot="1" x14ac:dyDescent="0.3">
      <c r="A319" s="28"/>
      <c r="B319" s="25"/>
    </row>
    <row r="320" spans="1:2" ht="15.75" thickBot="1" x14ac:dyDescent="0.3">
      <c r="A320" s="28"/>
      <c r="B320" s="25"/>
    </row>
    <row r="321" spans="1:2" ht="15.75" thickBot="1" x14ac:dyDescent="0.3">
      <c r="A321" s="28"/>
      <c r="B321" s="25"/>
    </row>
    <row r="322" spans="1:2" ht="15.75" thickBot="1" x14ac:dyDescent="0.3">
      <c r="A322" s="28"/>
      <c r="B322" s="25"/>
    </row>
    <row r="323" spans="1:2" ht="15.75" thickBot="1" x14ac:dyDescent="0.3">
      <c r="A323" s="28"/>
      <c r="B323" s="25"/>
    </row>
    <row r="324" spans="1:2" ht="15.75" thickBot="1" x14ac:dyDescent="0.3">
      <c r="A324" s="28"/>
      <c r="B324" s="25"/>
    </row>
    <row r="325" spans="1:2" ht="15.75" thickBot="1" x14ac:dyDescent="0.3">
      <c r="A325" s="28"/>
      <c r="B325" s="25"/>
    </row>
    <row r="326" spans="1:2" ht="15.75" thickBot="1" x14ac:dyDescent="0.3">
      <c r="A326" s="28"/>
      <c r="B326" s="25"/>
    </row>
    <row r="327" spans="1:2" ht="15.75" thickBot="1" x14ac:dyDescent="0.3">
      <c r="A327" s="28"/>
      <c r="B327" s="25"/>
    </row>
    <row r="328" spans="1:2" ht="15.75" thickBot="1" x14ac:dyDescent="0.3">
      <c r="A328" s="28"/>
      <c r="B328" s="25"/>
    </row>
    <row r="329" spans="1:2" ht="15.75" thickBot="1" x14ac:dyDescent="0.3">
      <c r="A329" s="28"/>
      <c r="B329" s="25"/>
    </row>
    <row r="330" spans="1:2" ht="15.75" thickBot="1" x14ac:dyDescent="0.3">
      <c r="A330" s="28"/>
      <c r="B330" s="25"/>
    </row>
    <row r="331" spans="1:2" ht="15.75" thickBot="1" x14ac:dyDescent="0.3">
      <c r="A331" s="28"/>
      <c r="B331" s="25"/>
    </row>
    <row r="332" spans="1:2" ht="15.75" thickBot="1" x14ac:dyDescent="0.3">
      <c r="A332" s="28"/>
      <c r="B332" s="25"/>
    </row>
    <row r="333" spans="1:2" ht="15.75" thickBot="1" x14ac:dyDescent="0.3">
      <c r="A333" s="28"/>
      <c r="B333" s="25"/>
    </row>
    <row r="334" spans="1:2" ht="15.75" thickBot="1" x14ac:dyDescent="0.3">
      <c r="A334" s="28"/>
      <c r="B334" s="25"/>
    </row>
    <row r="335" spans="1:2" ht="15.75" thickBot="1" x14ac:dyDescent="0.3">
      <c r="A335" s="28"/>
      <c r="B335" s="25"/>
    </row>
    <row r="336" spans="1:2" ht="15.75" thickBot="1" x14ac:dyDescent="0.3">
      <c r="A336" s="28"/>
      <c r="B336" s="25"/>
    </row>
    <row r="337" spans="1:2" ht="15.75" thickBot="1" x14ac:dyDescent="0.3">
      <c r="A337" s="28"/>
      <c r="B337" s="25"/>
    </row>
    <row r="338" spans="1:2" ht="15.75" thickBot="1" x14ac:dyDescent="0.3">
      <c r="A338" s="28"/>
      <c r="B338" s="25"/>
    </row>
    <row r="339" spans="1:2" ht="15.75" thickBot="1" x14ac:dyDescent="0.3">
      <c r="A339" s="28"/>
      <c r="B339" s="25"/>
    </row>
    <row r="340" spans="1:2" ht="15.75" thickBot="1" x14ac:dyDescent="0.3">
      <c r="A340" s="28"/>
      <c r="B340" s="25"/>
    </row>
    <row r="341" spans="1:2" ht="15.75" thickBot="1" x14ac:dyDescent="0.3">
      <c r="A341" s="28"/>
      <c r="B341" s="25"/>
    </row>
    <row r="342" spans="1:2" ht="15.75" thickBot="1" x14ac:dyDescent="0.3">
      <c r="A342" s="28"/>
      <c r="B342" s="25"/>
    </row>
    <row r="343" spans="1:2" ht="15.75" thickBot="1" x14ac:dyDescent="0.3">
      <c r="A343" s="28"/>
      <c r="B343" s="25"/>
    </row>
    <row r="344" spans="1:2" ht="15.75" thickBot="1" x14ac:dyDescent="0.3">
      <c r="A344" s="28"/>
      <c r="B344" s="25"/>
    </row>
    <row r="345" spans="1:2" ht="15.75" thickBot="1" x14ac:dyDescent="0.3">
      <c r="A345" s="28"/>
      <c r="B345" s="25"/>
    </row>
    <row r="346" spans="1:2" ht="15.75" thickBot="1" x14ac:dyDescent="0.3">
      <c r="A346" s="28"/>
      <c r="B346" s="25"/>
    </row>
    <row r="347" spans="1:2" ht="15.75" thickBot="1" x14ac:dyDescent="0.3">
      <c r="A347" s="28"/>
      <c r="B347" s="25"/>
    </row>
    <row r="348" spans="1:2" ht="15.75" thickBot="1" x14ac:dyDescent="0.3">
      <c r="A348" s="28"/>
      <c r="B348" s="25"/>
    </row>
    <row r="349" spans="1:2" ht="15.75" thickBot="1" x14ac:dyDescent="0.3">
      <c r="A349" s="28"/>
      <c r="B349" s="25"/>
    </row>
    <row r="350" spans="1:2" ht="15.75" thickBot="1" x14ac:dyDescent="0.3">
      <c r="A350" s="28"/>
      <c r="B350" s="25"/>
    </row>
    <row r="351" spans="1:2" ht="15.75" thickBot="1" x14ac:dyDescent="0.3">
      <c r="A351" s="28"/>
      <c r="B351" s="25"/>
    </row>
    <row r="352" spans="1:2" ht="15.75" thickBot="1" x14ac:dyDescent="0.3">
      <c r="A352" s="28"/>
      <c r="B352" s="25"/>
    </row>
    <row r="353" spans="1:2" ht="15.75" thickBot="1" x14ac:dyDescent="0.3">
      <c r="A353" s="28"/>
      <c r="B353" s="25"/>
    </row>
    <row r="354" spans="1:2" ht="15.75" thickBot="1" x14ac:dyDescent="0.3">
      <c r="A354" s="28"/>
      <c r="B354" s="25"/>
    </row>
    <row r="355" spans="1:2" ht="15.75" thickBot="1" x14ac:dyDescent="0.3">
      <c r="A355" s="28"/>
      <c r="B355" s="25"/>
    </row>
    <row r="356" spans="1:2" ht="15.75" thickBot="1" x14ac:dyDescent="0.3">
      <c r="A356" s="28"/>
      <c r="B356" s="25"/>
    </row>
    <row r="357" spans="1:2" ht="15.75" thickBot="1" x14ac:dyDescent="0.3">
      <c r="A357" s="28"/>
      <c r="B357" s="25"/>
    </row>
    <row r="358" spans="1:2" ht="15.75" thickBot="1" x14ac:dyDescent="0.3">
      <c r="A358" s="28"/>
      <c r="B358" s="25"/>
    </row>
    <row r="359" spans="1:2" ht="15.75" thickBot="1" x14ac:dyDescent="0.3">
      <c r="A359" s="28"/>
      <c r="B359" s="25"/>
    </row>
    <row r="360" spans="1:2" ht="15.75" thickBot="1" x14ac:dyDescent="0.3">
      <c r="A360" s="28"/>
      <c r="B360" s="25"/>
    </row>
    <row r="361" spans="1:2" ht="15.75" thickBot="1" x14ac:dyDescent="0.3">
      <c r="A361" s="28"/>
      <c r="B361" s="25"/>
    </row>
    <row r="362" spans="1:2" ht="15.75" thickBot="1" x14ac:dyDescent="0.3">
      <c r="A362" s="28"/>
      <c r="B362" s="25"/>
    </row>
    <row r="363" spans="1:2" ht="15.75" thickBot="1" x14ac:dyDescent="0.3">
      <c r="A363" s="28"/>
      <c r="B363" s="25"/>
    </row>
    <row r="364" spans="1:2" ht="15.75" thickBot="1" x14ac:dyDescent="0.3">
      <c r="A364" s="28"/>
      <c r="B364" s="25"/>
    </row>
    <row r="365" spans="1:2" ht="15.75" thickBot="1" x14ac:dyDescent="0.3">
      <c r="A365" s="28"/>
      <c r="B365" s="25"/>
    </row>
    <row r="366" spans="1:2" ht="15.75" thickBot="1" x14ac:dyDescent="0.3">
      <c r="A366" s="28"/>
      <c r="B366" s="25"/>
    </row>
    <row r="367" spans="1:2" ht="15.75" thickBot="1" x14ac:dyDescent="0.3">
      <c r="A367" s="28"/>
      <c r="B367" s="25"/>
    </row>
    <row r="368" spans="1:2" ht="15.75" thickBot="1" x14ac:dyDescent="0.3">
      <c r="A368" s="28"/>
      <c r="B368" s="25"/>
    </row>
    <row r="369" spans="1:2" ht="15.75" thickBot="1" x14ac:dyDescent="0.3">
      <c r="A369" s="28"/>
      <c r="B369" s="25"/>
    </row>
    <row r="370" spans="1:2" ht="15.75" thickBot="1" x14ac:dyDescent="0.3">
      <c r="A370" s="28"/>
      <c r="B370" s="25"/>
    </row>
    <row r="371" spans="1:2" ht="15.75" thickBot="1" x14ac:dyDescent="0.3">
      <c r="A371" s="28"/>
      <c r="B371" s="25"/>
    </row>
    <row r="372" spans="1:2" ht="15.75" thickBot="1" x14ac:dyDescent="0.3">
      <c r="A372" s="28"/>
      <c r="B372" s="25"/>
    </row>
    <row r="373" spans="1:2" ht="15.75" thickBot="1" x14ac:dyDescent="0.3">
      <c r="A373" s="28"/>
      <c r="B373" s="25"/>
    </row>
    <row r="374" spans="1:2" ht="15.75" thickBot="1" x14ac:dyDescent="0.3">
      <c r="A374" s="28"/>
      <c r="B374" s="25"/>
    </row>
    <row r="375" spans="1:2" ht="15.75" thickBot="1" x14ac:dyDescent="0.3">
      <c r="A375" s="28"/>
      <c r="B375" s="25"/>
    </row>
    <row r="376" spans="1:2" ht="15.75" thickBot="1" x14ac:dyDescent="0.3">
      <c r="A376" s="28"/>
      <c r="B376" s="25"/>
    </row>
    <row r="377" spans="1:2" ht="15.75" thickBot="1" x14ac:dyDescent="0.3">
      <c r="A377" s="28"/>
      <c r="B377" s="25"/>
    </row>
    <row r="378" spans="1:2" ht="15.75" thickBot="1" x14ac:dyDescent="0.3">
      <c r="A378" s="28"/>
      <c r="B378" s="25"/>
    </row>
    <row r="379" spans="1:2" ht="15.75" thickBot="1" x14ac:dyDescent="0.3">
      <c r="A379" s="28"/>
      <c r="B379" s="25"/>
    </row>
    <row r="380" spans="1:2" ht="15.75" thickBot="1" x14ac:dyDescent="0.3">
      <c r="A380" s="28"/>
      <c r="B380" s="25"/>
    </row>
    <row r="381" spans="1:2" ht="15.75" thickBot="1" x14ac:dyDescent="0.3">
      <c r="A381" s="28"/>
      <c r="B381" s="25"/>
    </row>
    <row r="382" spans="1:2" ht="15.75" thickBot="1" x14ac:dyDescent="0.3">
      <c r="A382" s="28"/>
      <c r="B382" s="25"/>
    </row>
    <row r="383" spans="1:2" ht="15.75" thickBot="1" x14ac:dyDescent="0.3">
      <c r="A383" s="28"/>
      <c r="B383" s="25"/>
    </row>
    <row r="384" spans="1:2" ht="15.75" thickBot="1" x14ac:dyDescent="0.3">
      <c r="A384" s="28"/>
      <c r="B384" s="25"/>
    </row>
    <row r="385" spans="1:2" ht="15.75" thickBot="1" x14ac:dyDescent="0.3">
      <c r="A385" s="28"/>
      <c r="B385" s="25"/>
    </row>
    <row r="386" spans="1:2" ht="15.75" thickBot="1" x14ac:dyDescent="0.3">
      <c r="A386" s="28"/>
      <c r="B386" s="25"/>
    </row>
    <row r="387" spans="1:2" ht="15.75" thickBot="1" x14ac:dyDescent="0.3">
      <c r="A387" s="28"/>
      <c r="B387" s="25"/>
    </row>
    <row r="388" spans="1:2" ht="15.75" thickBot="1" x14ac:dyDescent="0.3">
      <c r="A388" s="28"/>
      <c r="B388" s="25"/>
    </row>
    <row r="389" spans="1:2" ht="15.75" thickBot="1" x14ac:dyDescent="0.3">
      <c r="A389" s="28"/>
      <c r="B389" s="25"/>
    </row>
    <row r="390" spans="1:2" ht="15.75" thickBot="1" x14ac:dyDescent="0.3">
      <c r="A390" s="28"/>
      <c r="B390" s="25"/>
    </row>
    <row r="391" spans="1:2" ht="15.75" thickBot="1" x14ac:dyDescent="0.3">
      <c r="A391" s="28"/>
      <c r="B391" s="25"/>
    </row>
    <row r="392" spans="1:2" ht="15.75" thickBot="1" x14ac:dyDescent="0.3">
      <c r="A392" s="28"/>
      <c r="B392" s="25"/>
    </row>
    <row r="393" spans="1:2" ht="15.75" thickBot="1" x14ac:dyDescent="0.3">
      <c r="A393" s="28"/>
      <c r="B393" s="25"/>
    </row>
    <row r="394" spans="1:2" ht="15.75" thickBot="1" x14ac:dyDescent="0.3">
      <c r="A394" s="28"/>
      <c r="B394" s="25"/>
    </row>
    <row r="395" spans="1:2" ht="15.75" thickBot="1" x14ac:dyDescent="0.3">
      <c r="A395" s="28"/>
      <c r="B395" s="25"/>
    </row>
    <row r="396" spans="1:2" ht="15.75" thickBot="1" x14ac:dyDescent="0.3">
      <c r="A396" s="28"/>
      <c r="B396" s="25"/>
    </row>
    <row r="397" spans="1:2" ht="15.75" thickBot="1" x14ac:dyDescent="0.3">
      <c r="A397" s="28"/>
      <c r="B397" s="25"/>
    </row>
    <row r="398" spans="1:2" ht="15.75" thickBot="1" x14ac:dyDescent="0.3">
      <c r="A398" s="28"/>
      <c r="B398" s="25"/>
    </row>
    <row r="399" spans="1:2" ht="15.75" thickBot="1" x14ac:dyDescent="0.3">
      <c r="A399" s="28"/>
      <c r="B399" s="25"/>
    </row>
    <row r="400" spans="1:2" ht="15.75" thickBot="1" x14ac:dyDescent="0.3">
      <c r="A400" s="28"/>
      <c r="B400" s="25"/>
    </row>
    <row r="401" spans="1:2" ht="15.75" thickBot="1" x14ac:dyDescent="0.3">
      <c r="A401" s="28"/>
      <c r="B401" s="25"/>
    </row>
    <row r="402" spans="1:2" ht="15.75" thickBot="1" x14ac:dyDescent="0.3">
      <c r="A402" s="28"/>
      <c r="B402" s="25"/>
    </row>
    <row r="403" spans="1:2" ht="15.75" thickBot="1" x14ac:dyDescent="0.3">
      <c r="A403" s="28"/>
      <c r="B403" s="25"/>
    </row>
    <row r="404" spans="1:2" ht="15.75" thickBot="1" x14ac:dyDescent="0.3">
      <c r="A404" s="28"/>
      <c r="B404" s="25"/>
    </row>
    <row r="405" spans="1:2" ht="15.75" thickBot="1" x14ac:dyDescent="0.3">
      <c r="A405" s="28"/>
      <c r="B405" s="25"/>
    </row>
    <row r="406" spans="1:2" ht="15.75" thickBot="1" x14ac:dyDescent="0.3">
      <c r="A406" s="28"/>
      <c r="B406" s="25"/>
    </row>
    <row r="407" spans="1:2" ht="15.75" thickBot="1" x14ac:dyDescent="0.3">
      <c r="A407" s="28"/>
      <c r="B407" s="25"/>
    </row>
    <row r="408" spans="1:2" ht="15.75" thickBot="1" x14ac:dyDescent="0.3">
      <c r="A408" s="28"/>
      <c r="B408" s="25"/>
    </row>
    <row r="409" spans="1:2" ht="15.75" thickBot="1" x14ac:dyDescent="0.3">
      <c r="A409" s="28"/>
      <c r="B409" s="25"/>
    </row>
    <row r="410" spans="1:2" ht="15.75" thickBot="1" x14ac:dyDescent="0.3">
      <c r="A410" s="28"/>
      <c r="B410" s="25"/>
    </row>
    <row r="411" spans="1:2" ht="15.75" thickBot="1" x14ac:dyDescent="0.3">
      <c r="A411" s="28"/>
      <c r="B411" s="25"/>
    </row>
    <row r="412" spans="1:2" ht="15.75" thickBot="1" x14ac:dyDescent="0.3">
      <c r="A412" s="28"/>
      <c r="B412" s="25"/>
    </row>
    <row r="413" spans="1:2" ht="15.75" thickBot="1" x14ac:dyDescent="0.3">
      <c r="A413" s="28"/>
      <c r="B413" s="25"/>
    </row>
    <row r="414" spans="1:2" ht="15.75" thickBot="1" x14ac:dyDescent="0.3">
      <c r="A414" s="28"/>
      <c r="B414" s="25"/>
    </row>
    <row r="415" spans="1:2" ht="15.75" thickBot="1" x14ac:dyDescent="0.3">
      <c r="A415" s="28"/>
      <c r="B415" s="25"/>
    </row>
    <row r="416" spans="1:2" ht="15.75" thickBot="1" x14ac:dyDescent="0.3">
      <c r="A416" s="28"/>
      <c r="B416" s="25"/>
    </row>
    <row r="417" spans="1:2" ht="15.75" thickBot="1" x14ac:dyDescent="0.3">
      <c r="A417" s="28"/>
      <c r="B417" s="25"/>
    </row>
    <row r="418" spans="1:2" ht="15.75" thickBot="1" x14ac:dyDescent="0.3">
      <c r="A418" s="28"/>
      <c r="B418" s="25"/>
    </row>
    <row r="419" spans="1:2" ht="15.75" thickBot="1" x14ac:dyDescent="0.3">
      <c r="A419" s="28"/>
      <c r="B419" s="25"/>
    </row>
    <row r="420" spans="1:2" ht="15.75" thickBot="1" x14ac:dyDescent="0.3">
      <c r="A420" s="28"/>
      <c r="B420" s="25"/>
    </row>
    <row r="421" spans="1:2" ht="15.75" thickBot="1" x14ac:dyDescent="0.3">
      <c r="A421" s="28"/>
      <c r="B421" s="25"/>
    </row>
    <row r="422" spans="1:2" ht="15.75" thickBot="1" x14ac:dyDescent="0.3">
      <c r="A422" s="28"/>
      <c r="B422" s="25"/>
    </row>
    <row r="423" spans="1:2" ht="15.75" thickBot="1" x14ac:dyDescent="0.3">
      <c r="A423" s="28"/>
      <c r="B423" s="25"/>
    </row>
    <row r="424" spans="1:2" ht="15.75" thickBot="1" x14ac:dyDescent="0.3">
      <c r="A424" s="28"/>
      <c r="B424" s="25"/>
    </row>
    <row r="425" spans="1:2" ht="15.75" thickBot="1" x14ac:dyDescent="0.3">
      <c r="A425" s="28"/>
      <c r="B425" s="25"/>
    </row>
    <row r="426" spans="1:2" ht="15.75" thickBot="1" x14ac:dyDescent="0.3">
      <c r="A426" s="28"/>
      <c r="B426" s="25"/>
    </row>
    <row r="427" spans="1:2" ht="15.75" thickBot="1" x14ac:dyDescent="0.3">
      <c r="A427" s="28"/>
      <c r="B427" s="25"/>
    </row>
    <row r="428" spans="1:2" ht="15.75" thickBot="1" x14ac:dyDescent="0.3">
      <c r="A428" s="28"/>
      <c r="B428" s="25"/>
    </row>
    <row r="429" spans="1:2" ht="15.75" thickBot="1" x14ac:dyDescent="0.3">
      <c r="A429" s="28"/>
      <c r="B429" s="25"/>
    </row>
    <row r="430" spans="1:2" ht="15.75" thickBot="1" x14ac:dyDescent="0.3">
      <c r="A430" s="28"/>
      <c r="B430" s="25"/>
    </row>
    <row r="431" spans="1:2" ht="15.75" thickBot="1" x14ac:dyDescent="0.3">
      <c r="A431" s="28"/>
      <c r="B431" s="25"/>
    </row>
    <row r="432" spans="1:2" ht="15.75" thickBot="1" x14ac:dyDescent="0.3">
      <c r="A432" s="28"/>
      <c r="B432" s="25"/>
    </row>
    <row r="433" spans="1:2" ht="15.75" thickBot="1" x14ac:dyDescent="0.3">
      <c r="A433" s="28"/>
      <c r="B433" s="25"/>
    </row>
    <row r="434" spans="1:2" ht="15.75" thickBot="1" x14ac:dyDescent="0.3">
      <c r="A434" s="28"/>
      <c r="B434" s="25"/>
    </row>
    <row r="435" spans="1:2" ht="15.75" thickBot="1" x14ac:dyDescent="0.3">
      <c r="A435" s="28"/>
      <c r="B435" s="25"/>
    </row>
    <row r="436" spans="1:2" ht="15.75" thickBot="1" x14ac:dyDescent="0.3">
      <c r="A436" s="28"/>
      <c r="B436" s="25"/>
    </row>
    <row r="437" spans="1:2" ht="15.75" thickBot="1" x14ac:dyDescent="0.3">
      <c r="A437" s="28"/>
      <c r="B437" s="25"/>
    </row>
    <row r="438" spans="1:2" ht="15.75" thickBot="1" x14ac:dyDescent="0.3">
      <c r="A438" s="28"/>
      <c r="B438" s="25"/>
    </row>
    <row r="439" spans="1:2" ht="15.75" thickBot="1" x14ac:dyDescent="0.3">
      <c r="A439" s="28"/>
      <c r="B439" s="25"/>
    </row>
    <row r="440" spans="1:2" ht="15.75" thickBot="1" x14ac:dyDescent="0.3">
      <c r="A440" s="28"/>
      <c r="B440" s="25"/>
    </row>
    <row r="441" spans="1:2" ht="15.75" thickBot="1" x14ac:dyDescent="0.3">
      <c r="A441" s="28"/>
      <c r="B441" s="25"/>
    </row>
    <row r="442" spans="1:2" ht="15.75" thickBot="1" x14ac:dyDescent="0.3">
      <c r="A442" s="28"/>
      <c r="B442" s="25"/>
    </row>
    <row r="443" spans="1:2" ht="15.75" thickBot="1" x14ac:dyDescent="0.3">
      <c r="A443" s="28"/>
      <c r="B443" s="25"/>
    </row>
    <row r="444" spans="1:2" ht="15.75" thickBot="1" x14ac:dyDescent="0.3">
      <c r="A444" s="28"/>
      <c r="B444" s="25"/>
    </row>
    <row r="445" spans="1:2" ht="15.75" thickBot="1" x14ac:dyDescent="0.3">
      <c r="A445" s="28"/>
      <c r="B445" s="25"/>
    </row>
    <row r="446" spans="1:2" ht="15.75" thickBot="1" x14ac:dyDescent="0.3">
      <c r="A446" s="28"/>
      <c r="B446" s="25"/>
    </row>
    <row r="447" spans="1:2" ht="15.75" thickBot="1" x14ac:dyDescent="0.3">
      <c r="A447" s="28"/>
      <c r="B447" s="25"/>
    </row>
    <row r="448" spans="1:2" ht="15.75" thickBot="1" x14ac:dyDescent="0.3">
      <c r="A448" s="28"/>
      <c r="B448" s="25"/>
    </row>
    <row r="449" spans="1:2" ht="15.75" thickBot="1" x14ac:dyDescent="0.3">
      <c r="A449" s="28"/>
      <c r="B449" s="25"/>
    </row>
    <row r="450" spans="1:2" ht="15.75" thickBot="1" x14ac:dyDescent="0.3">
      <c r="A450" s="28"/>
      <c r="B450" s="25"/>
    </row>
    <row r="451" spans="1:2" ht="15.75" thickBot="1" x14ac:dyDescent="0.3">
      <c r="A451" s="28"/>
      <c r="B451" s="25"/>
    </row>
    <row r="452" spans="1:2" ht="15.75" thickBot="1" x14ac:dyDescent="0.3">
      <c r="A452" s="28"/>
      <c r="B452" s="25"/>
    </row>
    <row r="453" spans="1:2" ht="15.75" thickBot="1" x14ac:dyDescent="0.3">
      <c r="A453" s="28"/>
      <c r="B453" s="25"/>
    </row>
    <row r="454" spans="1:2" ht="15.75" thickBot="1" x14ac:dyDescent="0.3">
      <c r="A454" s="28"/>
      <c r="B454" s="25"/>
    </row>
    <row r="455" spans="1:2" ht="15.75" thickBot="1" x14ac:dyDescent="0.3">
      <c r="A455" s="28"/>
      <c r="B455" s="25"/>
    </row>
    <row r="456" spans="1:2" ht="15.75" thickBot="1" x14ac:dyDescent="0.3">
      <c r="A456" s="28"/>
      <c r="B456" s="25"/>
    </row>
    <row r="457" spans="1:2" ht="15.75" thickBot="1" x14ac:dyDescent="0.3">
      <c r="A457" s="28"/>
      <c r="B457" s="25"/>
    </row>
    <row r="458" spans="1:2" ht="15.75" thickBot="1" x14ac:dyDescent="0.3">
      <c r="A458" s="28"/>
      <c r="B458" s="25"/>
    </row>
    <row r="459" spans="1:2" ht="15.75" thickBot="1" x14ac:dyDescent="0.3">
      <c r="A459" s="28"/>
      <c r="B459" s="25"/>
    </row>
    <row r="460" spans="1:2" ht="15.75" thickBot="1" x14ac:dyDescent="0.3">
      <c r="A460" s="28"/>
      <c r="B460" s="25"/>
    </row>
    <row r="461" spans="1:2" ht="15.75" thickBot="1" x14ac:dyDescent="0.3">
      <c r="A461" s="28"/>
      <c r="B461" s="25"/>
    </row>
    <row r="462" spans="1:2" ht="15.75" thickBot="1" x14ac:dyDescent="0.3">
      <c r="A462" s="28"/>
      <c r="B462" s="25"/>
    </row>
    <row r="463" spans="1:2" ht="15.75" thickBot="1" x14ac:dyDescent="0.3">
      <c r="A463" s="28"/>
      <c r="B463" s="25"/>
    </row>
    <row r="464" spans="1:2" ht="15.75" thickBot="1" x14ac:dyDescent="0.3">
      <c r="A464" s="28"/>
      <c r="B464" s="25"/>
    </row>
    <row r="465" spans="1:2" ht="15.75" thickBot="1" x14ac:dyDescent="0.3">
      <c r="A465" s="28"/>
      <c r="B465" s="25"/>
    </row>
    <row r="466" spans="1:2" ht="15.75" thickBot="1" x14ac:dyDescent="0.3">
      <c r="A466" s="28"/>
      <c r="B466" s="25"/>
    </row>
    <row r="467" spans="1:2" ht="15.75" thickBot="1" x14ac:dyDescent="0.3">
      <c r="A467" s="28"/>
      <c r="B467" s="25"/>
    </row>
    <row r="468" spans="1:2" ht="15.75" thickBot="1" x14ac:dyDescent="0.3">
      <c r="A468" s="28"/>
      <c r="B468" s="25"/>
    </row>
    <row r="469" spans="1:2" ht="15.75" thickBot="1" x14ac:dyDescent="0.3">
      <c r="A469" s="28"/>
      <c r="B469" s="25"/>
    </row>
    <row r="470" spans="1:2" ht="15.75" thickBot="1" x14ac:dyDescent="0.3">
      <c r="A470" s="28"/>
      <c r="B470" s="25"/>
    </row>
    <row r="471" spans="1:2" ht="15.75" thickBot="1" x14ac:dyDescent="0.3">
      <c r="A471" s="28"/>
      <c r="B471" s="25"/>
    </row>
    <row r="472" spans="1:2" ht="15.75" thickBot="1" x14ac:dyDescent="0.3">
      <c r="A472" s="28"/>
      <c r="B472" s="25"/>
    </row>
    <row r="473" spans="1:2" ht="15.75" thickBot="1" x14ac:dyDescent="0.3">
      <c r="A473" s="28"/>
      <c r="B473" s="25"/>
    </row>
    <row r="474" spans="1:2" ht="15.75" thickBot="1" x14ac:dyDescent="0.3">
      <c r="A474" s="28"/>
      <c r="B474" s="25"/>
    </row>
    <row r="475" spans="1:2" ht="15.75" thickBot="1" x14ac:dyDescent="0.3">
      <c r="A475" s="28"/>
      <c r="B475" s="25"/>
    </row>
    <row r="476" spans="1:2" ht="15.75" thickBot="1" x14ac:dyDescent="0.3">
      <c r="A476" s="28"/>
      <c r="B476" s="25"/>
    </row>
    <row r="477" spans="1:2" ht="15.75" thickBot="1" x14ac:dyDescent="0.3">
      <c r="A477" s="28"/>
      <c r="B477" s="25"/>
    </row>
    <row r="478" spans="1:2" ht="15.75" thickBot="1" x14ac:dyDescent="0.3">
      <c r="A478" s="28"/>
      <c r="B478" s="25"/>
    </row>
    <row r="479" spans="1:2" ht="15.75" thickBot="1" x14ac:dyDescent="0.3">
      <c r="A479" s="28"/>
      <c r="B479" s="25"/>
    </row>
    <row r="480" spans="1:2" ht="15.75" thickBot="1" x14ac:dyDescent="0.3">
      <c r="A480" s="28"/>
      <c r="B480" s="25"/>
    </row>
    <row r="481" spans="1:2" ht="15.75" thickBot="1" x14ac:dyDescent="0.3">
      <c r="A481" s="28"/>
      <c r="B481" s="25"/>
    </row>
    <row r="482" spans="1:2" ht="15.75" thickBot="1" x14ac:dyDescent="0.3">
      <c r="A482" s="28"/>
      <c r="B482" s="25"/>
    </row>
    <row r="483" spans="1:2" ht="15.75" thickBot="1" x14ac:dyDescent="0.3">
      <c r="A483" s="28"/>
      <c r="B483" s="25"/>
    </row>
    <row r="484" spans="1:2" ht="15.75" thickBot="1" x14ac:dyDescent="0.3">
      <c r="A484" s="28"/>
      <c r="B484" s="25"/>
    </row>
    <row r="485" spans="1:2" ht="15.75" thickBot="1" x14ac:dyDescent="0.3">
      <c r="A485" s="28"/>
      <c r="B485" s="25"/>
    </row>
    <row r="486" spans="1:2" ht="15.75" thickBot="1" x14ac:dyDescent="0.3">
      <c r="A486" s="28"/>
      <c r="B486" s="25"/>
    </row>
    <row r="487" spans="1:2" ht="15.75" thickBot="1" x14ac:dyDescent="0.3">
      <c r="A487" s="28"/>
      <c r="B487" s="25"/>
    </row>
    <row r="488" spans="1:2" ht="15.75" thickBot="1" x14ac:dyDescent="0.3">
      <c r="A488" s="28"/>
      <c r="B488" s="25"/>
    </row>
    <row r="489" spans="1:2" ht="15.75" thickBot="1" x14ac:dyDescent="0.3">
      <c r="A489" s="28"/>
      <c r="B489" s="25"/>
    </row>
    <row r="490" spans="1:2" ht="15.75" thickBot="1" x14ac:dyDescent="0.3">
      <c r="A490" s="28"/>
      <c r="B490" s="25"/>
    </row>
    <row r="491" spans="1:2" ht="15.75" thickBot="1" x14ac:dyDescent="0.3">
      <c r="A491" s="28"/>
      <c r="B491" s="25"/>
    </row>
    <row r="492" spans="1:2" ht="15.75" thickBot="1" x14ac:dyDescent="0.3">
      <c r="A492" s="28"/>
      <c r="B492" s="25"/>
    </row>
    <row r="493" spans="1:2" ht="15.75" thickBot="1" x14ac:dyDescent="0.3">
      <c r="A493" s="28"/>
      <c r="B493" s="25"/>
    </row>
    <row r="494" spans="1:2" ht="15.75" thickBot="1" x14ac:dyDescent="0.3">
      <c r="A494" s="28"/>
      <c r="B494" s="25"/>
    </row>
    <row r="495" spans="1:2" ht="15.75" thickBot="1" x14ac:dyDescent="0.3">
      <c r="A495" s="28"/>
      <c r="B495" s="25"/>
    </row>
    <row r="496" spans="1:2" ht="15.75" thickBot="1" x14ac:dyDescent="0.3">
      <c r="A496" s="28"/>
      <c r="B496" s="25"/>
    </row>
    <row r="497" spans="1:2" ht="15.75" thickBot="1" x14ac:dyDescent="0.3">
      <c r="A497" s="28"/>
      <c r="B497" s="25"/>
    </row>
    <row r="498" spans="1:2" ht="15.75" thickBot="1" x14ac:dyDescent="0.3">
      <c r="A498" s="28"/>
      <c r="B498" s="25"/>
    </row>
    <row r="499" spans="1:2" ht="15.75" thickBot="1" x14ac:dyDescent="0.3">
      <c r="A499" s="28"/>
      <c r="B499" s="25"/>
    </row>
    <row r="500" spans="1:2" ht="15.75" thickBot="1" x14ac:dyDescent="0.3">
      <c r="A500" s="28"/>
      <c r="B500" s="25"/>
    </row>
    <row r="501" spans="1:2" ht="15.75" thickBot="1" x14ac:dyDescent="0.3">
      <c r="A501" s="28"/>
      <c r="B501" s="25"/>
    </row>
    <row r="502" spans="1:2" ht="15.75" thickBot="1" x14ac:dyDescent="0.3">
      <c r="A502" s="28"/>
      <c r="B502" s="25"/>
    </row>
    <row r="503" spans="1:2" ht="15.75" thickBot="1" x14ac:dyDescent="0.3">
      <c r="A503" s="28"/>
      <c r="B503" s="25"/>
    </row>
    <row r="504" spans="1:2" ht="15.75" thickBot="1" x14ac:dyDescent="0.3">
      <c r="A504" s="28"/>
      <c r="B504" s="25"/>
    </row>
    <row r="505" spans="1:2" ht="15.75" thickBot="1" x14ac:dyDescent="0.3">
      <c r="A505" s="28"/>
      <c r="B505" s="25"/>
    </row>
    <row r="506" spans="1:2" ht="15.75" thickBot="1" x14ac:dyDescent="0.3">
      <c r="A506" s="28"/>
      <c r="B506" s="25"/>
    </row>
    <row r="507" spans="1:2" ht="15.75" thickBot="1" x14ac:dyDescent="0.3">
      <c r="A507" s="28"/>
      <c r="B507" s="25"/>
    </row>
    <row r="508" spans="1:2" ht="15.75" thickBot="1" x14ac:dyDescent="0.3">
      <c r="A508" s="28"/>
      <c r="B508" s="25"/>
    </row>
    <row r="509" spans="1:2" ht="15.75" thickBot="1" x14ac:dyDescent="0.3">
      <c r="A509" s="28"/>
      <c r="B509" s="25"/>
    </row>
    <row r="510" spans="1:2" ht="15.75" thickBot="1" x14ac:dyDescent="0.3">
      <c r="A510" s="28"/>
      <c r="B510" s="25"/>
    </row>
    <row r="511" spans="1:2" ht="15.75" thickBot="1" x14ac:dyDescent="0.3">
      <c r="A511" s="28"/>
      <c r="B511" s="25"/>
    </row>
    <row r="512" spans="1:2" ht="15.75" thickBot="1" x14ac:dyDescent="0.3">
      <c r="A512" s="28"/>
      <c r="B512" s="25"/>
    </row>
    <row r="513" spans="1:2" ht="15.75" thickBot="1" x14ac:dyDescent="0.3">
      <c r="A513" s="28"/>
      <c r="B513" s="25"/>
    </row>
    <row r="514" spans="1:2" ht="15.75" thickBot="1" x14ac:dyDescent="0.3">
      <c r="A514" s="28"/>
      <c r="B514" s="25"/>
    </row>
    <row r="515" spans="1:2" ht="15.75" thickBot="1" x14ac:dyDescent="0.3">
      <c r="A515" s="28"/>
      <c r="B515" s="25"/>
    </row>
    <row r="516" spans="1:2" ht="15.75" thickBot="1" x14ac:dyDescent="0.3">
      <c r="A516" s="28"/>
      <c r="B516" s="25"/>
    </row>
    <row r="517" spans="1:2" ht="15.75" thickBot="1" x14ac:dyDescent="0.3">
      <c r="A517" s="28"/>
      <c r="B517" s="25"/>
    </row>
    <row r="518" spans="1:2" ht="15.75" thickBot="1" x14ac:dyDescent="0.3">
      <c r="A518" s="28"/>
      <c r="B518" s="25"/>
    </row>
    <row r="519" spans="1:2" ht="15.75" thickBot="1" x14ac:dyDescent="0.3">
      <c r="A519" s="28"/>
      <c r="B519" s="25"/>
    </row>
    <row r="520" spans="1:2" ht="15.75" thickBot="1" x14ac:dyDescent="0.3">
      <c r="A520" s="28"/>
      <c r="B520" s="25"/>
    </row>
    <row r="521" spans="1:2" ht="15.75" thickBot="1" x14ac:dyDescent="0.3">
      <c r="A521" s="28"/>
      <c r="B521" s="25"/>
    </row>
    <row r="522" spans="1:2" ht="15.75" thickBot="1" x14ac:dyDescent="0.3">
      <c r="A522" s="28"/>
      <c r="B522" s="25"/>
    </row>
    <row r="523" spans="1:2" ht="15.75" thickBot="1" x14ac:dyDescent="0.3">
      <c r="A523" s="28"/>
      <c r="B523" s="25"/>
    </row>
    <row r="524" spans="1:2" ht="15.75" thickBot="1" x14ac:dyDescent="0.3">
      <c r="A524" s="28"/>
      <c r="B524" s="25"/>
    </row>
    <row r="525" spans="1:2" ht="15.75" thickBot="1" x14ac:dyDescent="0.3">
      <c r="A525" s="28"/>
      <c r="B525" s="25"/>
    </row>
    <row r="526" spans="1:2" ht="15.75" thickBot="1" x14ac:dyDescent="0.3">
      <c r="A526" s="28"/>
      <c r="B526" s="25"/>
    </row>
    <row r="527" spans="1:2" ht="15.75" thickBot="1" x14ac:dyDescent="0.3">
      <c r="A527" s="28"/>
      <c r="B527" s="25"/>
    </row>
    <row r="528" spans="1:2" ht="15.75" thickBot="1" x14ac:dyDescent="0.3">
      <c r="A528" s="28"/>
      <c r="B528" s="25"/>
    </row>
    <row r="529" spans="1:2" ht="15.75" thickBot="1" x14ac:dyDescent="0.3">
      <c r="A529" s="28"/>
      <c r="B529" s="25"/>
    </row>
    <row r="530" spans="1:2" ht="15.75" thickBot="1" x14ac:dyDescent="0.3">
      <c r="A530" s="28"/>
      <c r="B530" s="25"/>
    </row>
    <row r="531" spans="1:2" ht="15.75" thickBot="1" x14ac:dyDescent="0.3">
      <c r="A531" s="28"/>
      <c r="B531" s="25"/>
    </row>
    <row r="532" spans="1:2" ht="15.75" thickBot="1" x14ac:dyDescent="0.3">
      <c r="A532" s="28"/>
      <c r="B532" s="25"/>
    </row>
    <row r="533" spans="1:2" ht="15.75" thickBot="1" x14ac:dyDescent="0.3">
      <c r="A533" s="28"/>
      <c r="B533" s="25"/>
    </row>
    <row r="534" spans="1:2" ht="15.75" thickBot="1" x14ac:dyDescent="0.3">
      <c r="A534" s="28"/>
      <c r="B534" s="25"/>
    </row>
    <row r="535" spans="1:2" ht="15.75" thickBot="1" x14ac:dyDescent="0.3">
      <c r="A535" s="28"/>
      <c r="B535" s="25"/>
    </row>
    <row r="536" spans="1:2" ht="15.75" thickBot="1" x14ac:dyDescent="0.3">
      <c r="A536" s="28"/>
      <c r="B536" s="25"/>
    </row>
    <row r="537" spans="1:2" ht="15.75" thickBot="1" x14ac:dyDescent="0.3">
      <c r="A537" s="28"/>
      <c r="B537" s="25"/>
    </row>
    <row r="538" spans="1:2" ht="15.75" thickBot="1" x14ac:dyDescent="0.3">
      <c r="A538" s="28"/>
      <c r="B538" s="25"/>
    </row>
    <row r="539" spans="1:2" ht="15.75" thickBot="1" x14ac:dyDescent="0.3">
      <c r="A539" s="28"/>
      <c r="B539" s="25"/>
    </row>
    <row r="540" spans="1:2" ht="15.75" thickBot="1" x14ac:dyDescent="0.3">
      <c r="A540" s="28"/>
      <c r="B540" s="25"/>
    </row>
    <row r="541" spans="1:2" ht="15.75" thickBot="1" x14ac:dyDescent="0.3">
      <c r="A541" s="28"/>
      <c r="B541" s="25"/>
    </row>
    <row r="542" spans="1:2" ht="15.75" thickBot="1" x14ac:dyDescent="0.3">
      <c r="A542" s="28"/>
      <c r="B542" s="25"/>
    </row>
    <row r="543" spans="1:2" ht="15.75" thickBot="1" x14ac:dyDescent="0.3">
      <c r="A543" s="28"/>
      <c r="B543" s="25"/>
    </row>
    <row r="544" spans="1:2" ht="15.75" thickBot="1" x14ac:dyDescent="0.3">
      <c r="A544" s="28"/>
      <c r="B544" s="25"/>
    </row>
    <row r="545" spans="1:2" ht="15.75" thickBot="1" x14ac:dyDescent="0.3">
      <c r="A545" s="28"/>
      <c r="B545" s="25"/>
    </row>
    <row r="546" spans="1:2" ht="15.75" thickBot="1" x14ac:dyDescent="0.3">
      <c r="A546" s="28"/>
      <c r="B546" s="25"/>
    </row>
    <row r="547" spans="1:2" ht="15.75" thickBot="1" x14ac:dyDescent="0.3">
      <c r="A547" s="28"/>
      <c r="B547" s="25"/>
    </row>
    <row r="548" spans="1:2" ht="15.75" thickBot="1" x14ac:dyDescent="0.3">
      <c r="A548" s="28"/>
      <c r="B548" s="25"/>
    </row>
    <row r="549" spans="1:2" ht="15.75" thickBot="1" x14ac:dyDescent="0.3">
      <c r="A549" s="28"/>
      <c r="B549" s="25"/>
    </row>
    <row r="550" spans="1:2" ht="15.75" thickBot="1" x14ac:dyDescent="0.3">
      <c r="A550" s="28"/>
      <c r="B550" s="25"/>
    </row>
    <row r="551" spans="1:2" ht="15.75" thickBot="1" x14ac:dyDescent="0.3">
      <c r="A551" s="28"/>
      <c r="B551" s="25"/>
    </row>
    <row r="552" spans="1:2" ht="15.75" thickBot="1" x14ac:dyDescent="0.3">
      <c r="A552" s="28"/>
      <c r="B552" s="25"/>
    </row>
    <row r="553" spans="1:2" ht="15.75" thickBot="1" x14ac:dyDescent="0.3">
      <c r="A553" s="28"/>
      <c r="B553" s="25"/>
    </row>
    <row r="554" spans="1:2" ht="15.75" thickBot="1" x14ac:dyDescent="0.3">
      <c r="A554" s="28"/>
      <c r="B554" s="25"/>
    </row>
    <row r="555" spans="1:2" ht="15.75" thickBot="1" x14ac:dyDescent="0.3">
      <c r="A555" s="28"/>
      <c r="B555" s="25"/>
    </row>
    <row r="556" spans="1:2" ht="15.75" thickBot="1" x14ac:dyDescent="0.3">
      <c r="A556" s="28"/>
      <c r="B556" s="25"/>
    </row>
    <row r="557" spans="1:2" ht="15.75" thickBot="1" x14ac:dyDescent="0.3">
      <c r="A557" s="28"/>
      <c r="B557" s="25"/>
    </row>
    <row r="558" spans="1:2" ht="15.75" thickBot="1" x14ac:dyDescent="0.3">
      <c r="A558" s="28"/>
      <c r="B558" s="25"/>
    </row>
    <row r="559" spans="1:2" ht="15.75" thickBot="1" x14ac:dyDescent="0.3">
      <c r="A559" s="28"/>
      <c r="B559" s="25"/>
    </row>
    <row r="560" spans="1:2" ht="15.75" thickBot="1" x14ac:dyDescent="0.3">
      <c r="A560" s="28"/>
      <c r="B560" s="25"/>
    </row>
    <row r="561" spans="1:2" ht="15.75" thickBot="1" x14ac:dyDescent="0.3">
      <c r="A561" s="28"/>
      <c r="B561" s="25"/>
    </row>
    <row r="562" spans="1:2" ht="15.75" thickBot="1" x14ac:dyDescent="0.3">
      <c r="A562" s="28"/>
      <c r="B562" s="25"/>
    </row>
    <row r="563" spans="1:2" ht="15.75" thickBot="1" x14ac:dyDescent="0.3">
      <c r="A563" s="28"/>
      <c r="B563" s="25"/>
    </row>
    <row r="564" spans="1:2" ht="15.75" thickBot="1" x14ac:dyDescent="0.3">
      <c r="A564" s="28"/>
      <c r="B564" s="25"/>
    </row>
    <row r="565" spans="1:2" ht="15.75" thickBot="1" x14ac:dyDescent="0.3">
      <c r="A565" s="28"/>
      <c r="B565" s="25"/>
    </row>
    <row r="566" spans="1:2" ht="15.75" thickBot="1" x14ac:dyDescent="0.3">
      <c r="A566" s="28"/>
      <c r="B566" s="25"/>
    </row>
    <row r="567" spans="1:2" ht="15.75" thickBot="1" x14ac:dyDescent="0.3">
      <c r="A567" s="28"/>
      <c r="B567" s="25"/>
    </row>
    <row r="568" spans="1:2" ht="15.75" thickBot="1" x14ac:dyDescent="0.3">
      <c r="A568" s="28"/>
      <c r="B568" s="25"/>
    </row>
    <row r="569" spans="1:2" ht="15.75" thickBot="1" x14ac:dyDescent="0.3">
      <c r="A569" s="28"/>
      <c r="B569" s="25"/>
    </row>
    <row r="570" spans="1:2" ht="15.75" thickBot="1" x14ac:dyDescent="0.3">
      <c r="A570" s="28"/>
      <c r="B570" s="25"/>
    </row>
    <row r="571" spans="1:2" ht="15.75" thickBot="1" x14ac:dyDescent="0.3">
      <c r="A571" s="28"/>
      <c r="B571" s="25"/>
    </row>
    <row r="572" spans="1:2" ht="15.75" thickBot="1" x14ac:dyDescent="0.3">
      <c r="A572" s="28"/>
      <c r="B572" s="25"/>
    </row>
    <row r="573" spans="1:2" ht="15.75" thickBot="1" x14ac:dyDescent="0.3">
      <c r="A573" s="28"/>
      <c r="B573" s="25"/>
    </row>
    <row r="574" spans="1:2" ht="15.75" thickBot="1" x14ac:dyDescent="0.3">
      <c r="A574" s="28"/>
      <c r="B574" s="25"/>
    </row>
    <row r="575" spans="1:2" ht="15.75" thickBot="1" x14ac:dyDescent="0.3">
      <c r="A575" s="28"/>
      <c r="B575" s="25"/>
    </row>
    <row r="576" spans="1:2" ht="15.75" thickBot="1" x14ac:dyDescent="0.3">
      <c r="A576" s="28"/>
      <c r="B576" s="25"/>
    </row>
    <row r="577" spans="1:2" ht="15.75" thickBot="1" x14ac:dyDescent="0.3">
      <c r="A577" s="28"/>
      <c r="B577" s="25"/>
    </row>
    <row r="578" spans="1:2" ht="15.75" thickBot="1" x14ac:dyDescent="0.3">
      <c r="A578" s="28"/>
      <c r="B578" s="25"/>
    </row>
    <row r="579" spans="1:2" ht="15.75" thickBot="1" x14ac:dyDescent="0.3">
      <c r="A579" s="28"/>
      <c r="B579" s="25"/>
    </row>
    <row r="580" spans="1:2" ht="15.75" thickBot="1" x14ac:dyDescent="0.3">
      <c r="A580" s="28"/>
      <c r="B580" s="25"/>
    </row>
    <row r="581" spans="1:2" ht="15.75" thickBot="1" x14ac:dyDescent="0.3">
      <c r="A581" s="28"/>
      <c r="B581" s="25"/>
    </row>
    <row r="582" spans="1:2" ht="15.75" thickBot="1" x14ac:dyDescent="0.3">
      <c r="A582" s="28"/>
      <c r="B582" s="25"/>
    </row>
    <row r="583" spans="1:2" ht="15.75" thickBot="1" x14ac:dyDescent="0.3">
      <c r="A583" s="28"/>
      <c r="B583" s="25"/>
    </row>
    <row r="584" spans="1:2" ht="15.75" thickBot="1" x14ac:dyDescent="0.3">
      <c r="A584" s="28"/>
      <c r="B584" s="25"/>
    </row>
    <row r="585" spans="1:2" ht="15.75" thickBot="1" x14ac:dyDescent="0.3">
      <c r="A585" s="28"/>
      <c r="B585" s="25"/>
    </row>
    <row r="586" spans="1:2" ht="15.75" thickBot="1" x14ac:dyDescent="0.3">
      <c r="A586" s="28"/>
      <c r="B586" s="25"/>
    </row>
    <row r="587" spans="1:2" ht="15.75" thickBot="1" x14ac:dyDescent="0.3">
      <c r="A587" s="28"/>
      <c r="B587" s="25"/>
    </row>
    <row r="588" spans="1:2" ht="15.75" thickBot="1" x14ac:dyDescent="0.3">
      <c r="A588" s="28"/>
      <c r="B588" s="25"/>
    </row>
    <row r="589" spans="1:2" ht="15.75" thickBot="1" x14ac:dyDescent="0.3">
      <c r="A589" s="28"/>
      <c r="B589" s="25"/>
    </row>
    <row r="590" spans="1:2" ht="15.75" thickBot="1" x14ac:dyDescent="0.3">
      <c r="A590" s="28"/>
      <c r="B590" s="25"/>
    </row>
    <row r="591" spans="1:2" ht="15.75" thickBot="1" x14ac:dyDescent="0.3">
      <c r="A591" s="28"/>
      <c r="B591" s="25"/>
    </row>
    <row r="592" spans="1:2" ht="15.75" thickBot="1" x14ac:dyDescent="0.3">
      <c r="A592" s="28"/>
      <c r="B592" s="25"/>
    </row>
    <row r="593" spans="1:2" ht="15.75" thickBot="1" x14ac:dyDescent="0.3">
      <c r="A593" s="28"/>
      <c r="B593" s="25"/>
    </row>
    <row r="594" spans="1:2" ht="15.75" thickBot="1" x14ac:dyDescent="0.3">
      <c r="A594" s="28"/>
      <c r="B594" s="25"/>
    </row>
    <row r="595" spans="1:2" ht="15.75" thickBot="1" x14ac:dyDescent="0.3">
      <c r="A595" s="28"/>
      <c r="B595" s="25"/>
    </row>
    <row r="596" spans="1:2" ht="15.75" thickBot="1" x14ac:dyDescent="0.3">
      <c r="A596" s="28"/>
      <c r="B596" s="25"/>
    </row>
    <row r="597" spans="1:2" ht="15.75" thickBot="1" x14ac:dyDescent="0.3">
      <c r="A597" s="28"/>
      <c r="B597" s="25"/>
    </row>
    <row r="598" spans="1:2" ht="15.75" thickBot="1" x14ac:dyDescent="0.3">
      <c r="A598" s="28"/>
      <c r="B598" s="25"/>
    </row>
    <row r="599" spans="1:2" ht="15.75" thickBot="1" x14ac:dyDescent="0.3">
      <c r="A599" s="28"/>
      <c r="B599" s="25"/>
    </row>
    <row r="600" spans="1:2" ht="15.75" thickBot="1" x14ac:dyDescent="0.3">
      <c r="A600" s="28"/>
      <c r="B600" s="25"/>
    </row>
    <row r="601" spans="1:2" ht="15.75" thickBot="1" x14ac:dyDescent="0.3">
      <c r="A601" s="28"/>
      <c r="B601" s="25"/>
    </row>
    <row r="602" spans="1:2" ht="15.75" thickBot="1" x14ac:dyDescent="0.3">
      <c r="A602" s="28"/>
      <c r="B602" s="25"/>
    </row>
    <row r="603" spans="1:2" ht="15.75" thickBot="1" x14ac:dyDescent="0.3">
      <c r="A603" s="28"/>
      <c r="B603" s="25"/>
    </row>
    <row r="604" spans="1:2" ht="15.75" thickBot="1" x14ac:dyDescent="0.3">
      <c r="A604" s="28"/>
      <c r="B604" s="25"/>
    </row>
    <row r="605" spans="1:2" ht="15.75" thickBot="1" x14ac:dyDescent="0.3">
      <c r="A605" s="28"/>
      <c r="B605" s="25"/>
    </row>
    <row r="606" spans="1:2" ht="15.75" thickBot="1" x14ac:dyDescent="0.3">
      <c r="A606" s="28"/>
      <c r="B606" s="25"/>
    </row>
    <row r="607" spans="1:2" ht="15.75" thickBot="1" x14ac:dyDescent="0.3">
      <c r="A607" s="28"/>
      <c r="B607" s="25"/>
    </row>
    <row r="608" spans="1:2" ht="15.75" thickBot="1" x14ac:dyDescent="0.3">
      <c r="A608" s="28"/>
      <c r="B608" s="25"/>
    </row>
    <row r="609" spans="1:2" ht="15.75" thickBot="1" x14ac:dyDescent="0.3">
      <c r="A609" s="28"/>
      <c r="B609" s="25"/>
    </row>
    <row r="610" spans="1:2" ht="15.75" thickBot="1" x14ac:dyDescent="0.3">
      <c r="A610" s="28"/>
      <c r="B610" s="25"/>
    </row>
    <row r="611" spans="1:2" ht="15.75" thickBot="1" x14ac:dyDescent="0.3">
      <c r="A611" s="28"/>
      <c r="B611" s="25"/>
    </row>
    <row r="612" spans="1:2" ht="15.75" thickBot="1" x14ac:dyDescent="0.3">
      <c r="A612" s="28"/>
      <c r="B612" s="25"/>
    </row>
    <row r="613" spans="1:2" ht="15.75" thickBot="1" x14ac:dyDescent="0.3">
      <c r="A613" s="28"/>
      <c r="B613" s="25"/>
    </row>
    <row r="614" spans="1:2" ht="15.75" thickBot="1" x14ac:dyDescent="0.3">
      <c r="A614" s="28"/>
      <c r="B614" s="25"/>
    </row>
    <row r="615" spans="1:2" ht="15.75" thickBot="1" x14ac:dyDescent="0.3">
      <c r="A615" s="28"/>
      <c r="B615" s="25"/>
    </row>
    <row r="616" spans="1:2" ht="15.75" thickBot="1" x14ac:dyDescent="0.3">
      <c r="A616" s="28"/>
      <c r="B616" s="25"/>
    </row>
    <row r="617" spans="1:2" ht="15.75" thickBot="1" x14ac:dyDescent="0.3">
      <c r="A617" s="28"/>
      <c r="B617" s="25"/>
    </row>
    <row r="618" spans="1:2" ht="15.75" thickBot="1" x14ac:dyDescent="0.3">
      <c r="A618" s="28"/>
      <c r="B618" s="25"/>
    </row>
    <row r="619" spans="1:2" ht="15.75" thickBot="1" x14ac:dyDescent="0.3">
      <c r="A619" s="28"/>
      <c r="B619" s="25"/>
    </row>
    <row r="620" spans="1:2" ht="15.75" thickBot="1" x14ac:dyDescent="0.3">
      <c r="A620" s="28"/>
      <c r="B620" s="25"/>
    </row>
    <row r="621" spans="1:2" ht="15.75" thickBot="1" x14ac:dyDescent="0.3">
      <c r="A621" s="28"/>
      <c r="B621" s="25"/>
    </row>
    <row r="622" spans="1:2" ht="15.75" thickBot="1" x14ac:dyDescent="0.3">
      <c r="A622" s="28"/>
      <c r="B622" s="25"/>
    </row>
    <row r="623" spans="1:2" ht="15.75" thickBot="1" x14ac:dyDescent="0.3">
      <c r="A623" s="28"/>
      <c r="B623" s="25"/>
    </row>
    <row r="624" spans="1:2" ht="15.75" thickBot="1" x14ac:dyDescent="0.3">
      <c r="A624" s="28"/>
      <c r="B624" s="25"/>
    </row>
    <row r="625" spans="1:2" ht="15.75" thickBot="1" x14ac:dyDescent="0.3">
      <c r="A625" s="28"/>
      <c r="B625" s="25"/>
    </row>
    <row r="626" spans="1:2" ht="15.75" thickBot="1" x14ac:dyDescent="0.3">
      <c r="A626" s="28"/>
      <c r="B626" s="25"/>
    </row>
    <row r="627" spans="1:2" ht="15.75" thickBot="1" x14ac:dyDescent="0.3">
      <c r="A627" s="28"/>
      <c r="B627" s="25"/>
    </row>
    <row r="628" spans="1:2" ht="15.75" thickBot="1" x14ac:dyDescent="0.3">
      <c r="A628" s="28"/>
      <c r="B628" s="25"/>
    </row>
    <row r="629" spans="1:2" ht="15.75" thickBot="1" x14ac:dyDescent="0.3">
      <c r="A629" s="28"/>
      <c r="B629" s="25"/>
    </row>
    <row r="630" spans="1:2" ht="15.75" thickBot="1" x14ac:dyDescent="0.3">
      <c r="A630" s="28"/>
      <c r="B630" s="25"/>
    </row>
    <row r="631" spans="1:2" ht="15.75" thickBot="1" x14ac:dyDescent="0.3">
      <c r="A631" s="28"/>
      <c r="B631" s="25"/>
    </row>
    <row r="632" spans="1:2" ht="15.75" thickBot="1" x14ac:dyDescent="0.3">
      <c r="A632" s="28"/>
      <c r="B632" s="25"/>
    </row>
    <row r="633" spans="1:2" ht="15.75" thickBot="1" x14ac:dyDescent="0.3">
      <c r="A633" s="28"/>
      <c r="B633" s="25"/>
    </row>
    <row r="634" spans="1:2" ht="15.75" thickBot="1" x14ac:dyDescent="0.3">
      <c r="A634" s="28"/>
      <c r="B634" s="25"/>
    </row>
    <row r="635" spans="1:2" ht="15.75" thickBot="1" x14ac:dyDescent="0.3">
      <c r="A635" s="28"/>
      <c r="B635" s="25"/>
    </row>
    <row r="636" spans="1:2" ht="15.75" thickBot="1" x14ac:dyDescent="0.3">
      <c r="A636" s="28"/>
      <c r="B636" s="25"/>
    </row>
    <row r="637" spans="1:2" ht="15.75" thickBot="1" x14ac:dyDescent="0.3">
      <c r="A637" s="28"/>
      <c r="B637" s="25"/>
    </row>
    <row r="638" spans="1:2" ht="15.75" thickBot="1" x14ac:dyDescent="0.3">
      <c r="A638" s="28"/>
      <c r="B638" s="25"/>
    </row>
    <row r="639" spans="1:2" ht="15.75" thickBot="1" x14ac:dyDescent="0.3">
      <c r="A639" s="28"/>
      <c r="B639" s="25"/>
    </row>
    <row r="640" spans="1:2" ht="15.75" thickBot="1" x14ac:dyDescent="0.3">
      <c r="A640" s="28"/>
      <c r="B640" s="25"/>
    </row>
    <row r="641" spans="1:2" ht="15.75" thickBot="1" x14ac:dyDescent="0.3">
      <c r="A641" s="28"/>
      <c r="B641" s="25"/>
    </row>
    <row r="642" spans="1:2" ht="15.75" thickBot="1" x14ac:dyDescent="0.3">
      <c r="A642" s="28"/>
      <c r="B642" s="25"/>
    </row>
    <row r="643" spans="1:2" ht="15.75" thickBot="1" x14ac:dyDescent="0.3">
      <c r="A643" s="28"/>
      <c r="B643" s="25"/>
    </row>
    <row r="644" spans="1:2" ht="15.75" thickBot="1" x14ac:dyDescent="0.3">
      <c r="A644" s="28"/>
      <c r="B644" s="25"/>
    </row>
    <row r="645" spans="1:2" ht="15.75" thickBot="1" x14ac:dyDescent="0.3">
      <c r="A645" s="28"/>
      <c r="B645" s="25"/>
    </row>
    <row r="646" spans="1:2" ht="15.75" thickBot="1" x14ac:dyDescent="0.3">
      <c r="A646" s="28"/>
      <c r="B646" s="25"/>
    </row>
    <row r="647" spans="1:2" ht="15.75" thickBot="1" x14ac:dyDescent="0.3">
      <c r="A647" s="28"/>
      <c r="B647" s="25"/>
    </row>
    <row r="648" spans="1:2" ht="15.75" thickBot="1" x14ac:dyDescent="0.3">
      <c r="A648" s="28"/>
      <c r="B648" s="25"/>
    </row>
    <row r="649" spans="1:2" ht="15.75" thickBot="1" x14ac:dyDescent="0.3">
      <c r="A649" s="28"/>
      <c r="B649" s="25"/>
    </row>
    <row r="650" spans="1:2" ht="15.75" thickBot="1" x14ac:dyDescent="0.3">
      <c r="A650" s="28"/>
      <c r="B650" s="25"/>
    </row>
    <row r="651" spans="1:2" ht="15.75" thickBot="1" x14ac:dyDescent="0.3">
      <c r="A651" s="28"/>
      <c r="B651" s="25"/>
    </row>
    <row r="652" spans="1:2" ht="15.75" thickBot="1" x14ac:dyDescent="0.3">
      <c r="A652" s="28"/>
      <c r="B652" s="25"/>
    </row>
    <row r="653" spans="1:2" ht="15.75" thickBot="1" x14ac:dyDescent="0.3">
      <c r="A653" s="28"/>
      <c r="B653" s="25"/>
    </row>
    <row r="654" spans="1:2" ht="15.75" thickBot="1" x14ac:dyDescent="0.3">
      <c r="A654" s="28"/>
      <c r="B654" s="25"/>
    </row>
    <row r="655" spans="1:2" ht="15.75" thickBot="1" x14ac:dyDescent="0.3">
      <c r="A655" s="28"/>
      <c r="B655" s="25"/>
    </row>
    <row r="656" spans="1:2" ht="15.75" thickBot="1" x14ac:dyDescent="0.3">
      <c r="A656" s="28"/>
      <c r="B656" s="25"/>
    </row>
    <row r="657" spans="1:2" ht="15.75" thickBot="1" x14ac:dyDescent="0.3">
      <c r="A657" s="28"/>
      <c r="B657" s="25"/>
    </row>
    <row r="658" spans="1:2" ht="15.75" thickBot="1" x14ac:dyDescent="0.3">
      <c r="A658" s="28"/>
      <c r="B658" s="25"/>
    </row>
    <row r="659" spans="1:2" ht="15.75" thickBot="1" x14ac:dyDescent="0.3">
      <c r="A659" s="28"/>
      <c r="B659" s="25"/>
    </row>
    <row r="660" spans="1:2" ht="15.75" thickBot="1" x14ac:dyDescent="0.3">
      <c r="A660" s="28"/>
      <c r="B660" s="25"/>
    </row>
    <row r="661" spans="1:2" ht="15.75" thickBot="1" x14ac:dyDescent="0.3">
      <c r="A661" s="28"/>
      <c r="B661" s="25"/>
    </row>
    <row r="662" spans="1:2" ht="15.75" thickBot="1" x14ac:dyDescent="0.3">
      <c r="A662" s="28"/>
      <c r="B662" s="25"/>
    </row>
    <row r="663" spans="1:2" ht="15.75" thickBot="1" x14ac:dyDescent="0.3">
      <c r="A663" s="28"/>
      <c r="B663" s="25"/>
    </row>
    <row r="664" spans="1:2" ht="15.75" thickBot="1" x14ac:dyDescent="0.3">
      <c r="A664" s="28"/>
      <c r="B664" s="25"/>
    </row>
    <row r="665" spans="1:2" ht="15.75" thickBot="1" x14ac:dyDescent="0.3">
      <c r="A665" s="28"/>
      <c r="B665" s="25"/>
    </row>
    <row r="666" spans="1:2" ht="15.75" thickBot="1" x14ac:dyDescent="0.3">
      <c r="A666" s="28"/>
      <c r="B666" s="25"/>
    </row>
    <row r="667" spans="1:2" ht="15.75" thickBot="1" x14ac:dyDescent="0.3">
      <c r="A667" s="28"/>
      <c r="B667" s="25"/>
    </row>
    <row r="668" spans="1:2" ht="15.75" thickBot="1" x14ac:dyDescent="0.3">
      <c r="A668" s="28"/>
      <c r="B668" s="25"/>
    </row>
    <row r="669" spans="1:2" ht="15.75" thickBot="1" x14ac:dyDescent="0.3">
      <c r="A669" s="28"/>
      <c r="B669" s="25"/>
    </row>
    <row r="670" spans="1:2" ht="15.75" thickBot="1" x14ac:dyDescent="0.3">
      <c r="A670" s="28"/>
      <c r="B670" s="25"/>
    </row>
    <row r="671" spans="1:2" ht="15.75" thickBot="1" x14ac:dyDescent="0.3">
      <c r="A671" s="28"/>
      <c r="B671" s="25"/>
    </row>
    <row r="672" spans="1:2" ht="15.75" thickBot="1" x14ac:dyDescent="0.3">
      <c r="A672" s="28"/>
      <c r="B672" s="25"/>
    </row>
    <row r="673" spans="1:2" ht="15.75" thickBot="1" x14ac:dyDescent="0.3">
      <c r="A673" s="28"/>
      <c r="B673" s="25"/>
    </row>
    <row r="674" spans="1:2" ht="15.75" thickBot="1" x14ac:dyDescent="0.3">
      <c r="A674" s="28"/>
      <c r="B674" s="25"/>
    </row>
    <row r="675" spans="1:2" ht="15.75" thickBot="1" x14ac:dyDescent="0.3">
      <c r="A675" s="28"/>
      <c r="B675" s="25"/>
    </row>
    <row r="676" spans="1:2" ht="15.75" thickBot="1" x14ac:dyDescent="0.3">
      <c r="A676" s="28"/>
      <c r="B676" s="25"/>
    </row>
    <row r="677" spans="1:2" ht="15.75" thickBot="1" x14ac:dyDescent="0.3">
      <c r="A677" s="28"/>
      <c r="B677" s="25"/>
    </row>
    <row r="678" spans="1:2" ht="15.75" thickBot="1" x14ac:dyDescent="0.3">
      <c r="A678" s="28"/>
      <c r="B678" s="25"/>
    </row>
    <row r="679" spans="1:2" ht="15.75" thickBot="1" x14ac:dyDescent="0.3">
      <c r="A679" s="28"/>
      <c r="B679" s="25"/>
    </row>
    <row r="680" spans="1:2" ht="15.75" thickBot="1" x14ac:dyDescent="0.3">
      <c r="A680" s="28"/>
      <c r="B680" s="25"/>
    </row>
    <row r="681" spans="1:2" ht="15.75" thickBot="1" x14ac:dyDescent="0.3">
      <c r="A681" s="28"/>
      <c r="B681" s="25"/>
    </row>
    <row r="682" spans="1:2" ht="15.75" thickBot="1" x14ac:dyDescent="0.3">
      <c r="A682" s="28"/>
      <c r="B682" s="25"/>
    </row>
    <row r="683" spans="1:2" ht="15.75" thickBot="1" x14ac:dyDescent="0.3">
      <c r="A683" s="28"/>
      <c r="B683" s="25"/>
    </row>
    <row r="684" spans="1:2" ht="15.75" thickBot="1" x14ac:dyDescent="0.3">
      <c r="A684" s="28"/>
      <c r="B684" s="25"/>
    </row>
    <row r="685" spans="1:2" ht="15.75" thickBot="1" x14ac:dyDescent="0.3">
      <c r="A685" s="28"/>
      <c r="B685" s="25"/>
    </row>
    <row r="686" spans="1:2" ht="15.75" thickBot="1" x14ac:dyDescent="0.3">
      <c r="A686" s="28"/>
      <c r="B686" s="25"/>
    </row>
    <row r="687" spans="1:2" ht="15.75" thickBot="1" x14ac:dyDescent="0.3">
      <c r="A687" s="28"/>
      <c r="B687" s="25"/>
    </row>
    <row r="688" spans="1:2" ht="15.75" thickBot="1" x14ac:dyDescent="0.3">
      <c r="A688" s="28"/>
      <c r="B688" s="25"/>
    </row>
    <row r="689" spans="1:2" ht="15.75" thickBot="1" x14ac:dyDescent="0.3">
      <c r="A689" s="28"/>
      <c r="B689" s="25"/>
    </row>
    <row r="690" spans="1:2" ht="15.75" thickBot="1" x14ac:dyDescent="0.3">
      <c r="A690" s="28"/>
      <c r="B690" s="25"/>
    </row>
    <row r="691" spans="1:2" ht="15.75" thickBot="1" x14ac:dyDescent="0.3">
      <c r="A691" s="28"/>
      <c r="B691" s="25"/>
    </row>
    <row r="692" spans="1:2" ht="15.75" thickBot="1" x14ac:dyDescent="0.3">
      <c r="A692" s="28"/>
      <c r="B692" s="25"/>
    </row>
    <row r="693" spans="1:2" ht="15.75" thickBot="1" x14ac:dyDescent="0.3">
      <c r="A693" s="28"/>
      <c r="B693" s="25"/>
    </row>
    <row r="694" spans="1:2" ht="15.75" thickBot="1" x14ac:dyDescent="0.3">
      <c r="A694" s="28"/>
      <c r="B694" s="25"/>
    </row>
    <row r="695" spans="1:2" ht="15.75" thickBot="1" x14ac:dyDescent="0.3">
      <c r="A695" s="28"/>
      <c r="B695" s="25"/>
    </row>
    <row r="696" spans="1:2" ht="15.75" thickBot="1" x14ac:dyDescent="0.3">
      <c r="A696" s="28"/>
      <c r="B696" s="25"/>
    </row>
    <row r="697" spans="1:2" ht="15.75" thickBot="1" x14ac:dyDescent="0.3">
      <c r="A697" s="28"/>
      <c r="B697" s="25"/>
    </row>
    <row r="698" spans="1:2" ht="15.75" thickBot="1" x14ac:dyDescent="0.3">
      <c r="A698" s="28"/>
      <c r="B698" s="25"/>
    </row>
    <row r="699" spans="1:2" ht="15.75" thickBot="1" x14ac:dyDescent="0.3">
      <c r="A699" s="28"/>
      <c r="B699" s="25"/>
    </row>
    <row r="700" spans="1:2" ht="15.75" thickBot="1" x14ac:dyDescent="0.3">
      <c r="A700" s="28"/>
      <c r="B700" s="25"/>
    </row>
    <row r="701" spans="1:2" ht="15.75" thickBot="1" x14ac:dyDescent="0.3">
      <c r="A701" s="28"/>
      <c r="B701" s="25"/>
    </row>
    <row r="702" spans="1:2" ht="15.75" thickBot="1" x14ac:dyDescent="0.3">
      <c r="A702" s="28"/>
      <c r="B702" s="25"/>
    </row>
    <row r="703" spans="1:2" ht="15.75" thickBot="1" x14ac:dyDescent="0.3">
      <c r="A703" s="28"/>
      <c r="B703" s="25"/>
    </row>
    <row r="704" spans="1:2" ht="15.75" thickBot="1" x14ac:dyDescent="0.3">
      <c r="A704" s="28"/>
      <c r="B704" s="25"/>
    </row>
    <row r="705" spans="1:2" ht="15.75" thickBot="1" x14ac:dyDescent="0.3">
      <c r="A705" s="28"/>
      <c r="B705" s="25"/>
    </row>
    <row r="706" spans="1:2" ht="15.75" thickBot="1" x14ac:dyDescent="0.3">
      <c r="A706" s="28"/>
      <c r="B706" s="25"/>
    </row>
    <row r="707" spans="1:2" ht="15.75" thickBot="1" x14ac:dyDescent="0.3">
      <c r="A707" s="28"/>
      <c r="B707" s="25"/>
    </row>
    <row r="708" spans="1:2" ht="15.75" thickBot="1" x14ac:dyDescent="0.3">
      <c r="A708" s="28"/>
      <c r="B708" s="25"/>
    </row>
    <row r="709" spans="1:2" ht="15.75" thickBot="1" x14ac:dyDescent="0.3">
      <c r="A709" s="28"/>
      <c r="B709" s="25"/>
    </row>
    <row r="710" spans="1:2" ht="15.75" thickBot="1" x14ac:dyDescent="0.3">
      <c r="A710" s="28"/>
      <c r="B710" s="25"/>
    </row>
    <row r="711" spans="1:2" ht="15.75" thickBot="1" x14ac:dyDescent="0.3">
      <c r="A711" s="28"/>
      <c r="B711" s="25"/>
    </row>
    <row r="712" spans="1:2" ht="15.75" thickBot="1" x14ac:dyDescent="0.3">
      <c r="A712" s="28"/>
      <c r="B712" s="25"/>
    </row>
    <row r="713" spans="1:2" ht="15.75" thickBot="1" x14ac:dyDescent="0.3">
      <c r="A713" s="28"/>
      <c r="B713" s="25"/>
    </row>
    <row r="714" spans="1:2" ht="15.75" thickBot="1" x14ac:dyDescent="0.3">
      <c r="A714" s="28"/>
      <c r="B714" s="25"/>
    </row>
    <row r="715" spans="1:2" ht="15.75" thickBot="1" x14ac:dyDescent="0.3">
      <c r="A715" s="28"/>
      <c r="B715" s="25"/>
    </row>
    <row r="716" spans="1:2" ht="15.75" thickBot="1" x14ac:dyDescent="0.3">
      <c r="A716" s="28"/>
      <c r="B716" s="25"/>
    </row>
    <row r="717" spans="1:2" ht="15.75" thickBot="1" x14ac:dyDescent="0.3">
      <c r="A717" s="28"/>
      <c r="B717" s="25"/>
    </row>
    <row r="718" spans="1:2" ht="15.75" thickBot="1" x14ac:dyDescent="0.3">
      <c r="A718" s="28"/>
      <c r="B718" s="25"/>
    </row>
    <row r="719" spans="1:2" ht="15.75" thickBot="1" x14ac:dyDescent="0.3">
      <c r="A719" s="28"/>
      <c r="B719" s="25"/>
    </row>
    <row r="720" spans="1:2" ht="15.75" thickBot="1" x14ac:dyDescent="0.3">
      <c r="A720" s="28"/>
      <c r="B720" s="25"/>
    </row>
    <row r="721" spans="1:2" ht="15.75" thickBot="1" x14ac:dyDescent="0.3">
      <c r="A721" s="28"/>
      <c r="B721" s="25"/>
    </row>
    <row r="722" spans="1:2" ht="15.75" thickBot="1" x14ac:dyDescent="0.3">
      <c r="A722" s="28"/>
      <c r="B722" s="25"/>
    </row>
    <row r="723" spans="1:2" ht="15.75" thickBot="1" x14ac:dyDescent="0.3">
      <c r="A723" s="28"/>
      <c r="B723" s="25"/>
    </row>
    <row r="724" spans="1:2" ht="15.75" thickBot="1" x14ac:dyDescent="0.3">
      <c r="A724" s="28"/>
      <c r="B724" s="25"/>
    </row>
    <row r="725" spans="1:2" ht="15.75" thickBot="1" x14ac:dyDescent="0.3">
      <c r="A725" s="28"/>
      <c r="B725" s="25"/>
    </row>
    <row r="726" spans="1:2" ht="15.75" thickBot="1" x14ac:dyDescent="0.3">
      <c r="A726" s="28"/>
      <c r="B726" s="25"/>
    </row>
    <row r="727" spans="1:2" ht="15.75" thickBot="1" x14ac:dyDescent="0.3">
      <c r="A727" s="28"/>
      <c r="B727" s="25"/>
    </row>
    <row r="728" spans="1:2" ht="15.75" thickBot="1" x14ac:dyDescent="0.3">
      <c r="A728" s="28"/>
      <c r="B728" s="25"/>
    </row>
    <row r="729" spans="1:2" ht="15.75" thickBot="1" x14ac:dyDescent="0.3">
      <c r="A729" s="28"/>
      <c r="B729" s="25"/>
    </row>
    <row r="730" spans="1:2" ht="15.75" thickBot="1" x14ac:dyDescent="0.3">
      <c r="A730" s="28"/>
      <c r="B730" s="25"/>
    </row>
    <row r="731" spans="1:2" ht="15.75" thickBot="1" x14ac:dyDescent="0.3">
      <c r="A731" s="28"/>
      <c r="B731" s="25"/>
    </row>
    <row r="732" spans="1:2" ht="15.75" thickBot="1" x14ac:dyDescent="0.3">
      <c r="A732" s="28"/>
      <c r="B732" s="25"/>
    </row>
    <row r="733" spans="1:2" ht="15.75" thickBot="1" x14ac:dyDescent="0.3">
      <c r="A733" s="28"/>
      <c r="B733" s="25"/>
    </row>
    <row r="734" spans="1:2" ht="15.75" thickBot="1" x14ac:dyDescent="0.3">
      <c r="A734" s="28"/>
      <c r="B734" s="25"/>
    </row>
    <row r="735" spans="1:2" ht="15.75" thickBot="1" x14ac:dyDescent="0.3">
      <c r="A735" s="28"/>
      <c r="B735" s="25"/>
    </row>
    <row r="736" spans="1:2" ht="15.75" thickBot="1" x14ac:dyDescent="0.3">
      <c r="A736" s="28"/>
      <c r="B736" s="25"/>
    </row>
    <row r="737" spans="1:2" ht="15.75" thickBot="1" x14ac:dyDescent="0.3">
      <c r="A737" s="28"/>
      <c r="B737" s="25"/>
    </row>
    <row r="738" spans="1:2" ht="15.75" thickBot="1" x14ac:dyDescent="0.3">
      <c r="A738" s="28"/>
      <c r="B738" s="25"/>
    </row>
    <row r="739" spans="1:2" ht="15.75" thickBot="1" x14ac:dyDescent="0.3">
      <c r="A739" s="28"/>
      <c r="B739" s="25"/>
    </row>
    <row r="740" spans="1:2" ht="15.75" thickBot="1" x14ac:dyDescent="0.3">
      <c r="A740" s="28"/>
      <c r="B740" s="25"/>
    </row>
    <row r="741" spans="1:2" ht="15.75" thickBot="1" x14ac:dyDescent="0.3">
      <c r="A741" s="28"/>
      <c r="B741" s="25"/>
    </row>
    <row r="742" spans="1:2" ht="15.75" thickBot="1" x14ac:dyDescent="0.3">
      <c r="A742" s="28"/>
      <c r="B742" s="25"/>
    </row>
    <row r="743" spans="1:2" ht="15.75" thickBot="1" x14ac:dyDescent="0.3">
      <c r="A743" s="28"/>
      <c r="B743" s="25"/>
    </row>
    <row r="744" spans="1:2" ht="15.75" thickBot="1" x14ac:dyDescent="0.3">
      <c r="A744" s="28"/>
      <c r="B744" s="25"/>
    </row>
    <row r="745" spans="1:2" ht="15.75" thickBot="1" x14ac:dyDescent="0.3">
      <c r="A745" s="28"/>
      <c r="B745" s="25"/>
    </row>
    <row r="746" spans="1:2" ht="15.75" thickBot="1" x14ac:dyDescent="0.3">
      <c r="A746" s="28"/>
      <c r="B746" s="25"/>
    </row>
    <row r="747" spans="1:2" ht="15.75" thickBot="1" x14ac:dyDescent="0.3">
      <c r="A747" s="28"/>
      <c r="B747" s="25"/>
    </row>
    <row r="748" spans="1:2" ht="15.75" thickBot="1" x14ac:dyDescent="0.3">
      <c r="A748" s="28"/>
      <c r="B748" s="25"/>
    </row>
    <row r="749" spans="1:2" ht="15.75" thickBot="1" x14ac:dyDescent="0.3">
      <c r="A749" s="28"/>
      <c r="B749" s="25"/>
    </row>
    <row r="750" spans="1:2" ht="15.75" thickBot="1" x14ac:dyDescent="0.3">
      <c r="A750" s="28"/>
      <c r="B750" s="25"/>
    </row>
    <row r="751" spans="1:2" ht="15.75" thickBot="1" x14ac:dyDescent="0.3">
      <c r="A751" s="28"/>
      <c r="B751" s="25"/>
    </row>
    <row r="752" spans="1:2" ht="15.75" thickBot="1" x14ac:dyDescent="0.3">
      <c r="A752" s="28"/>
      <c r="B752" s="25"/>
    </row>
    <row r="753" spans="1:2" ht="15.75" thickBot="1" x14ac:dyDescent="0.3">
      <c r="A753" s="28"/>
      <c r="B753" s="25"/>
    </row>
    <row r="754" spans="1:2" ht="15.75" thickBot="1" x14ac:dyDescent="0.3">
      <c r="A754" s="28"/>
      <c r="B754" s="25"/>
    </row>
    <row r="755" spans="1:2" ht="15.75" thickBot="1" x14ac:dyDescent="0.3">
      <c r="A755" s="28"/>
      <c r="B755" s="25"/>
    </row>
    <row r="756" spans="1:2" ht="15.75" thickBot="1" x14ac:dyDescent="0.3">
      <c r="A756" s="28"/>
      <c r="B756" s="25"/>
    </row>
    <row r="757" spans="1:2" ht="15.75" thickBot="1" x14ac:dyDescent="0.3">
      <c r="A757" s="28"/>
      <c r="B757" s="25"/>
    </row>
    <row r="758" spans="1:2" ht="15.75" thickBot="1" x14ac:dyDescent="0.3">
      <c r="A758" s="28"/>
      <c r="B758" s="25"/>
    </row>
    <row r="759" spans="1:2" ht="15.75" thickBot="1" x14ac:dyDescent="0.3">
      <c r="A759" s="28"/>
      <c r="B759" s="25"/>
    </row>
    <row r="760" spans="1:2" ht="15.75" thickBot="1" x14ac:dyDescent="0.3">
      <c r="A760" s="28"/>
      <c r="B760" s="25"/>
    </row>
    <row r="761" spans="1:2" ht="15.75" thickBot="1" x14ac:dyDescent="0.3">
      <c r="A761" s="28"/>
      <c r="B761" s="25"/>
    </row>
    <row r="762" spans="1:2" ht="15.75" thickBot="1" x14ac:dyDescent="0.3">
      <c r="A762" s="28"/>
      <c r="B762" s="25"/>
    </row>
    <row r="763" spans="1:2" ht="15.75" thickBot="1" x14ac:dyDescent="0.3">
      <c r="A763" s="28"/>
      <c r="B763" s="25"/>
    </row>
    <row r="764" spans="1:2" ht="15.75" thickBot="1" x14ac:dyDescent="0.3">
      <c r="A764" s="28"/>
      <c r="B764" s="25"/>
    </row>
    <row r="765" spans="1:2" ht="15.75" thickBot="1" x14ac:dyDescent="0.3">
      <c r="A765" s="28"/>
      <c r="B765" s="25"/>
    </row>
    <row r="766" spans="1:2" ht="15.75" thickBot="1" x14ac:dyDescent="0.3">
      <c r="A766" s="28"/>
      <c r="B766" s="25"/>
    </row>
    <row r="767" spans="1:2" ht="15.75" thickBot="1" x14ac:dyDescent="0.3">
      <c r="A767" s="28"/>
      <c r="B767" s="25"/>
    </row>
    <row r="768" spans="1:2" ht="15.75" thickBot="1" x14ac:dyDescent="0.3">
      <c r="A768" s="28"/>
      <c r="B768" s="25"/>
    </row>
    <row r="769" spans="1:2" ht="15.75" thickBot="1" x14ac:dyDescent="0.3">
      <c r="A769" s="28"/>
      <c r="B769" s="25"/>
    </row>
    <row r="770" spans="1:2" ht="15.75" thickBot="1" x14ac:dyDescent="0.3">
      <c r="A770" s="28"/>
      <c r="B770" s="25"/>
    </row>
    <row r="771" spans="1:2" ht="15.75" thickBot="1" x14ac:dyDescent="0.3">
      <c r="A771" s="28"/>
      <c r="B771" s="25"/>
    </row>
    <row r="772" spans="1:2" ht="15.75" thickBot="1" x14ac:dyDescent="0.3">
      <c r="A772" s="28"/>
      <c r="B772" s="25"/>
    </row>
    <row r="773" spans="1:2" ht="15.75" thickBot="1" x14ac:dyDescent="0.3">
      <c r="A773" s="28"/>
      <c r="B773" s="25"/>
    </row>
    <row r="774" spans="1:2" ht="15.75" thickBot="1" x14ac:dyDescent="0.3">
      <c r="A774" s="28"/>
      <c r="B774" s="25"/>
    </row>
    <row r="775" spans="1:2" ht="15.75" thickBot="1" x14ac:dyDescent="0.3">
      <c r="A775" s="28"/>
      <c r="B775" s="25"/>
    </row>
    <row r="776" spans="1:2" ht="15.75" thickBot="1" x14ac:dyDescent="0.3">
      <c r="A776" s="28"/>
      <c r="B776" s="25"/>
    </row>
    <row r="777" spans="1:2" ht="15.75" thickBot="1" x14ac:dyDescent="0.3">
      <c r="A777" s="28"/>
      <c r="B777" s="25"/>
    </row>
    <row r="778" spans="1:2" ht="15.75" thickBot="1" x14ac:dyDescent="0.3">
      <c r="A778" s="28"/>
      <c r="B778" s="25"/>
    </row>
    <row r="779" spans="1:2" ht="15.75" thickBot="1" x14ac:dyDescent="0.3">
      <c r="A779" s="28"/>
      <c r="B779" s="25"/>
    </row>
    <row r="780" spans="1:2" ht="15.75" thickBot="1" x14ac:dyDescent="0.3">
      <c r="A780" s="28"/>
      <c r="B780" s="25"/>
    </row>
    <row r="781" spans="1:2" ht="15.75" thickBot="1" x14ac:dyDescent="0.3">
      <c r="A781" s="28"/>
      <c r="B781" s="25"/>
    </row>
    <row r="782" spans="1:2" ht="15.75" thickBot="1" x14ac:dyDescent="0.3">
      <c r="A782" s="28"/>
      <c r="B782" s="25"/>
    </row>
    <row r="783" spans="1:2" ht="15.75" thickBot="1" x14ac:dyDescent="0.3">
      <c r="A783" s="28"/>
      <c r="B783" s="25"/>
    </row>
    <row r="784" spans="1:2" ht="15.75" thickBot="1" x14ac:dyDescent="0.3">
      <c r="A784" s="28"/>
      <c r="B784" s="25"/>
    </row>
    <row r="785" spans="1:2" ht="15.75" thickBot="1" x14ac:dyDescent="0.3">
      <c r="A785" s="28"/>
      <c r="B785" s="25"/>
    </row>
    <row r="786" spans="1:2" ht="15.75" thickBot="1" x14ac:dyDescent="0.3">
      <c r="A786" s="28"/>
      <c r="B786" s="25"/>
    </row>
    <row r="787" spans="1:2" ht="15.75" thickBot="1" x14ac:dyDescent="0.3">
      <c r="A787" s="28"/>
      <c r="B787" s="25"/>
    </row>
    <row r="788" spans="1:2" ht="15.75" thickBot="1" x14ac:dyDescent="0.3">
      <c r="A788" s="28"/>
      <c r="B788" s="25"/>
    </row>
    <row r="789" spans="1:2" ht="15.75" thickBot="1" x14ac:dyDescent="0.3">
      <c r="A789" s="28"/>
      <c r="B789" s="25"/>
    </row>
    <row r="790" spans="1:2" ht="15.75" thickBot="1" x14ac:dyDescent="0.3">
      <c r="A790" s="28"/>
      <c r="B790" s="25"/>
    </row>
    <row r="791" spans="1:2" ht="15.75" thickBot="1" x14ac:dyDescent="0.3">
      <c r="A791" s="28"/>
      <c r="B791" s="25"/>
    </row>
    <row r="792" spans="1:2" ht="15.75" thickBot="1" x14ac:dyDescent="0.3">
      <c r="A792" s="28"/>
      <c r="B792" s="25"/>
    </row>
    <row r="793" spans="1:2" ht="15.75" thickBot="1" x14ac:dyDescent="0.3">
      <c r="A793" s="28"/>
      <c r="B793" s="25"/>
    </row>
    <row r="794" spans="1:2" ht="15.75" thickBot="1" x14ac:dyDescent="0.3">
      <c r="A794" s="28"/>
      <c r="B794" s="25"/>
    </row>
    <row r="795" spans="1:2" ht="15.75" thickBot="1" x14ac:dyDescent="0.3">
      <c r="A795" s="28"/>
      <c r="B795" s="25"/>
    </row>
    <row r="796" spans="1:2" ht="15.75" thickBot="1" x14ac:dyDescent="0.3">
      <c r="A796" s="28"/>
      <c r="B796" s="25"/>
    </row>
    <row r="797" spans="1:2" ht="15.75" thickBot="1" x14ac:dyDescent="0.3">
      <c r="A797" s="28"/>
      <c r="B797" s="25"/>
    </row>
    <row r="798" spans="1:2" ht="15.75" thickBot="1" x14ac:dyDescent="0.3">
      <c r="A798" s="28"/>
      <c r="B798" s="25"/>
    </row>
    <row r="799" spans="1:2" ht="15.75" thickBot="1" x14ac:dyDescent="0.3">
      <c r="A799" s="28"/>
      <c r="B799" s="25"/>
    </row>
    <row r="800" spans="1:2" ht="15.75" thickBot="1" x14ac:dyDescent="0.3">
      <c r="A800" s="28"/>
      <c r="B800" s="25"/>
    </row>
    <row r="801" spans="1:2" ht="15.75" thickBot="1" x14ac:dyDescent="0.3">
      <c r="A801" s="28"/>
      <c r="B801" s="25"/>
    </row>
    <row r="802" spans="1:2" ht="15.75" thickBot="1" x14ac:dyDescent="0.3">
      <c r="A802" s="28"/>
      <c r="B802" s="25"/>
    </row>
    <row r="803" spans="1:2" ht="15.75" thickBot="1" x14ac:dyDescent="0.3">
      <c r="A803" s="28"/>
      <c r="B803" s="25"/>
    </row>
    <row r="804" spans="1:2" ht="15.75" thickBot="1" x14ac:dyDescent="0.3">
      <c r="A804" s="28"/>
      <c r="B804" s="25"/>
    </row>
    <row r="805" spans="1:2" ht="15.75" thickBot="1" x14ac:dyDescent="0.3">
      <c r="A805" s="28"/>
      <c r="B805" s="25"/>
    </row>
    <row r="806" spans="1:2" ht="15.75" thickBot="1" x14ac:dyDescent="0.3">
      <c r="A806" s="28"/>
      <c r="B806" s="25"/>
    </row>
    <row r="807" spans="1:2" ht="15.75" thickBot="1" x14ac:dyDescent="0.3">
      <c r="A807" s="28"/>
      <c r="B807" s="25"/>
    </row>
    <row r="808" spans="1:2" ht="15.75" thickBot="1" x14ac:dyDescent="0.3">
      <c r="A808" s="28"/>
      <c r="B808" s="25"/>
    </row>
    <row r="809" spans="1:2" ht="15.75" thickBot="1" x14ac:dyDescent="0.3">
      <c r="A809" s="28"/>
      <c r="B809" s="25"/>
    </row>
    <row r="810" spans="1:2" ht="15.75" thickBot="1" x14ac:dyDescent="0.3">
      <c r="A810" s="28"/>
      <c r="B810" s="25"/>
    </row>
    <row r="811" spans="1:2" ht="15.75" thickBot="1" x14ac:dyDescent="0.3">
      <c r="A811" s="28"/>
      <c r="B811" s="25"/>
    </row>
    <row r="812" spans="1:2" ht="15.75" thickBot="1" x14ac:dyDescent="0.3">
      <c r="A812" s="28"/>
      <c r="B812" s="25"/>
    </row>
    <row r="813" spans="1:2" ht="15.75" thickBot="1" x14ac:dyDescent="0.3">
      <c r="A813" s="28"/>
      <c r="B813" s="25"/>
    </row>
    <row r="814" spans="1:2" ht="15.75" thickBot="1" x14ac:dyDescent="0.3">
      <c r="A814" s="28"/>
      <c r="B814" s="25"/>
    </row>
    <row r="815" spans="1:2" ht="15.75" thickBot="1" x14ac:dyDescent="0.3">
      <c r="A815" s="28"/>
      <c r="B815" s="25"/>
    </row>
    <row r="816" spans="1:2" ht="15.75" thickBot="1" x14ac:dyDescent="0.3">
      <c r="A816" s="28"/>
      <c r="B816" s="25"/>
    </row>
    <row r="817" spans="1:2" ht="15.75" thickBot="1" x14ac:dyDescent="0.3">
      <c r="A817" s="28"/>
      <c r="B817" s="25"/>
    </row>
    <row r="818" spans="1:2" ht="15.75" thickBot="1" x14ac:dyDescent="0.3">
      <c r="A818" s="28"/>
      <c r="B818" s="25"/>
    </row>
    <row r="819" spans="1:2" ht="15.75" thickBot="1" x14ac:dyDescent="0.3">
      <c r="A819" s="28"/>
      <c r="B819" s="25"/>
    </row>
    <row r="820" spans="1:2" ht="15.75" thickBot="1" x14ac:dyDescent="0.3">
      <c r="A820" s="28"/>
      <c r="B820" s="25"/>
    </row>
    <row r="821" spans="1:2" ht="15.75" thickBot="1" x14ac:dyDescent="0.3">
      <c r="A821" s="28"/>
      <c r="B821" s="25"/>
    </row>
    <row r="822" spans="1:2" ht="15.75" thickBot="1" x14ac:dyDescent="0.3">
      <c r="A822" s="28"/>
      <c r="B822" s="25"/>
    </row>
    <row r="823" spans="1:2" ht="15.75" thickBot="1" x14ac:dyDescent="0.3">
      <c r="A823" s="28"/>
      <c r="B823" s="25"/>
    </row>
    <row r="824" spans="1:2" ht="15.75" thickBot="1" x14ac:dyDescent="0.3">
      <c r="A824" s="28"/>
      <c r="B824" s="25"/>
    </row>
    <row r="825" spans="1:2" ht="15.75" thickBot="1" x14ac:dyDescent="0.3">
      <c r="A825" s="28"/>
      <c r="B825" s="25"/>
    </row>
    <row r="826" spans="1:2" ht="15.75" thickBot="1" x14ac:dyDescent="0.3">
      <c r="A826" s="28"/>
      <c r="B826" s="25"/>
    </row>
    <row r="827" spans="1:2" ht="15.75" thickBot="1" x14ac:dyDescent="0.3">
      <c r="A827" s="28"/>
      <c r="B827" s="25"/>
    </row>
    <row r="828" spans="1:2" ht="15.75" thickBot="1" x14ac:dyDescent="0.3">
      <c r="A828" s="28"/>
      <c r="B828" s="25"/>
    </row>
    <row r="829" spans="1:2" ht="15.75" thickBot="1" x14ac:dyDescent="0.3">
      <c r="A829" s="28"/>
      <c r="B829" s="25"/>
    </row>
    <row r="830" spans="1:2" ht="15.75" thickBot="1" x14ac:dyDescent="0.3">
      <c r="A830" s="28"/>
      <c r="B830" s="25"/>
    </row>
    <row r="831" spans="1:2" ht="15.75" thickBot="1" x14ac:dyDescent="0.3">
      <c r="A831" s="28"/>
      <c r="B831" s="25"/>
    </row>
    <row r="832" spans="1:2" ht="15.75" thickBot="1" x14ac:dyDescent="0.3">
      <c r="A832" s="28"/>
      <c r="B832" s="25"/>
    </row>
    <row r="833" spans="1:2" ht="15.75" thickBot="1" x14ac:dyDescent="0.3">
      <c r="A833" s="28"/>
      <c r="B833" s="25"/>
    </row>
    <row r="834" spans="1:2" ht="15.75" thickBot="1" x14ac:dyDescent="0.3">
      <c r="A834" s="28"/>
      <c r="B834" s="25"/>
    </row>
    <row r="835" spans="1:2" ht="15.75" thickBot="1" x14ac:dyDescent="0.3">
      <c r="A835" s="28"/>
      <c r="B835" s="25"/>
    </row>
    <row r="836" spans="1:2" ht="15.75" thickBot="1" x14ac:dyDescent="0.3">
      <c r="A836" s="28"/>
      <c r="B836" s="25"/>
    </row>
    <row r="837" spans="1:2" ht="15.75" thickBot="1" x14ac:dyDescent="0.3">
      <c r="A837" s="28"/>
      <c r="B837" s="25"/>
    </row>
    <row r="838" spans="1:2" ht="15.75" thickBot="1" x14ac:dyDescent="0.3">
      <c r="A838" s="28"/>
      <c r="B838" s="25"/>
    </row>
    <row r="839" spans="1:2" ht="15.75" thickBot="1" x14ac:dyDescent="0.3">
      <c r="A839" s="28"/>
      <c r="B839" s="25"/>
    </row>
    <row r="840" spans="1:2" ht="15.75" thickBot="1" x14ac:dyDescent="0.3">
      <c r="A840" s="28"/>
      <c r="B840" s="25"/>
    </row>
    <row r="841" spans="1:2" ht="15.75" thickBot="1" x14ac:dyDescent="0.3">
      <c r="A841" s="28"/>
      <c r="B841" s="25"/>
    </row>
    <row r="842" spans="1:2" ht="15.75" thickBot="1" x14ac:dyDescent="0.3">
      <c r="A842" s="28"/>
      <c r="B842" s="25"/>
    </row>
    <row r="843" spans="1:2" ht="15.75" thickBot="1" x14ac:dyDescent="0.3">
      <c r="A843" s="28"/>
      <c r="B843" s="25"/>
    </row>
    <row r="844" spans="1:2" ht="15.75" thickBot="1" x14ac:dyDescent="0.3">
      <c r="A844" s="28"/>
      <c r="B844" s="25"/>
    </row>
    <row r="845" spans="1:2" ht="15.75" thickBot="1" x14ac:dyDescent="0.3">
      <c r="A845" s="28"/>
      <c r="B845" s="25"/>
    </row>
    <row r="846" spans="1:2" ht="15.75" thickBot="1" x14ac:dyDescent="0.3">
      <c r="A846" s="28"/>
      <c r="B846" s="25"/>
    </row>
    <row r="847" spans="1:2" ht="15.75" thickBot="1" x14ac:dyDescent="0.3">
      <c r="A847" s="28"/>
      <c r="B847" s="25"/>
    </row>
    <row r="848" spans="1:2" ht="15.75" thickBot="1" x14ac:dyDescent="0.3">
      <c r="A848" s="28"/>
      <c r="B848" s="25"/>
    </row>
    <row r="849" spans="1:2" ht="15.75" thickBot="1" x14ac:dyDescent="0.3">
      <c r="A849" s="28"/>
      <c r="B849" s="25"/>
    </row>
    <row r="850" spans="1:2" ht="15.75" thickBot="1" x14ac:dyDescent="0.3">
      <c r="A850" s="28"/>
      <c r="B850" s="25"/>
    </row>
    <row r="851" spans="1:2" ht="15.75" thickBot="1" x14ac:dyDescent="0.3">
      <c r="A851" s="28"/>
      <c r="B851" s="25"/>
    </row>
    <row r="852" spans="1:2" ht="15.75" thickBot="1" x14ac:dyDescent="0.3">
      <c r="A852" s="28"/>
      <c r="B852" s="25"/>
    </row>
    <row r="853" spans="1:2" ht="15.75" thickBot="1" x14ac:dyDescent="0.3">
      <c r="A853" s="28"/>
      <c r="B853" s="25"/>
    </row>
    <row r="854" spans="1:2" ht="15.75" thickBot="1" x14ac:dyDescent="0.3">
      <c r="A854" s="28"/>
      <c r="B854" s="25"/>
    </row>
    <row r="855" spans="1:2" ht="15.75" thickBot="1" x14ac:dyDescent="0.3">
      <c r="A855" s="28"/>
      <c r="B855" s="25"/>
    </row>
    <row r="856" spans="1:2" ht="15.75" thickBot="1" x14ac:dyDescent="0.3">
      <c r="A856" s="28"/>
      <c r="B856" s="25"/>
    </row>
    <row r="857" spans="1:2" ht="15.75" thickBot="1" x14ac:dyDescent="0.3">
      <c r="A857" s="28"/>
      <c r="B857" s="25"/>
    </row>
    <row r="858" spans="1:2" ht="15.75" thickBot="1" x14ac:dyDescent="0.3">
      <c r="A858" s="28"/>
      <c r="B858" s="25"/>
    </row>
    <row r="859" spans="1:2" ht="15.75" thickBot="1" x14ac:dyDescent="0.3">
      <c r="A859" s="28"/>
      <c r="B859" s="25"/>
    </row>
    <row r="860" spans="1:2" ht="15.75" thickBot="1" x14ac:dyDescent="0.3">
      <c r="A860" s="28"/>
      <c r="B860" s="25"/>
    </row>
    <row r="861" spans="1:2" ht="15.75" thickBot="1" x14ac:dyDescent="0.3">
      <c r="A861" s="28"/>
      <c r="B861" s="25"/>
    </row>
    <row r="862" spans="1:2" ht="15.75" thickBot="1" x14ac:dyDescent="0.3">
      <c r="A862" s="28"/>
      <c r="B862" s="25"/>
    </row>
    <row r="863" spans="1:2" ht="15.75" thickBot="1" x14ac:dyDescent="0.3">
      <c r="A863" s="28"/>
      <c r="B863" s="25"/>
    </row>
    <row r="864" spans="1:2" ht="15.75" thickBot="1" x14ac:dyDescent="0.3">
      <c r="A864" s="28"/>
      <c r="B864" s="25"/>
    </row>
    <row r="865" spans="1:2" ht="15.75" thickBot="1" x14ac:dyDescent="0.3">
      <c r="A865" s="28"/>
      <c r="B865" s="25"/>
    </row>
    <row r="866" spans="1:2" ht="15.75" thickBot="1" x14ac:dyDescent="0.3">
      <c r="A866" s="28"/>
      <c r="B866" s="25"/>
    </row>
    <row r="867" spans="1:2" ht="15.75" thickBot="1" x14ac:dyDescent="0.3">
      <c r="A867" s="28"/>
      <c r="B867" s="25"/>
    </row>
    <row r="868" spans="1:2" ht="15.75" thickBot="1" x14ac:dyDescent="0.3">
      <c r="A868" s="28"/>
      <c r="B868" s="25"/>
    </row>
    <row r="869" spans="1:2" ht="15.75" thickBot="1" x14ac:dyDescent="0.3">
      <c r="A869" s="28"/>
      <c r="B869" s="25"/>
    </row>
    <row r="870" spans="1:2" ht="15.75" thickBot="1" x14ac:dyDescent="0.3">
      <c r="A870" s="28"/>
      <c r="B870" s="25"/>
    </row>
    <row r="871" spans="1:2" ht="15.75" thickBot="1" x14ac:dyDescent="0.3">
      <c r="A871" s="28"/>
      <c r="B871" s="25"/>
    </row>
    <row r="872" spans="1:2" ht="15.75" thickBot="1" x14ac:dyDescent="0.3">
      <c r="A872" s="28"/>
      <c r="B872" s="25"/>
    </row>
    <row r="873" spans="1:2" ht="15.75" thickBot="1" x14ac:dyDescent="0.3">
      <c r="A873" s="28"/>
      <c r="B873" s="25"/>
    </row>
    <row r="874" spans="1:2" ht="15.75" thickBot="1" x14ac:dyDescent="0.3">
      <c r="A874" s="28"/>
      <c r="B874" s="25"/>
    </row>
    <row r="875" spans="1:2" ht="15.75" thickBot="1" x14ac:dyDescent="0.3">
      <c r="A875" s="28"/>
      <c r="B875" s="25"/>
    </row>
    <row r="876" spans="1:2" ht="15.75" thickBot="1" x14ac:dyDescent="0.3">
      <c r="A876" s="28"/>
      <c r="B876" s="25"/>
    </row>
    <row r="877" spans="1:2" ht="15.75" thickBot="1" x14ac:dyDescent="0.3">
      <c r="A877" s="28"/>
      <c r="B877" s="25"/>
    </row>
    <row r="878" spans="1:2" ht="15.75" thickBot="1" x14ac:dyDescent="0.3">
      <c r="A878" s="28"/>
      <c r="B878" s="25"/>
    </row>
    <row r="879" spans="1:2" ht="15.75" thickBot="1" x14ac:dyDescent="0.3">
      <c r="A879" s="28"/>
      <c r="B879" s="25"/>
    </row>
    <row r="880" spans="1:2" ht="15.75" thickBot="1" x14ac:dyDescent="0.3">
      <c r="A880" s="28"/>
      <c r="B880" s="25"/>
    </row>
    <row r="881" spans="1:2" ht="15.75" thickBot="1" x14ac:dyDescent="0.3">
      <c r="A881" s="28"/>
      <c r="B881" s="25"/>
    </row>
    <row r="882" spans="1:2" ht="15.75" thickBot="1" x14ac:dyDescent="0.3">
      <c r="A882" s="28"/>
      <c r="B882" s="25"/>
    </row>
    <row r="883" spans="1:2" ht="15.75" thickBot="1" x14ac:dyDescent="0.3">
      <c r="A883" s="28"/>
      <c r="B883" s="25"/>
    </row>
    <row r="884" spans="1:2" ht="15.75" thickBot="1" x14ac:dyDescent="0.3">
      <c r="A884" s="28"/>
      <c r="B884" s="25"/>
    </row>
    <row r="885" spans="1:2" ht="15.75" thickBot="1" x14ac:dyDescent="0.3">
      <c r="A885" s="28"/>
      <c r="B885" s="25"/>
    </row>
    <row r="886" spans="1:2" ht="15.75" thickBot="1" x14ac:dyDescent="0.3">
      <c r="A886" s="28"/>
      <c r="B886" s="25"/>
    </row>
    <row r="887" spans="1:2" ht="15.75" thickBot="1" x14ac:dyDescent="0.3">
      <c r="A887" s="28"/>
      <c r="B887" s="25"/>
    </row>
    <row r="888" spans="1:2" ht="15.75" thickBot="1" x14ac:dyDescent="0.3">
      <c r="A888" s="28"/>
      <c r="B888" s="25"/>
    </row>
    <row r="889" spans="1:2" ht="15.75" thickBot="1" x14ac:dyDescent="0.3">
      <c r="A889" s="28"/>
      <c r="B889" s="25"/>
    </row>
    <row r="890" spans="1:2" ht="15.75" thickBot="1" x14ac:dyDescent="0.3">
      <c r="A890" s="28"/>
      <c r="B890" s="25"/>
    </row>
    <row r="891" spans="1:2" ht="15.75" thickBot="1" x14ac:dyDescent="0.3">
      <c r="A891" s="28"/>
      <c r="B891" s="25"/>
    </row>
    <row r="892" spans="1:2" ht="15.75" thickBot="1" x14ac:dyDescent="0.3">
      <c r="A892" s="28"/>
      <c r="B892" s="25"/>
    </row>
    <row r="893" spans="1:2" ht="15.75" thickBot="1" x14ac:dyDescent="0.3">
      <c r="A893" s="28"/>
      <c r="B893" s="25"/>
    </row>
    <row r="894" spans="1:2" ht="15.75" thickBot="1" x14ac:dyDescent="0.3">
      <c r="A894" s="28"/>
      <c r="B894" s="25"/>
    </row>
    <row r="895" spans="1:2" ht="15.75" thickBot="1" x14ac:dyDescent="0.3">
      <c r="A895" s="28"/>
      <c r="B895" s="25"/>
    </row>
    <row r="896" spans="1:2" ht="15.75" thickBot="1" x14ac:dyDescent="0.3">
      <c r="A896" s="28"/>
      <c r="B896" s="25"/>
    </row>
    <row r="897" spans="1:2" ht="15.75" thickBot="1" x14ac:dyDescent="0.3">
      <c r="A897" s="28"/>
      <c r="B897" s="25"/>
    </row>
    <row r="898" spans="1:2" ht="15.75" thickBot="1" x14ac:dyDescent="0.3">
      <c r="A898" s="28"/>
      <c r="B898" s="25"/>
    </row>
    <row r="899" spans="1:2" ht="15.75" thickBot="1" x14ac:dyDescent="0.3">
      <c r="A899" s="28"/>
      <c r="B899" s="25"/>
    </row>
    <row r="900" spans="1:2" ht="15.75" thickBot="1" x14ac:dyDescent="0.3">
      <c r="A900" s="28"/>
      <c r="B900" s="25"/>
    </row>
    <row r="901" spans="1:2" ht="15.75" thickBot="1" x14ac:dyDescent="0.3">
      <c r="A901" s="28"/>
      <c r="B901" s="25"/>
    </row>
    <row r="902" spans="1:2" ht="15.75" thickBot="1" x14ac:dyDescent="0.3">
      <c r="A902" s="28"/>
      <c r="B902" s="25"/>
    </row>
    <row r="903" spans="1:2" ht="15.75" thickBot="1" x14ac:dyDescent="0.3">
      <c r="A903" s="28"/>
      <c r="B903" s="25"/>
    </row>
    <row r="904" spans="1:2" ht="15.75" thickBot="1" x14ac:dyDescent="0.3">
      <c r="A904" s="28"/>
      <c r="B904" s="25"/>
    </row>
    <row r="905" spans="1:2" ht="15.75" thickBot="1" x14ac:dyDescent="0.3">
      <c r="A905" s="28"/>
      <c r="B905" s="25"/>
    </row>
    <row r="906" spans="1:2" ht="15.75" thickBot="1" x14ac:dyDescent="0.3">
      <c r="A906" s="28"/>
      <c r="B906" s="25"/>
    </row>
    <row r="907" spans="1:2" ht="15.75" thickBot="1" x14ac:dyDescent="0.3">
      <c r="A907" s="28"/>
      <c r="B907" s="25"/>
    </row>
    <row r="908" spans="1:2" ht="15.75" thickBot="1" x14ac:dyDescent="0.3">
      <c r="A908" s="28"/>
      <c r="B908" s="25"/>
    </row>
    <row r="909" spans="1:2" ht="15.75" thickBot="1" x14ac:dyDescent="0.3">
      <c r="A909" s="28"/>
      <c r="B909" s="25"/>
    </row>
    <row r="910" spans="1:2" ht="15.75" thickBot="1" x14ac:dyDescent="0.3">
      <c r="A910" s="28"/>
      <c r="B910" s="25"/>
    </row>
    <row r="911" spans="1:2" ht="15.75" thickBot="1" x14ac:dyDescent="0.3">
      <c r="A911" s="28"/>
      <c r="B911" s="25"/>
    </row>
    <row r="912" spans="1:2" ht="15.75" thickBot="1" x14ac:dyDescent="0.3">
      <c r="A912" s="28"/>
      <c r="B912" s="25"/>
    </row>
    <row r="913" spans="1:2" ht="15.75" thickBot="1" x14ac:dyDescent="0.3">
      <c r="A913" s="28"/>
      <c r="B913" s="25"/>
    </row>
    <row r="914" spans="1:2" ht="15.75" thickBot="1" x14ac:dyDescent="0.3">
      <c r="A914" s="28"/>
      <c r="B914" s="25"/>
    </row>
    <row r="915" spans="1:2" ht="15.75" thickBot="1" x14ac:dyDescent="0.3">
      <c r="A915" s="28"/>
      <c r="B915" s="25"/>
    </row>
    <row r="916" spans="1:2" ht="15.75" thickBot="1" x14ac:dyDescent="0.3">
      <c r="A916" s="28"/>
      <c r="B916" s="25"/>
    </row>
    <row r="917" spans="1:2" ht="15.75" thickBot="1" x14ac:dyDescent="0.3">
      <c r="A917" s="28"/>
      <c r="B917" s="25"/>
    </row>
    <row r="918" spans="1:2" ht="15.75" thickBot="1" x14ac:dyDescent="0.3">
      <c r="A918" s="28"/>
      <c r="B918" s="25"/>
    </row>
    <row r="919" spans="1:2" ht="15.75" thickBot="1" x14ac:dyDescent="0.3">
      <c r="A919" s="28"/>
      <c r="B919" s="25"/>
    </row>
    <row r="920" spans="1:2" ht="15.75" thickBot="1" x14ac:dyDescent="0.3">
      <c r="A920" s="28"/>
      <c r="B920" s="25"/>
    </row>
    <row r="921" spans="1:2" ht="15.75" thickBot="1" x14ac:dyDescent="0.3">
      <c r="A921" s="28"/>
      <c r="B921" s="25"/>
    </row>
    <row r="922" spans="1:2" ht="15.75" thickBot="1" x14ac:dyDescent="0.3">
      <c r="A922" s="28"/>
      <c r="B922" s="25"/>
    </row>
    <row r="923" spans="1:2" ht="15.75" thickBot="1" x14ac:dyDescent="0.3">
      <c r="A923" s="28"/>
      <c r="B923" s="25"/>
    </row>
    <row r="924" spans="1:2" ht="15.75" thickBot="1" x14ac:dyDescent="0.3">
      <c r="A924" s="28"/>
      <c r="B924" s="25"/>
    </row>
    <row r="925" spans="1:2" ht="15.75" thickBot="1" x14ac:dyDescent="0.3">
      <c r="A925" s="28"/>
      <c r="B925" s="25"/>
    </row>
    <row r="926" spans="1:2" ht="15.75" thickBot="1" x14ac:dyDescent="0.3">
      <c r="A926" s="28"/>
      <c r="B926" s="25"/>
    </row>
    <row r="927" spans="1:2" ht="15.75" thickBot="1" x14ac:dyDescent="0.3">
      <c r="A927" s="28"/>
      <c r="B927" s="25"/>
    </row>
    <row r="928" spans="1:2" ht="15.75" thickBot="1" x14ac:dyDescent="0.3">
      <c r="A928" s="28"/>
      <c r="B928" s="25"/>
    </row>
    <row r="929" spans="1:2" ht="15.75" thickBot="1" x14ac:dyDescent="0.3">
      <c r="A929" s="28"/>
      <c r="B929" s="25"/>
    </row>
    <row r="930" spans="1:2" ht="15.75" thickBot="1" x14ac:dyDescent="0.3">
      <c r="A930" s="28"/>
      <c r="B930" s="25"/>
    </row>
    <row r="931" spans="1:2" ht="15.75" thickBot="1" x14ac:dyDescent="0.3">
      <c r="A931" s="28"/>
      <c r="B931" s="25"/>
    </row>
    <row r="932" spans="1:2" ht="15.75" thickBot="1" x14ac:dyDescent="0.3">
      <c r="A932" s="28"/>
      <c r="B932" s="25"/>
    </row>
    <row r="933" spans="1:2" ht="15.75" thickBot="1" x14ac:dyDescent="0.3">
      <c r="A933" s="28"/>
      <c r="B933" s="25"/>
    </row>
    <row r="934" spans="1:2" ht="15.75" thickBot="1" x14ac:dyDescent="0.3">
      <c r="A934" s="28"/>
      <c r="B934" s="25"/>
    </row>
    <row r="935" spans="1:2" ht="15.75" thickBot="1" x14ac:dyDescent="0.3">
      <c r="A935" s="28"/>
      <c r="B935" s="25"/>
    </row>
    <row r="936" spans="1:2" ht="15.75" thickBot="1" x14ac:dyDescent="0.3">
      <c r="A936" s="28"/>
      <c r="B936" s="25"/>
    </row>
    <row r="937" spans="1:2" ht="15.75" thickBot="1" x14ac:dyDescent="0.3">
      <c r="A937" s="28"/>
      <c r="B937" s="25"/>
    </row>
    <row r="938" spans="1:2" ht="15.75" thickBot="1" x14ac:dyDescent="0.3">
      <c r="A938" s="28"/>
      <c r="B938" s="25"/>
    </row>
    <row r="939" spans="1:2" ht="15.75" thickBot="1" x14ac:dyDescent="0.3">
      <c r="A939" s="28"/>
      <c r="B939" s="25"/>
    </row>
    <row r="940" spans="1:2" ht="15.75" thickBot="1" x14ac:dyDescent="0.3">
      <c r="A940" s="28"/>
      <c r="B940" s="25"/>
    </row>
    <row r="941" spans="1:2" ht="15.75" thickBot="1" x14ac:dyDescent="0.3">
      <c r="A941" s="28"/>
      <c r="B941" s="25"/>
    </row>
    <row r="942" spans="1:2" ht="15.75" thickBot="1" x14ac:dyDescent="0.3">
      <c r="A942" s="28"/>
      <c r="B942" s="25"/>
    </row>
    <row r="943" spans="1:2" ht="15.75" thickBot="1" x14ac:dyDescent="0.3">
      <c r="A943" s="28"/>
      <c r="B943" s="25"/>
    </row>
    <row r="944" spans="1:2" ht="15.75" thickBot="1" x14ac:dyDescent="0.3">
      <c r="A944" s="28"/>
      <c r="B944" s="25"/>
    </row>
    <row r="945" spans="1:2" ht="15.75" thickBot="1" x14ac:dyDescent="0.3">
      <c r="A945" s="28"/>
      <c r="B945" s="25"/>
    </row>
    <row r="946" spans="1:2" ht="15.75" thickBot="1" x14ac:dyDescent="0.3">
      <c r="A946" s="28"/>
      <c r="B946" s="25"/>
    </row>
    <row r="947" spans="1:2" ht="15.75" thickBot="1" x14ac:dyDescent="0.3">
      <c r="A947" s="28"/>
      <c r="B947" s="25"/>
    </row>
    <row r="948" spans="1:2" ht="15.75" thickBot="1" x14ac:dyDescent="0.3">
      <c r="A948" s="28"/>
      <c r="B948" s="25"/>
    </row>
    <row r="949" spans="1:2" ht="15.75" thickBot="1" x14ac:dyDescent="0.3">
      <c r="A949" s="28"/>
      <c r="B949" s="25"/>
    </row>
    <row r="950" spans="1:2" ht="15.75" thickBot="1" x14ac:dyDescent="0.3">
      <c r="A950" s="28"/>
      <c r="B950" s="25"/>
    </row>
    <row r="951" spans="1:2" ht="15.75" thickBot="1" x14ac:dyDescent="0.3">
      <c r="A951" s="28"/>
      <c r="B951" s="25"/>
    </row>
    <row r="952" spans="1:2" ht="15.75" thickBot="1" x14ac:dyDescent="0.3">
      <c r="A952" s="28"/>
      <c r="B952" s="25"/>
    </row>
    <row r="953" spans="1:2" ht="15.75" thickBot="1" x14ac:dyDescent="0.3">
      <c r="A953" s="28"/>
      <c r="B953" s="25"/>
    </row>
    <row r="954" spans="1:2" ht="15.75" thickBot="1" x14ac:dyDescent="0.3">
      <c r="A954" s="28"/>
      <c r="B954" s="25"/>
    </row>
    <row r="955" spans="1:2" ht="15.75" thickBot="1" x14ac:dyDescent="0.3">
      <c r="A955" s="28"/>
      <c r="B955" s="25"/>
    </row>
    <row r="956" spans="1:2" ht="15.75" thickBot="1" x14ac:dyDescent="0.3">
      <c r="A956" s="28"/>
      <c r="B956" s="25"/>
    </row>
    <row r="957" spans="1:2" ht="15.75" thickBot="1" x14ac:dyDescent="0.3">
      <c r="A957" s="28"/>
      <c r="B957" s="25"/>
    </row>
    <row r="958" spans="1:2" ht="15.75" thickBot="1" x14ac:dyDescent="0.3">
      <c r="A958" s="28"/>
      <c r="B958" s="25"/>
    </row>
    <row r="959" spans="1:2" ht="15.75" thickBot="1" x14ac:dyDescent="0.3">
      <c r="A959" s="28"/>
      <c r="B959" s="25"/>
    </row>
    <row r="960" spans="1:2" ht="15.75" thickBot="1" x14ac:dyDescent="0.3">
      <c r="A960" s="28"/>
      <c r="B960" s="25"/>
    </row>
    <row r="961" spans="1:2" ht="15.75" thickBot="1" x14ac:dyDescent="0.3">
      <c r="A961" s="28"/>
      <c r="B961" s="25"/>
    </row>
    <row r="962" spans="1:2" ht="15.75" thickBot="1" x14ac:dyDescent="0.3">
      <c r="A962" s="28"/>
      <c r="B962" s="25"/>
    </row>
    <row r="963" spans="1:2" ht="15.75" thickBot="1" x14ac:dyDescent="0.3">
      <c r="A963" s="28"/>
      <c r="B963" s="25"/>
    </row>
    <row r="964" spans="1:2" ht="15.75" thickBot="1" x14ac:dyDescent="0.3">
      <c r="A964" s="28"/>
      <c r="B964" s="25"/>
    </row>
    <row r="965" spans="1:2" ht="15.75" thickBot="1" x14ac:dyDescent="0.3">
      <c r="A965" s="28"/>
      <c r="B965" s="25"/>
    </row>
    <row r="966" spans="1:2" ht="15.75" thickBot="1" x14ac:dyDescent="0.3">
      <c r="A966" s="28"/>
      <c r="B966" s="25"/>
    </row>
    <row r="967" spans="1:2" ht="15.75" thickBot="1" x14ac:dyDescent="0.3">
      <c r="A967" s="28"/>
      <c r="B967" s="25"/>
    </row>
    <row r="968" spans="1:2" ht="15.75" thickBot="1" x14ac:dyDescent="0.3">
      <c r="A968" s="28"/>
      <c r="B968" s="25"/>
    </row>
    <row r="969" spans="1:2" ht="15.75" thickBot="1" x14ac:dyDescent="0.3">
      <c r="A969" s="28"/>
      <c r="B969" s="25"/>
    </row>
    <row r="970" spans="1:2" ht="15.75" thickBot="1" x14ac:dyDescent="0.3">
      <c r="A970" s="28"/>
      <c r="B970" s="25"/>
    </row>
    <row r="971" spans="1:2" ht="15.75" thickBot="1" x14ac:dyDescent="0.3">
      <c r="A971" s="28"/>
      <c r="B971" s="25"/>
    </row>
    <row r="972" spans="1:2" ht="15.75" thickBot="1" x14ac:dyDescent="0.3">
      <c r="A972" s="28"/>
      <c r="B972" s="25"/>
    </row>
    <row r="973" spans="1:2" ht="15.75" thickBot="1" x14ac:dyDescent="0.3">
      <c r="A973" s="28"/>
      <c r="B973" s="25"/>
    </row>
    <row r="974" spans="1:2" ht="15.75" thickBot="1" x14ac:dyDescent="0.3">
      <c r="A974" s="28"/>
      <c r="B974" s="25"/>
    </row>
    <row r="975" spans="1:2" ht="15.75" thickBot="1" x14ac:dyDescent="0.3">
      <c r="A975" s="28"/>
      <c r="B975" s="25"/>
    </row>
    <row r="976" spans="1:2" ht="15.75" thickBot="1" x14ac:dyDescent="0.3">
      <c r="A976" s="28"/>
      <c r="B976" s="25"/>
    </row>
    <row r="977" spans="1:2" ht="15.75" thickBot="1" x14ac:dyDescent="0.3">
      <c r="A977" s="28"/>
      <c r="B977" s="25"/>
    </row>
    <row r="978" spans="1:2" ht="15.75" thickBot="1" x14ac:dyDescent="0.3">
      <c r="A978" s="28"/>
      <c r="B978" s="25"/>
    </row>
    <row r="979" spans="1:2" ht="15.75" thickBot="1" x14ac:dyDescent="0.3">
      <c r="A979" s="28"/>
      <c r="B979" s="25"/>
    </row>
    <row r="980" spans="1:2" ht="15.75" thickBot="1" x14ac:dyDescent="0.3">
      <c r="A980" s="28"/>
      <c r="B980" s="25"/>
    </row>
    <row r="981" spans="1:2" ht="15.75" thickBot="1" x14ac:dyDescent="0.3">
      <c r="A981" s="28"/>
      <c r="B981" s="25"/>
    </row>
    <row r="982" spans="1:2" ht="15.75" thickBot="1" x14ac:dyDescent="0.3">
      <c r="A982" s="28"/>
      <c r="B982" s="25"/>
    </row>
    <row r="983" spans="1:2" ht="15.75" thickBot="1" x14ac:dyDescent="0.3">
      <c r="A983" s="28"/>
      <c r="B983" s="25"/>
    </row>
    <row r="984" spans="1:2" ht="15.75" thickBot="1" x14ac:dyDescent="0.3">
      <c r="A984" s="28"/>
      <c r="B984" s="25"/>
    </row>
    <row r="985" spans="1:2" ht="15.75" thickBot="1" x14ac:dyDescent="0.3">
      <c r="A985" s="28"/>
      <c r="B985" s="25"/>
    </row>
    <row r="986" spans="1:2" ht="15.75" thickBot="1" x14ac:dyDescent="0.3">
      <c r="A986" s="28"/>
      <c r="B986" s="25"/>
    </row>
    <row r="987" spans="1:2" ht="15.75" thickBot="1" x14ac:dyDescent="0.3">
      <c r="A987" s="28"/>
      <c r="B987" s="25"/>
    </row>
    <row r="988" spans="1:2" ht="15.75" thickBot="1" x14ac:dyDescent="0.3">
      <c r="A988" s="28"/>
      <c r="B988" s="25"/>
    </row>
    <row r="989" spans="1:2" ht="15.75" thickBot="1" x14ac:dyDescent="0.3">
      <c r="A989" s="28"/>
      <c r="B989" s="25"/>
    </row>
    <row r="990" spans="1:2" ht="15.75" thickBot="1" x14ac:dyDescent="0.3">
      <c r="A990" s="28"/>
      <c r="B990" s="25"/>
    </row>
    <row r="991" spans="1:2" ht="15.75" thickBot="1" x14ac:dyDescent="0.3">
      <c r="A991" s="28"/>
      <c r="B991" s="25"/>
    </row>
    <row r="992" spans="1:2" ht="15.75" thickBot="1" x14ac:dyDescent="0.3">
      <c r="A992" s="28"/>
      <c r="B992" s="25"/>
    </row>
    <row r="993" spans="1:2" ht="15.75" thickBot="1" x14ac:dyDescent="0.3">
      <c r="A993" s="28"/>
      <c r="B993" s="25"/>
    </row>
    <row r="994" spans="1:2" ht="15.75" thickBot="1" x14ac:dyDescent="0.3">
      <c r="A994" s="28"/>
      <c r="B994" s="25"/>
    </row>
    <row r="995" spans="1:2" ht="15.75" thickBot="1" x14ac:dyDescent="0.3">
      <c r="A995" s="28"/>
      <c r="B995" s="25"/>
    </row>
    <row r="996" spans="1:2" ht="15.75" thickBot="1" x14ac:dyDescent="0.3">
      <c r="A996" s="28"/>
      <c r="B996" s="25"/>
    </row>
    <row r="997" spans="1:2" ht="15.75" thickBot="1" x14ac:dyDescent="0.3">
      <c r="A997" s="28"/>
      <c r="B997" s="25"/>
    </row>
    <row r="998" spans="1:2" ht="15.75" thickBot="1" x14ac:dyDescent="0.3">
      <c r="A998" s="28"/>
      <c r="B998" s="25"/>
    </row>
    <row r="999" spans="1:2" ht="15.75" thickBot="1" x14ac:dyDescent="0.3">
      <c r="A999" s="28"/>
      <c r="B999" s="25"/>
    </row>
    <row r="1000" spans="1:2" ht="15.75" thickBot="1" x14ac:dyDescent="0.3">
      <c r="A1000" s="28"/>
      <c r="B1000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Dashboard</vt:lpstr>
      <vt:lpstr>Data</vt:lpstr>
      <vt:lpstr>Forecast</vt:lpstr>
      <vt:lpstr>Weekly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2026-02-13T01:01:11Z</dcterms:modified>
</cp:coreProperties>
</file>