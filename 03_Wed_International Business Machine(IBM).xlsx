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6254D782-6089-4105-BD85-3F4FE7AB9F6B}" xr6:coauthVersionLast="47" xr6:coauthVersionMax="47" xr10:uidLastSave="{00000000-0000-0000-0000-000000000000}"/>
  <bookViews>
    <workbookView xWindow="-120" yWindow="-120" windowWidth="20730" windowHeight="11040" activeTab="4" xr2:uid="{524EF1C0-3CB0-4C8D-8FCB-814655134A30}"/>
  </bookViews>
  <sheets>
    <sheet name="Forecast" sheetId="9" r:id="rId1"/>
    <sheet name="Weekly" sheetId="8" r:id="rId2"/>
    <sheet name="IBM" sheetId="1" r:id="rId3"/>
    <sheet name="Dividends" sheetId="3" r:id="rId4"/>
    <sheet name="Dashoard" sheetId="2" r:id="rId5"/>
  </sheets>
  <definedNames>
    <definedName name="ExternalData_1" localSheetId="1" hidden="1">Weekly!$A$1:$B$120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1" i="8" l="1"/>
  <c r="F112" i="8"/>
  <c r="F113" i="8"/>
  <c r="F114" i="8"/>
  <c r="F115" i="8"/>
  <c r="F116" i="8"/>
  <c r="F117" i="8"/>
  <c r="F118" i="8"/>
  <c r="F119" i="8"/>
  <c r="F120" i="8"/>
  <c r="E111" i="8"/>
  <c r="E112" i="8"/>
  <c r="E113" i="8"/>
  <c r="E114" i="8"/>
  <c r="E115" i="8"/>
  <c r="E116" i="8"/>
  <c r="E117" i="8"/>
  <c r="E118" i="8"/>
  <c r="E119" i="8"/>
  <c r="E120" i="8"/>
  <c r="D114" i="8"/>
  <c r="D116" i="8"/>
  <c r="D117" i="8"/>
  <c r="D118" i="8"/>
  <c r="D115" i="8"/>
  <c r="D119" i="8"/>
  <c r="D112" i="8"/>
  <c r="D120" i="8"/>
  <c r="D113" i="8"/>
  <c r="D111" i="8"/>
  <c r="C116" i="8"/>
  <c r="C117" i="8"/>
  <c r="C118" i="8"/>
  <c r="C119" i="8"/>
  <c r="C112" i="8"/>
  <c r="C113" i="8"/>
  <c r="C114" i="8"/>
  <c r="C115" i="8"/>
  <c r="C120" i="8"/>
  <c r="C111" i="8"/>
  <c r="C111" i="9"/>
  <c r="C119" i="9"/>
  <c r="C114" i="9"/>
  <c r="C117" i="9"/>
  <c r="C112" i="9"/>
  <c r="C120" i="9"/>
  <c r="C116" i="9"/>
  <c r="C118" i="9"/>
  <c r="C113" i="9"/>
  <c r="C115" i="9"/>
  <c r="B1" i="1" a="1"/>
  <c r="B1" i="1" l="1"/>
  <c r="E12" i="1" l="1"/>
  <c r="E20" i="1"/>
  <c r="E28" i="1"/>
  <c r="E36" i="1"/>
  <c r="E44" i="1"/>
  <c r="E52" i="1"/>
  <c r="E60" i="1"/>
  <c r="E68" i="1"/>
  <c r="E76" i="1"/>
  <c r="E84" i="1"/>
  <c r="E92" i="1"/>
  <c r="E100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228" i="1"/>
  <c r="E236" i="1"/>
  <c r="E244" i="1"/>
  <c r="E252" i="1"/>
  <c r="E260" i="1"/>
  <c r="E268" i="1"/>
  <c r="E276" i="1"/>
  <c r="E284" i="1"/>
  <c r="E292" i="1"/>
  <c r="E300" i="1"/>
  <c r="E308" i="1"/>
  <c r="E316" i="1"/>
  <c r="E324" i="1"/>
  <c r="E332" i="1"/>
  <c r="E340" i="1"/>
  <c r="E348" i="1"/>
  <c r="E356" i="1"/>
  <c r="E364" i="1"/>
  <c r="E372" i="1"/>
  <c r="E380" i="1"/>
  <c r="E388" i="1"/>
  <c r="E396" i="1"/>
  <c r="E404" i="1"/>
  <c r="E412" i="1"/>
  <c r="E420" i="1"/>
  <c r="E428" i="1"/>
  <c r="E436" i="1"/>
  <c r="E444" i="1"/>
  <c r="E452" i="1"/>
  <c r="E460" i="1"/>
  <c r="E468" i="1"/>
  <c r="E476" i="1"/>
  <c r="E484" i="1"/>
  <c r="E492" i="1"/>
  <c r="E500" i="1"/>
  <c r="E508" i="1"/>
  <c r="E516" i="1"/>
  <c r="E453" i="1"/>
  <c r="E469" i="1"/>
  <c r="E493" i="1"/>
  <c r="E509" i="1"/>
  <c r="E170" i="1"/>
  <c r="E266" i="1"/>
  <c r="E330" i="1"/>
  <c r="E386" i="1"/>
  <c r="E442" i="1"/>
  <c r="E498" i="1"/>
  <c r="E43" i="1"/>
  <c r="E91" i="1"/>
  <c r="E155" i="1"/>
  <c r="E13" i="1"/>
  <c r="E21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253" i="1"/>
  <c r="E261" i="1"/>
  <c r="E269" i="1"/>
  <c r="E277" i="1"/>
  <c r="E285" i="1"/>
  <c r="E293" i="1"/>
  <c r="E301" i="1"/>
  <c r="E309" i="1"/>
  <c r="E317" i="1"/>
  <c r="E325" i="1"/>
  <c r="E333" i="1"/>
  <c r="E341" i="1"/>
  <c r="E349" i="1"/>
  <c r="E357" i="1"/>
  <c r="E365" i="1"/>
  <c r="E373" i="1"/>
  <c r="E381" i="1"/>
  <c r="E389" i="1"/>
  <c r="E397" i="1"/>
  <c r="E405" i="1"/>
  <c r="E413" i="1"/>
  <c r="E421" i="1"/>
  <c r="E429" i="1"/>
  <c r="E437" i="1"/>
  <c r="E445" i="1"/>
  <c r="E461" i="1"/>
  <c r="E477" i="1"/>
  <c r="E485" i="1"/>
  <c r="E501" i="1"/>
  <c r="E517" i="1"/>
  <c r="E186" i="1"/>
  <c r="E250" i="1"/>
  <c r="E306" i="1"/>
  <c r="E354" i="1"/>
  <c r="E402" i="1"/>
  <c r="E450" i="1"/>
  <c r="E490" i="1"/>
  <c r="E35" i="1"/>
  <c r="E75" i="1"/>
  <c r="E131" i="1"/>
  <c r="E14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126" i="1"/>
  <c r="E134" i="1"/>
  <c r="E142" i="1"/>
  <c r="E150" i="1"/>
  <c r="E158" i="1"/>
  <c r="E166" i="1"/>
  <c r="E174" i="1"/>
  <c r="E182" i="1"/>
  <c r="E190" i="1"/>
  <c r="E198" i="1"/>
  <c r="E206" i="1"/>
  <c r="E214" i="1"/>
  <c r="E222" i="1"/>
  <c r="E230" i="1"/>
  <c r="E238" i="1"/>
  <c r="E246" i="1"/>
  <c r="E254" i="1"/>
  <c r="E262" i="1"/>
  <c r="E270" i="1"/>
  <c r="E278" i="1"/>
  <c r="E286" i="1"/>
  <c r="E294" i="1"/>
  <c r="E302" i="1"/>
  <c r="E310" i="1"/>
  <c r="E318" i="1"/>
  <c r="E326" i="1"/>
  <c r="E334" i="1"/>
  <c r="E342" i="1"/>
  <c r="E350" i="1"/>
  <c r="E358" i="1"/>
  <c r="E366" i="1"/>
  <c r="E374" i="1"/>
  <c r="E382" i="1"/>
  <c r="E390" i="1"/>
  <c r="E398" i="1"/>
  <c r="E406" i="1"/>
  <c r="E414" i="1"/>
  <c r="E422" i="1"/>
  <c r="E430" i="1"/>
  <c r="E438" i="1"/>
  <c r="E446" i="1"/>
  <c r="E454" i="1"/>
  <c r="E462" i="1"/>
  <c r="E470" i="1"/>
  <c r="E478" i="1"/>
  <c r="E486" i="1"/>
  <c r="E494" i="1"/>
  <c r="E502" i="1"/>
  <c r="E510" i="1"/>
  <c r="E518" i="1"/>
  <c r="E447" i="1"/>
  <c r="E471" i="1"/>
  <c r="E487" i="1"/>
  <c r="E503" i="1"/>
  <c r="E519" i="1"/>
  <c r="E154" i="1"/>
  <c r="E290" i="1"/>
  <c r="E346" i="1"/>
  <c r="E410" i="1"/>
  <c r="E458" i="1"/>
  <c r="E514" i="1"/>
  <c r="E51" i="1"/>
  <c r="E99" i="1"/>
  <c r="E139" i="1"/>
  <c r="E179" i="1"/>
  <c r="E15" i="1"/>
  <c r="E23" i="1"/>
  <c r="E31" i="1"/>
  <c r="E39" i="1"/>
  <c r="E47" i="1"/>
  <c r="E55" i="1"/>
  <c r="E63" i="1"/>
  <c r="E71" i="1"/>
  <c r="E79" i="1"/>
  <c r="E87" i="1"/>
  <c r="E95" i="1"/>
  <c r="E103" i="1"/>
  <c r="E111" i="1"/>
  <c r="E119" i="1"/>
  <c r="E127" i="1"/>
  <c r="E135" i="1"/>
  <c r="E143" i="1"/>
  <c r="E151" i="1"/>
  <c r="E159" i="1"/>
  <c r="E167" i="1"/>
  <c r="E175" i="1"/>
  <c r="E183" i="1"/>
  <c r="E191" i="1"/>
  <c r="E199" i="1"/>
  <c r="E207" i="1"/>
  <c r="E215" i="1"/>
  <c r="E223" i="1"/>
  <c r="E231" i="1"/>
  <c r="E239" i="1"/>
  <c r="E247" i="1"/>
  <c r="E255" i="1"/>
  <c r="E263" i="1"/>
  <c r="E271" i="1"/>
  <c r="E279" i="1"/>
  <c r="E287" i="1"/>
  <c r="E295" i="1"/>
  <c r="E303" i="1"/>
  <c r="E311" i="1"/>
  <c r="E319" i="1"/>
  <c r="E327" i="1"/>
  <c r="E335" i="1"/>
  <c r="E343" i="1"/>
  <c r="E351" i="1"/>
  <c r="E359" i="1"/>
  <c r="E367" i="1"/>
  <c r="E375" i="1"/>
  <c r="E383" i="1"/>
  <c r="E391" i="1"/>
  <c r="E399" i="1"/>
  <c r="E407" i="1"/>
  <c r="E415" i="1"/>
  <c r="E423" i="1"/>
  <c r="E431" i="1"/>
  <c r="E439" i="1"/>
  <c r="E455" i="1"/>
  <c r="E463" i="1"/>
  <c r="E479" i="1"/>
  <c r="E495" i="1"/>
  <c r="E511" i="1"/>
  <c r="E162" i="1"/>
  <c r="E282" i="1"/>
  <c r="E322" i="1"/>
  <c r="E370" i="1"/>
  <c r="E418" i="1"/>
  <c r="E474" i="1"/>
  <c r="E27" i="1"/>
  <c r="E83" i="1"/>
  <c r="E147" i="1"/>
  <c r="E16" i="1"/>
  <c r="E24" i="1"/>
  <c r="E32" i="1"/>
  <c r="E40" i="1"/>
  <c r="E48" i="1"/>
  <c r="E56" i="1"/>
  <c r="E64" i="1"/>
  <c r="E72" i="1"/>
  <c r="E80" i="1"/>
  <c r="E88" i="1"/>
  <c r="E96" i="1"/>
  <c r="E104" i="1"/>
  <c r="E112" i="1"/>
  <c r="E120" i="1"/>
  <c r="E128" i="1"/>
  <c r="E136" i="1"/>
  <c r="E144" i="1"/>
  <c r="E152" i="1"/>
  <c r="E160" i="1"/>
  <c r="E168" i="1"/>
  <c r="E176" i="1"/>
  <c r="E184" i="1"/>
  <c r="E192" i="1"/>
  <c r="E200" i="1"/>
  <c r="E208" i="1"/>
  <c r="E216" i="1"/>
  <c r="E224" i="1"/>
  <c r="E232" i="1"/>
  <c r="E240" i="1"/>
  <c r="E248" i="1"/>
  <c r="E256" i="1"/>
  <c r="E264" i="1"/>
  <c r="E272" i="1"/>
  <c r="E280" i="1"/>
  <c r="E288" i="1"/>
  <c r="E296" i="1"/>
  <c r="E304" i="1"/>
  <c r="E312" i="1"/>
  <c r="E320" i="1"/>
  <c r="E328" i="1"/>
  <c r="E336" i="1"/>
  <c r="E344" i="1"/>
  <c r="E352" i="1"/>
  <c r="E360" i="1"/>
  <c r="E368" i="1"/>
  <c r="E376" i="1"/>
  <c r="E384" i="1"/>
  <c r="E392" i="1"/>
  <c r="E400" i="1"/>
  <c r="E408" i="1"/>
  <c r="E416" i="1"/>
  <c r="E424" i="1"/>
  <c r="E432" i="1"/>
  <c r="E440" i="1"/>
  <c r="E448" i="1"/>
  <c r="E456" i="1"/>
  <c r="E464" i="1"/>
  <c r="E472" i="1"/>
  <c r="E480" i="1"/>
  <c r="E488" i="1"/>
  <c r="E496" i="1"/>
  <c r="E504" i="1"/>
  <c r="E512" i="1"/>
  <c r="E520" i="1"/>
  <c r="E26" i="1"/>
  <c r="E42" i="1"/>
  <c r="E58" i="1"/>
  <c r="E74" i="1"/>
  <c r="E90" i="1"/>
  <c r="E106" i="1"/>
  <c r="E122" i="1"/>
  <c r="E138" i="1"/>
  <c r="E178" i="1"/>
  <c r="E202" i="1"/>
  <c r="E218" i="1"/>
  <c r="E234" i="1"/>
  <c r="E258" i="1"/>
  <c r="E298" i="1"/>
  <c r="E338" i="1"/>
  <c r="E378" i="1"/>
  <c r="E426" i="1"/>
  <c r="E466" i="1"/>
  <c r="E506" i="1"/>
  <c r="E59" i="1"/>
  <c r="E123" i="1"/>
  <c r="E17" i="1"/>
  <c r="E25" i="1"/>
  <c r="E33" i="1"/>
  <c r="E41" i="1"/>
  <c r="E49" i="1"/>
  <c r="E57" i="1"/>
  <c r="E65" i="1"/>
  <c r="E73" i="1"/>
  <c r="E81" i="1"/>
  <c r="E89" i="1"/>
  <c r="E97" i="1"/>
  <c r="E105" i="1"/>
  <c r="E113" i="1"/>
  <c r="E121" i="1"/>
  <c r="E129" i="1"/>
  <c r="E137" i="1"/>
  <c r="E145" i="1"/>
  <c r="E153" i="1"/>
  <c r="E161" i="1"/>
  <c r="E169" i="1"/>
  <c r="E177" i="1"/>
  <c r="E185" i="1"/>
  <c r="E193" i="1"/>
  <c r="E201" i="1"/>
  <c r="E209" i="1"/>
  <c r="E217" i="1"/>
  <c r="E225" i="1"/>
  <c r="E233" i="1"/>
  <c r="E241" i="1"/>
  <c r="E249" i="1"/>
  <c r="E257" i="1"/>
  <c r="E265" i="1"/>
  <c r="E273" i="1"/>
  <c r="E281" i="1"/>
  <c r="E289" i="1"/>
  <c r="E297" i="1"/>
  <c r="E305" i="1"/>
  <c r="E313" i="1"/>
  <c r="E321" i="1"/>
  <c r="E329" i="1"/>
  <c r="E337" i="1"/>
  <c r="E345" i="1"/>
  <c r="E353" i="1"/>
  <c r="E361" i="1"/>
  <c r="E369" i="1"/>
  <c r="E377" i="1"/>
  <c r="E385" i="1"/>
  <c r="E393" i="1"/>
  <c r="E401" i="1"/>
  <c r="E409" i="1"/>
  <c r="E417" i="1"/>
  <c r="E425" i="1"/>
  <c r="E433" i="1"/>
  <c r="E441" i="1"/>
  <c r="E449" i="1"/>
  <c r="E457" i="1"/>
  <c r="E465" i="1"/>
  <c r="E473" i="1"/>
  <c r="E481" i="1"/>
  <c r="E489" i="1"/>
  <c r="E497" i="1"/>
  <c r="E505" i="1"/>
  <c r="E513" i="1"/>
  <c r="E18" i="1"/>
  <c r="E34" i="1"/>
  <c r="E50" i="1"/>
  <c r="E66" i="1"/>
  <c r="E82" i="1"/>
  <c r="E98" i="1"/>
  <c r="E114" i="1"/>
  <c r="E130" i="1"/>
  <c r="E146" i="1"/>
  <c r="E194" i="1"/>
  <c r="E210" i="1"/>
  <c r="E226" i="1"/>
  <c r="E242" i="1"/>
  <c r="E274" i="1"/>
  <c r="E314" i="1"/>
  <c r="E362" i="1"/>
  <c r="E394" i="1"/>
  <c r="E434" i="1"/>
  <c r="E482" i="1"/>
  <c r="E19" i="1"/>
  <c r="E67" i="1"/>
  <c r="E115" i="1"/>
  <c r="E107" i="1"/>
  <c r="E163" i="1"/>
  <c r="E235" i="1"/>
  <c r="E299" i="1"/>
  <c r="E363" i="1"/>
  <c r="E427" i="1"/>
  <c r="E491" i="1"/>
  <c r="E243" i="1"/>
  <c r="E307" i="1"/>
  <c r="E371" i="1"/>
  <c r="E435" i="1"/>
  <c r="E499" i="1"/>
  <c r="E187" i="1"/>
  <c r="E171" i="1"/>
  <c r="E251" i="1"/>
  <c r="E315" i="1"/>
  <c r="E379" i="1"/>
  <c r="E443" i="1"/>
  <c r="E507" i="1"/>
  <c r="E323" i="1"/>
  <c r="E451" i="1"/>
  <c r="E203" i="1"/>
  <c r="E331" i="1"/>
  <c r="E395" i="1"/>
  <c r="E275" i="1"/>
  <c r="E339" i="1"/>
  <c r="E467" i="1"/>
  <c r="E347" i="1"/>
  <c r="E475" i="1"/>
  <c r="E419" i="1"/>
  <c r="E387" i="1"/>
  <c r="E219" i="1"/>
  <c r="E291" i="1"/>
  <c r="E195" i="1"/>
  <c r="E259" i="1"/>
  <c r="E515" i="1"/>
  <c r="E267" i="1"/>
  <c r="E459" i="1"/>
  <c r="E403" i="1"/>
  <c r="E283" i="1"/>
  <c r="E227" i="1"/>
  <c r="E483" i="1"/>
  <c r="E211" i="1"/>
  <c r="E411" i="1"/>
  <c r="E355" i="1"/>
  <c r="H102" i="1"/>
  <c r="H166" i="1"/>
  <c r="H230" i="1"/>
  <c r="H294" i="1"/>
  <c r="H390" i="1"/>
  <c r="H520" i="1"/>
  <c r="H436" i="1"/>
  <c r="H151" i="1"/>
  <c r="H215" i="1"/>
  <c r="H279" i="1"/>
  <c r="H343" i="1"/>
  <c r="H407" i="1"/>
  <c r="H471" i="1"/>
  <c r="H368" i="1"/>
  <c r="H379" i="1"/>
  <c r="H104" i="1"/>
  <c r="H168" i="1"/>
  <c r="H232" i="1"/>
  <c r="H296" i="1"/>
  <c r="H376" i="1"/>
  <c r="H427" i="1"/>
  <c r="H105" i="1"/>
  <c r="H169" i="1"/>
  <c r="H233" i="1"/>
  <c r="H297" i="1"/>
  <c r="H361" i="1"/>
  <c r="H425" i="1"/>
  <c r="H489" i="1"/>
  <c r="H179" i="1"/>
  <c r="H307" i="1"/>
  <c r="H156" i="1"/>
  <c r="H420" i="1"/>
  <c r="H138" i="1"/>
  <c r="H202" i="1"/>
  <c r="H266" i="1"/>
  <c r="H330" i="1"/>
  <c r="H394" i="1"/>
  <c r="H458" i="1"/>
  <c r="H107" i="1"/>
  <c r="H235" i="1"/>
  <c r="H387" i="1"/>
  <c r="H276" i="1"/>
  <c r="H117" i="1"/>
  <c r="H181" i="1"/>
  <c r="H245" i="1"/>
  <c r="H309" i="1"/>
  <c r="H373" i="1"/>
  <c r="H437" i="1"/>
  <c r="H501" i="1"/>
  <c r="H406" i="1"/>
  <c r="H510" i="1"/>
  <c r="H116" i="1"/>
  <c r="H412" i="1"/>
  <c r="G84" i="1"/>
  <c r="G61" i="1"/>
  <c r="G125" i="1"/>
  <c r="G189" i="1"/>
  <c r="G253" i="1"/>
  <c r="G317" i="1"/>
  <c r="G381" i="1"/>
  <c r="G445" i="1"/>
  <c r="G509" i="1"/>
  <c r="G343" i="1"/>
  <c r="G72" i="1"/>
  <c r="G62" i="1"/>
  <c r="G126" i="1"/>
  <c r="H110" i="1"/>
  <c r="H118" i="1"/>
  <c r="H126" i="1"/>
  <c r="H190" i="1"/>
  <c r="H254" i="1"/>
  <c r="H318" i="1"/>
  <c r="H454" i="1"/>
  <c r="H515" i="1"/>
  <c r="H111" i="1"/>
  <c r="H175" i="1"/>
  <c r="H239" i="1"/>
  <c r="H303" i="1"/>
  <c r="H367" i="1"/>
  <c r="H431" i="1"/>
  <c r="H495" i="1"/>
  <c r="H416" i="1"/>
  <c r="H132" i="1"/>
  <c r="H128" i="1"/>
  <c r="H192" i="1"/>
  <c r="H256" i="1"/>
  <c r="H320" i="1"/>
  <c r="H424" i="1"/>
  <c r="H244" i="1"/>
  <c r="H129" i="1"/>
  <c r="H193" i="1"/>
  <c r="H257" i="1"/>
  <c r="H321" i="1"/>
  <c r="H385" i="1"/>
  <c r="H449" i="1"/>
  <c r="H513" i="1"/>
  <c r="H227" i="1"/>
  <c r="H371" i="1"/>
  <c r="H228" i="1"/>
  <c r="H508" i="1"/>
  <c r="H162" i="1"/>
  <c r="H226" i="1"/>
  <c r="H290" i="1"/>
  <c r="H354" i="1"/>
  <c r="H418" i="1"/>
  <c r="H482" i="1"/>
  <c r="H155" i="1"/>
  <c r="H283" i="1"/>
  <c r="H499" i="1"/>
  <c r="H356" i="1"/>
  <c r="H141" i="1"/>
  <c r="H205" i="1"/>
  <c r="H269" i="1"/>
  <c r="H333" i="1"/>
  <c r="H397" i="1"/>
  <c r="H461" i="1"/>
  <c r="H326" i="1"/>
  <c r="H446" i="1"/>
  <c r="H512" i="1"/>
  <c r="H212" i="1"/>
  <c r="H101" i="1"/>
  <c r="G108" i="1"/>
  <c r="G85" i="1"/>
  <c r="G149" i="1"/>
  <c r="G213" i="1"/>
  <c r="G277" i="1"/>
  <c r="G341" i="1"/>
  <c r="G405" i="1"/>
  <c r="G469" i="1"/>
  <c r="G239" i="1"/>
  <c r="G415" i="1"/>
  <c r="G152" i="1"/>
  <c r="G86" i="1"/>
  <c r="G150" i="1"/>
  <c r="G214" i="1"/>
  <c r="G278" i="1"/>
  <c r="G342" i="1"/>
  <c r="G406" i="1"/>
  <c r="G470" i="1"/>
  <c r="G255" i="1"/>
  <c r="G431" i="1"/>
  <c r="G168" i="1"/>
  <c r="G79" i="1"/>
  <c r="G143" i="1"/>
  <c r="G223" i="1"/>
  <c r="G423" i="1"/>
  <c r="G248" i="1"/>
  <c r="G65" i="1"/>
  <c r="G129" i="1"/>
  <c r="G193" i="1"/>
  <c r="G257" i="1"/>
  <c r="G321" i="1"/>
  <c r="G385" i="1"/>
  <c r="H134" i="1"/>
  <c r="H198" i="1"/>
  <c r="H262" i="1"/>
  <c r="H334" i="1"/>
  <c r="H478" i="1"/>
  <c r="H140" i="1"/>
  <c r="H119" i="1"/>
  <c r="H183" i="1"/>
  <c r="H247" i="1"/>
  <c r="H311" i="1"/>
  <c r="H375" i="1"/>
  <c r="H439" i="1"/>
  <c r="H503" i="1"/>
  <c r="H432" i="1"/>
  <c r="H236" i="1"/>
  <c r="H136" i="1"/>
  <c r="H200" i="1"/>
  <c r="H264" i="1"/>
  <c r="H328" i="1"/>
  <c r="H440" i="1"/>
  <c r="H308" i="1"/>
  <c r="H137" i="1"/>
  <c r="H201" i="1"/>
  <c r="H265" i="1"/>
  <c r="H329" i="1"/>
  <c r="H393" i="1"/>
  <c r="H457" i="1"/>
  <c r="H115" i="1"/>
  <c r="H243" i="1"/>
  <c r="H403" i="1"/>
  <c r="H268" i="1"/>
  <c r="H106" i="1"/>
  <c r="H170" i="1"/>
  <c r="H234" i="1"/>
  <c r="H298" i="1"/>
  <c r="H362" i="1"/>
  <c r="H426" i="1"/>
  <c r="H490" i="1"/>
  <c r="H171" i="1"/>
  <c r="H299" i="1"/>
  <c r="H108" i="1"/>
  <c r="H396" i="1"/>
  <c r="H149" i="1"/>
  <c r="H213" i="1"/>
  <c r="H277" i="1"/>
  <c r="H341" i="1"/>
  <c r="H405" i="1"/>
  <c r="H469" i="1"/>
  <c r="H358" i="1"/>
  <c r="H462" i="1"/>
  <c r="H355" i="1"/>
  <c r="H260" i="1"/>
  <c r="G52" i="1"/>
  <c r="G116" i="1"/>
  <c r="G93" i="1"/>
  <c r="G157" i="1"/>
  <c r="G221" i="1"/>
  <c r="G285" i="1"/>
  <c r="G349" i="1"/>
  <c r="G413" i="1"/>
  <c r="G477" i="1"/>
  <c r="G271" i="1"/>
  <c r="G439" i="1"/>
  <c r="G184" i="1"/>
  <c r="G94" i="1"/>
  <c r="G158" i="1"/>
  <c r="G222" i="1"/>
  <c r="G286" i="1"/>
  <c r="G350" i="1"/>
  <c r="G414" i="1"/>
  <c r="G478" i="1"/>
  <c r="G279" i="1"/>
  <c r="G447" i="1"/>
  <c r="G192" i="1"/>
  <c r="G87" i="1"/>
  <c r="G151" i="1"/>
  <c r="G231" i="1"/>
  <c r="G455" i="1"/>
  <c r="G56" i="1"/>
  <c r="G73" i="1"/>
  <c r="G137" i="1"/>
  <c r="G201" i="1"/>
  <c r="G265" i="1"/>
  <c r="G329" i="1"/>
  <c r="G393" i="1"/>
  <c r="H142" i="1"/>
  <c r="H206" i="1"/>
  <c r="H270" i="1"/>
  <c r="H342" i="1"/>
  <c r="H502" i="1"/>
  <c r="H252" i="1"/>
  <c r="H127" i="1"/>
  <c r="H191" i="1"/>
  <c r="H255" i="1"/>
  <c r="H319" i="1"/>
  <c r="H383" i="1"/>
  <c r="H447" i="1"/>
  <c r="H511" i="1"/>
  <c r="H448" i="1"/>
  <c r="H316" i="1"/>
  <c r="H144" i="1"/>
  <c r="H208" i="1"/>
  <c r="H272" i="1"/>
  <c r="H336" i="1"/>
  <c r="H464" i="1"/>
  <c r="H388" i="1"/>
  <c r="H145" i="1"/>
  <c r="H209" i="1"/>
  <c r="H273" i="1"/>
  <c r="H337" i="1"/>
  <c r="H401" i="1"/>
  <c r="H465" i="1"/>
  <c r="H131" i="1"/>
  <c r="H259" i="1"/>
  <c r="H443" i="1"/>
  <c r="H300" i="1"/>
  <c r="H114" i="1"/>
  <c r="H178" i="1"/>
  <c r="H242" i="1"/>
  <c r="H306" i="1"/>
  <c r="H370" i="1"/>
  <c r="H434" i="1"/>
  <c r="H498" i="1"/>
  <c r="H187" i="1"/>
  <c r="H315" i="1"/>
  <c r="H172" i="1"/>
  <c r="H428" i="1"/>
  <c r="H157" i="1"/>
  <c r="H221" i="1"/>
  <c r="H285" i="1"/>
  <c r="H349" i="1"/>
  <c r="H413" i="1"/>
  <c r="H477" i="1"/>
  <c r="H374" i="1"/>
  <c r="H470" i="1"/>
  <c r="H411" i="1"/>
  <c r="H292" i="1"/>
  <c r="G60" i="1"/>
  <c r="G124" i="1"/>
  <c r="G101" i="1"/>
  <c r="G165" i="1"/>
  <c r="G229" i="1"/>
  <c r="G293" i="1"/>
  <c r="G357" i="1"/>
  <c r="G421" i="1"/>
  <c r="G485" i="1"/>
  <c r="G287" i="1"/>
  <c r="G463" i="1"/>
  <c r="G216" i="1"/>
  <c r="G102" i="1"/>
  <c r="G166" i="1"/>
  <c r="H150" i="1"/>
  <c r="H214" i="1"/>
  <c r="H278" i="1"/>
  <c r="H350" i="1"/>
  <c r="H456" i="1"/>
  <c r="H332" i="1"/>
  <c r="H135" i="1"/>
  <c r="H199" i="1"/>
  <c r="H263" i="1"/>
  <c r="H327" i="1"/>
  <c r="H391" i="1"/>
  <c r="H455" i="1"/>
  <c r="H519" i="1"/>
  <c r="H480" i="1"/>
  <c r="H404" i="1"/>
  <c r="H152" i="1"/>
  <c r="H216" i="1"/>
  <c r="H280" i="1"/>
  <c r="H352" i="1"/>
  <c r="H488" i="1"/>
  <c r="H444" i="1"/>
  <c r="H153" i="1"/>
  <c r="H217" i="1"/>
  <c r="H281" i="1"/>
  <c r="H345" i="1"/>
  <c r="H409" i="1"/>
  <c r="H473" i="1"/>
  <c r="H147" i="1"/>
  <c r="H275" i="1"/>
  <c r="H475" i="1"/>
  <c r="H348" i="1"/>
  <c r="H122" i="1"/>
  <c r="H186" i="1"/>
  <c r="H250" i="1"/>
  <c r="H314" i="1"/>
  <c r="H378" i="1"/>
  <c r="H442" i="1"/>
  <c r="H506" i="1"/>
  <c r="H203" i="1"/>
  <c r="H331" i="1"/>
  <c r="H196" i="1"/>
  <c r="H468" i="1"/>
  <c r="H165" i="1"/>
  <c r="H229" i="1"/>
  <c r="H293" i="1"/>
  <c r="H357" i="1"/>
  <c r="H421" i="1"/>
  <c r="H485" i="1"/>
  <c r="H382" i="1"/>
  <c r="H486" i="1"/>
  <c r="H451" i="1"/>
  <c r="H340" i="1"/>
  <c r="G68" i="1"/>
  <c r="G132" i="1"/>
  <c r="G109" i="1"/>
  <c r="G173" i="1"/>
  <c r="G237" i="1"/>
  <c r="G301" i="1"/>
  <c r="G365" i="1"/>
  <c r="G429" i="1"/>
  <c r="G493" i="1"/>
  <c r="G311" i="1"/>
  <c r="G487" i="1"/>
  <c r="G240" i="1"/>
  <c r="G110" i="1"/>
  <c r="G174" i="1"/>
  <c r="G238" i="1"/>
  <c r="G302" i="1"/>
  <c r="G366" i="1"/>
  <c r="G430" i="1"/>
  <c r="G494" i="1"/>
  <c r="G335" i="1"/>
  <c r="G495" i="1"/>
  <c r="G232" i="1"/>
  <c r="G103" i="1"/>
  <c r="G167" i="1"/>
  <c r="G263" i="1"/>
  <c r="G519" i="1"/>
  <c r="G96" i="1"/>
  <c r="G89" i="1"/>
  <c r="G153" i="1"/>
  <c r="G217" i="1"/>
  <c r="G281" i="1"/>
  <c r="G345" i="1"/>
  <c r="G409" i="1"/>
  <c r="H158" i="1"/>
  <c r="H222" i="1"/>
  <c r="H286" i="1"/>
  <c r="H366" i="1"/>
  <c r="H496" i="1"/>
  <c r="H380" i="1"/>
  <c r="H143" i="1"/>
  <c r="H207" i="1"/>
  <c r="H271" i="1"/>
  <c r="H335" i="1"/>
  <c r="H399" i="1"/>
  <c r="H463" i="1"/>
  <c r="H344" i="1"/>
  <c r="H174" i="1"/>
  <c r="H395" i="1"/>
  <c r="H287" i="1"/>
  <c r="H384" i="1"/>
  <c r="H160" i="1"/>
  <c r="H312" i="1"/>
  <c r="H113" i="1"/>
  <c r="H289" i="1"/>
  <c r="H441" i="1"/>
  <c r="H323" i="1"/>
  <c r="H130" i="1"/>
  <c r="H282" i="1"/>
  <c r="H466" i="1"/>
  <c r="H347" i="1"/>
  <c r="H133" i="1"/>
  <c r="H317" i="1"/>
  <c r="H493" i="1"/>
  <c r="H472" i="1"/>
  <c r="G92" i="1"/>
  <c r="G181" i="1"/>
  <c r="G333" i="1"/>
  <c r="G517" i="1"/>
  <c r="G54" i="1"/>
  <c r="G198" i="1"/>
  <c r="G310" i="1"/>
  <c r="G398" i="1"/>
  <c r="G510" i="1"/>
  <c r="G471" i="1"/>
  <c r="G63" i="1"/>
  <c r="G183" i="1"/>
  <c r="G383" i="1"/>
  <c r="G160" i="1"/>
  <c r="G145" i="1"/>
  <c r="G241" i="1"/>
  <c r="G353" i="1"/>
  <c r="G441" i="1"/>
  <c r="G505" i="1"/>
  <c r="G106" i="1"/>
  <c r="G170" i="1"/>
  <c r="G234" i="1"/>
  <c r="G195" i="1"/>
  <c r="G356" i="1"/>
  <c r="G484" i="1"/>
  <c r="G259" i="1"/>
  <c r="G392" i="1"/>
  <c r="G520" i="1"/>
  <c r="G188" i="1"/>
  <c r="G171" i="1"/>
  <c r="G346" i="1"/>
  <c r="G474" i="1"/>
  <c r="G267" i="1"/>
  <c r="G395" i="1"/>
  <c r="G464" i="1"/>
  <c r="G307" i="1"/>
  <c r="G243" i="1"/>
  <c r="G380" i="1"/>
  <c r="G508" i="1"/>
  <c r="G432" i="1"/>
  <c r="G498" i="1"/>
  <c r="G499" i="1"/>
  <c r="G416" i="1"/>
  <c r="F37" i="1"/>
  <c r="F64" i="1"/>
  <c r="F128" i="1"/>
  <c r="F192" i="1"/>
  <c r="F256" i="1"/>
  <c r="F320" i="1"/>
  <c r="F384" i="1"/>
  <c r="F448" i="1"/>
  <c r="F512" i="1"/>
  <c r="F122" i="1"/>
  <c r="F242" i="1"/>
  <c r="F370" i="1"/>
  <c r="F89" i="1"/>
  <c r="F153" i="1"/>
  <c r="F217" i="1"/>
  <c r="F281" i="1"/>
  <c r="F345" i="1"/>
  <c r="F409" i="1"/>
  <c r="F473" i="1"/>
  <c r="F90" i="1"/>
  <c r="F234" i="1"/>
  <c r="F362" i="1"/>
  <c r="F91" i="1"/>
  <c r="F155" i="1"/>
  <c r="H182" i="1"/>
  <c r="H467" i="1"/>
  <c r="H295" i="1"/>
  <c r="H400" i="1"/>
  <c r="H176" i="1"/>
  <c r="H360" i="1"/>
  <c r="H121" i="1"/>
  <c r="H305" i="1"/>
  <c r="H481" i="1"/>
  <c r="H339" i="1"/>
  <c r="H146" i="1"/>
  <c r="H322" i="1"/>
  <c r="H474" i="1"/>
  <c r="H419" i="1"/>
  <c r="H173" i="1"/>
  <c r="H325" i="1"/>
  <c r="H509" i="1"/>
  <c r="H483" i="1"/>
  <c r="G100" i="1"/>
  <c r="G197" i="1"/>
  <c r="G373" i="1"/>
  <c r="G191" i="1"/>
  <c r="G70" i="1"/>
  <c r="G206" i="1"/>
  <c r="G318" i="1"/>
  <c r="G422" i="1"/>
  <c r="G518" i="1"/>
  <c r="G503" i="1"/>
  <c r="G71" i="1"/>
  <c r="G199" i="1"/>
  <c r="G479" i="1"/>
  <c r="G200" i="1"/>
  <c r="G161" i="1"/>
  <c r="G249" i="1"/>
  <c r="G361" i="1"/>
  <c r="G449" i="1"/>
  <c r="G513" i="1"/>
  <c r="G114" i="1"/>
  <c r="G178" i="1"/>
  <c r="G242" i="1"/>
  <c r="G227" i="1"/>
  <c r="G372" i="1"/>
  <c r="G500" i="1"/>
  <c r="G280" i="1"/>
  <c r="G408" i="1"/>
  <c r="G512" i="1"/>
  <c r="G291" i="1"/>
  <c r="G203" i="1"/>
  <c r="G362" i="1"/>
  <c r="G490" i="1"/>
  <c r="G283" i="1"/>
  <c r="G411" i="1"/>
  <c r="G107" i="1"/>
  <c r="G371" i="1"/>
  <c r="G268" i="1"/>
  <c r="G396" i="1"/>
  <c r="G244" i="1"/>
  <c r="G448" i="1"/>
  <c r="G514" i="1"/>
  <c r="G99" i="1"/>
  <c r="G480" i="1"/>
  <c r="F45" i="1"/>
  <c r="F72" i="1"/>
  <c r="F136" i="1"/>
  <c r="F200" i="1"/>
  <c r="F264" i="1"/>
  <c r="F328" i="1"/>
  <c r="F392" i="1"/>
  <c r="F456" i="1"/>
  <c r="F520" i="1"/>
  <c r="F138" i="1"/>
  <c r="F258" i="1"/>
  <c r="F378" i="1"/>
  <c r="F97" i="1"/>
  <c r="H238" i="1"/>
  <c r="H492" i="1"/>
  <c r="H351" i="1"/>
  <c r="H504" i="1"/>
  <c r="H184" i="1"/>
  <c r="H392" i="1"/>
  <c r="H161" i="1"/>
  <c r="H313" i="1"/>
  <c r="H497" i="1"/>
  <c r="H124" i="1"/>
  <c r="H154" i="1"/>
  <c r="H338" i="1"/>
  <c r="H514" i="1"/>
  <c r="H459" i="1"/>
  <c r="H189" i="1"/>
  <c r="H365" i="1"/>
  <c r="H517" i="1"/>
  <c r="H164" i="1"/>
  <c r="G53" i="1"/>
  <c r="G205" i="1"/>
  <c r="G389" i="1"/>
  <c r="G327" i="1"/>
  <c r="G78" i="1"/>
  <c r="G230" i="1"/>
  <c r="G326" i="1"/>
  <c r="G438" i="1"/>
  <c r="G175" i="1"/>
  <c r="G64" i="1"/>
  <c r="G95" i="1"/>
  <c r="G207" i="1"/>
  <c r="G80" i="1"/>
  <c r="G57" i="1"/>
  <c r="G169" i="1"/>
  <c r="G273" i="1"/>
  <c r="G369" i="1"/>
  <c r="G457" i="1"/>
  <c r="G58" i="1"/>
  <c r="G122" i="1"/>
  <c r="G186" i="1"/>
  <c r="H246" i="1"/>
  <c r="H103" i="1"/>
  <c r="H359" i="1"/>
  <c r="H435" i="1"/>
  <c r="H224" i="1"/>
  <c r="H408" i="1"/>
  <c r="H177" i="1"/>
  <c r="H353" i="1"/>
  <c r="H505" i="1"/>
  <c r="H180" i="1"/>
  <c r="H194" i="1"/>
  <c r="H346" i="1"/>
  <c r="H123" i="1"/>
  <c r="H220" i="1"/>
  <c r="H197" i="1"/>
  <c r="H381" i="1"/>
  <c r="H398" i="1"/>
  <c r="H188" i="1"/>
  <c r="G69" i="1"/>
  <c r="G245" i="1"/>
  <c r="G397" i="1"/>
  <c r="G367" i="1"/>
  <c r="G118" i="1"/>
  <c r="G246" i="1"/>
  <c r="G334" i="1"/>
  <c r="G446" i="1"/>
  <c r="G303" i="1"/>
  <c r="G112" i="1"/>
  <c r="G111" i="1"/>
  <c r="G215" i="1"/>
  <c r="G136" i="1"/>
  <c r="G81" i="1"/>
  <c r="G177" i="1"/>
  <c r="G289" i="1"/>
  <c r="G377" i="1"/>
  <c r="G465" i="1"/>
  <c r="G66" i="1"/>
  <c r="G130" i="1"/>
  <c r="G194" i="1"/>
  <c r="G258" i="1"/>
  <c r="G276" i="1"/>
  <c r="G404" i="1"/>
  <c r="G67" i="1"/>
  <c r="G312" i="1"/>
  <c r="G440" i="1"/>
  <c r="G251" i="1"/>
  <c r="G403" i="1"/>
  <c r="G260" i="1"/>
  <c r="G394" i="1"/>
  <c r="G83" i="1"/>
  <c r="G315" i="1"/>
  <c r="G443" i="1"/>
  <c r="G354" i="1"/>
  <c r="G483" i="1"/>
  <c r="G300" i="1"/>
  <c r="G428" i="1"/>
  <c r="G304" i="1"/>
  <c r="G187" i="1"/>
  <c r="G220" i="1"/>
  <c r="G180" i="1"/>
  <c r="G322" i="1"/>
  <c r="F39" i="1"/>
  <c r="F88" i="1"/>
  <c r="F152" i="1"/>
  <c r="F216" i="1"/>
  <c r="F280" i="1"/>
  <c r="F344" i="1"/>
  <c r="F408" i="1"/>
  <c r="F472" i="1"/>
  <c r="F58" i="1"/>
  <c r="F170" i="1"/>
  <c r="F290" i="1"/>
  <c r="F49" i="1"/>
  <c r="F113" i="1"/>
  <c r="F177" i="1"/>
  <c r="F241" i="1"/>
  <c r="F305" i="1"/>
  <c r="F369" i="1"/>
  <c r="F433" i="1"/>
  <c r="F497" i="1"/>
  <c r="F146" i="1"/>
  <c r="F282" i="1"/>
  <c r="F51" i="1"/>
  <c r="F115" i="1"/>
  <c r="F179" i="1"/>
  <c r="F243" i="1"/>
  <c r="H302" i="1"/>
  <c r="H415" i="1"/>
  <c r="H240" i="1"/>
  <c r="H185" i="1"/>
  <c r="H163" i="1"/>
  <c r="H210" i="1"/>
  <c r="H139" i="1"/>
  <c r="H237" i="1"/>
  <c r="H422" i="1"/>
  <c r="G77" i="1"/>
  <c r="G437" i="1"/>
  <c r="G134" i="1"/>
  <c r="G358" i="1"/>
  <c r="G351" i="1"/>
  <c r="G119" i="1"/>
  <c r="G176" i="1"/>
  <c r="G185" i="1"/>
  <c r="G401" i="1"/>
  <c r="G74" i="1"/>
  <c r="G202" i="1"/>
  <c r="G163" i="1"/>
  <c r="G436" i="1"/>
  <c r="G296" i="1"/>
  <c r="G488" i="1"/>
  <c r="G467" i="1"/>
  <c r="G330" i="1"/>
  <c r="G172" i="1"/>
  <c r="G427" i="1"/>
  <c r="G156" i="1"/>
  <c r="G316" i="1"/>
  <c r="G492" i="1"/>
  <c r="G338" i="1"/>
  <c r="G148" i="1"/>
  <c r="G435" i="1"/>
  <c r="F96" i="1"/>
  <c r="F184" i="1"/>
  <c r="F296" i="1"/>
  <c r="F400" i="1"/>
  <c r="F496" i="1"/>
  <c r="F186" i="1"/>
  <c r="F354" i="1"/>
  <c r="F129" i="1"/>
  <c r="F209" i="1"/>
  <c r="F297" i="1"/>
  <c r="F385" i="1"/>
  <c r="F465" i="1"/>
  <c r="F130" i="1"/>
  <c r="F314" i="1"/>
  <c r="F83" i="1"/>
  <c r="F171" i="1"/>
  <c r="F251" i="1"/>
  <c r="F315" i="1"/>
  <c r="F379" i="1"/>
  <c r="F443" i="1"/>
  <c r="F507" i="1"/>
  <c r="F84" i="1"/>
  <c r="F148" i="1"/>
  <c r="F212" i="1"/>
  <c r="F157" i="1"/>
  <c r="F302" i="1"/>
  <c r="F422" i="1"/>
  <c r="F239" i="1"/>
  <c r="F462" i="1"/>
  <c r="F117" i="1"/>
  <c r="F303" i="1"/>
  <c r="F54" i="1"/>
  <c r="F223" i="1"/>
  <c r="F356" i="1"/>
  <c r="F101" i="1"/>
  <c r="F261" i="1"/>
  <c r="F389" i="1"/>
  <c r="F492" i="1"/>
  <c r="F364" i="1"/>
  <c r="F349" i="1"/>
  <c r="F79" i="1"/>
  <c r="F246" i="1"/>
  <c r="F374" i="1"/>
  <c r="F479" i="1"/>
  <c r="F252" i="1"/>
  <c r="F133" i="1"/>
  <c r="F485" i="1"/>
  <c r="F167" i="1"/>
  <c r="F311" i="1"/>
  <c r="F430" i="1"/>
  <c r="F127" i="1"/>
  <c r="F110" i="1"/>
  <c r="F463" i="1"/>
  <c r="F31" i="1"/>
  <c r="E11" i="1"/>
  <c r="A59" i="1"/>
  <c r="A123" i="1"/>
  <c r="A187" i="1"/>
  <c r="A251" i="1"/>
  <c r="A315" i="1"/>
  <c r="A379" i="1"/>
  <c r="A443" i="1"/>
  <c r="A507" i="1"/>
  <c r="A213" i="1"/>
  <c r="A36" i="1"/>
  <c r="A100" i="1"/>
  <c r="A164" i="1"/>
  <c r="A228" i="1"/>
  <c r="A292" i="1"/>
  <c r="A356" i="1"/>
  <c r="A420" i="1"/>
  <c r="A484" i="1"/>
  <c r="A37" i="1"/>
  <c r="A109" i="1"/>
  <c r="A237" i="1"/>
  <c r="A46" i="1"/>
  <c r="A110" i="1"/>
  <c r="A174" i="1"/>
  <c r="A238" i="1"/>
  <c r="A302" i="1"/>
  <c r="A366" i="1"/>
  <c r="A430" i="1"/>
  <c r="A494" i="1"/>
  <c r="A55" i="1"/>
  <c r="H310" i="1"/>
  <c r="H423" i="1"/>
  <c r="H248" i="1"/>
  <c r="H225" i="1"/>
  <c r="H195" i="1"/>
  <c r="H218" i="1"/>
  <c r="H219" i="1"/>
  <c r="H253" i="1"/>
  <c r="H438" i="1"/>
  <c r="G117" i="1"/>
  <c r="G453" i="1"/>
  <c r="G142" i="1"/>
  <c r="G374" i="1"/>
  <c r="G375" i="1"/>
  <c r="G127" i="1"/>
  <c r="G208" i="1"/>
  <c r="G209" i="1"/>
  <c r="G417" i="1"/>
  <c r="G82" i="1"/>
  <c r="G210" i="1"/>
  <c r="G256" i="1"/>
  <c r="G452" i="1"/>
  <c r="G328" i="1"/>
  <c r="G504" i="1"/>
  <c r="G515" i="1"/>
  <c r="G378" i="1"/>
  <c r="G204" i="1"/>
  <c r="G459" i="1"/>
  <c r="G252" i="1"/>
  <c r="G332" i="1"/>
  <c r="G288" i="1"/>
  <c r="G418" i="1"/>
  <c r="G212" i="1"/>
  <c r="G51" i="1"/>
  <c r="F104" i="1"/>
  <c r="F208" i="1"/>
  <c r="F304" i="1"/>
  <c r="F416" i="1"/>
  <c r="F504" i="1"/>
  <c r="F202" i="1"/>
  <c r="F41" i="1"/>
  <c r="F137" i="1"/>
  <c r="F225" i="1"/>
  <c r="F313" i="1"/>
  <c r="F393" i="1"/>
  <c r="F481" i="1"/>
  <c r="F162" i="1"/>
  <c r="F330" i="1"/>
  <c r="F99" i="1"/>
  <c r="F187" i="1"/>
  <c r="F259" i="1"/>
  <c r="F323" i="1"/>
  <c r="F387" i="1"/>
  <c r="F451" i="1"/>
  <c r="F515" i="1"/>
  <c r="F92" i="1"/>
  <c r="F156" i="1"/>
  <c r="F220" i="1"/>
  <c r="F175" i="1"/>
  <c r="F318" i="1"/>
  <c r="F436" i="1"/>
  <c r="F287" i="1"/>
  <c r="F476" i="1"/>
  <c r="F135" i="1"/>
  <c r="F351" i="1"/>
  <c r="F77" i="1"/>
  <c r="F244" i="1"/>
  <c r="F372" i="1"/>
  <c r="F119" i="1"/>
  <c r="F277" i="1"/>
  <c r="F402" i="1"/>
  <c r="F503" i="1"/>
  <c r="F406" i="1"/>
  <c r="F396" i="1"/>
  <c r="F102" i="1"/>
  <c r="F262" i="1"/>
  <c r="F390" i="1"/>
  <c r="F493" i="1"/>
  <c r="F300" i="1"/>
  <c r="F197" i="1"/>
  <c r="F510" i="1"/>
  <c r="F190" i="1"/>
  <c r="F327" i="1"/>
  <c r="F444" i="1"/>
  <c r="F191" i="1"/>
  <c r="H414" i="1"/>
  <c r="H479" i="1"/>
  <c r="H288" i="1"/>
  <c r="H241" i="1"/>
  <c r="H211" i="1"/>
  <c r="H258" i="1"/>
  <c r="H251" i="1"/>
  <c r="H261" i="1"/>
  <c r="H494" i="1"/>
  <c r="G133" i="1"/>
  <c r="G461" i="1"/>
  <c r="G182" i="1"/>
  <c r="G382" i="1"/>
  <c r="G399" i="1"/>
  <c r="G135" i="1"/>
  <c r="G88" i="1"/>
  <c r="G225" i="1"/>
  <c r="G425" i="1"/>
  <c r="G90" i="1"/>
  <c r="G218" i="1"/>
  <c r="G292" i="1"/>
  <c r="G468" i="1"/>
  <c r="G344" i="1"/>
  <c r="G155" i="1"/>
  <c r="G75" i="1"/>
  <c r="G410" i="1"/>
  <c r="G236" i="1"/>
  <c r="G475" i="1"/>
  <c r="G419" i="1"/>
  <c r="G348" i="1"/>
  <c r="G336" i="1"/>
  <c r="G482" i="1"/>
  <c r="G272" i="1"/>
  <c r="F38" i="1"/>
  <c r="F112" i="1"/>
  <c r="F224" i="1"/>
  <c r="F312" i="1"/>
  <c r="F424" i="1"/>
  <c r="F50" i="1"/>
  <c r="F218" i="1"/>
  <c r="F57" i="1"/>
  <c r="F145" i="1"/>
  <c r="F233" i="1"/>
  <c r="F321" i="1"/>
  <c r="F401" i="1"/>
  <c r="F489" i="1"/>
  <c r="F178" i="1"/>
  <c r="F346" i="1"/>
  <c r="F107" i="1"/>
  <c r="F195" i="1"/>
  <c r="F267" i="1"/>
  <c r="F331" i="1"/>
  <c r="F395" i="1"/>
  <c r="F459" i="1"/>
  <c r="F36" i="1"/>
  <c r="F100" i="1"/>
  <c r="F164" i="1"/>
  <c r="F236" i="1"/>
  <c r="F198" i="1"/>
  <c r="F334" i="1"/>
  <c r="F447" i="1"/>
  <c r="F319" i="1"/>
  <c r="F501" i="1"/>
  <c r="F158" i="1"/>
  <c r="F383" i="1"/>
  <c r="F95" i="1"/>
  <c r="F260" i="1"/>
  <c r="F388" i="1"/>
  <c r="F142" i="1"/>
  <c r="F293" i="1"/>
  <c r="F414" i="1"/>
  <c r="F517" i="1"/>
  <c r="F445" i="1"/>
  <c r="F434" i="1"/>
  <c r="F125" i="1"/>
  <c r="F278" i="1"/>
  <c r="F404" i="1"/>
  <c r="F506" i="1"/>
  <c r="F348" i="1"/>
  <c r="F253" i="1"/>
  <c r="H430" i="1"/>
  <c r="H487" i="1"/>
  <c r="H304" i="1"/>
  <c r="H249" i="1"/>
  <c r="H291" i="1"/>
  <c r="H274" i="1"/>
  <c r="H267" i="1"/>
  <c r="H301" i="1"/>
  <c r="H518" i="1"/>
  <c r="G141" i="1"/>
  <c r="G501" i="1"/>
  <c r="G190" i="1"/>
  <c r="G390" i="1"/>
  <c r="G407" i="1"/>
  <c r="G159" i="1"/>
  <c r="G120" i="1"/>
  <c r="G233" i="1"/>
  <c r="G433" i="1"/>
  <c r="G98" i="1"/>
  <c r="G226" i="1"/>
  <c r="G308" i="1"/>
  <c r="G516" i="1"/>
  <c r="G360" i="1"/>
  <c r="G306" i="1"/>
  <c r="G139" i="1"/>
  <c r="G426" i="1"/>
  <c r="G299" i="1"/>
  <c r="G491" i="1"/>
  <c r="G91" i="1"/>
  <c r="G364" i="1"/>
  <c r="G352" i="1"/>
  <c r="G115" i="1"/>
  <c r="G320" i="1"/>
  <c r="F47" i="1"/>
  <c r="F120" i="1"/>
  <c r="F232" i="1"/>
  <c r="F336" i="1"/>
  <c r="F432" i="1"/>
  <c r="F66" i="1"/>
  <c r="F226" i="1"/>
  <c r="F65" i="1"/>
  <c r="F161" i="1"/>
  <c r="F249" i="1"/>
  <c r="F329" i="1"/>
  <c r="F417" i="1"/>
  <c r="F505" i="1"/>
  <c r="F194" i="1"/>
  <c r="F386" i="1"/>
  <c r="F123" i="1"/>
  <c r="F203" i="1"/>
  <c r="F275" i="1"/>
  <c r="F339" i="1"/>
  <c r="F403" i="1"/>
  <c r="F467" i="1"/>
  <c r="F44" i="1"/>
  <c r="F108" i="1"/>
  <c r="F172" i="1"/>
  <c r="F46" i="1"/>
  <c r="F221" i="1"/>
  <c r="F350" i="1"/>
  <c r="F461" i="1"/>
  <c r="F335" i="1"/>
  <c r="F413" i="1"/>
  <c r="F181" i="1"/>
  <c r="F423" i="1"/>
  <c r="F118" i="1"/>
  <c r="F276" i="1"/>
  <c r="F399" i="1"/>
  <c r="F165" i="1"/>
  <c r="F309" i="1"/>
  <c r="F428" i="1"/>
  <c r="F63" i="1"/>
  <c r="F484" i="1"/>
  <c r="F471" i="1"/>
  <c r="F143" i="1"/>
  <c r="F294" i="1"/>
  <c r="F415" i="1"/>
  <c r="F518" i="1"/>
  <c r="F380" i="1"/>
  <c r="F285" i="1"/>
  <c r="F62" i="1"/>
  <c r="F230" i="1"/>
  <c r="F359" i="1"/>
  <c r="F469" i="1"/>
  <c r="F332" i="1"/>
  <c r="F269" i="1"/>
  <c r="F23" i="1"/>
  <c r="F22" i="1"/>
  <c r="A19" i="1"/>
  <c r="A83" i="1"/>
  <c r="A147" i="1"/>
  <c r="A211" i="1"/>
  <c r="A275" i="1"/>
  <c r="A339" i="1"/>
  <c r="A403" i="1"/>
  <c r="A467" i="1"/>
  <c r="A133" i="1"/>
  <c r="A261" i="1"/>
  <c r="A60" i="1"/>
  <c r="A124" i="1"/>
  <c r="A188" i="1"/>
  <c r="A252" i="1"/>
  <c r="A316" i="1"/>
  <c r="A380" i="1"/>
  <c r="A444" i="1"/>
  <c r="A508" i="1"/>
  <c r="A69" i="1"/>
  <c r="A141" i="1"/>
  <c r="A6" i="1"/>
  <c r="A70" i="1"/>
  <c r="A134" i="1"/>
  <c r="A198" i="1"/>
  <c r="A262" i="1"/>
  <c r="A326" i="1"/>
  <c r="A390" i="1"/>
  <c r="A454" i="1"/>
  <c r="A15" i="1"/>
  <c r="H159" i="1"/>
  <c r="H491" i="1"/>
  <c r="H363" i="1"/>
  <c r="H369" i="1"/>
  <c r="H204" i="1"/>
  <c r="H386" i="1"/>
  <c r="H284" i="1"/>
  <c r="H389" i="1"/>
  <c r="H364" i="1"/>
  <c r="G261" i="1"/>
  <c r="G391" i="1"/>
  <c r="G254" i="1"/>
  <c r="G454" i="1"/>
  <c r="G144" i="1"/>
  <c r="G247" i="1"/>
  <c r="G97" i="1"/>
  <c r="G297" i="1"/>
  <c r="G473" i="1"/>
  <c r="G138" i="1"/>
  <c r="G250" i="1"/>
  <c r="G324" i="1"/>
  <c r="G131" i="1"/>
  <c r="G376" i="1"/>
  <c r="G370" i="1"/>
  <c r="G235" i="1"/>
  <c r="H167" i="1"/>
  <c r="H476" i="1"/>
  <c r="H507" i="1"/>
  <c r="H377" i="1"/>
  <c r="H372" i="1"/>
  <c r="H402" i="1"/>
  <c r="H324" i="1"/>
  <c r="H429" i="1"/>
  <c r="H460" i="1"/>
  <c r="G269" i="1"/>
  <c r="G511" i="1"/>
  <c r="G262" i="1"/>
  <c r="G462" i="1"/>
  <c r="G224" i="1"/>
  <c r="G295" i="1"/>
  <c r="G105" i="1"/>
  <c r="G305" i="1"/>
  <c r="G481" i="1"/>
  <c r="G146" i="1"/>
  <c r="G266" i="1"/>
  <c r="G340" i="1"/>
  <c r="G164" i="1"/>
  <c r="G424" i="1"/>
  <c r="G402" i="1"/>
  <c r="G282" i="1"/>
  <c r="G458" i="1"/>
  <c r="G347" i="1"/>
  <c r="G290" i="1"/>
  <c r="G179" i="1"/>
  <c r="G444" i="1"/>
  <c r="G400" i="1"/>
  <c r="G323" i="1"/>
  <c r="G219" i="1"/>
  <c r="F48" i="1"/>
  <c r="F160" i="1"/>
  <c r="F248" i="1"/>
  <c r="F360" i="1"/>
  <c r="F464" i="1"/>
  <c r="F98" i="1"/>
  <c r="F306" i="1"/>
  <c r="F81" i="1"/>
  <c r="F185" i="1"/>
  <c r="F265" i="1"/>
  <c r="F353" i="1"/>
  <c r="F441" i="1"/>
  <c r="F42" i="1"/>
  <c r="F250" i="1"/>
  <c r="F59" i="1"/>
  <c r="F139" i="1"/>
  <c r="F219" i="1"/>
  <c r="F291" i="1"/>
  <c r="F355" i="1"/>
  <c r="F419" i="1"/>
  <c r="F483" i="1"/>
  <c r="F60" i="1"/>
  <c r="F124" i="1"/>
  <c r="F188" i="1"/>
  <c r="F93" i="1"/>
  <c r="F254" i="1"/>
  <c r="F382" i="1"/>
  <c r="F486" i="1"/>
  <c r="F398" i="1"/>
  <c r="H231" i="1"/>
  <c r="H120" i="1"/>
  <c r="H500" i="1"/>
  <c r="H433" i="1"/>
  <c r="H484" i="1"/>
  <c r="H450" i="1"/>
  <c r="H125" i="1"/>
  <c r="H453" i="1"/>
  <c r="G76" i="1"/>
  <c r="G325" i="1"/>
  <c r="G128" i="1"/>
  <c r="G294" i="1"/>
  <c r="G502" i="1"/>
  <c r="G55" i="1"/>
  <c r="G359" i="1"/>
  <c r="G121" i="1"/>
  <c r="G337" i="1"/>
  <c r="G497" i="1"/>
  <c r="G162" i="1"/>
  <c r="G123" i="1"/>
  <c r="G420" i="1"/>
  <c r="G228" i="1"/>
  <c r="G472" i="1"/>
  <c r="G339" i="1"/>
  <c r="G314" i="1"/>
  <c r="G140" i="1"/>
  <c r="G379" i="1"/>
  <c r="G434" i="1"/>
  <c r="G284" i="1"/>
  <c r="G476" i="1"/>
  <c r="G274" i="1"/>
  <c r="G451" i="1"/>
  <c r="G355" i="1"/>
  <c r="F80" i="1"/>
  <c r="F176" i="1"/>
  <c r="F288" i="1"/>
  <c r="F376" i="1"/>
  <c r="F488" i="1"/>
  <c r="F154" i="1"/>
  <c r="F338" i="1"/>
  <c r="F121" i="1"/>
  <c r="F201" i="1"/>
  <c r="F289" i="1"/>
  <c r="F377" i="1"/>
  <c r="F457" i="1"/>
  <c r="F114" i="1"/>
  <c r="F298" i="1"/>
  <c r="F75" i="1"/>
  <c r="F163" i="1"/>
  <c r="F235" i="1"/>
  <c r="F307" i="1"/>
  <c r="H223" i="1"/>
  <c r="H516" i="1"/>
  <c r="G313" i="1"/>
  <c r="G298" i="1"/>
  <c r="G211" i="1"/>
  <c r="G450" i="1"/>
  <c r="F368" i="1"/>
  <c r="F105" i="1"/>
  <c r="F449" i="1"/>
  <c r="F147" i="1"/>
  <c r="F411" i="1"/>
  <c r="F76" i="1"/>
  <c r="F111" i="1"/>
  <c r="F474" i="1"/>
  <c r="F71" i="1"/>
  <c r="F514" i="1"/>
  <c r="F324" i="1"/>
  <c r="F228" i="1"/>
  <c r="F466" i="1"/>
  <c r="F237" i="1"/>
  <c r="F207" i="1"/>
  <c r="F454" i="1"/>
  <c r="F495" i="1"/>
  <c r="F103" i="1"/>
  <c r="F343" i="1"/>
  <c r="F508" i="1"/>
  <c r="F215" i="1"/>
  <c r="F27" i="1"/>
  <c r="F21" i="1"/>
  <c r="A75" i="1"/>
  <c r="A163" i="1"/>
  <c r="A243" i="1"/>
  <c r="A331" i="1"/>
  <c r="A419" i="1"/>
  <c r="A499" i="1"/>
  <c r="A245" i="1"/>
  <c r="A76" i="1"/>
  <c r="A156" i="1"/>
  <c r="A244" i="1"/>
  <c r="A332" i="1"/>
  <c r="A412" i="1"/>
  <c r="A500" i="1"/>
  <c r="A85" i="1"/>
  <c r="A221" i="1"/>
  <c r="A62" i="1"/>
  <c r="A150" i="1"/>
  <c r="A230" i="1"/>
  <c r="A318" i="1"/>
  <c r="A406" i="1"/>
  <c r="A486" i="1"/>
  <c r="A71" i="1"/>
  <c r="A135" i="1"/>
  <c r="A199" i="1"/>
  <c r="A263" i="1"/>
  <c r="A9" i="1"/>
  <c r="A73" i="1"/>
  <c r="A137" i="1"/>
  <c r="A201" i="1"/>
  <c r="A265" i="1"/>
  <c r="A329" i="1"/>
  <c r="A393" i="1"/>
  <c r="A457" i="1"/>
  <c r="A56" i="1"/>
  <c r="A293" i="1"/>
  <c r="A423" i="1"/>
  <c r="A58" i="1"/>
  <c r="A296" i="1"/>
  <c r="A424" i="1"/>
  <c r="A50" i="1"/>
  <c r="A192" i="1"/>
  <c r="A362" i="1"/>
  <c r="A490" i="1"/>
  <c r="A351" i="1"/>
  <c r="A352" i="1"/>
  <c r="A421" i="1"/>
  <c r="A226" i="1"/>
  <c r="A381" i="1"/>
  <c r="A509" i="1"/>
  <c r="A415" i="1"/>
  <c r="A384" i="1"/>
  <c r="A269" i="1"/>
  <c r="A495" i="1"/>
  <c r="A480" i="1"/>
  <c r="A80" i="1"/>
  <c r="A306" i="1"/>
  <c r="A210" i="1"/>
  <c r="A439" i="1"/>
  <c r="A378" i="1"/>
  <c r="A383" i="1"/>
  <c r="A400" i="1"/>
  <c r="A256" i="1"/>
  <c r="A397" i="1"/>
  <c r="A447" i="1"/>
  <c r="A341" i="1"/>
  <c r="A106" i="1"/>
  <c r="A112" i="1"/>
  <c r="A322" i="1"/>
  <c r="A464" i="1"/>
  <c r="A482" i="1"/>
  <c r="A290" i="1"/>
  <c r="A410" i="1"/>
  <c r="A496" i="1"/>
  <c r="A301" i="1"/>
  <c r="A520" i="1"/>
  <c r="A170" i="1"/>
  <c r="A176" i="1"/>
  <c r="A373" i="1"/>
  <c r="H112" i="1"/>
  <c r="G309" i="1"/>
  <c r="G489" i="1"/>
  <c r="G442" i="1"/>
  <c r="G412" i="1"/>
  <c r="F40" i="1"/>
  <c r="F440" i="1"/>
  <c r="F169" i="1"/>
  <c r="F513" i="1"/>
  <c r="F211" i="1"/>
  <c r="F427" i="1"/>
  <c r="F116" i="1"/>
  <c r="F134" i="1"/>
  <c r="F500" i="1"/>
  <c r="F94" i="1"/>
  <c r="F452" i="1"/>
  <c r="F340" i="1"/>
  <c r="F245" i="1"/>
  <c r="F478" i="1"/>
  <c r="F301" i="1"/>
  <c r="F229" i="1"/>
  <c r="F468" i="1"/>
  <c r="F87" i="1"/>
  <c r="F126" i="1"/>
  <c r="F375" i="1"/>
  <c r="F109" i="1"/>
  <c r="F317" i="1"/>
  <c r="F35" i="1"/>
  <c r="A3" i="1"/>
  <c r="A91" i="1"/>
  <c r="A171" i="1"/>
  <c r="A259" i="1"/>
  <c r="A347" i="1"/>
  <c r="A427" i="1"/>
  <c r="A515" i="1"/>
  <c r="A4" i="1"/>
  <c r="A84" i="1"/>
  <c r="A172" i="1"/>
  <c r="A260" i="1"/>
  <c r="A340" i="1"/>
  <c r="A428" i="1"/>
  <c r="A516" i="1"/>
  <c r="A93" i="1"/>
  <c r="A5" i="1"/>
  <c r="A78" i="1"/>
  <c r="A158" i="1"/>
  <c r="A246" i="1"/>
  <c r="A334" i="1"/>
  <c r="A414" i="1"/>
  <c r="A502" i="1"/>
  <c r="A79" i="1"/>
  <c r="A143" i="1"/>
  <c r="A207" i="1"/>
  <c r="A271" i="1"/>
  <c r="A17" i="1"/>
  <c r="A81" i="1"/>
  <c r="A145" i="1"/>
  <c r="A209" i="1"/>
  <c r="A273" i="1"/>
  <c r="A337" i="1"/>
  <c r="A401" i="1"/>
  <c r="A465" i="1"/>
  <c r="A88" i="1"/>
  <c r="A311" i="1"/>
  <c r="A90" i="1"/>
  <c r="A312" i="1"/>
  <c r="A440" i="1"/>
  <c r="A357" i="1"/>
  <c r="A224" i="1"/>
  <c r="A506" i="1"/>
  <c r="A513" i="1"/>
  <c r="A519" i="1"/>
  <c r="A432" i="1"/>
  <c r="A418" i="1"/>
  <c r="A242" i="1"/>
  <c r="A144" i="1"/>
  <c r="A277" i="1"/>
  <c r="A168" i="1"/>
  <c r="A82" i="1"/>
  <c r="H148" i="1"/>
  <c r="G104" i="1"/>
  <c r="G154" i="1"/>
  <c r="G506" i="1"/>
  <c r="G460" i="1"/>
  <c r="F56" i="1"/>
  <c r="F480" i="1"/>
  <c r="F193" i="1"/>
  <c r="F74" i="1"/>
  <c r="F227" i="1"/>
  <c r="F435" i="1"/>
  <c r="F132" i="1"/>
  <c r="F238" i="1"/>
  <c r="F511" i="1"/>
  <c r="F199" i="1"/>
  <c r="F141" i="1"/>
  <c r="F426" i="1"/>
  <c r="F325" i="1"/>
  <c r="F173" i="1"/>
  <c r="F498" i="1"/>
  <c r="F310" i="1"/>
  <c r="F519" i="1"/>
  <c r="F333" i="1"/>
  <c r="F149" i="1"/>
  <c r="F391" i="1"/>
  <c r="F268" i="1"/>
  <c r="F365" i="1"/>
  <c r="F28" i="1"/>
  <c r="A11" i="1"/>
  <c r="A99" i="1"/>
  <c r="A179" i="1"/>
  <c r="A267" i="1"/>
  <c r="A355" i="1"/>
  <c r="A435" i="1"/>
  <c r="A61" i="1"/>
  <c r="A12" i="1"/>
  <c r="A92" i="1"/>
  <c r="A180" i="1"/>
  <c r="A268" i="1"/>
  <c r="A348" i="1"/>
  <c r="A436" i="1"/>
  <c r="A13" i="1"/>
  <c r="A101" i="1"/>
  <c r="A181" i="1"/>
  <c r="A86" i="1"/>
  <c r="A166" i="1"/>
  <c r="A254" i="1"/>
  <c r="A342" i="1"/>
  <c r="A422" i="1"/>
  <c r="A7" i="1"/>
  <c r="A87" i="1"/>
  <c r="A151" i="1"/>
  <c r="A215" i="1"/>
  <c r="A279" i="1"/>
  <c r="A25" i="1"/>
  <c r="A89" i="1"/>
  <c r="A153" i="1"/>
  <c r="A217" i="1"/>
  <c r="A281" i="1"/>
  <c r="A345" i="1"/>
  <c r="A409" i="1"/>
  <c r="A473" i="1"/>
  <c r="A120" i="1"/>
  <c r="A327" i="1"/>
  <c r="A455" i="1"/>
  <c r="A122" i="1"/>
  <c r="A328" i="1"/>
  <c r="A456" i="1"/>
  <c r="A469" i="1"/>
  <c r="A253" i="1"/>
  <c r="A394" i="1"/>
  <c r="A518" i="1"/>
  <c r="A431" i="1"/>
  <c r="A448" i="1"/>
  <c r="A34" i="1"/>
  <c r="A280" i="1"/>
  <c r="A413" i="1"/>
  <c r="A40" i="1"/>
  <c r="A479" i="1"/>
  <c r="A389" i="1"/>
  <c r="A138" i="1"/>
  <c r="A338" i="1"/>
  <c r="A463" i="1"/>
  <c r="A429" i="1"/>
  <c r="A453" i="1"/>
  <c r="H417" i="1"/>
  <c r="G270" i="1"/>
  <c r="G59" i="1"/>
  <c r="G331" i="1"/>
  <c r="G384" i="1"/>
  <c r="F144" i="1"/>
  <c r="F82" i="1"/>
  <c r="F257" i="1"/>
  <c r="F210" i="1"/>
  <c r="F283" i="1"/>
  <c r="F475" i="1"/>
  <c r="F140" i="1"/>
  <c r="F270" i="1"/>
  <c r="F367" i="1"/>
  <c r="F222" i="1"/>
  <c r="F159" i="1"/>
  <c r="F438" i="1"/>
  <c r="F341" i="1"/>
  <c r="F231" i="1"/>
  <c r="F490" i="1"/>
  <c r="F326" i="1"/>
  <c r="F86" i="1"/>
  <c r="F381" i="1"/>
  <c r="F213" i="1"/>
  <c r="F405" i="1"/>
  <c r="F394" i="1"/>
  <c r="F421" i="1"/>
  <c r="F32" i="1"/>
  <c r="A27" i="1"/>
  <c r="A107" i="1"/>
  <c r="A195" i="1"/>
  <c r="A283" i="1"/>
  <c r="A363" i="1"/>
  <c r="A451" i="1"/>
  <c r="A157" i="1"/>
  <c r="A20" i="1"/>
  <c r="A108" i="1"/>
  <c r="A196" i="1"/>
  <c r="A276" i="1"/>
  <c r="A364" i="1"/>
  <c r="A452" i="1"/>
  <c r="A21" i="1"/>
  <c r="A117" i="1"/>
  <c r="A14" i="1"/>
  <c r="A94" i="1"/>
  <c r="A182" i="1"/>
  <c r="A270" i="1"/>
  <c r="A350" i="1"/>
  <c r="A438" i="1"/>
  <c r="A23" i="1"/>
  <c r="A95" i="1"/>
  <c r="A159" i="1"/>
  <c r="A223" i="1"/>
  <c r="A287" i="1"/>
  <c r="A33" i="1"/>
  <c r="A97" i="1"/>
  <c r="A161" i="1"/>
  <c r="A225" i="1"/>
  <c r="A289" i="1"/>
  <c r="A353" i="1"/>
  <c r="A417" i="1"/>
  <c r="A481" i="1"/>
  <c r="A152" i="1"/>
  <c r="A343" i="1"/>
  <c r="A471" i="1"/>
  <c r="A154" i="1"/>
  <c r="A344" i="1"/>
  <c r="A472" i="1"/>
  <c r="A32" i="1"/>
  <c r="A72" i="1"/>
  <c r="A66" i="1"/>
  <c r="A511" i="1"/>
  <c r="H452" i="1"/>
  <c r="G486" i="1"/>
  <c r="G388" i="1"/>
  <c r="G363" i="1"/>
  <c r="G496" i="1"/>
  <c r="F168" i="1"/>
  <c r="F106" i="1"/>
  <c r="F273" i="1"/>
  <c r="F266" i="1"/>
  <c r="F299" i="1"/>
  <c r="F491" i="1"/>
  <c r="F180" i="1"/>
  <c r="F286" i="1"/>
  <c r="F412" i="1"/>
  <c r="F255" i="1"/>
  <c r="F182" i="1"/>
  <c r="F55" i="1"/>
  <c r="F357" i="1"/>
  <c r="F284" i="1"/>
  <c r="F502" i="1"/>
  <c r="F342" i="1"/>
  <c r="F150" i="1"/>
  <c r="F407" i="1"/>
  <c r="F247" i="1"/>
  <c r="F418" i="1"/>
  <c r="F431" i="1"/>
  <c r="F460" i="1"/>
  <c r="F29" i="1"/>
  <c r="A35" i="1"/>
  <c r="A115" i="1"/>
  <c r="A203" i="1"/>
  <c r="A291" i="1"/>
  <c r="A371" i="1"/>
  <c r="A459" i="1"/>
  <c r="A173" i="1"/>
  <c r="A28" i="1"/>
  <c r="A116" i="1"/>
  <c r="A204" i="1"/>
  <c r="A284" i="1"/>
  <c r="A372" i="1"/>
  <c r="A460" i="1"/>
  <c r="A29" i="1"/>
  <c r="A125" i="1"/>
  <c r="A22" i="1"/>
  <c r="A102" i="1"/>
  <c r="A190" i="1"/>
  <c r="A278" i="1"/>
  <c r="A358" i="1"/>
  <c r="A446" i="1"/>
  <c r="A31" i="1"/>
  <c r="A103" i="1"/>
  <c r="A167" i="1"/>
  <c r="A231" i="1"/>
  <c r="A295" i="1"/>
  <c r="A41" i="1"/>
  <c r="A105" i="1"/>
  <c r="A169" i="1"/>
  <c r="A233" i="1"/>
  <c r="A297" i="1"/>
  <c r="A361" i="1"/>
  <c r="A425" i="1"/>
  <c r="A489" i="1"/>
  <c r="A184" i="1"/>
  <c r="A359" i="1"/>
  <c r="A487" i="1"/>
  <c r="A186" i="1"/>
  <c r="A360" i="1"/>
  <c r="A488" i="1"/>
  <c r="A64" i="1"/>
  <c r="A298" i="1"/>
  <c r="A426" i="1"/>
  <c r="A136" i="1"/>
  <c r="A510" i="1"/>
  <c r="A386" i="1"/>
  <c r="A98" i="1"/>
  <c r="A317" i="1"/>
  <c r="A445" i="1"/>
  <c r="A232" i="1"/>
  <c r="A74" i="1"/>
  <c r="A370" i="1"/>
  <c r="A501" i="1"/>
  <c r="A264" i="1"/>
  <c r="A309" i="1"/>
  <c r="A208" i="1"/>
  <c r="A402" i="1"/>
  <c r="H410" i="1"/>
  <c r="G264" i="1"/>
  <c r="G196" i="1"/>
  <c r="G507" i="1"/>
  <c r="G275" i="1"/>
  <c r="F240" i="1"/>
  <c r="F274" i="1"/>
  <c r="F337" i="1"/>
  <c r="F43" i="1"/>
  <c r="F347" i="1"/>
  <c r="F499" i="1"/>
  <c r="F196" i="1"/>
  <c r="F366" i="1"/>
  <c r="F437" i="1"/>
  <c r="F271" i="1"/>
  <c r="F205" i="1"/>
  <c r="F78" i="1"/>
  <c r="F373" i="1"/>
  <c r="F316" i="1"/>
  <c r="F61" i="1"/>
  <c r="F358" i="1"/>
  <c r="F214" i="1"/>
  <c r="F446" i="1"/>
  <c r="F263" i="1"/>
  <c r="F455" i="1"/>
  <c r="F470" i="1"/>
  <c r="F26" i="1"/>
  <c r="F30" i="1"/>
  <c r="A43" i="1"/>
  <c r="A131" i="1"/>
  <c r="A219" i="1"/>
  <c r="A299" i="1"/>
  <c r="A387" i="1"/>
  <c r="A475" i="1"/>
  <c r="A189" i="1"/>
  <c r="A44" i="1"/>
  <c r="A132" i="1"/>
  <c r="A212" i="1"/>
  <c r="A300" i="1"/>
  <c r="A388" i="1"/>
  <c r="A468" i="1"/>
  <c r="A45" i="1"/>
  <c r="A149" i="1"/>
  <c r="A30" i="1"/>
  <c r="A118" i="1"/>
  <c r="A206" i="1"/>
  <c r="A286" i="1"/>
  <c r="A374" i="1"/>
  <c r="A462" i="1"/>
  <c r="A39" i="1"/>
  <c r="A111" i="1"/>
  <c r="A175" i="1"/>
  <c r="A239" i="1"/>
  <c r="A8" i="1"/>
  <c r="A49" i="1"/>
  <c r="A113" i="1"/>
  <c r="A177" i="1"/>
  <c r="A241" i="1"/>
  <c r="A305" i="1"/>
  <c r="A369" i="1"/>
  <c r="A433" i="1"/>
  <c r="A497" i="1"/>
  <c r="A216" i="1"/>
  <c r="A375" i="1"/>
  <c r="A503" i="1"/>
  <c r="A218" i="1"/>
  <c r="A376" i="1"/>
  <c r="A504" i="1"/>
  <c r="A96" i="1"/>
  <c r="A314" i="1"/>
  <c r="A442" i="1"/>
  <c r="A200" i="1"/>
  <c r="A42" i="1"/>
  <c r="A450" i="1"/>
  <c r="A130" i="1"/>
  <c r="A333" i="1"/>
  <c r="A461" i="1"/>
  <c r="A303" i="1"/>
  <c r="H109" i="1"/>
  <c r="G319" i="1"/>
  <c r="G456" i="1"/>
  <c r="G386" i="1"/>
  <c r="G387" i="1"/>
  <c r="F272" i="1"/>
  <c r="F322" i="1"/>
  <c r="F361" i="1"/>
  <c r="F67" i="1"/>
  <c r="F363" i="1"/>
  <c r="F52" i="1"/>
  <c r="F204" i="1"/>
  <c r="F397" i="1"/>
  <c r="F516" i="1"/>
  <c r="F450" i="1"/>
  <c r="F292" i="1"/>
  <c r="F183" i="1"/>
  <c r="F439" i="1"/>
  <c r="F69" i="1"/>
  <c r="F166" i="1"/>
  <c r="F429" i="1"/>
  <c r="F420" i="1"/>
  <c r="F477" i="1"/>
  <c r="F279" i="1"/>
  <c r="F482" i="1"/>
  <c r="F509" i="1"/>
  <c r="F34" i="1"/>
  <c r="F24" i="1"/>
  <c r="A51" i="1"/>
  <c r="A139" i="1"/>
  <c r="A227" i="1"/>
  <c r="A307" i="1"/>
  <c r="A395" i="1"/>
  <c r="A483" i="1"/>
  <c r="A205" i="1"/>
  <c r="A52" i="1"/>
  <c r="A140" i="1"/>
  <c r="A220" i="1"/>
  <c r="A308" i="1"/>
  <c r="A396" i="1"/>
  <c r="A476" i="1"/>
  <c r="A53" i="1"/>
  <c r="A165" i="1"/>
  <c r="A38" i="1"/>
  <c r="A126" i="1"/>
  <c r="A214" i="1"/>
  <c r="A294" i="1"/>
  <c r="A382" i="1"/>
  <c r="A470" i="1"/>
  <c r="A47" i="1"/>
  <c r="A119" i="1"/>
  <c r="A183" i="1"/>
  <c r="A247" i="1"/>
  <c r="A16" i="1"/>
  <c r="A57" i="1"/>
  <c r="A121" i="1"/>
  <c r="A185" i="1"/>
  <c r="A249" i="1"/>
  <c r="A313" i="1"/>
  <c r="A377" i="1"/>
  <c r="A441" i="1"/>
  <c r="H445" i="1"/>
  <c r="F131" i="1"/>
  <c r="F206" i="1"/>
  <c r="F494" i="1"/>
  <c r="A411" i="1"/>
  <c r="A492" i="1"/>
  <c r="A478" i="1"/>
  <c r="A193" i="1"/>
  <c r="A272" i="1"/>
  <c r="A408" i="1"/>
  <c r="A474" i="1"/>
  <c r="A194" i="1"/>
  <c r="A285" i="1"/>
  <c r="A320" i="1"/>
  <c r="A288" i="1"/>
  <c r="A349" i="1"/>
  <c r="A336" i="1"/>
  <c r="A354" i="1"/>
  <c r="F68" i="1"/>
  <c r="A127" i="1"/>
  <c r="A498" i="1"/>
  <c r="A365" i="1"/>
  <c r="A466" i="1"/>
  <c r="A385" i="1"/>
  <c r="A512" i="1"/>
  <c r="A449" i="1"/>
  <c r="A304" i="1"/>
  <c r="A178" i="1"/>
  <c r="F458" i="1"/>
  <c r="A250" i="1"/>
  <c r="A48" i="1"/>
  <c r="F85" i="1"/>
  <c r="A274" i="1"/>
  <c r="A323" i="1"/>
  <c r="A129" i="1"/>
  <c r="A392" i="1"/>
  <c r="A2" i="1"/>
  <c r="G113" i="1"/>
  <c r="F371" i="1"/>
  <c r="F453" i="1"/>
  <c r="F151" i="1"/>
  <c r="A491" i="1"/>
  <c r="A77" i="1"/>
  <c r="A63" i="1"/>
  <c r="A257" i="1"/>
  <c r="A391" i="1"/>
  <c r="A517" i="1"/>
  <c r="A258" i="1"/>
  <c r="A368" i="1"/>
  <c r="F25" i="1"/>
  <c r="A197" i="1"/>
  <c r="A407" i="1"/>
  <c r="A319" i="1"/>
  <c r="A416" i="1"/>
  <c r="A54" i="1"/>
  <c r="A128" i="1"/>
  <c r="A477" i="1"/>
  <c r="A114" i="1"/>
  <c r="A26" i="1"/>
  <c r="A160" i="1"/>
  <c r="A485" i="1"/>
  <c r="F352" i="1"/>
  <c r="A335" i="1"/>
  <c r="A324" i="1"/>
  <c r="A18" i="1"/>
  <c r="A240" i="1"/>
  <c r="F308" i="1"/>
  <c r="A399" i="1"/>
  <c r="G466" i="1"/>
  <c r="F174" i="1"/>
  <c r="A229" i="1"/>
  <c r="A321" i="1"/>
  <c r="A434" i="1"/>
  <c r="A405" i="1"/>
  <c r="A142" i="1"/>
  <c r="A236" i="1"/>
  <c r="A24" i="1"/>
  <c r="A330" i="1"/>
  <c r="A437" i="1"/>
  <c r="A310" i="1"/>
  <c r="A346" i="1"/>
  <c r="G147" i="1"/>
  <c r="F70" i="1"/>
  <c r="F189" i="1"/>
  <c r="F33" i="1"/>
  <c r="A68" i="1"/>
  <c r="A191" i="1"/>
  <c r="A514" i="1"/>
  <c r="A234" i="1"/>
  <c r="A148" i="1"/>
  <c r="A493" i="1"/>
  <c r="F53" i="1"/>
  <c r="A10" i="1"/>
  <c r="A235" i="1"/>
  <c r="A65" i="1"/>
  <c r="A282" i="1"/>
  <c r="F425" i="1"/>
  <c r="A202" i="1"/>
  <c r="G368" i="1"/>
  <c r="F410" i="1"/>
  <c r="F442" i="1"/>
  <c r="A67" i="1"/>
  <c r="A255" i="1"/>
  <c r="A146" i="1"/>
  <c r="A155" i="1"/>
  <c r="A505" i="1"/>
  <c r="A104" i="1"/>
  <c r="F487" i="1"/>
  <c r="A325" i="1"/>
  <c r="F295" i="1"/>
  <c r="A248" i="1"/>
  <c r="A266" i="1"/>
  <c r="A222" i="1"/>
  <c r="A398" i="1"/>
  <c r="A162" i="1"/>
  <c r="F73" i="1"/>
  <c r="A367" i="1"/>
  <c r="A404" i="1"/>
  <c r="A45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E5D8E-0E63-42E9-8CCD-5265CC9322B6}" keepAlive="1" name="Query - Weekly(1)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4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</futureMetadata>
  <cellMetadata count="1">
    <bk>
      <rc t="1" v="0"/>
    </bk>
  </cellMetadata>
  <valueMetadata count="154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</valueMetadata>
</metadata>
</file>

<file path=xl/sharedStrings.xml><?xml version="1.0" encoding="utf-8"?>
<sst xmlns="http://schemas.openxmlformats.org/spreadsheetml/2006/main" count="19" uniqueCount="15">
  <si>
    <t>Week</t>
  </si>
  <si>
    <t>10d SMA</t>
  </si>
  <si>
    <t>20d SMA</t>
  </si>
  <si>
    <t>50d SMA</t>
  </si>
  <si>
    <t>100d SMA</t>
  </si>
  <si>
    <t>Date</t>
  </si>
  <si>
    <t>Close</t>
  </si>
  <si>
    <t>Average</t>
  </si>
  <si>
    <t>XL Forecast</t>
  </si>
  <si>
    <t>Dividends</t>
  </si>
  <si>
    <t>IBM</t>
  </si>
  <si>
    <t>Forecast(Average)</t>
  </si>
  <si>
    <t>CI/PI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</si>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</sst>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7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/>
    <xf numFmtId="14" fontId="0" fillId="0" borderId="0" xfId="0" applyNumberFormat="1"/>
    <xf numFmtId="0" fontId="1" fillId="0" borderId="0" xfId="0" applyFont="1" applyAlignment="1">
      <alignment horizontal="center"/>
    </xf>
    <xf numFmtId="165" fontId="0" fillId="0" borderId="0" xfId="0" applyNumberFormat="1"/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IBM!$C$1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IBM!$B$2:$B$520</c:f>
              <c:numCache>
                <c:formatCode>yyyy\-mm\-dd;@</c:formatCode>
                <c:ptCount val="51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</c:numCache>
            </c:numRef>
          </c:cat>
          <c:val>
            <c:numRef>
              <c:f>IBM!$C$2:$C$520</c:f>
              <c:numCache>
                <c:formatCode>_([$$-409]* #,##0.00_);_([$$-409]* \(#,##0.00\);_([$$-409]* "-"??_);_(@_)</c:formatCode>
                <c:ptCount val="519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  <c:pt idx="513">
                  <c:v>291.35000000000002</c:v>
                </c:pt>
                <c:pt idx="514">
                  <c:v>297.54000000000002</c:v>
                </c:pt>
                <c:pt idx="515">
                  <c:v>294.67</c:v>
                </c:pt>
                <c:pt idx="516">
                  <c:v>292.44</c:v>
                </c:pt>
                <c:pt idx="517">
                  <c:v>296.33</c:v>
                </c:pt>
                <c:pt idx="518">
                  <c:v>293.86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C-498B-AF29-B8B97505B0F9}"/>
            </c:ext>
          </c:extLst>
        </c:ser>
        <c:ser>
          <c:idx val="1"/>
          <c:order val="1"/>
          <c:tx>
            <c:strRef>
              <c:f>IBM!$E$1</c:f>
              <c:strCache>
                <c:ptCount val="1"/>
                <c:pt idx="0">
                  <c:v>10d SMA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IBM!$B$2:$B$520</c:f>
              <c:numCache>
                <c:formatCode>yyyy\-mm\-dd;@</c:formatCode>
                <c:ptCount val="51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</c:numCache>
            </c:numRef>
          </c:cat>
          <c:val>
            <c:numRef>
              <c:f>IBM!$E$2:$E$520</c:f>
              <c:numCache>
                <c:formatCode>General</c:formatCode>
                <c:ptCount val="519"/>
                <c:pt idx="9">
                  <c:v>161.899</c:v>
                </c:pt>
                <c:pt idx="10">
                  <c:v>162.357</c:v>
                </c:pt>
                <c:pt idx="11">
                  <c:v>163.03100000000001</c:v>
                </c:pt>
                <c:pt idx="12">
                  <c:v>164.09299999999999</c:v>
                </c:pt>
                <c:pt idx="13">
                  <c:v>165.45999999999998</c:v>
                </c:pt>
                <c:pt idx="14">
                  <c:v>166.74</c:v>
                </c:pt>
                <c:pt idx="15">
                  <c:v>168.125</c:v>
                </c:pt>
                <c:pt idx="16">
                  <c:v>171.04500000000002</c:v>
                </c:pt>
                <c:pt idx="17">
                  <c:v>173.57100000000003</c:v>
                </c:pt>
                <c:pt idx="18">
                  <c:v>175.70500000000001</c:v>
                </c:pt>
                <c:pt idx="19">
                  <c:v>177.79599999999999</c:v>
                </c:pt>
                <c:pt idx="20">
                  <c:v>179.55400000000003</c:v>
                </c:pt>
                <c:pt idx="21">
                  <c:v>181.56</c:v>
                </c:pt>
                <c:pt idx="22">
                  <c:v>182.99100000000001</c:v>
                </c:pt>
                <c:pt idx="23">
                  <c:v>184.05</c:v>
                </c:pt>
                <c:pt idx="24">
                  <c:v>184.99700000000001</c:v>
                </c:pt>
                <c:pt idx="25">
                  <c:v>185.97800000000001</c:v>
                </c:pt>
                <c:pt idx="26">
                  <c:v>185.37100000000001</c:v>
                </c:pt>
                <c:pt idx="27">
                  <c:v>185.26299999999998</c:v>
                </c:pt>
                <c:pt idx="28">
                  <c:v>185.16500000000002</c:v>
                </c:pt>
                <c:pt idx="29">
                  <c:v>184.74800000000002</c:v>
                </c:pt>
                <c:pt idx="30">
                  <c:v>184.73899999999998</c:v>
                </c:pt>
                <c:pt idx="31">
                  <c:v>184.73600000000002</c:v>
                </c:pt>
                <c:pt idx="32">
                  <c:v>184.92099999999999</c:v>
                </c:pt>
                <c:pt idx="33">
                  <c:v>184.923</c:v>
                </c:pt>
                <c:pt idx="34">
                  <c:v>184.55199999999996</c:v>
                </c:pt>
                <c:pt idx="35">
                  <c:v>184.59899999999999</c:v>
                </c:pt>
                <c:pt idx="36">
                  <c:v>184.73500000000001</c:v>
                </c:pt>
                <c:pt idx="37">
                  <c:v>184.51400000000004</c:v>
                </c:pt>
                <c:pt idx="38">
                  <c:v>184.38499999999999</c:v>
                </c:pt>
                <c:pt idx="39">
                  <c:v>184.54500000000002</c:v>
                </c:pt>
                <c:pt idx="40">
                  <c:v>184.69099999999997</c:v>
                </c:pt>
                <c:pt idx="41">
                  <c:v>184.82400000000001</c:v>
                </c:pt>
                <c:pt idx="42">
                  <c:v>185.36600000000001</c:v>
                </c:pt>
                <c:pt idx="43">
                  <c:v>186.21700000000001</c:v>
                </c:pt>
                <c:pt idx="44">
                  <c:v>187.863</c:v>
                </c:pt>
                <c:pt idx="45">
                  <c:v>189.096</c:v>
                </c:pt>
                <c:pt idx="46">
                  <c:v>190.119</c:v>
                </c:pt>
                <c:pt idx="47">
                  <c:v>190.87900000000002</c:v>
                </c:pt>
                <c:pt idx="48">
                  <c:v>192.17000000000002</c:v>
                </c:pt>
                <c:pt idx="49">
                  <c:v>193.31</c:v>
                </c:pt>
                <c:pt idx="50">
                  <c:v>194.15</c:v>
                </c:pt>
                <c:pt idx="51">
                  <c:v>194.43699999999998</c:v>
                </c:pt>
                <c:pt idx="52">
                  <c:v>194.3</c:v>
                </c:pt>
                <c:pt idx="53">
                  <c:v>194.43899999999999</c:v>
                </c:pt>
                <c:pt idx="54">
                  <c:v>194.21899999999999</c:v>
                </c:pt>
                <c:pt idx="55">
                  <c:v>193.755</c:v>
                </c:pt>
                <c:pt idx="56">
                  <c:v>193.244</c:v>
                </c:pt>
                <c:pt idx="57">
                  <c:v>192.95</c:v>
                </c:pt>
                <c:pt idx="58">
                  <c:v>192.02199999999999</c:v>
                </c:pt>
                <c:pt idx="59">
                  <c:v>191.43199999999999</c:v>
                </c:pt>
                <c:pt idx="60">
                  <c:v>191.185</c:v>
                </c:pt>
                <c:pt idx="61">
                  <c:v>191.06099999999998</c:v>
                </c:pt>
                <c:pt idx="62">
                  <c:v>190.77999999999997</c:v>
                </c:pt>
                <c:pt idx="63">
                  <c:v>190.536</c:v>
                </c:pt>
                <c:pt idx="64">
                  <c:v>189.93400000000003</c:v>
                </c:pt>
                <c:pt idx="65">
                  <c:v>189.65799999999999</c:v>
                </c:pt>
                <c:pt idx="66">
                  <c:v>189.55600000000001</c:v>
                </c:pt>
                <c:pt idx="67">
                  <c:v>189.608</c:v>
                </c:pt>
                <c:pt idx="68">
                  <c:v>189.36199999999997</c:v>
                </c:pt>
                <c:pt idx="69">
                  <c:v>188.87200000000001</c:v>
                </c:pt>
                <c:pt idx="70">
                  <c:v>188.00299999999999</c:v>
                </c:pt>
                <c:pt idx="71">
                  <c:v>187.14500000000001</c:v>
                </c:pt>
                <c:pt idx="72">
                  <c:v>186.63200000000001</c:v>
                </c:pt>
                <c:pt idx="73">
                  <c:v>185.852</c:v>
                </c:pt>
                <c:pt idx="74">
                  <c:v>185.20499999999998</c:v>
                </c:pt>
                <c:pt idx="75">
                  <c:v>184.44899999999998</c:v>
                </c:pt>
                <c:pt idx="76">
                  <c:v>183.65699999999998</c:v>
                </c:pt>
                <c:pt idx="77">
                  <c:v>182.94499999999999</c:v>
                </c:pt>
                <c:pt idx="78">
                  <c:v>182.751</c:v>
                </c:pt>
                <c:pt idx="79">
                  <c:v>181.05200000000002</c:v>
                </c:pt>
                <c:pt idx="80">
                  <c:v>179.53800000000001</c:v>
                </c:pt>
                <c:pt idx="81">
                  <c:v>178.15600000000001</c:v>
                </c:pt>
                <c:pt idx="82">
                  <c:v>176.40100000000001</c:v>
                </c:pt>
                <c:pt idx="83">
                  <c:v>174.53400000000005</c:v>
                </c:pt>
                <c:pt idx="84">
                  <c:v>172.85600000000002</c:v>
                </c:pt>
                <c:pt idx="85">
                  <c:v>171.26900000000003</c:v>
                </c:pt>
                <c:pt idx="86">
                  <c:v>169.94</c:v>
                </c:pt>
                <c:pt idx="87">
                  <c:v>168.55900000000003</c:v>
                </c:pt>
                <c:pt idx="88">
                  <c:v>167.13900000000004</c:v>
                </c:pt>
                <c:pt idx="89">
                  <c:v>166.87500000000006</c:v>
                </c:pt>
                <c:pt idx="90">
                  <c:v>166.87700000000001</c:v>
                </c:pt>
                <c:pt idx="91">
                  <c:v>166.89000000000001</c:v>
                </c:pt>
                <c:pt idx="92">
                  <c:v>167.006</c:v>
                </c:pt>
                <c:pt idx="93">
                  <c:v>167.38900000000001</c:v>
                </c:pt>
                <c:pt idx="94">
                  <c:v>167.81700000000001</c:v>
                </c:pt>
                <c:pt idx="95">
                  <c:v>168.149</c:v>
                </c:pt>
                <c:pt idx="96">
                  <c:v>168.28000000000003</c:v>
                </c:pt>
                <c:pt idx="97">
                  <c:v>168.78900000000002</c:v>
                </c:pt>
                <c:pt idx="98">
                  <c:v>169.16800000000003</c:v>
                </c:pt>
                <c:pt idx="99">
                  <c:v>169.608</c:v>
                </c:pt>
                <c:pt idx="100">
                  <c:v>169.98200000000003</c:v>
                </c:pt>
                <c:pt idx="101">
                  <c:v>170.19200000000004</c:v>
                </c:pt>
                <c:pt idx="102">
                  <c:v>170.161</c:v>
                </c:pt>
                <c:pt idx="103">
                  <c:v>169.898</c:v>
                </c:pt>
                <c:pt idx="104">
                  <c:v>169.68599999999998</c:v>
                </c:pt>
                <c:pt idx="105">
                  <c:v>169.31099999999998</c:v>
                </c:pt>
                <c:pt idx="106">
                  <c:v>168.89999999999998</c:v>
                </c:pt>
                <c:pt idx="107">
                  <c:v>168.291</c:v>
                </c:pt>
                <c:pt idx="108">
                  <c:v>167.74199999999999</c:v>
                </c:pt>
                <c:pt idx="109">
                  <c:v>167.67600000000002</c:v>
                </c:pt>
                <c:pt idx="110">
                  <c:v>167.625</c:v>
                </c:pt>
                <c:pt idx="111">
                  <c:v>167.59099999999995</c:v>
                </c:pt>
                <c:pt idx="112">
                  <c:v>167.786</c:v>
                </c:pt>
                <c:pt idx="113">
                  <c:v>168.13499999999999</c:v>
                </c:pt>
                <c:pt idx="114">
                  <c:v>168.37100000000001</c:v>
                </c:pt>
                <c:pt idx="115">
                  <c:v>168.79299999999998</c:v>
                </c:pt>
                <c:pt idx="116">
                  <c:v>169.267</c:v>
                </c:pt>
                <c:pt idx="117">
                  <c:v>169.92099999999999</c:v>
                </c:pt>
                <c:pt idx="118">
                  <c:v>170.34700000000001</c:v>
                </c:pt>
                <c:pt idx="119">
                  <c:v>170.84700000000001</c:v>
                </c:pt>
                <c:pt idx="120">
                  <c:v>171.06900000000002</c:v>
                </c:pt>
                <c:pt idx="121">
                  <c:v>171.32399999999998</c:v>
                </c:pt>
                <c:pt idx="122">
                  <c:v>171.50899999999996</c:v>
                </c:pt>
                <c:pt idx="123">
                  <c:v>171.892</c:v>
                </c:pt>
                <c:pt idx="124">
                  <c:v>172.48099999999997</c:v>
                </c:pt>
                <c:pt idx="125">
                  <c:v>173.261</c:v>
                </c:pt>
                <c:pt idx="126">
                  <c:v>173.779</c:v>
                </c:pt>
                <c:pt idx="127">
                  <c:v>173.98899999999998</c:v>
                </c:pt>
                <c:pt idx="128">
                  <c:v>174.50699999999998</c:v>
                </c:pt>
                <c:pt idx="129">
                  <c:v>174.654</c:v>
                </c:pt>
                <c:pt idx="130">
                  <c:v>175.178</c:v>
                </c:pt>
                <c:pt idx="131">
                  <c:v>175.822</c:v>
                </c:pt>
                <c:pt idx="132">
                  <c:v>177.01999999999995</c:v>
                </c:pt>
                <c:pt idx="133">
                  <c:v>178.01299999999998</c:v>
                </c:pt>
                <c:pt idx="134">
                  <c:v>179.08399999999997</c:v>
                </c:pt>
                <c:pt idx="135">
                  <c:v>180.09899999999999</c:v>
                </c:pt>
                <c:pt idx="136">
                  <c:v>181.048</c:v>
                </c:pt>
                <c:pt idx="137">
                  <c:v>181.77100000000002</c:v>
                </c:pt>
                <c:pt idx="138">
                  <c:v>182.42200000000003</c:v>
                </c:pt>
                <c:pt idx="139">
                  <c:v>183.18400000000003</c:v>
                </c:pt>
                <c:pt idx="140">
                  <c:v>183.80199999999999</c:v>
                </c:pt>
                <c:pt idx="141">
                  <c:v>185.16900000000001</c:v>
                </c:pt>
                <c:pt idx="142">
                  <c:v>186.06099999999998</c:v>
                </c:pt>
                <c:pt idx="143">
                  <c:v>186.923</c:v>
                </c:pt>
                <c:pt idx="144">
                  <c:v>187.446</c:v>
                </c:pt>
                <c:pt idx="145">
                  <c:v>187.91500000000002</c:v>
                </c:pt>
                <c:pt idx="146">
                  <c:v>188.35899999999998</c:v>
                </c:pt>
                <c:pt idx="147">
                  <c:v>188.946</c:v>
                </c:pt>
                <c:pt idx="148">
                  <c:v>188.86200000000002</c:v>
                </c:pt>
                <c:pt idx="149">
                  <c:v>189.13200000000001</c:v>
                </c:pt>
                <c:pt idx="150">
                  <c:v>189.41</c:v>
                </c:pt>
                <c:pt idx="151">
                  <c:v>189.47300000000001</c:v>
                </c:pt>
                <c:pt idx="152">
                  <c:v>189.44300000000001</c:v>
                </c:pt>
                <c:pt idx="153">
                  <c:v>189.24100000000001</c:v>
                </c:pt>
                <c:pt idx="154">
                  <c:v>189.23600000000002</c:v>
                </c:pt>
                <c:pt idx="155">
                  <c:v>189.25399999999996</c:v>
                </c:pt>
                <c:pt idx="156">
                  <c:v>189.68299999999999</c:v>
                </c:pt>
                <c:pt idx="157">
                  <c:v>190.149</c:v>
                </c:pt>
                <c:pt idx="158">
                  <c:v>191.291</c:v>
                </c:pt>
                <c:pt idx="159">
                  <c:v>192.214</c:v>
                </c:pt>
                <c:pt idx="160">
                  <c:v>193.255</c:v>
                </c:pt>
                <c:pt idx="161">
                  <c:v>193.59</c:v>
                </c:pt>
                <c:pt idx="162">
                  <c:v>194.05500000000001</c:v>
                </c:pt>
                <c:pt idx="163">
                  <c:v>194.905</c:v>
                </c:pt>
                <c:pt idx="164">
                  <c:v>195.679</c:v>
                </c:pt>
                <c:pt idx="165">
                  <c:v>196.29300000000001</c:v>
                </c:pt>
                <c:pt idx="166">
                  <c:v>196.78800000000001</c:v>
                </c:pt>
                <c:pt idx="167">
                  <c:v>197.62299999999999</c:v>
                </c:pt>
                <c:pt idx="168">
                  <c:v>198.27799999999999</c:v>
                </c:pt>
                <c:pt idx="169">
                  <c:v>199.08600000000001</c:v>
                </c:pt>
                <c:pt idx="170">
                  <c:v>199.624</c:v>
                </c:pt>
                <c:pt idx="171">
                  <c:v>200.102</c:v>
                </c:pt>
                <c:pt idx="172">
                  <c:v>200.845</c:v>
                </c:pt>
                <c:pt idx="173">
                  <c:v>201.57900000000001</c:v>
                </c:pt>
                <c:pt idx="174">
                  <c:v>202.69499999999999</c:v>
                </c:pt>
                <c:pt idx="175">
                  <c:v>204.01</c:v>
                </c:pt>
                <c:pt idx="176">
                  <c:v>205.59900000000002</c:v>
                </c:pt>
                <c:pt idx="177">
                  <c:v>207.102</c:v>
                </c:pt>
                <c:pt idx="178">
                  <c:v>208.387</c:v>
                </c:pt>
                <c:pt idx="179">
                  <c:v>209.47000000000003</c:v>
                </c:pt>
                <c:pt idx="180">
                  <c:v>210.6</c:v>
                </c:pt>
                <c:pt idx="181">
                  <c:v>212.29599999999999</c:v>
                </c:pt>
                <c:pt idx="182">
                  <c:v>213.99300000000002</c:v>
                </c:pt>
                <c:pt idx="183">
                  <c:v>215.55799999999999</c:v>
                </c:pt>
                <c:pt idx="184">
                  <c:v>216.69200000000001</c:v>
                </c:pt>
                <c:pt idx="185">
                  <c:v>217.87399999999997</c:v>
                </c:pt>
                <c:pt idx="186">
                  <c:v>218.47899999999998</c:v>
                </c:pt>
                <c:pt idx="187">
                  <c:v>218.87100000000001</c:v>
                </c:pt>
                <c:pt idx="188">
                  <c:v>219.39299999999997</c:v>
                </c:pt>
                <c:pt idx="189">
                  <c:v>219.87199999999999</c:v>
                </c:pt>
                <c:pt idx="190">
                  <c:v>220.75499999999997</c:v>
                </c:pt>
                <c:pt idx="191">
                  <c:v>221.58499999999998</c:v>
                </c:pt>
                <c:pt idx="192">
                  <c:v>222.24699999999999</c:v>
                </c:pt>
                <c:pt idx="193">
                  <c:v>223.012</c:v>
                </c:pt>
                <c:pt idx="194">
                  <c:v>224.31900000000002</c:v>
                </c:pt>
                <c:pt idx="195">
                  <c:v>225.27800000000002</c:v>
                </c:pt>
                <c:pt idx="196">
                  <c:v>226.51999999999998</c:v>
                </c:pt>
                <c:pt idx="197">
                  <c:v>227.93800000000002</c:v>
                </c:pt>
                <c:pt idx="198">
                  <c:v>229.29899999999998</c:v>
                </c:pt>
                <c:pt idx="199">
                  <c:v>230.69299999999998</c:v>
                </c:pt>
                <c:pt idx="200">
                  <c:v>231.709</c:v>
                </c:pt>
                <c:pt idx="201">
                  <c:v>232.32900000000001</c:v>
                </c:pt>
                <c:pt idx="202">
                  <c:v>232.792</c:v>
                </c:pt>
                <c:pt idx="203">
                  <c:v>233.15500000000003</c:v>
                </c:pt>
                <c:pt idx="204">
                  <c:v>233</c:v>
                </c:pt>
                <c:pt idx="205">
                  <c:v>231.53699999999998</c:v>
                </c:pt>
                <c:pt idx="206">
                  <c:v>229.67800000000003</c:v>
                </c:pt>
                <c:pt idx="207">
                  <c:v>227.44299999999998</c:v>
                </c:pt>
                <c:pt idx="208">
                  <c:v>225.19</c:v>
                </c:pt>
                <c:pt idx="209">
                  <c:v>222.31300000000002</c:v>
                </c:pt>
                <c:pt idx="210">
                  <c:v>219.69700000000003</c:v>
                </c:pt>
                <c:pt idx="211">
                  <c:v>217.30200000000005</c:v>
                </c:pt>
                <c:pt idx="212">
                  <c:v>214.75900000000001</c:v>
                </c:pt>
                <c:pt idx="213">
                  <c:v>212.291</c:v>
                </c:pt>
                <c:pt idx="214">
                  <c:v>210.37599999999998</c:v>
                </c:pt>
                <c:pt idx="215">
                  <c:v>209.90599999999995</c:v>
                </c:pt>
                <c:pt idx="216">
                  <c:v>209.81099999999998</c:v>
                </c:pt>
                <c:pt idx="217">
                  <c:v>209.87700000000001</c:v>
                </c:pt>
                <c:pt idx="218">
                  <c:v>209.92</c:v>
                </c:pt>
                <c:pt idx="219">
                  <c:v>210.52199999999999</c:v>
                </c:pt>
                <c:pt idx="220">
                  <c:v>210.74899999999997</c:v>
                </c:pt>
                <c:pt idx="221">
                  <c:v>210.423</c:v>
                </c:pt>
                <c:pt idx="222">
                  <c:v>210.6</c:v>
                </c:pt>
                <c:pt idx="223">
                  <c:v>210.86800000000002</c:v>
                </c:pt>
                <c:pt idx="224">
                  <c:v>210.96799999999999</c:v>
                </c:pt>
                <c:pt idx="225">
                  <c:v>211.839</c:v>
                </c:pt>
                <c:pt idx="226">
                  <c:v>212.76399999999998</c:v>
                </c:pt>
                <c:pt idx="227">
                  <c:v>214.01999999999998</c:v>
                </c:pt>
                <c:pt idx="228">
                  <c:v>215.81700000000001</c:v>
                </c:pt>
                <c:pt idx="229">
                  <c:v>217.417</c:v>
                </c:pt>
                <c:pt idx="230">
                  <c:v>219.25900000000001</c:v>
                </c:pt>
                <c:pt idx="231">
                  <c:v>221.49900000000002</c:v>
                </c:pt>
                <c:pt idx="232">
                  <c:v>223.59</c:v>
                </c:pt>
                <c:pt idx="233">
                  <c:v>225.91400000000004</c:v>
                </c:pt>
                <c:pt idx="234">
                  <c:v>227.929</c:v>
                </c:pt>
                <c:pt idx="235">
                  <c:v>229.49300000000002</c:v>
                </c:pt>
                <c:pt idx="236">
                  <c:v>230.196</c:v>
                </c:pt>
                <c:pt idx="237">
                  <c:v>230.75499999999997</c:v>
                </c:pt>
                <c:pt idx="238">
                  <c:v>230.88399999999996</c:v>
                </c:pt>
                <c:pt idx="239">
                  <c:v>231.41800000000003</c:v>
                </c:pt>
                <c:pt idx="240">
                  <c:v>231.75900000000007</c:v>
                </c:pt>
                <c:pt idx="241">
                  <c:v>231.95299999999997</c:v>
                </c:pt>
                <c:pt idx="242">
                  <c:v>231.94999999999996</c:v>
                </c:pt>
                <c:pt idx="243">
                  <c:v>230.61799999999999</c:v>
                </c:pt>
                <c:pt idx="244">
                  <c:v>229.535</c:v>
                </c:pt>
                <c:pt idx="245">
                  <c:v>228.06700000000001</c:v>
                </c:pt>
                <c:pt idx="246">
                  <c:v>227.26</c:v>
                </c:pt>
                <c:pt idx="247">
                  <c:v>226.52900000000005</c:v>
                </c:pt>
                <c:pt idx="248">
                  <c:v>226.006</c:v>
                </c:pt>
                <c:pt idx="249">
                  <c:v>225.05800000000005</c:v>
                </c:pt>
                <c:pt idx="250">
                  <c:v>224.00100000000003</c:v>
                </c:pt>
                <c:pt idx="251">
                  <c:v>223.05100000000002</c:v>
                </c:pt>
                <c:pt idx="252">
                  <c:v>222.148</c:v>
                </c:pt>
                <c:pt idx="253">
                  <c:v>222.39600000000002</c:v>
                </c:pt>
                <c:pt idx="254">
                  <c:v>222.27100000000002</c:v>
                </c:pt>
                <c:pt idx="255">
                  <c:v>222.33099999999999</c:v>
                </c:pt>
                <c:pt idx="256">
                  <c:v>222.45599999999999</c:v>
                </c:pt>
                <c:pt idx="257">
                  <c:v>221.99000000000007</c:v>
                </c:pt>
                <c:pt idx="258">
                  <c:v>221.24100000000004</c:v>
                </c:pt>
                <c:pt idx="259">
                  <c:v>220.738</c:v>
                </c:pt>
                <c:pt idx="260">
                  <c:v>220.71600000000004</c:v>
                </c:pt>
                <c:pt idx="261">
                  <c:v>220.99900000000002</c:v>
                </c:pt>
                <c:pt idx="262">
                  <c:v>221.48400000000001</c:v>
                </c:pt>
                <c:pt idx="263">
                  <c:v>221.64499999999998</c:v>
                </c:pt>
                <c:pt idx="264">
                  <c:v>221.70400000000001</c:v>
                </c:pt>
                <c:pt idx="265">
                  <c:v>221.91200000000003</c:v>
                </c:pt>
                <c:pt idx="266">
                  <c:v>222.07399999999998</c:v>
                </c:pt>
                <c:pt idx="267">
                  <c:v>222.512</c:v>
                </c:pt>
                <c:pt idx="268">
                  <c:v>223.33799999999997</c:v>
                </c:pt>
                <c:pt idx="269">
                  <c:v>224.42599999999999</c:v>
                </c:pt>
                <c:pt idx="270">
                  <c:v>228.25</c:v>
                </c:pt>
                <c:pt idx="271">
                  <c:v>231.55399999999995</c:v>
                </c:pt>
                <c:pt idx="272">
                  <c:v>235.14799999999997</c:v>
                </c:pt>
                <c:pt idx="273">
                  <c:v>239.16800000000003</c:v>
                </c:pt>
                <c:pt idx="274">
                  <c:v>243.17200000000003</c:v>
                </c:pt>
                <c:pt idx="275">
                  <c:v>245.91200000000003</c:v>
                </c:pt>
                <c:pt idx="276">
                  <c:v>248.666</c:v>
                </c:pt>
                <c:pt idx="277">
                  <c:v>251.18</c:v>
                </c:pt>
                <c:pt idx="278">
                  <c:v>254.08399999999997</c:v>
                </c:pt>
                <c:pt idx="279">
                  <c:v>256.80200000000002</c:v>
                </c:pt>
                <c:pt idx="280">
                  <c:v>256.89400000000001</c:v>
                </c:pt>
                <c:pt idx="281">
                  <c:v>257.45200000000006</c:v>
                </c:pt>
                <c:pt idx="282">
                  <c:v>257.68600000000004</c:v>
                </c:pt>
                <c:pt idx="283">
                  <c:v>257.67200000000003</c:v>
                </c:pt>
                <c:pt idx="284">
                  <c:v>257.81599999999997</c:v>
                </c:pt>
                <c:pt idx="285">
                  <c:v>258.62</c:v>
                </c:pt>
                <c:pt idx="286">
                  <c:v>259.57299999999998</c:v>
                </c:pt>
                <c:pt idx="287">
                  <c:v>260.42099999999999</c:v>
                </c:pt>
                <c:pt idx="288">
                  <c:v>260.53499999999997</c:v>
                </c:pt>
                <c:pt idx="289">
                  <c:v>260.27699999999999</c:v>
                </c:pt>
                <c:pt idx="290">
                  <c:v>259.60199999999998</c:v>
                </c:pt>
                <c:pt idx="291">
                  <c:v>258.49299999999999</c:v>
                </c:pt>
                <c:pt idx="292">
                  <c:v>257.50699999999995</c:v>
                </c:pt>
                <c:pt idx="293">
                  <c:v>256.20999999999998</c:v>
                </c:pt>
                <c:pt idx="294">
                  <c:v>254.60500000000002</c:v>
                </c:pt>
                <c:pt idx="295">
                  <c:v>254.61100000000002</c:v>
                </c:pt>
                <c:pt idx="296">
                  <c:v>254.11400000000003</c:v>
                </c:pt>
                <c:pt idx="297">
                  <c:v>253.23399999999998</c:v>
                </c:pt>
                <c:pt idx="298">
                  <c:v>252.61299999999997</c:v>
                </c:pt>
                <c:pt idx="299">
                  <c:v>251.87000000000003</c:v>
                </c:pt>
                <c:pt idx="300">
                  <c:v>251.46100000000001</c:v>
                </c:pt>
                <c:pt idx="301">
                  <c:v>251.73899999999998</c:v>
                </c:pt>
                <c:pt idx="302">
                  <c:v>251.11299999999997</c:v>
                </c:pt>
                <c:pt idx="303">
                  <c:v>251.20699999999997</c:v>
                </c:pt>
                <c:pt idx="304">
                  <c:v>250.67000000000002</c:v>
                </c:pt>
                <c:pt idx="305">
                  <c:v>248.90299999999996</c:v>
                </c:pt>
                <c:pt idx="306">
                  <c:v>248.05799999999999</c:v>
                </c:pt>
                <c:pt idx="307">
                  <c:v>248.15299999999996</c:v>
                </c:pt>
                <c:pt idx="308">
                  <c:v>248.22399999999999</c:v>
                </c:pt>
                <c:pt idx="309">
                  <c:v>248.26500000000001</c:v>
                </c:pt>
                <c:pt idx="310">
                  <c:v>247.83</c:v>
                </c:pt>
                <c:pt idx="311">
                  <c:v>247.39899999999997</c:v>
                </c:pt>
                <c:pt idx="312">
                  <c:v>247.738</c:v>
                </c:pt>
                <c:pt idx="313">
                  <c:v>247.50700000000001</c:v>
                </c:pt>
                <c:pt idx="314">
                  <c:v>247.52399999999997</c:v>
                </c:pt>
                <c:pt idx="315">
                  <c:v>245.88499999999999</c:v>
                </c:pt>
                <c:pt idx="316">
                  <c:v>243.61800000000002</c:v>
                </c:pt>
                <c:pt idx="317">
                  <c:v>240.73100000000005</c:v>
                </c:pt>
                <c:pt idx="318">
                  <c:v>239.22800000000001</c:v>
                </c:pt>
                <c:pt idx="319">
                  <c:v>237.56200000000004</c:v>
                </c:pt>
                <c:pt idx="320">
                  <c:v>236.70999999999998</c:v>
                </c:pt>
                <c:pt idx="321">
                  <c:v>235.74999999999994</c:v>
                </c:pt>
                <c:pt idx="322">
                  <c:v>234.78599999999997</c:v>
                </c:pt>
                <c:pt idx="323">
                  <c:v>233.64499999999998</c:v>
                </c:pt>
                <c:pt idx="324">
                  <c:v>233.17699999999999</c:v>
                </c:pt>
                <c:pt idx="325">
                  <c:v>234.05099999999999</c:v>
                </c:pt>
                <c:pt idx="326">
                  <c:v>235.56300000000002</c:v>
                </c:pt>
                <c:pt idx="327">
                  <c:v>238.00799999999998</c:v>
                </c:pt>
                <c:pt idx="328">
                  <c:v>237.41</c:v>
                </c:pt>
                <c:pt idx="329">
                  <c:v>237.696</c:v>
                </c:pt>
                <c:pt idx="330">
                  <c:v>237.76399999999998</c:v>
                </c:pt>
                <c:pt idx="331">
                  <c:v>237.79699999999997</c:v>
                </c:pt>
                <c:pt idx="332">
                  <c:v>237.90900000000002</c:v>
                </c:pt>
                <c:pt idx="333">
                  <c:v>238.01800000000003</c:v>
                </c:pt>
                <c:pt idx="334">
                  <c:v>238.69200000000006</c:v>
                </c:pt>
                <c:pt idx="335">
                  <c:v>239.988</c:v>
                </c:pt>
                <c:pt idx="336">
                  <c:v>240.81</c:v>
                </c:pt>
                <c:pt idx="337">
                  <c:v>241.59899999999999</c:v>
                </c:pt>
                <c:pt idx="338">
                  <c:v>244.07999999999998</c:v>
                </c:pt>
                <c:pt idx="339">
                  <c:v>245.75899999999996</c:v>
                </c:pt>
                <c:pt idx="340">
                  <c:v>247.512</c:v>
                </c:pt>
                <c:pt idx="341">
                  <c:v>249.43199999999996</c:v>
                </c:pt>
                <c:pt idx="342">
                  <c:v>251.03200000000001</c:v>
                </c:pt>
                <c:pt idx="343">
                  <c:v>253.73400000000001</c:v>
                </c:pt>
                <c:pt idx="344">
                  <c:v>255.85500000000002</c:v>
                </c:pt>
                <c:pt idx="345">
                  <c:v>257.77799999999996</c:v>
                </c:pt>
                <c:pt idx="346">
                  <c:v>259.56099999999998</c:v>
                </c:pt>
                <c:pt idx="347">
                  <c:v>260.31099999999998</c:v>
                </c:pt>
                <c:pt idx="348">
                  <c:v>260.73399999999998</c:v>
                </c:pt>
                <c:pt idx="349">
                  <c:v>261.67700000000002</c:v>
                </c:pt>
                <c:pt idx="350">
                  <c:v>262.63099999999997</c:v>
                </c:pt>
                <c:pt idx="351">
                  <c:v>262.79599999999999</c:v>
                </c:pt>
                <c:pt idx="352">
                  <c:v>262.88300000000004</c:v>
                </c:pt>
                <c:pt idx="353">
                  <c:v>262.12099999999998</c:v>
                </c:pt>
                <c:pt idx="354">
                  <c:v>261.83499999999998</c:v>
                </c:pt>
                <c:pt idx="355">
                  <c:v>261.51400000000001</c:v>
                </c:pt>
                <c:pt idx="356">
                  <c:v>261.37099999999998</c:v>
                </c:pt>
                <c:pt idx="357">
                  <c:v>261.96999999999997</c:v>
                </c:pt>
                <c:pt idx="358">
                  <c:v>263.02000000000004</c:v>
                </c:pt>
                <c:pt idx="359">
                  <c:v>264.36499999999995</c:v>
                </c:pt>
                <c:pt idx="360">
                  <c:v>265.666</c:v>
                </c:pt>
                <c:pt idx="361">
                  <c:v>267.79399999999998</c:v>
                </c:pt>
                <c:pt idx="362">
                  <c:v>270.02799999999996</c:v>
                </c:pt>
                <c:pt idx="363">
                  <c:v>271.84399999999994</c:v>
                </c:pt>
                <c:pt idx="364">
                  <c:v>273.637</c:v>
                </c:pt>
                <c:pt idx="365">
                  <c:v>275.42200000000003</c:v>
                </c:pt>
                <c:pt idx="366">
                  <c:v>277.19100000000003</c:v>
                </c:pt>
                <c:pt idx="367">
                  <c:v>278.60200000000003</c:v>
                </c:pt>
                <c:pt idx="368">
                  <c:v>280.63299999999992</c:v>
                </c:pt>
                <c:pt idx="369">
                  <c:v>282.80399999999997</c:v>
                </c:pt>
                <c:pt idx="370">
                  <c:v>284.28599999999994</c:v>
                </c:pt>
                <c:pt idx="371">
                  <c:v>285.327</c:v>
                </c:pt>
                <c:pt idx="372">
                  <c:v>286.19399999999996</c:v>
                </c:pt>
                <c:pt idx="373">
                  <c:v>287.95</c:v>
                </c:pt>
                <c:pt idx="374">
                  <c:v>288.887</c:v>
                </c:pt>
                <c:pt idx="375">
                  <c:v>289.34699999999998</c:v>
                </c:pt>
                <c:pt idx="376">
                  <c:v>290.22300000000007</c:v>
                </c:pt>
                <c:pt idx="377">
                  <c:v>291.37300000000005</c:v>
                </c:pt>
                <c:pt idx="378">
                  <c:v>291.49700000000001</c:v>
                </c:pt>
                <c:pt idx="379">
                  <c:v>291.13200000000001</c:v>
                </c:pt>
                <c:pt idx="380">
                  <c:v>290.76899999999995</c:v>
                </c:pt>
                <c:pt idx="381">
                  <c:v>289.935</c:v>
                </c:pt>
                <c:pt idx="382">
                  <c:v>289.34399999999999</c:v>
                </c:pt>
                <c:pt idx="383">
                  <c:v>288.13599999999997</c:v>
                </c:pt>
                <c:pt idx="384">
                  <c:v>287.20799999999997</c:v>
                </c:pt>
                <c:pt idx="385">
                  <c:v>286.64299999999997</c:v>
                </c:pt>
                <c:pt idx="386">
                  <c:v>286.03300000000002</c:v>
                </c:pt>
                <c:pt idx="387">
                  <c:v>285.25699999999995</c:v>
                </c:pt>
                <c:pt idx="388">
                  <c:v>284.411</c:v>
                </c:pt>
                <c:pt idx="389">
                  <c:v>283.59800000000007</c:v>
                </c:pt>
                <c:pt idx="390">
                  <c:v>280.90600000000006</c:v>
                </c:pt>
                <c:pt idx="391">
                  <c:v>278.51900000000006</c:v>
                </c:pt>
                <c:pt idx="392">
                  <c:v>276.46100000000007</c:v>
                </c:pt>
                <c:pt idx="393">
                  <c:v>274.43199999999996</c:v>
                </c:pt>
                <c:pt idx="394">
                  <c:v>272.26599999999996</c:v>
                </c:pt>
                <c:pt idx="395">
                  <c:v>269.38099999999997</c:v>
                </c:pt>
                <c:pt idx="396">
                  <c:v>265.79900000000004</c:v>
                </c:pt>
                <c:pt idx="397">
                  <c:v>262.52600000000001</c:v>
                </c:pt>
                <c:pt idx="398">
                  <c:v>259.39700000000005</c:v>
                </c:pt>
                <c:pt idx="399">
                  <c:v>256.42400000000004</c:v>
                </c:pt>
                <c:pt idx="400">
                  <c:v>255.38900000000004</c:v>
                </c:pt>
                <c:pt idx="401">
                  <c:v>253.64400000000001</c:v>
                </c:pt>
                <c:pt idx="402">
                  <c:v>250.95300000000006</c:v>
                </c:pt>
                <c:pt idx="403">
                  <c:v>248.18900000000002</c:v>
                </c:pt>
                <c:pt idx="404">
                  <c:v>246.17000000000002</c:v>
                </c:pt>
                <c:pt idx="405">
                  <c:v>244.56599999999997</c:v>
                </c:pt>
                <c:pt idx="406">
                  <c:v>243.53299999999996</c:v>
                </c:pt>
                <c:pt idx="407">
                  <c:v>242.27999999999997</c:v>
                </c:pt>
                <c:pt idx="408">
                  <c:v>241.34100000000004</c:v>
                </c:pt>
                <c:pt idx="409">
                  <c:v>240.36800000000002</c:v>
                </c:pt>
                <c:pt idx="410">
                  <c:v>239.292</c:v>
                </c:pt>
                <c:pt idx="411">
                  <c:v>239.27400000000003</c:v>
                </c:pt>
                <c:pt idx="412">
                  <c:v>239.58699999999999</c:v>
                </c:pt>
                <c:pt idx="413">
                  <c:v>240.37299999999999</c:v>
                </c:pt>
                <c:pt idx="414">
                  <c:v>240.85</c:v>
                </c:pt>
                <c:pt idx="415">
                  <c:v>241.71200000000005</c:v>
                </c:pt>
                <c:pt idx="416">
                  <c:v>242.08899999999994</c:v>
                </c:pt>
                <c:pt idx="417">
                  <c:v>242.29400000000001</c:v>
                </c:pt>
                <c:pt idx="418">
                  <c:v>242.57599999999996</c:v>
                </c:pt>
                <c:pt idx="419">
                  <c:v>243.03899999999999</c:v>
                </c:pt>
                <c:pt idx="420">
                  <c:v>243.952</c:v>
                </c:pt>
                <c:pt idx="421">
                  <c:v>245.352</c:v>
                </c:pt>
                <c:pt idx="422">
                  <c:v>247.32000000000002</c:v>
                </c:pt>
                <c:pt idx="423">
                  <c:v>248.74499999999998</c:v>
                </c:pt>
                <c:pt idx="424">
                  <c:v>249.96199999999999</c:v>
                </c:pt>
                <c:pt idx="425">
                  <c:v>250.73300000000003</c:v>
                </c:pt>
                <c:pt idx="426">
                  <c:v>252.00799999999998</c:v>
                </c:pt>
                <c:pt idx="427">
                  <c:v>253.60999999999999</c:v>
                </c:pt>
                <c:pt idx="428">
                  <c:v>255.108</c:v>
                </c:pt>
                <c:pt idx="429">
                  <c:v>256.89</c:v>
                </c:pt>
                <c:pt idx="430">
                  <c:v>258.67700000000002</c:v>
                </c:pt>
                <c:pt idx="431">
                  <c:v>260.20499999999998</c:v>
                </c:pt>
                <c:pt idx="432">
                  <c:v>261.51799999999992</c:v>
                </c:pt>
                <c:pt idx="433">
                  <c:v>262.58299999999997</c:v>
                </c:pt>
                <c:pt idx="434">
                  <c:v>265.02599999999995</c:v>
                </c:pt>
                <c:pt idx="435">
                  <c:v>268.11299999999994</c:v>
                </c:pt>
                <c:pt idx="436">
                  <c:v>270.46899999999999</c:v>
                </c:pt>
                <c:pt idx="437">
                  <c:v>272.93299999999999</c:v>
                </c:pt>
                <c:pt idx="438">
                  <c:v>275.67399999999998</c:v>
                </c:pt>
                <c:pt idx="439">
                  <c:v>277.846</c:v>
                </c:pt>
                <c:pt idx="440">
                  <c:v>280.04300000000001</c:v>
                </c:pt>
                <c:pt idx="441">
                  <c:v>281.84800000000001</c:v>
                </c:pt>
                <c:pt idx="442">
                  <c:v>284.01100000000002</c:v>
                </c:pt>
                <c:pt idx="443">
                  <c:v>286.20400000000001</c:v>
                </c:pt>
                <c:pt idx="444">
                  <c:v>286.88299999999998</c:v>
                </c:pt>
                <c:pt idx="445">
                  <c:v>286.23400000000004</c:v>
                </c:pt>
                <c:pt idx="446">
                  <c:v>285.976</c:v>
                </c:pt>
                <c:pt idx="447">
                  <c:v>285.37500000000006</c:v>
                </c:pt>
                <c:pt idx="448">
                  <c:v>284.80100000000004</c:v>
                </c:pt>
                <c:pt idx="449">
                  <c:v>283.726</c:v>
                </c:pt>
                <c:pt idx="450">
                  <c:v>283.017</c:v>
                </c:pt>
                <c:pt idx="451">
                  <c:v>282.44</c:v>
                </c:pt>
                <c:pt idx="452">
                  <c:v>281.25800000000004</c:v>
                </c:pt>
                <c:pt idx="453">
                  <c:v>281.06299999999999</c:v>
                </c:pt>
                <c:pt idx="454">
                  <c:v>280.74000000000007</c:v>
                </c:pt>
                <c:pt idx="455">
                  <c:v>283.70400000000001</c:v>
                </c:pt>
                <c:pt idx="456">
                  <c:v>287.29100000000005</c:v>
                </c:pt>
                <c:pt idx="457">
                  <c:v>290.93300000000005</c:v>
                </c:pt>
                <c:pt idx="458">
                  <c:v>293.67900000000003</c:v>
                </c:pt>
                <c:pt idx="459">
                  <c:v>297.08800000000002</c:v>
                </c:pt>
                <c:pt idx="460">
                  <c:v>299.70099999999996</c:v>
                </c:pt>
                <c:pt idx="461">
                  <c:v>301.80899999999997</c:v>
                </c:pt>
                <c:pt idx="462">
                  <c:v>303.68899999999996</c:v>
                </c:pt>
                <c:pt idx="463">
                  <c:v>305.61499999999995</c:v>
                </c:pt>
                <c:pt idx="464">
                  <c:v>308.35699999999997</c:v>
                </c:pt>
                <c:pt idx="465">
                  <c:v>308.24900000000002</c:v>
                </c:pt>
                <c:pt idx="466">
                  <c:v>307.85300000000001</c:v>
                </c:pt>
                <c:pt idx="467">
                  <c:v>307.96800000000002</c:v>
                </c:pt>
                <c:pt idx="468">
                  <c:v>308.64500000000004</c:v>
                </c:pt>
                <c:pt idx="469">
                  <c:v>308.12500000000011</c:v>
                </c:pt>
                <c:pt idx="470">
                  <c:v>307.95300000000003</c:v>
                </c:pt>
                <c:pt idx="471">
                  <c:v>307.197</c:v>
                </c:pt>
                <c:pt idx="472">
                  <c:v>306.10700000000003</c:v>
                </c:pt>
                <c:pt idx="473">
                  <c:v>304.28300000000002</c:v>
                </c:pt>
                <c:pt idx="474">
                  <c:v>302.08100000000002</c:v>
                </c:pt>
                <c:pt idx="475">
                  <c:v>301.18700000000001</c:v>
                </c:pt>
                <c:pt idx="476">
                  <c:v>300.68600000000004</c:v>
                </c:pt>
                <c:pt idx="477">
                  <c:v>299.762</c:v>
                </c:pt>
                <c:pt idx="478">
                  <c:v>298.58499999999998</c:v>
                </c:pt>
                <c:pt idx="479">
                  <c:v>298.95699999999999</c:v>
                </c:pt>
                <c:pt idx="480">
                  <c:v>298.95500000000004</c:v>
                </c:pt>
                <c:pt idx="481">
                  <c:v>299.416</c:v>
                </c:pt>
                <c:pt idx="482">
                  <c:v>300.68299999999999</c:v>
                </c:pt>
                <c:pt idx="483">
                  <c:v>302.62900000000002</c:v>
                </c:pt>
                <c:pt idx="484">
                  <c:v>304.38299999999992</c:v>
                </c:pt>
                <c:pt idx="485">
                  <c:v>305.55699999999996</c:v>
                </c:pt>
                <c:pt idx="486">
                  <c:v>306.19299999999998</c:v>
                </c:pt>
                <c:pt idx="487">
                  <c:v>307.012</c:v>
                </c:pt>
                <c:pt idx="488">
                  <c:v>307.76500000000004</c:v>
                </c:pt>
                <c:pt idx="489">
                  <c:v>307.83099999999996</c:v>
                </c:pt>
                <c:pt idx="490">
                  <c:v>308.12999999999994</c:v>
                </c:pt>
                <c:pt idx="491">
                  <c:v>308.26999999999992</c:v>
                </c:pt>
                <c:pt idx="492">
                  <c:v>308.34000000000003</c:v>
                </c:pt>
                <c:pt idx="493">
                  <c:v>307.58599999999996</c:v>
                </c:pt>
                <c:pt idx="494">
                  <c:v>306.89</c:v>
                </c:pt>
                <c:pt idx="495">
                  <c:v>306.25100000000003</c:v>
                </c:pt>
                <c:pt idx="496">
                  <c:v>305.58100000000002</c:v>
                </c:pt>
                <c:pt idx="497">
                  <c:v>304.77000000000004</c:v>
                </c:pt>
                <c:pt idx="498">
                  <c:v>304.20500000000004</c:v>
                </c:pt>
                <c:pt idx="499">
                  <c:v>303.85500000000002</c:v>
                </c:pt>
                <c:pt idx="500">
                  <c:v>303.19400000000007</c:v>
                </c:pt>
                <c:pt idx="501">
                  <c:v>302.49700000000001</c:v>
                </c:pt>
                <c:pt idx="502">
                  <c:v>301.315</c:v>
                </c:pt>
                <c:pt idx="503">
                  <c:v>300.767</c:v>
                </c:pt>
                <c:pt idx="504">
                  <c:v>300.916</c:v>
                </c:pt>
                <c:pt idx="505">
                  <c:v>300.31</c:v>
                </c:pt>
                <c:pt idx="506">
                  <c:v>300.20400000000001</c:v>
                </c:pt>
                <c:pt idx="507">
                  <c:v>300.16999999999996</c:v>
                </c:pt>
                <c:pt idx="508">
                  <c:v>300.87900000000002</c:v>
                </c:pt>
                <c:pt idx="509">
                  <c:v>300.62099999999998</c:v>
                </c:pt>
                <c:pt idx="510">
                  <c:v>301.31899999999996</c:v>
                </c:pt>
                <c:pt idx="511">
                  <c:v>301.49299999999994</c:v>
                </c:pt>
                <c:pt idx="512">
                  <c:v>302.91000000000003</c:v>
                </c:pt>
                <c:pt idx="513">
                  <c:v>302.548</c:v>
                </c:pt>
                <c:pt idx="514">
                  <c:v>302.05500000000001</c:v>
                </c:pt>
                <c:pt idx="515">
                  <c:v>301.84900000000005</c:v>
                </c:pt>
                <c:pt idx="516">
                  <c:v>300.82100000000003</c:v>
                </c:pt>
                <c:pt idx="517">
                  <c:v>300.03200000000004</c:v>
                </c:pt>
                <c:pt idx="518">
                  <c:v>298.20000000000005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C-498B-AF29-B8B97505B0F9}"/>
            </c:ext>
          </c:extLst>
        </c:ser>
        <c:ser>
          <c:idx val="2"/>
          <c:order val="2"/>
          <c:tx>
            <c:strRef>
              <c:f>IBM!$F$1</c:f>
              <c:strCache>
                <c:ptCount val="1"/>
                <c:pt idx="0">
                  <c:v>20d SMA</c:v>
                </c:pt>
              </c:strCache>
            </c:strRef>
          </c:tx>
          <c:spPr>
            <a:ln w="2222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IBM!$B$2:$B$520</c:f>
              <c:numCache>
                <c:formatCode>yyyy\-mm\-dd;@</c:formatCode>
                <c:ptCount val="51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</c:numCache>
            </c:numRef>
          </c:cat>
          <c:val>
            <c:numRef>
              <c:f>IBM!$F$2:$F$520</c:f>
              <c:numCache>
                <c:formatCode>General</c:formatCode>
                <c:ptCount val="519"/>
                <c:pt idx="19">
                  <c:v>169.84749999999997</c:v>
                </c:pt>
                <c:pt idx="20">
                  <c:v>170.95549999999997</c:v>
                </c:pt>
                <c:pt idx="21">
                  <c:v>172.29549999999998</c:v>
                </c:pt>
                <c:pt idx="22">
                  <c:v>173.54199999999997</c:v>
                </c:pt>
                <c:pt idx="23">
                  <c:v>174.755</c:v>
                </c:pt>
                <c:pt idx="24">
                  <c:v>175.86849999999998</c:v>
                </c:pt>
                <c:pt idx="25">
                  <c:v>177.05149999999998</c:v>
                </c:pt>
                <c:pt idx="26">
                  <c:v>178.20800000000003</c:v>
                </c:pt>
                <c:pt idx="27">
                  <c:v>179.41700000000003</c:v>
                </c:pt>
                <c:pt idx="28">
                  <c:v>180.435</c:v>
                </c:pt>
                <c:pt idx="29">
                  <c:v>181.27199999999999</c:v>
                </c:pt>
                <c:pt idx="30">
                  <c:v>182.1465</c:v>
                </c:pt>
                <c:pt idx="31">
                  <c:v>183.148</c:v>
                </c:pt>
                <c:pt idx="32">
                  <c:v>183.95600000000002</c:v>
                </c:pt>
                <c:pt idx="33">
                  <c:v>184.48650000000004</c:v>
                </c:pt>
                <c:pt idx="34">
                  <c:v>184.77449999999999</c:v>
                </c:pt>
                <c:pt idx="35">
                  <c:v>185.2885</c:v>
                </c:pt>
                <c:pt idx="36">
                  <c:v>185.05299999999997</c:v>
                </c:pt>
                <c:pt idx="37">
                  <c:v>184.88849999999996</c:v>
                </c:pt>
                <c:pt idx="38">
                  <c:v>184.77499999999998</c:v>
                </c:pt>
                <c:pt idx="39">
                  <c:v>184.6465</c:v>
                </c:pt>
                <c:pt idx="40">
                  <c:v>184.71499999999997</c:v>
                </c:pt>
                <c:pt idx="41">
                  <c:v>184.78</c:v>
                </c:pt>
                <c:pt idx="42">
                  <c:v>185.14349999999999</c:v>
                </c:pt>
                <c:pt idx="43">
                  <c:v>185.57</c:v>
                </c:pt>
                <c:pt idx="44">
                  <c:v>186.20749999999998</c:v>
                </c:pt>
                <c:pt idx="45">
                  <c:v>186.8475</c:v>
                </c:pt>
                <c:pt idx="46">
                  <c:v>187.42699999999996</c:v>
                </c:pt>
                <c:pt idx="47">
                  <c:v>187.69649999999999</c:v>
                </c:pt>
                <c:pt idx="48">
                  <c:v>188.27749999999997</c:v>
                </c:pt>
                <c:pt idx="49">
                  <c:v>188.92749999999995</c:v>
                </c:pt>
                <c:pt idx="50">
                  <c:v>189.42049999999998</c:v>
                </c:pt>
                <c:pt idx="51">
                  <c:v>189.63049999999998</c:v>
                </c:pt>
                <c:pt idx="52">
                  <c:v>189.833</c:v>
                </c:pt>
                <c:pt idx="53">
                  <c:v>190.328</c:v>
                </c:pt>
                <c:pt idx="54">
                  <c:v>191.041</c:v>
                </c:pt>
                <c:pt idx="55">
                  <c:v>191.4255</c:v>
                </c:pt>
                <c:pt idx="56">
                  <c:v>191.68150000000003</c:v>
                </c:pt>
                <c:pt idx="57">
                  <c:v>191.91450000000003</c:v>
                </c:pt>
                <c:pt idx="58">
                  <c:v>192.09600000000003</c:v>
                </c:pt>
                <c:pt idx="59">
                  <c:v>192.37100000000004</c:v>
                </c:pt>
                <c:pt idx="60">
                  <c:v>192.66750000000005</c:v>
                </c:pt>
                <c:pt idx="61">
                  <c:v>192.74900000000002</c:v>
                </c:pt>
                <c:pt idx="62">
                  <c:v>192.54000000000002</c:v>
                </c:pt>
                <c:pt idx="63">
                  <c:v>192.48750000000001</c:v>
                </c:pt>
                <c:pt idx="64">
                  <c:v>192.07650000000004</c:v>
                </c:pt>
                <c:pt idx="65">
                  <c:v>191.70650000000001</c:v>
                </c:pt>
                <c:pt idx="66">
                  <c:v>191.40000000000003</c:v>
                </c:pt>
                <c:pt idx="67">
                  <c:v>191.27900000000002</c:v>
                </c:pt>
                <c:pt idx="68">
                  <c:v>190.69200000000001</c:v>
                </c:pt>
                <c:pt idx="69">
                  <c:v>190.15199999999999</c:v>
                </c:pt>
                <c:pt idx="70">
                  <c:v>189.59399999999999</c:v>
                </c:pt>
                <c:pt idx="71">
                  <c:v>189.10300000000001</c:v>
                </c:pt>
                <c:pt idx="72">
                  <c:v>188.70599999999999</c:v>
                </c:pt>
                <c:pt idx="73">
                  <c:v>188.19400000000002</c:v>
                </c:pt>
                <c:pt idx="74">
                  <c:v>187.56950000000001</c:v>
                </c:pt>
                <c:pt idx="75">
                  <c:v>187.05349999999999</c:v>
                </c:pt>
                <c:pt idx="76">
                  <c:v>186.60650000000001</c:v>
                </c:pt>
                <c:pt idx="77">
                  <c:v>186.2765</c:v>
                </c:pt>
                <c:pt idx="78">
                  <c:v>186.05649999999997</c:v>
                </c:pt>
                <c:pt idx="79">
                  <c:v>184.96199999999999</c:v>
                </c:pt>
                <c:pt idx="80">
                  <c:v>183.77049999999997</c:v>
                </c:pt>
                <c:pt idx="81">
                  <c:v>182.65049999999997</c:v>
                </c:pt>
                <c:pt idx="82">
                  <c:v>181.51649999999998</c:v>
                </c:pt>
                <c:pt idx="83">
                  <c:v>180.19299999999998</c:v>
                </c:pt>
                <c:pt idx="84">
                  <c:v>179.03049999999996</c:v>
                </c:pt>
                <c:pt idx="85">
                  <c:v>177.85899999999998</c:v>
                </c:pt>
                <c:pt idx="86">
                  <c:v>176.79849999999999</c:v>
                </c:pt>
                <c:pt idx="87">
                  <c:v>175.75200000000001</c:v>
                </c:pt>
                <c:pt idx="88">
                  <c:v>174.94499999999999</c:v>
                </c:pt>
                <c:pt idx="89">
                  <c:v>173.96350000000001</c:v>
                </c:pt>
                <c:pt idx="90">
                  <c:v>173.20750000000004</c:v>
                </c:pt>
                <c:pt idx="91">
                  <c:v>172.52300000000002</c:v>
                </c:pt>
                <c:pt idx="92">
                  <c:v>171.70350000000002</c:v>
                </c:pt>
                <c:pt idx="93">
                  <c:v>170.96150000000003</c:v>
                </c:pt>
                <c:pt idx="94">
                  <c:v>170.3365</c:v>
                </c:pt>
                <c:pt idx="95">
                  <c:v>169.709</c:v>
                </c:pt>
                <c:pt idx="96">
                  <c:v>169.11000000000004</c:v>
                </c:pt>
                <c:pt idx="97">
                  <c:v>168.67400000000001</c:v>
                </c:pt>
                <c:pt idx="98">
                  <c:v>168.15350000000004</c:v>
                </c:pt>
                <c:pt idx="99">
                  <c:v>168.24150000000003</c:v>
                </c:pt>
                <c:pt idx="100">
                  <c:v>168.42949999999999</c:v>
                </c:pt>
                <c:pt idx="101">
                  <c:v>168.541</c:v>
                </c:pt>
                <c:pt idx="102">
                  <c:v>168.58350000000002</c:v>
                </c:pt>
                <c:pt idx="103">
                  <c:v>168.64349999999999</c:v>
                </c:pt>
                <c:pt idx="104">
                  <c:v>168.75150000000002</c:v>
                </c:pt>
                <c:pt idx="105">
                  <c:v>168.73000000000002</c:v>
                </c:pt>
                <c:pt idx="106">
                  <c:v>168.59</c:v>
                </c:pt>
                <c:pt idx="107">
                  <c:v>168.54000000000002</c:v>
                </c:pt>
                <c:pt idx="108">
                  <c:v>168.45500000000001</c:v>
                </c:pt>
                <c:pt idx="109">
                  <c:v>168.642</c:v>
                </c:pt>
                <c:pt idx="110">
                  <c:v>168.80350000000004</c:v>
                </c:pt>
                <c:pt idx="111">
                  <c:v>168.89150000000001</c:v>
                </c:pt>
                <c:pt idx="112">
                  <c:v>168.97350000000003</c:v>
                </c:pt>
                <c:pt idx="113">
                  <c:v>169.01650000000001</c:v>
                </c:pt>
                <c:pt idx="114">
                  <c:v>169.02849999999995</c:v>
                </c:pt>
                <c:pt idx="115">
                  <c:v>169.05199999999996</c:v>
                </c:pt>
                <c:pt idx="116">
                  <c:v>169.08350000000002</c:v>
                </c:pt>
                <c:pt idx="117">
                  <c:v>169.10600000000002</c:v>
                </c:pt>
                <c:pt idx="118">
                  <c:v>169.04450000000003</c:v>
                </c:pt>
                <c:pt idx="119">
                  <c:v>169.26150000000001</c:v>
                </c:pt>
                <c:pt idx="120">
                  <c:v>169.34700000000001</c:v>
                </c:pt>
                <c:pt idx="121">
                  <c:v>169.45750000000001</c:v>
                </c:pt>
                <c:pt idx="122">
                  <c:v>169.64749999999998</c:v>
                </c:pt>
                <c:pt idx="123">
                  <c:v>170.01349999999996</c:v>
                </c:pt>
                <c:pt idx="124">
                  <c:v>170.42599999999996</c:v>
                </c:pt>
                <c:pt idx="125">
                  <c:v>171.02699999999999</c:v>
                </c:pt>
                <c:pt idx="126">
                  <c:v>171.52299999999997</c:v>
                </c:pt>
                <c:pt idx="127">
                  <c:v>171.95499999999998</c:v>
                </c:pt>
                <c:pt idx="128">
                  <c:v>172.42699999999996</c:v>
                </c:pt>
                <c:pt idx="129">
                  <c:v>172.75049999999999</c:v>
                </c:pt>
                <c:pt idx="130">
                  <c:v>173.12349999999998</c:v>
                </c:pt>
                <c:pt idx="131">
                  <c:v>173.57299999999998</c:v>
                </c:pt>
                <c:pt idx="132">
                  <c:v>174.2645</c:v>
                </c:pt>
                <c:pt idx="133">
                  <c:v>174.95249999999999</c:v>
                </c:pt>
                <c:pt idx="134">
                  <c:v>175.78249999999997</c:v>
                </c:pt>
                <c:pt idx="135">
                  <c:v>176.68</c:v>
                </c:pt>
                <c:pt idx="136">
                  <c:v>177.41349999999997</c:v>
                </c:pt>
                <c:pt idx="137">
                  <c:v>177.87999999999997</c:v>
                </c:pt>
                <c:pt idx="138">
                  <c:v>178.46449999999999</c:v>
                </c:pt>
                <c:pt idx="139">
                  <c:v>178.91899999999998</c:v>
                </c:pt>
                <c:pt idx="140">
                  <c:v>179.48999999999998</c:v>
                </c:pt>
                <c:pt idx="141">
                  <c:v>180.49549999999996</c:v>
                </c:pt>
                <c:pt idx="142">
                  <c:v>181.54049999999995</c:v>
                </c:pt>
                <c:pt idx="143">
                  <c:v>182.46799999999996</c:v>
                </c:pt>
                <c:pt idx="144">
                  <c:v>183.26499999999999</c:v>
                </c:pt>
                <c:pt idx="145">
                  <c:v>184.00700000000001</c:v>
                </c:pt>
                <c:pt idx="146">
                  <c:v>184.70349999999999</c:v>
                </c:pt>
                <c:pt idx="147">
                  <c:v>185.35849999999999</c:v>
                </c:pt>
                <c:pt idx="148">
                  <c:v>185.642</c:v>
                </c:pt>
                <c:pt idx="149">
                  <c:v>186.15799999999999</c:v>
                </c:pt>
                <c:pt idx="150">
                  <c:v>186.60599999999999</c:v>
                </c:pt>
                <c:pt idx="151">
                  <c:v>187.321</c:v>
                </c:pt>
                <c:pt idx="152">
                  <c:v>187.75199999999998</c:v>
                </c:pt>
                <c:pt idx="153">
                  <c:v>188.08199999999999</c:v>
                </c:pt>
                <c:pt idx="154">
                  <c:v>188.34099999999998</c:v>
                </c:pt>
                <c:pt idx="155">
                  <c:v>188.58449999999999</c:v>
                </c:pt>
                <c:pt idx="156">
                  <c:v>189.02100000000002</c:v>
                </c:pt>
                <c:pt idx="157">
                  <c:v>189.54750000000004</c:v>
                </c:pt>
                <c:pt idx="158">
                  <c:v>190.07650000000007</c:v>
                </c:pt>
                <c:pt idx="159">
                  <c:v>190.673</c:v>
                </c:pt>
                <c:pt idx="160">
                  <c:v>191.33250000000004</c:v>
                </c:pt>
                <c:pt idx="161">
                  <c:v>191.53149999999999</c:v>
                </c:pt>
                <c:pt idx="162">
                  <c:v>191.749</c:v>
                </c:pt>
                <c:pt idx="163">
                  <c:v>192.07300000000004</c:v>
                </c:pt>
                <c:pt idx="164">
                  <c:v>192.45750000000004</c:v>
                </c:pt>
                <c:pt idx="165">
                  <c:v>192.77350000000001</c:v>
                </c:pt>
                <c:pt idx="166">
                  <c:v>193.23550000000003</c:v>
                </c:pt>
                <c:pt idx="167">
                  <c:v>193.88600000000002</c:v>
                </c:pt>
                <c:pt idx="168">
                  <c:v>194.78450000000004</c:v>
                </c:pt>
                <c:pt idx="169">
                  <c:v>195.65000000000003</c:v>
                </c:pt>
                <c:pt idx="170">
                  <c:v>196.43950000000001</c:v>
                </c:pt>
                <c:pt idx="171">
                  <c:v>196.84600000000006</c:v>
                </c:pt>
                <c:pt idx="172">
                  <c:v>197.45000000000002</c:v>
                </c:pt>
                <c:pt idx="173">
                  <c:v>198.24200000000005</c:v>
                </c:pt>
                <c:pt idx="174">
                  <c:v>199.18700000000007</c:v>
                </c:pt>
                <c:pt idx="175">
                  <c:v>200.15150000000003</c:v>
                </c:pt>
                <c:pt idx="176">
                  <c:v>201.19350000000003</c:v>
                </c:pt>
                <c:pt idx="177">
                  <c:v>202.36250000000004</c:v>
                </c:pt>
                <c:pt idx="178">
                  <c:v>203.33250000000004</c:v>
                </c:pt>
                <c:pt idx="179">
                  <c:v>204.27800000000005</c:v>
                </c:pt>
                <c:pt idx="180">
                  <c:v>205.11200000000002</c:v>
                </c:pt>
                <c:pt idx="181">
                  <c:v>206.19900000000001</c:v>
                </c:pt>
                <c:pt idx="182">
                  <c:v>207.41899999999995</c:v>
                </c:pt>
                <c:pt idx="183">
                  <c:v>208.5685</c:v>
                </c:pt>
                <c:pt idx="184">
                  <c:v>209.69349999999994</c:v>
                </c:pt>
                <c:pt idx="185">
                  <c:v>210.94199999999995</c:v>
                </c:pt>
                <c:pt idx="186">
                  <c:v>212.03899999999999</c:v>
                </c:pt>
                <c:pt idx="187">
                  <c:v>212.98649999999998</c:v>
                </c:pt>
                <c:pt idx="188">
                  <c:v>213.88999999999996</c:v>
                </c:pt>
                <c:pt idx="189">
                  <c:v>214.67099999999996</c:v>
                </c:pt>
                <c:pt idx="190">
                  <c:v>215.67749999999995</c:v>
                </c:pt>
                <c:pt idx="191">
                  <c:v>216.94049999999999</c:v>
                </c:pt>
                <c:pt idx="192">
                  <c:v>218.11999999999998</c:v>
                </c:pt>
                <c:pt idx="193">
                  <c:v>219.285</c:v>
                </c:pt>
                <c:pt idx="194">
                  <c:v>220.50549999999998</c:v>
                </c:pt>
                <c:pt idx="195">
                  <c:v>221.57599999999996</c:v>
                </c:pt>
                <c:pt idx="196">
                  <c:v>222.49949999999998</c:v>
                </c:pt>
                <c:pt idx="197">
                  <c:v>223.40450000000001</c:v>
                </c:pt>
                <c:pt idx="198">
                  <c:v>224.346</c:v>
                </c:pt>
                <c:pt idx="199">
                  <c:v>225.28249999999997</c:v>
                </c:pt>
                <c:pt idx="200">
                  <c:v>226.23200000000003</c:v>
                </c:pt>
                <c:pt idx="201">
                  <c:v>226.95700000000002</c:v>
                </c:pt>
                <c:pt idx="202">
                  <c:v>227.51950000000002</c:v>
                </c:pt>
                <c:pt idx="203">
                  <c:v>228.08350000000002</c:v>
                </c:pt>
                <c:pt idx="204">
                  <c:v>228.65950000000004</c:v>
                </c:pt>
                <c:pt idx="205">
                  <c:v>228.40750000000003</c:v>
                </c:pt>
                <c:pt idx="206">
                  <c:v>228.09900000000002</c:v>
                </c:pt>
                <c:pt idx="207">
                  <c:v>227.69050000000001</c:v>
                </c:pt>
                <c:pt idx="208">
                  <c:v>227.24449999999996</c:v>
                </c:pt>
                <c:pt idx="209">
                  <c:v>226.50299999999999</c:v>
                </c:pt>
                <c:pt idx="210">
                  <c:v>225.70299999999997</c:v>
                </c:pt>
                <c:pt idx="211">
                  <c:v>224.81549999999999</c:v>
                </c:pt>
                <c:pt idx="212">
                  <c:v>223.77549999999997</c:v>
                </c:pt>
                <c:pt idx="213">
                  <c:v>222.72299999999996</c:v>
                </c:pt>
                <c:pt idx="214">
                  <c:v>221.68800000000002</c:v>
                </c:pt>
                <c:pt idx="215">
                  <c:v>220.72149999999996</c:v>
                </c:pt>
                <c:pt idx="216">
                  <c:v>219.74450000000002</c:v>
                </c:pt>
                <c:pt idx="217">
                  <c:v>218.66</c:v>
                </c:pt>
                <c:pt idx="218">
                  <c:v>217.55499999999998</c:v>
                </c:pt>
                <c:pt idx="219">
                  <c:v>216.41750000000002</c:v>
                </c:pt>
                <c:pt idx="220">
                  <c:v>215.22300000000004</c:v>
                </c:pt>
                <c:pt idx="221">
                  <c:v>213.86250000000004</c:v>
                </c:pt>
                <c:pt idx="222">
                  <c:v>212.67950000000002</c:v>
                </c:pt>
                <c:pt idx="223">
                  <c:v>211.5795</c:v>
                </c:pt>
                <c:pt idx="224">
                  <c:v>210.67200000000003</c:v>
                </c:pt>
                <c:pt idx="225">
                  <c:v>210.8725</c:v>
                </c:pt>
                <c:pt idx="226">
                  <c:v>211.28749999999999</c:v>
                </c:pt>
                <c:pt idx="227">
                  <c:v>211.94849999999997</c:v>
                </c:pt>
                <c:pt idx="228">
                  <c:v>212.86849999999998</c:v>
                </c:pt>
                <c:pt idx="229">
                  <c:v>213.96949999999998</c:v>
                </c:pt>
                <c:pt idx="230">
                  <c:v>215.00399999999999</c:v>
                </c:pt>
                <c:pt idx="231">
                  <c:v>215.96100000000001</c:v>
                </c:pt>
                <c:pt idx="232">
                  <c:v>217.09499999999997</c:v>
                </c:pt>
                <c:pt idx="233">
                  <c:v>218.39099999999999</c:v>
                </c:pt>
                <c:pt idx="234">
                  <c:v>219.44849999999997</c:v>
                </c:pt>
                <c:pt idx="235">
                  <c:v>220.666</c:v>
                </c:pt>
                <c:pt idx="236">
                  <c:v>221.47999999999996</c:v>
                </c:pt>
                <c:pt idx="237">
                  <c:v>222.38749999999999</c:v>
                </c:pt>
                <c:pt idx="238">
                  <c:v>223.35050000000001</c:v>
                </c:pt>
                <c:pt idx="239">
                  <c:v>224.41750000000002</c:v>
                </c:pt>
                <c:pt idx="240">
                  <c:v>225.50899999999996</c:v>
                </c:pt>
                <c:pt idx="241">
                  <c:v>226.72599999999997</c:v>
                </c:pt>
                <c:pt idx="242">
                  <c:v>227.76999999999998</c:v>
                </c:pt>
                <c:pt idx="243">
                  <c:v>228.26600000000002</c:v>
                </c:pt>
                <c:pt idx="244">
                  <c:v>228.73199999999997</c:v>
                </c:pt>
                <c:pt idx="245">
                  <c:v>228.77999999999997</c:v>
                </c:pt>
                <c:pt idx="246">
                  <c:v>228.72799999999998</c:v>
                </c:pt>
                <c:pt idx="247">
                  <c:v>228.64199999999997</c:v>
                </c:pt>
                <c:pt idx="248">
                  <c:v>228.44499999999999</c:v>
                </c:pt>
                <c:pt idx="249">
                  <c:v>228.238</c:v>
                </c:pt>
                <c:pt idx="250">
                  <c:v>227.88000000000002</c:v>
                </c:pt>
                <c:pt idx="251">
                  <c:v>227.50199999999995</c:v>
                </c:pt>
                <c:pt idx="252">
                  <c:v>227.04899999999992</c:v>
                </c:pt>
                <c:pt idx="253">
                  <c:v>226.50699999999998</c:v>
                </c:pt>
                <c:pt idx="254">
                  <c:v>225.90299999999996</c:v>
                </c:pt>
                <c:pt idx="255">
                  <c:v>225.19899999999998</c:v>
                </c:pt>
                <c:pt idx="256">
                  <c:v>224.858</c:v>
                </c:pt>
                <c:pt idx="257">
                  <c:v>224.25950000000003</c:v>
                </c:pt>
                <c:pt idx="258">
                  <c:v>223.62349999999998</c:v>
                </c:pt>
                <c:pt idx="259">
                  <c:v>222.898</c:v>
                </c:pt>
                <c:pt idx="260">
                  <c:v>222.35849999999999</c:v>
                </c:pt>
                <c:pt idx="261">
                  <c:v>222.02500000000001</c:v>
                </c:pt>
                <c:pt idx="262">
                  <c:v>221.81600000000003</c:v>
                </c:pt>
                <c:pt idx="263">
                  <c:v>222.02050000000003</c:v>
                </c:pt>
                <c:pt idx="264">
                  <c:v>221.98750000000001</c:v>
                </c:pt>
                <c:pt idx="265">
                  <c:v>222.12150000000003</c:v>
                </c:pt>
                <c:pt idx="266">
                  <c:v>222.26500000000001</c:v>
                </c:pt>
                <c:pt idx="267">
                  <c:v>222.25100000000006</c:v>
                </c:pt>
                <c:pt idx="268">
                  <c:v>222.28950000000003</c:v>
                </c:pt>
                <c:pt idx="269">
                  <c:v>222.58200000000002</c:v>
                </c:pt>
                <c:pt idx="270">
                  <c:v>224.483</c:v>
                </c:pt>
                <c:pt idx="271">
                  <c:v>226.2765</c:v>
                </c:pt>
                <c:pt idx="272">
                  <c:v>228.31600000000009</c:v>
                </c:pt>
                <c:pt idx="273">
                  <c:v>230.40649999999999</c:v>
                </c:pt>
                <c:pt idx="274">
                  <c:v>232.43800000000002</c:v>
                </c:pt>
                <c:pt idx="275">
                  <c:v>233.91199999999998</c:v>
                </c:pt>
                <c:pt idx="276">
                  <c:v>235.36999999999998</c:v>
                </c:pt>
                <c:pt idx="277">
                  <c:v>236.846</c:v>
                </c:pt>
                <c:pt idx="278">
                  <c:v>238.71100000000001</c:v>
                </c:pt>
                <c:pt idx="279">
                  <c:v>240.61400000000003</c:v>
                </c:pt>
                <c:pt idx="280">
                  <c:v>242.57200000000003</c:v>
                </c:pt>
                <c:pt idx="281">
                  <c:v>244.50299999999999</c:v>
                </c:pt>
                <c:pt idx="282">
                  <c:v>246.41699999999997</c:v>
                </c:pt>
                <c:pt idx="283">
                  <c:v>248.42</c:v>
                </c:pt>
                <c:pt idx="284">
                  <c:v>250.49399999999997</c:v>
                </c:pt>
                <c:pt idx="285">
                  <c:v>252.26599999999999</c:v>
                </c:pt>
                <c:pt idx="286">
                  <c:v>254.11950000000002</c:v>
                </c:pt>
                <c:pt idx="287">
                  <c:v>255.80049999999997</c:v>
                </c:pt>
                <c:pt idx="288">
                  <c:v>257.30949999999996</c:v>
                </c:pt>
                <c:pt idx="289">
                  <c:v>258.53949999999998</c:v>
                </c:pt>
                <c:pt idx="290">
                  <c:v>258.24799999999999</c:v>
                </c:pt>
                <c:pt idx="291">
                  <c:v>257.97249999999997</c:v>
                </c:pt>
                <c:pt idx="292">
                  <c:v>257.59649999999993</c:v>
                </c:pt>
                <c:pt idx="293">
                  <c:v>256.94099999999997</c:v>
                </c:pt>
                <c:pt idx="294">
                  <c:v>256.21049999999997</c:v>
                </c:pt>
                <c:pt idx="295">
                  <c:v>256.6155</c:v>
                </c:pt>
                <c:pt idx="296">
                  <c:v>256.84350000000001</c:v>
                </c:pt>
                <c:pt idx="297">
                  <c:v>256.82749999999999</c:v>
                </c:pt>
                <c:pt idx="298">
                  <c:v>256.57399999999996</c:v>
                </c:pt>
                <c:pt idx="299">
                  <c:v>256.07350000000002</c:v>
                </c:pt>
                <c:pt idx="300">
                  <c:v>255.53149999999999</c:v>
                </c:pt>
                <c:pt idx="301">
                  <c:v>255.11600000000004</c:v>
                </c:pt>
                <c:pt idx="302">
                  <c:v>254.31</c:v>
                </c:pt>
                <c:pt idx="303">
                  <c:v>253.70850000000002</c:v>
                </c:pt>
                <c:pt idx="304">
                  <c:v>252.63749999999999</c:v>
                </c:pt>
                <c:pt idx="305">
                  <c:v>251.75699999999998</c:v>
                </c:pt>
                <c:pt idx="306">
                  <c:v>251.08599999999996</c:v>
                </c:pt>
                <c:pt idx="307">
                  <c:v>250.69349999999994</c:v>
                </c:pt>
                <c:pt idx="308">
                  <c:v>250.41849999999994</c:v>
                </c:pt>
                <c:pt idx="309">
                  <c:v>250.06749999999997</c:v>
                </c:pt>
                <c:pt idx="310">
                  <c:v>249.6455</c:v>
                </c:pt>
                <c:pt idx="311">
                  <c:v>249.56899999999996</c:v>
                </c:pt>
                <c:pt idx="312">
                  <c:v>249.42549999999997</c:v>
                </c:pt>
                <c:pt idx="313">
                  <c:v>249.35699999999997</c:v>
                </c:pt>
                <c:pt idx="314">
                  <c:v>249.09699999999998</c:v>
                </c:pt>
                <c:pt idx="315">
                  <c:v>247.39399999999992</c:v>
                </c:pt>
                <c:pt idx="316">
                  <c:v>245.83799999999997</c:v>
                </c:pt>
                <c:pt idx="317">
                  <c:v>244.44199999999995</c:v>
                </c:pt>
                <c:pt idx="318">
                  <c:v>243.72599999999997</c:v>
                </c:pt>
                <c:pt idx="319">
                  <c:v>242.91350000000003</c:v>
                </c:pt>
                <c:pt idx="320">
                  <c:v>242.27000000000004</c:v>
                </c:pt>
                <c:pt idx="321">
                  <c:v>241.57450000000003</c:v>
                </c:pt>
                <c:pt idx="322">
                  <c:v>241.26200000000003</c:v>
                </c:pt>
                <c:pt idx="323">
                  <c:v>240.57600000000002</c:v>
                </c:pt>
                <c:pt idx="324">
                  <c:v>240.35050000000001</c:v>
                </c:pt>
                <c:pt idx="325">
                  <c:v>239.96800000000002</c:v>
                </c:pt>
                <c:pt idx="326">
                  <c:v>239.59050000000002</c:v>
                </c:pt>
                <c:pt idx="327">
                  <c:v>239.36949999999996</c:v>
                </c:pt>
                <c:pt idx="328">
                  <c:v>238.31899999999996</c:v>
                </c:pt>
                <c:pt idx="329">
                  <c:v>237.62899999999999</c:v>
                </c:pt>
                <c:pt idx="330">
                  <c:v>237.23699999999999</c:v>
                </c:pt>
                <c:pt idx="331">
                  <c:v>236.77349999999996</c:v>
                </c:pt>
                <c:pt idx="332">
                  <c:v>236.3475</c:v>
                </c:pt>
                <c:pt idx="333">
                  <c:v>235.83149999999995</c:v>
                </c:pt>
                <c:pt idx="334">
                  <c:v>235.93449999999999</c:v>
                </c:pt>
                <c:pt idx="335">
                  <c:v>237.01950000000002</c:v>
                </c:pt>
                <c:pt idx="336">
                  <c:v>238.18649999999997</c:v>
                </c:pt>
                <c:pt idx="337">
                  <c:v>239.80349999999999</c:v>
                </c:pt>
                <c:pt idx="338">
                  <c:v>240.74499999999998</c:v>
                </c:pt>
                <c:pt idx="339">
                  <c:v>241.72750000000002</c:v>
                </c:pt>
                <c:pt idx="340">
                  <c:v>242.63799999999998</c:v>
                </c:pt>
                <c:pt idx="341">
                  <c:v>243.61449999999996</c:v>
                </c:pt>
                <c:pt idx="342">
                  <c:v>244.47049999999996</c:v>
                </c:pt>
                <c:pt idx="343">
                  <c:v>245.87599999999998</c:v>
                </c:pt>
                <c:pt idx="344">
                  <c:v>247.27350000000001</c:v>
                </c:pt>
                <c:pt idx="345">
                  <c:v>248.88299999999998</c:v>
                </c:pt>
                <c:pt idx="346">
                  <c:v>250.18549999999999</c:v>
                </c:pt>
                <c:pt idx="347">
                  <c:v>250.95499999999998</c:v>
                </c:pt>
                <c:pt idx="348">
                  <c:v>252.40699999999998</c:v>
                </c:pt>
                <c:pt idx="349">
                  <c:v>253.71799999999999</c:v>
                </c:pt>
                <c:pt idx="350">
                  <c:v>255.07150000000001</c:v>
                </c:pt>
                <c:pt idx="351">
                  <c:v>256.11399999999992</c:v>
                </c:pt>
                <c:pt idx="352">
                  <c:v>256.95749999999992</c:v>
                </c:pt>
                <c:pt idx="353">
                  <c:v>257.92749999999995</c:v>
                </c:pt>
                <c:pt idx="354">
                  <c:v>258.84499999999997</c:v>
                </c:pt>
                <c:pt idx="355">
                  <c:v>259.64599999999996</c:v>
                </c:pt>
                <c:pt idx="356">
                  <c:v>260.46600000000001</c:v>
                </c:pt>
                <c:pt idx="357">
                  <c:v>261.14049999999992</c:v>
                </c:pt>
                <c:pt idx="358">
                  <c:v>261.87699999999995</c:v>
                </c:pt>
                <c:pt idx="359">
                  <c:v>263.02100000000002</c:v>
                </c:pt>
                <c:pt idx="360">
                  <c:v>264.14849999999996</c:v>
                </c:pt>
                <c:pt idx="361">
                  <c:v>265.29499999999996</c:v>
                </c:pt>
                <c:pt idx="362">
                  <c:v>266.45549999999997</c:v>
                </c:pt>
                <c:pt idx="363">
                  <c:v>266.98249999999996</c:v>
                </c:pt>
                <c:pt idx="364">
                  <c:v>267.73599999999999</c:v>
                </c:pt>
                <c:pt idx="365">
                  <c:v>268.46799999999996</c:v>
                </c:pt>
                <c:pt idx="366">
                  <c:v>269.28100000000001</c:v>
                </c:pt>
                <c:pt idx="367">
                  <c:v>270.286</c:v>
                </c:pt>
                <c:pt idx="368">
                  <c:v>271.82650000000007</c:v>
                </c:pt>
                <c:pt idx="369">
                  <c:v>273.58450000000005</c:v>
                </c:pt>
                <c:pt idx="370">
                  <c:v>274.97600000000006</c:v>
                </c:pt>
                <c:pt idx="371">
                  <c:v>276.5605000000001</c:v>
                </c:pt>
                <c:pt idx="372">
                  <c:v>278.11100000000005</c:v>
                </c:pt>
                <c:pt idx="373">
                  <c:v>279.89700000000005</c:v>
                </c:pt>
                <c:pt idx="374">
                  <c:v>281.26200000000006</c:v>
                </c:pt>
                <c:pt idx="375">
                  <c:v>282.3845</c:v>
                </c:pt>
                <c:pt idx="376">
                  <c:v>283.70699999999999</c:v>
                </c:pt>
                <c:pt idx="377">
                  <c:v>284.98750000000001</c:v>
                </c:pt>
                <c:pt idx="378">
                  <c:v>286.06499999999994</c:v>
                </c:pt>
                <c:pt idx="379">
                  <c:v>286.96799999999996</c:v>
                </c:pt>
                <c:pt idx="380">
                  <c:v>287.52750000000003</c:v>
                </c:pt>
                <c:pt idx="381">
                  <c:v>287.63100000000003</c:v>
                </c:pt>
                <c:pt idx="382">
                  <c:v>287.76900000000001</c:v>
                </c:pt>
                <c:pt idx="383">
                  <c:v>288.04300000000001</c:v>
                </c:pt>
                <c:pt idx="384">
                  <c:v>288.04750000000001</c:v>
                </c:pt>
                <c:pt idx="385">
                  <c:v>287.995</c:v>
                </c:pt>
                <c:pt idx="386">
                  <c:v>288.12800000000004</c:v>
                </c:pt>
                <c:pt idx="387">
                  <c:v>288.315</c:v>
                </c:pt>
                <c:pt idx="388">
                  <c:v>287.95400000000001</c:v>
                </c:pt>
                <c:pt idx="389">
                  <c:v>287.36500000000001</c:v>
                </c:pt>
                <c:pt idx="390">
                  <c:v>285.83749999999998</c:v>
                </c:pt>
                <c:pt idx="391">
                  <c:v>284.22700000000003</c:v>
                </c:pt>
                <c:pt idx="392">
                  <c:v>282.90250000000003</c:v>
                </c:pt>
                <c:pt idx="393">
                  <c:v>281.28399999999999</c:v>
                </c:pt>
                <c:pt idx="394">
                  <c:v>279.73700000000002</c:v>
                </c:pt>
                <c:pt idx="395">
                  <c:v>278.012</c:v>
                </c:pt>
                <c:pt idx="396">
                  <c:v>275.91600000000005</c:v>
                </c:pt>
                <c:pt idx="397">
                  <c:v>273.89150000000001</c:v>
                </c:pt>
                <c:pt idx="398">
                  <c:v>271.904</c:v>
                </c:pt>
                <c:pt idx="399">
                  <c:v>270.01100000000002</c:v>
                </c:pt>
                <c:pt idx="400">
                  <c:v>268.14749999999998</c:v>
                </c:pt>
                <c:pt idx="401">
                  <c:v>266.08150000000006</c:v>
                </c:pt>
                <c:pt idx="402">
                  <c:v>263.70700000000005</c:v>
                </c:pt>
                <c:pt idx="403">
                  <c:v>261.31050000000005</c:v>
                </c:pt>
                <c:pt idx="404">
                  <c:v>259.21800000000007</c:v>
                </c:pt>
                <c:pt idx="405">
                  <c:v>256.9735</c:v>
                </c:pt>
                <c:pt idx="406">
                  <c:v>254.66600000000003</c:v>
                </c:pt>
                <c:pt idx="407">
                  <c:v>252.40300000000002</c:v>
                </c:pt>
                <c:pt idx="408">
                  <c:v>250.369</c:v>
                </c:pt>
                <c:pt idx="409">
                  <c:v>248.39600000000002</c:v>
                </c:pt>
                <c:pt idx="410">
                  <c:v>247.34050000000002</c:v>
                </c:pt>
                <c:pt idx="411">
                  <c:v>246.459</c:v>
                </c:pt>
                <c:pt idx="412">
                  <c:v>245.27000000000004</c:v>
                </c:pt>
                <c:pt idx="413">
                  <c:v>244.28100000000003</c:v>
                </c:pt>
                <c:pt idx="414">
                  <c:v>243.51000000000005</c:v>
                </c:pt>
                <c:pt idx="415">
                  <c:v>243.13899999999998</c:v>
                </c:pt>
                <c:pt idx="416">
                  <c:v>242.81099999999998</c:v>
                </c:pt>
                <c:pt idx="417">
                  <c:v>242.28699999999998</c:v>
                </c:pt>
                <c:pt idx="418">
                  <c:v>241.95850000000004</c:v>
                </c:pt>
                <c:pt idx="419">
                  <c:v>241.70350000000008</c:v>
                </c:pt>
                <c:pt idx="420">
                  <c:v>241.62200000000001</c:v>
                </c:pt>
                <c:pt idx="421">
                  <c:v>242.31300000000002</c:v>
                </c:pt>
                <c:pt idx="422">
                  <c:v>243.45349999999999</c:v>
                </c:pt>
                <c:pt idx="423">
                  <c:v>244.55899999999997</c:v>
                </c:pt>
                <c:pt idx="424">
                  <c:v>245.40600000000001</c:v>
                </c:pt>
                <c:pt idx="425">
                  <c:v>246.22250000000003</c:v>
                </c:pt>
                <c:pt idx="426">
                  <c:v>247.04849999999996</c:v>
                </c:pt>
                <c:pt idx="427">
                  <c:v>247.95199999999994</c:v>
                </c:pt>
                <c:pt idx="428">
                  <c:v>248.84200000000001</c:v>
                </c:pt>
                <c:pt idx="429">
                  <c:v>249.96450000000004</c:v>
                </c:pt>
                <c:pt idx="430">
                  <c:v>251.31450000000004</c:v>
                </c:pt>
                <c:pt idx="431">
                  <c:v>252.77850000000004</c:v>
                </c:pt>
                <c:pt idx="432">
                  <c:v>254.41900000000001</c:v>
                </c:pt>
                <c:pt idx="433">
                  <c:v>255.66399999999999</c:v>
                </c:pt>
                <c:pt idx="434">
                  <c:v>257.49399999999997</c:v>
                </c:pt>
                <c:pt idx="435">
                  <c:v>259.423</c:v>
                </c:pt>
                <c:pt idx="436">
                  <c:v>261.23849999999999</c:v>
                </c:pt>
                <c:pt idx="437">
                  <c:v>263.27149999999995</c:v>
                </c:pt>
                <c:pt idx="438">
                  <c:v>265.39099999999996</c:v>
                </c:pt>
                <c:pt idx="439">
                  <c:v>267.36799999999999</c:v>
                </c:pt>
                <c:pt idx="440">
                  <c:v>269.36</c:v>
                </c:pt>
                <c:pt idx="441">
                  <c:v>271.0265</c:v>
                </c:pt>
                <c:pt idx="442">
                  <c:v>272.76449999999994</c:v>
                </c:pt>
                <c:pt idx="443">
                  <c:v>274.39350000000002</c:v>
                </c:pt>
                <c:pt idx="444">
                  <c:v>275.9545</c:v>
                </c:pt>
                <c:pt idx="445">
                  <c:v>277.17349999999999</c:v>
                </c:pt>
                <c:pt idx="446">
                  <c:v>278.22249999999997</c:v>
                </c:pt>
                <c:pt idx="447">
                  <c:v>279.15399999999994</c:v>
                </c:pt>
                <c:pt idx="448">
                  <c:v>280.23749999999995</c:v>
                </c:pt>
                <c:pt idx="449">
                  <c:v>280.78599999999994</c:v>
                </c:pt>
                <c:pt idx="450">
                  <c:v>281.53000000000003</c:v>
                </c:pt>
                <c:pt idx="451">
                  <c:v>282.14399999999995</c:v>
                </c:pt>
                <c:pt idx="452">
                  <c:v>282.6345</c:v>
                </c:pt>
                <c:pt idx="453">
                  <c:v>283.63350000000003</c:v>
                </c:pt>
                <c:pt idx="454">
                  <c:v>283.81149999999997</c:v>
                </c:pt>
                <c:pt idx="455">
                  <c:v>284.96899999999999</c:v>
                </c:pt>
                <c:pt idx="456">
                  <c:v>286.63350000000003</c:v>
                </c:pt>
                <c:pt idx="457">
                  <c:v>288.154</c:v>
                </c:pt>
                <c:pt idx="458">
                  <c:v>289.24</c:v>
                </c:pt>
                <c:pt idx="459">
                  <c:v>290.40700000000004</c:v>
                </c:pt>
                <c:pt idx="460">
                  <c:v>291.35900000000004</c:v>
                </c:pt>
                <c:pt idx="461">
                  <c:v>292.12450000000001</c:v>
                </c:pt>
                <c:pt idx="462">
                  <c:v>292.47350000000006</c:v>
                </c:pt>
                <c:pt idx="463">
                  <c:v>293.33900000000006</c:v>
                </c:pt>
                <c:pt idx="464">
                  <c:v>294.54850000000005</c:v>
                </c:pt>
                <c:pt idx="465">
                  <c:v>295.9765000000001</c:v>
                </c:pt>
                <c:pt idx="466">
                  <c:v>297.57200000000012</c:v>
                </c:pt>
                <c:pt idx="467">
                  <c:v>299.45050000000003</c:v>
                </c:pt>
                <c:pt idx="468">
                  <c:v>301.16200000000009</c:v>
                </c:pt>
                <c:pt idx="469">
                  <c:v>302.60649999999998</c:v>
                </c:pt>
                <c:pt idx="470">
                  <c:v>303.82699999999994</c:v>
                </c:pt>
                <c:pt idx="471">
                  <c:v>304.50299999999999</c:v>
                </c:pt>
                <c:pt idx="472">
                  <c:v>304.89800000000002</c:v>
                </c:pt>
                <c:pt idx="473">
                  <c:v>304.94899999999996</c:v>
                </c:pt>
                <c:pt idx="474">
                  <c:v>305.21899999999994</c:v>
                </c:pt>
                <c:pt idx="475">
                  <c:v>304.71799999999996</c:v>
                </c:pt>
                <c:pt idx="476">
                  <c:v>304.26949999999994</c:v>
                </c:pt>
                <c:pt idx="477">
                  <c:v>303.86499999999995</c:v>
                </c:pt>
                <c:pt idx="478">
                  <c:v>303.61500000000001</c:v>
                </c:pt>
                <c:pt idx="479">
                  <c:v>303.54100000000005</c:v>
                </c:pt>
                <c:pt idx="480">
                  <c:v>303.45399999999995</c:v>
                </c:pt>
                <c:pt idx="481">
                  <c:v>303.30649999999997</c:v>
                </c:pt>
                <c:pt idx="482">
                  <c:v>303.39500000000004</c:v>
                </c:pt>
                <c:pt idx="483">
                  <c:v>303.45600000000002</c:v>
                </c:pt>
                <c:pt idx="484">
                  <c:v>303.23199999999991</c:v>
                </c:pt>
                <c:pt idx="485">
                  <c:v>303.37199999999996</c:v>
                </c:pt>
                <c:pt idx="486">
                  <c:v>303.43949999999995</c:v>
                </c:pt>
                <c:pt idx="487">
                  <c:v>303.387</c:v>
                </c:pt>
                <c:pt idx="488">
                  <c:v>303.17500000000001</c:v>
                </c:pt>
                <c:pt idx="489">
                  <c:v>303.39399999999995</c:v>
                </c:pt>
                <c:pt idx="490">
                  <c:v>303.5424999999999</c:v>
                </c:pt>
                <c:pt idx="491">
                  <c:v>303.84299999999996</c:v>
                </c:pt>
                <c:pt idx="492">
                  <c:v>304.51149999999996</c:v>
                </c:pt>
                <c:pt idx="493">
                  <c:v>305.10749999999996</c:v>
                </c:pt>
                <c:pt idx="494">
                  <c:v>305.63649999999996</c:v>
                </c:pt>
                <c:pt idx="495">
                  <c:v>305.90399999999994</c:v>
                </c:pt>
                <c:pt idx="496">
                  <c:v>305.887</c:v>
                </c:pt>
                <c:pt idx="497">
                  <c:v>305.89099999999996</c:v>
                </c:pt>
                <c:pt idx="498">
                  <c:v>305.98500000000001</c:v>
                </c:pt>
                <c:pt idx="499">
                  <c:v>305.84299999999996</c:v>
                </c:pt>
                <c:pt idx="500">
                  <c:v>305.66199999999998</c:v>
                </c:pt>
                <c:pt idx="501">
                  <c:v>305.38350000000003</c:v>
                </c:pt>
                <c:pt idx="502">
                  <c:v>304.82749999999999</c:v>
                </c:pt>
                <c:pt idx="503">
                  <c:v>304.17650000000003</c:v>
                </c:pt>
                <c:pt idx="504">
                  <c:v>303.90300000000002</c:v>
                </c:pt>
                <c:pt idx="505">
                  <c:v>303.28050000000002</c:v>
                </c:pt>
                <c:pt idx="506">
                  <c:v>302.89250000000004</c:v>
                </c:pt>
                <c:pt idx="507">
                  <c:v>302.47000000000008</c:v>
                </c:pt>
                <c:pt idx="508">
                  <c:v>302.54200000000009</c:v>
                </c:pt>
                <c:pt idx="509">
                  <c:v>302.23800000000011</c:v>
                </c:pt>
                <c:pt idx="510">
                  <c:v>302.25650000000007</c:v>
                </c:pt>
                <c:pt idx="511">
                  <c:v>301.99500000000006</c:v>
                </c:pt>
                <c:pt idx="512">
                  <c:v>302.11250000000001</c:v>
                </c:pt>
                <c:pt idx="513">
                  <c:v>301.65750000000003</c:v>
                </c:pt>
                <c:pt idx="514">
                  <c:v>301.4855</c:v>
                </c:pt>
                <c:pt idx="515">
                  <c:v>301.0795</c:v>
                </c:pt>
                <c:pt idx="516">
                  <c:v>300.51249999999999</c:v>
                </c:pt>
                <c:pt idx="517">
                  <c:v>300.101</c:v>
                </c:pt>
                <c:pt idx="518">
                  <c:v>299.53949999999998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C-498B-AF29-B8B97505B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208927"/>
        <c:axId val="1738205087"/>
      </c:lineChart>
      <c:dateAx>
        <c:axId val="1738208927"/>
        <c:scaling>
          <c:orientation val="minMax"/>
          <c:min val="45932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205087"/>
        <c:crosses val="autoZero"/>
        <c:auto val="1"/>
        <c:lblOffset val="100"/>
        <c:baseTimeUnit val="days"/>
      </c:dateAx>
      <c:valAx>
        <c:axId val="1738205087"/>
        <c:scaling>
          <c:orientation val="minMax"/>
          <c:min val="2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20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IBM!$C$1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IBM!$A$2:$A$520</c:f>
              <c:numCache>
                <c:formatCode>yyyy\-mm\-dd;@</c:formatCode>
                <c:ptCount val="519"/>
                <c:pt idx="0">
                  <c:v>45292</c:v>
                </c:pt>
                <c:pt idx="1">
                  <c:v>45292</c:v>
                </c:pt>
                <c:pt idx="2">
                  <c:v>45292</c:v>
                </c:pt>
                <c:pt idx="3">
                  <c:v>45292</c:v>
                </c:pt>
                <c:pt idx="4">
                  <c:v>45299</c:v>
                </c:pt>
                <c:pt idx="5">
                  <c:v>45299</c:v>
                </c:pt>
                <c:pt idx="6">
                  <c:v>45299</c:v>
                </c:pt>
                <c:pt idx="7">
                  <c:v>45299</c:v>
                </c:pt>
                <c:pt idx="8">
                  <c:v>45299</c:v>
                </c:pt>
                <c:pt idx="9">
                  <c:v>45306</c:v>
                </c:pt>
                <c:pt idx="10">
                  <c:v>45306</c:v>
                </c:pt>
                <c:pt idx="11">
                  <c:v>45306</c:v>
                </c:pt>
                <c:pt idx="12">
                  <c:v>45306</c:v>
                </c:pt>
                <c:pt idx="13">
                  <c:v>45313</c:v>
                </c:pt>
                <c:pt idx="14">
                  <c:v>45313</c:v>
                </c:pt>
                <c:pt idx="15">
                  <c:v>45313</c:v>
                </c:pt>
                <c:pt idx="16">
                  <c:v>45313</c:v>
                </c:pt>
                <c:pt idx="17">
                  <c:v>45313</c:v>
                </c:pt>
                <c:pt idx="18">
                  <c:v>45320</c:v>
                </c:pt>
                <c:pt idx="19">
                  <c:v>45320</c:v>
                </c:pt>
                <c:pt idx="20">
                  <c:v>45320</c:v>
                </c:pt>
                <c:pt idx="21">
                  <c:v>45320</c:v>
                </c:pt>
                <c:pt idx="22">
                  <c:v>45320</c:v>
                </c:pt>
                <c:pt idx="23">
                  <c:v>45327</c:v>
                </c:pt>
                <c:pt idx="24">
                  <c:v>45327</c:v>
                </c:pt>
                <c:pt idx="25">
                  <c:v>45327</c:v>
                </c:pt>
                <c:pt idx="26">
                  <c:v>45327</c:v>
                </c:pt>
                <c:pt idx="27">
                  <c:v>45327</c:v>
                </c:pt>
                <c:pt idx="28">
                  <c:v>45334</c:v>
                </c:pt>
                <c:pt idx="29">
                  <c:v>45334</c:v>
                </c:pt>
                <c:pt idx="30">
                  <c:v>45334</c:v>
                </c:pt>
                <c:pt idx="31">
                  <c:v>45334</c:v>
                </c:pt>
                <c:pt idx="32">
                  <c:v>45334</c:v>
                </c:pt>
                <c:pt idx="33">
                  <c:v>45341</c:v>
                </c:pt>
                <c:pt idx="34">
                  <c:v>45341</c:v>
                </c:pt>
                <c:pt idx="35">
                  <c:v>45341</c:v>
                </c:pt>
                <c:pt idx="36">
                  <c:v>45341</c:v>
                </c:pt>
                <c:pt idx="37">
                  <c:v>45348</c:v>
                </c:pt>
                <c:pt idx="38">
                  <c:v>45348</c:v>
                </c:pt>
                <c:pt idx="39">
                  <c:v>45348</c:v>
                </c:pt>
                <c:pt idx="40">
                  <c:v>45348</c:v>
                </c:pt>
                <c:pt idx="41">
                  <c:v>45348</c:v>
                </c:pt>
                <c:pt idx="42">
                  <c:v>45355</c:v>
                </c:pt>
                <c:pt idx="43">
                  <c:v>45355</c:v>
                </c:pt>
                <c:pt idx="44">
                  <c:v>45355</c:v>
                </c:pt>
                <c:pt idx="45">
                  <c:v>45355</c:v>
                </c:pt>
                <c:pt idx="46">
                  <c:v>45355</c:v>
                </c:pt>
                <c:pt idx="47">
                  <c:v>45362</c:v>
                </c:pt>
                <c:pt idx="48">
                  <c:v>45362</c:v>
                </c:pt>
                <c:pt idx="49">
                  <c:v>45362</c:v>
                </c:pt>
                <c:pt idx="50">
                  <c:v>45362</c:v>
                </c:pt>
                <c:pt idx="51">
                  <c:v>45362</c:v>
                </c:pt>
                <c:pt idx="52">
                  <c:v>45369</c:v>
                </c:pt>
                <c:pt idx="53">
                  <c:v>45369</c:v>
                </c:pt>
                <c:pt idx="54">
                  <c:v>45369</c:v>
                </c:pt>
                <c:pt idx="55">
                  <c:v>45369</c:v>
                </c:pt>
                <c:pt idx="56">
                  <c:v>45369</c:v>
                </c:pt>
                <c:pt idx="57">
                  <c:v>45376</c:v>
                </c:pt>
                <c:pt idx="58">
                  <c:v>45376</c:v>
                </c:pt>
                <c:pt idx="59">
                  <c:v>45376</c:v>
                </c:pt>
                <c:pt idx="60">
                  <c:v>45376</c:v>
                </c:pt>
                <c:pt idx="61">
                  <c:v>45383</c:v>
                </c:pt>
                <c:pt idx="62">
                  <c:v>45383</c:v>
                </c:pt>
                <c:pt idx="63">
                  <c:v>45383</c:v>
                </c:pt>
                <c:pt idx="64">
                  <c:v>45383</c:v>
                </c:pt>
                <c:pt idx="65">
                  <c:v>45383</c:v>
                </c:pt>
                <c:pt idx="66">
                  <c:v>45390</c:v>
                </c:pt>
                <c:pt idx="67">
                  <c:v>45390</c:v>
                </c:pt>
                <c:pt idx="68">
                  <c:v>45390</c:v>
                </c:pt>
                <c:pt idx="69">
                  <c:v>45390</c:v>
                </c:pt>
                <c:pt idx="70">
                  <c:v>45390</c:v>
                </c:pt>
                <c:pt idx="71">
                  <c:v>45397</c:v>
                </c:pt>
                <c:pt idx="72">
                  <c:v>45397</c:v>
                </c:pt>
                <c:pt idx="73">
                  <c:v>45397</c:v>
                </c:pt>
                <c:pt idx="74">
                  <c:v>45397</c:v>
                </c:pt>
                <c:pt idx="75">
                  <c:v>45397</c:v>
                </c:pt>
                <c:pt idx="76">
                  <c:v>45404</c:v>
                </c:pt>
                <c:pt idx="77">
                  <c:v>45404</c:v>
                </c:pt>
                <c:pt idx="78">
                  <c:v>45404</c:v>
                </c:pt>
                <c:pt idx="79">
                  <c:v>45404</c:v>
                </c:pt>
                <c:pt idx="80">
                  <c:v>45404</c:v>
                </c:pt>
                <c:pt idx="81">
                  <c:v>45411</c:v>
                </c:pt>
                <c:pt idx="82">
                  <c:v>45411</c:v>
                </c:pt>
                <c:pt idx="83">
                  <c:v>45411</c:v>
                </c:pt>
                <c:pt idx="84">
                  <c:v>45411</c:v>
                </c:pt>
                <c:pt idx="85">
                  <c:v>45411</c:v>
                </c:pt>
                <c:pt idx="86">
                  <c:v>45418</c:v>
                </c:pt>
                <c:pt idx="87">
                  <c:v>45418</c:v>
                </c:pt>
                <c:pt idx="88">
                  <c:v>45418</c:v>
                </c:pt>
                <c:pt idx="89">
                  <c:v>45418</c:v>
                </c:pt>
                <c:pt idx="90">
                  <c:v>45418</c:v>
                </c:pt>
                <c:pt idx="91">
                  <c:v>45425</c:v>
                </c:pt>
                <c:pt idx="92">
                  <c:v>45425</c:v>
                </c:pt>
                <c:pt idx="93">
                  <c:v>45425</c:v>
                </c:pt>
                <c:pt idx="94">
                  <c:v>45425</c:v>
                </c:pt>
                <c:pt idx="95">
                  <c:v>45425</c:v>
                </c:pt>
                <c:pt idx="96">
                  <c:v>45432</c:v>
                </c:pt>
                <c:pt idx="97">
                  <c:v>45432</c:v>
                </c:pt>
                <c:pt idx="98">
                  <c:v>45432</c:v>
                </c:pt>
                <c:pt idx="99">
                  <c:v>45432</c:v>
                </c:pt>
                <c:pt idx="100">
                  <c:v>45432</c:v>
                </c:pt>
                <c:pt idx="101">
                  <c:v>45439</c:v>
                </c:pt>
                <c:pt idx="102">
                  <c:v>45439</c:v>
                </c:pt>
                <c:pt idx="103">
                  <c:v>45439</c:v>
                </c:pt>
                <c:pt idx="104">
                  <c:v>45439</c:v>
                </c:pt>
                <c:pt idx="105">
                  <c:v>45446</c:v>
                </c:pt>
                <c:pt idx="106">
                  <c:v>45446</c:v>
                </c:pt>
                <c:pt idx="107">
                  <c:v>45446</c:v>
                </c:pt>
                <c:pt idx="108">
                  <c:v>45446</c:v>
                </c:pt>
                <c:pt idx="109">
                  <c:v>45446</c:v>
                </c:pt>
                <c:pt idx="110">
                  <c:v>45453</c:v>
                </c:pt>
                <c:pt idx="111">
                  <c:v>45453</c:v>
                </c:pt>
                <c:pt idx="112">
                  <c:v>45453</c:v>
                </c:pt>
                <c:pt idx="113">
                  <c:v>45453</c:v>
                </c:pt>
                <c:pt idx="114">
                  <c:v>45453</c:v>
                </c:pt>
                <c:pt idx="115">
                  <c:v>45460</c:v>
                </c:pt>
                <c:pt idx="116">
                  <c:v>45460</c:v>
                </c:pt>
                <c:pt idx="117">
                  <c:v>45460</c:v>
                </c:pt>
                <c:pt idx="118">
                  <c:v>45460</c:v>
                </c:pt>
                <c:pt idx="119">
                  <c:v>45467</c:v>
                </c:pt>
                <c:pt idx="120">
                  <c:v>45467</c:v>
                </c:pt>
                <c:pt idx="121">
                  <c:v>45467</c:v>
                </c:pt>
                <c:pt idx="122">
                  <c:v>45467</c:v>
                </c:pt>
                <c:pt idx="123">
                  <c:v>45467</c:v>
                </c:pt>
                <c:pt idx="124">
                  <c:v>45474</c:v>
                </c:pt>
                <c:pt idx="125">
                  <c:v>45474</c:v>
                </c:pt>
                <c:pt idx="126">
                  <c:v>45474</c:v>
                </c:pt>
                <c:pt idx="127">
                  <c:v>45474</c:v>
                </c:pt>
                <c:pt idx="128">
                  <c:v>45481</c:v>
                </c:pt>
                <c:pt idx="129">
                  <c:v>45481</c:v>
                </c:pt>
                <c:pt idx="130">
                  <c:v>45481</c:v>
                </c:pt>
                <c:pt idx="131">
                  <c:v>45481</c:v>
                </c:pt>
                <c:pt idx="132">
                  <c:v>45481</c:v>
                </c:pt>
                <c:pt idx="133">
                  <c:v>45488</c:v>
                </c:pt>
                <c:pt idx="134">
                  <c:v>45488</c:v>
                </c:pt>
                <c:pt idx="135">
                  <c:v>45488</c:v>
                </c:pt>
                <c:pt idx="136">
                  <c:v>45488</c:v>
                </c:pt>
                <c:pt idx="137">
                  <c:v>45488</c:v>
                </c:pt>
                <c:pt idx="138">
                  <c:v>45495</c:v>
                </c:pt>
                <c:pt idx="139">
                  <c:v>45495</c:v>
                </c:pt>
                <c:pt idx="140">
                  <c:v>45495</c:v>
                </c:pt>
                <c:pt idx="141">
                  <c:v>45495</c:v>
                </c:pt>
                <c:pt idx="142">
                  <c:v>45495</c:v>
                </c:pt>
                <c:pt idx="143">
                  <c:v>45502</c:v>
                </c:pt>
                <c:pt idx="144">
                  <c:v>45502</c:v>
                </c:pt>
                <c:pt idx="145">
                  <c:v>45502</c:v>
                </c:pt>
                <c:pt idx="146">
                  <c:v>45502</c:v>
                </c:pt>
                <c:pt idx="147">
                  <c:v>45502</c:v>
                </c:pt>
                <c:pt idx="148">
                  <c:v>45509</c:v>
                </c:pt>
                <c:pt idx="149">
                  <c:v>45509</c:v>
                </c:pt>
                <c:pt idx="150">
                  <c:v>45509</c:v>
                </c:pt>
                <c:pt idx="151">
                  <c:v>45509</c:v>
                </c:pt>
                <c:pt idx="152">
                  <c:v>45509</c:v>
                </c:pt>
                <c:pt idx="153">
                  <c:v>45516</c:v>
                </c:pt>
                <c:pt idx="154">
                  <c:v>45516</c:v>
                </c:pt>
                <c:pt idx="155">
                  <c:v>45516</c:v>
                </c:pt>
                <c:pt idx="156">
                  <c:v>45516</c:v>
                </c:pt>
                <c:pt idx="157">
                  <c:v>45516</c:v>
                </c:pt>
                <c:pt idx="158">
                  <c:v>45523</c:v>
                </c:pt>
                <c:pt idx="159">
                  <c:v>45523</c:v>
                </c:pt>
                <c:pt idx="160">
                  <c:v>45523</c:v>
                </c:pt>
                <c:pt idx="161">
                  <c:v>45523</c:v>
                </c:pt>
                <c:pt idx="162">
                  <c:v>45523</c:v>
                </c:pt>
                <c:pt idx="163">
                  <c:v>45530</c:v>
                </c:pt>
                <c:pt idx="164">
                  <c:v>45530</c:v>
                </c:pt>
                <c:pt idx="165">
                  <c:v>45530</c:v>
                </c:pt>
                <c:pt idx="166">
                  <c:v>45530</c:v>
                </c:pt>
                <c:pt idx="167">
                  <c:v>45530</c:v>
                </c:pt>
                <c:pt idx="168">
                  <c:v>45537</c:v>
                </c:pt>
                <c:pt idx="169">
                  <c:v>45537</c:v>
                </c:pt>
                <c:pt idx="170">
                  <c:v>45537</c:v>
                </c:pt>
                <c:pt idx="171">
                  <c:v>45537</c:v>
                </c:pt>
                <c:pt idx="172">
                  <c:v>45544</c:v>
                </c:pt>
                <c:pt idx="173">
                  <c:v>45544</c:v>
                </c:pt>
                <c:pt idx="174">
                  <c:v>45544</c:v>
                </c:pt>
                <c:pt idx="175">
                  <c:v>45544</c:v>
                </c:pt>
                <c:pt idx="176">
                  <c:v>45544</c:v>
                </c:pt>
                <c:pt idx="177">
                  <c:v>45551</c:v>
                </c:pt>
                <c:pt idx="178">
                  <c:v>45551</c:v>
                </c:pt>
                <c:pt idx="179">
                  <c:v>45551</c:v>
                </c:pt>
                <c:pt idx="180">
                  <c:v>45551</c:v>
                </c:pt>
                <c:pt idx="181">
                  <c:v>45551</c:v>
                </c:pt>
                <c:pt idx="182">
                  <c:v>45558</c:v>
                </c:pt>
                <c:pt idx="183">
                  <c:v>45558</c:v>
                </c:pt>
                <c:pt idx="184">
                  <c:v>45558</c:v>
                </c:pt>
                <c:pt idx="185">
                  <c:v>45558</c:v>
                </c:pt>
                <c:pt idx="186">
                  <c:v>45558</c:v>
                </c:pt>
                <c:pt idx="187">
                  <c:v>45565</c:v>
                </c:pt>
                <c:pt idx="188">
                  <c:v>45565</c:v>
                </c:pt>
                <c:pt idx="189">
                  <c:v>45565</c:v>
                </c:pt>
                <c:pt idx="190">
                  <c:v>45565</c:v>
                </c:pt>
                <c:pt idx="191">
                  <c:v>45565</c:v>
                </c:pt>
                <c:pt idx="192">
                  <c:v>45572</c:v>
                </c:pt>
                <c:pt idx="193">
                  <c:v>45572</c:v>
                </c:pt>
                <c:pt idx="194">
                  <c:v>45572</c:v>
                </c:pt>
                <c:pt idx="195">
                  <c:v>45572</c:v>
                </c:pt>
                <c:pt idx="196">
                  <c:v>45572</c:v>
                </c:pt>
                <c:pt idx="197">
                  <c:v>45579</c:v>
                </c:pt>
                <c:pt idx="198">
                  <c:v>45579</c:v>
                </c:pt>
                <c:pt idx="199">
                  <c:v>45579</c:v>
                </c:pt>
                <c:pt idx="200">
                  <c:v>45579</c:v>
                </c:pt>
                <c:pt idx="201">
                  <c:v>45579</c:v>
                </c:pt>
                <c:pt idx="202">
                  <c:v>45586</c:v>
                </c:pt>
                <c:pt idx="203">
                  <c:v>45586</c:v>
                </c:pt>
                <c:pt idx="204">
                  <c:v>45586</c:v>
                </c:pt>
                <c:pt idx="205">
                  <c:v>45586</c:v>
                </c:pt>
                <c:pt idx="206">
                  <c:v>45586</c:v>
                </c:pt>
                <c:pt idx="207">
                  <c:v>45593</c:v>
                </c:pt>
                <c:pt idx="208">
                  <c:v>45593</c:v>
                </c:pt>
                <c:pt idx="209">
                  <c:v>45593</c:v>
                </c:pt>
                <c:pt idx="210">
                  <c:v>45593</c:v>
                </c:pt>
                <c:pt idx="211">
                  <c:v>45593</c:v>
                </c:pt>
                <c:pt idx="212">
                  <c:v>45600</c:v>
                </c:pt>
                <c:pt idx="213">
                  <c:v>45600</c:v>
                </c:pt>
                <c:pt idx="214">
                  <c:v>45600</c:v>
                </c:pt>
                <c:pt idx="215">
                  <c:v>45600</c:v>
                </c:pt>
                <c:pt idx="216">
                  <c:v>45600</c:v>
                </c:pt>
                <c:pt idx="217">
                  <c:v>45607</c:v>
                </c:pt>
                <c:pt idx="218">
                  <c:v>45607</c:v>
                </c:pt>
                <c:pt idx="219">
                  <c:v>45607</c:v>
                </c:pt>
                <c:pt idx="220">
                  <c:v>45607</c:v>
                </c:pt>
                <c:pt idx="221">
                  <c:v>45607</c:v>
                </c:pt>
                <c:pt idx="222">
                  <c:v>45614</c:v>
                </c:pt>
                <c:pt idx="223">
                  <c:v>45614</c:v>
                </c:pt>
                <c:pt idx="224">
                  <c:v>45614</c:v>
                </c:pt>
                <c:pt idx="225">
                  <c:v>45614</c:v>
                </c:pt>
                <c:pt idx="226">
                  <c:v>45614</c:v>
                </c:pt>
                <c:pt idx="227">
                  <c:v>45621</c:v>
                </c:pt>
                <c:pt idx="228">
                  <c:v>45621</c:v>
                </c:pt>
                <c:pt idx="229">
                  <c:v>45621</c:v>
                </c:pt>
                <c:pt idx="230">
                  <c:v>45621</c:v>
                </c:pt>
                <c:pt idx="231">
                  <c:v>45628</c:v>
                </c:pt>
                <c:pt idx="232">
                  <c:v>45628</c:v>
                </c:pt>
                <c:pt idx="233">
                  <c:v>45628</c:v>
                </c:pt>
                <c:pt idx="234">
                  <c:v>45628</c:v>
                </c:pt>
                <c:pt idx="235">
                  <c:v>45628</c:v>
                </c:pt>
                <c:pt idx="236">
                  <c:v>45635</c:v>
                </c:pt>
                <c:pt idx="237">
                  <c:v>45635</c:v>
                </c:pt>
                <c:pt idx="238">
                  <c:v>45635</c:v>
                </c:pt>
                <c:pt idx="239">
                  <c:v>45635</c:v>
                </c:pt>
                <c:pt idx="240">
                  <c:v>45635</c:v>
                </c:pt>
                <c:pt idx="241">
                  <c:v>45642</c:v>
                </c:pt>
                <c:pt idx="242">
                  <c:v>45642</c:v>
                </c:pt>
                <c:pt idx="243">
                  <c:v>45642</c:v>
                </c:pt>
                <c:pt idx="244">
                  <c:v>45642</c:v>
                </c:pt>
                <c:pt idx="245">
                  <c:v>45642</c:v>
                </c:pt>
                <c:pt idx="246">
                  <c:v>45649</c:v>
                </c:pt>
                <c:pt idx="247">
                  <c:v>45649</c:v>
                </c:pt>
                <c:pt idx="248">
                  <c:v>45649</c:v>
                </c:pt>
                <c:pt idx="249">
                  <c:v>45649</c:v>
                </c:pt>
                <c:pt idx="250">
                  <c:v>45656</c:v>
                </c:pt>
                <c:pt idx="251">
                  <c:v>45656</c:v>
                </c:pt>
                <c:pt idx="252">
                  <c:v>45656</c:v>
                </c:pt>
                <c:pt idx="253">
                  <c:v>45656</c:v>
                </c:pt>
                <c:pt idx="254">
                  <c:v>45663</c:v>
                </c:pt>
                <c:pt idx="255">
                  <c:v>45663</c:v>
                </c:pt>
                <c:pt idx="256">
                  <c:v>45663</c:v>
                </c:pt>
                <c:pt idx="257">
                  <c:v>45663</c:v>
                </c:pt>
                <c:pt idx="258">
                  <c:v>45670</c:v>
                </c:pt>
                <c:pt idx="259">
                  <c:v>45670</c:v>
                </c:pt>
                <c:pt idx="260">
                  <c:v>45670</c:v>
                </c:pt>
                <c:pt idx="261">
                  <c:v>45670</c:v>
                </c:pt>
                <c:pt idx="262">
                  <c:v>45670</c:v>
                </c:pt>
                <c:pt idx="263">
                  <c:v>45677</c:v>
                </c:pt>
                <c:pt idx="264">
                  <c:v>45677</c:v>
                </c:pt>
                <c:pt idx="265">
                  <c:v>45677</c:v>
                </c:pt>
                <c:pt idx="266">
                  <c:v>45677</c:v>
                </c:pt>
                <c:pt idx="267">
                  <c:v>45684</c:v>
                </c:pt>
                <c:pt idx="268">
                  <c:v>45684</c:v>
                </c:pt>
                <c:pt idx="269">
                  <c:v>45684</c:v>
                </c:pt>
                <c:pt idx="270">
                  <c:v>45684</c:v>
                </c:pt>
                <c:pt idx="271">
                  <c:v>45684</c:v>
                </c:pt>
                <c:pt idx="272">
                  <c:v>45691</c:v>
                </c:pt>
                <c:pt idx="273">
                  <c:v>45691</c:v>
                </c:pt>
                <c:pt idx="274">
                  <c:v>45691</c:v>
                </c:pt>
                <c:pt idx="275">
                  <c:v>45691</c:v>
                </c:pt>
                <c:pt idx="276">
                  <c:v>45691</c:v>
                </c:pt>
                <c:pt idx="277">
                  <c:v>45698</c:v>
                </c:pt>
                <c:pt idx="278">
                  <c:v>45698</c:v>
                </c:pt>
                <c:pt idx="279">
                  <c:v>45698</c:v>
                </c:pt>
                <c:pt idx="280">
                  <c:v>45698</c:v>
                </c:pt>
                <c:pt idx="281">
                  <c:v>45698</c:v>
                </c:pt>
                <c:pt idx="282">
                  <c:v>45705</c:v>
                </c:pt>
                <c:pt idx="283">
                  <c:v>45705</c:v>
                </c:pt>
                <c:pt idx="284">
                  <c:v>45705</c:v>
                </c:pt>
                <c:pt idx="285">
                  <c:v>45705</c:v>
                </c:pt>
                <c:pt idx="286">
                  <c:v>45712</c:v>
                </c:pt>
                <c:pt idx="287">
                  <c:v>45712</c:v>
                </c:pt>
                <c:pt idx="288">
                  <c:v>45712</c:v>
                </c:pt>
                <c:pt idx="289">
                  <c:v>45712</c:v>
                </c:pt>
                <c:pt idx="290">
                  <c:v>45712</c:v>
                </c:pt>
                <c:pt idx="291">
                  <c:v>45719</c:v>
                </c:pt>
                <c:pt idx="292">
                  <c:v>45719</c:v>
                </c:pt>
                <c:pt idx="293">
                  <c:v>45719</c:v>
                </c:pt>
                <c:pt idx="294">
                  <c:v>45719</c:v>
                </c:pt>
                <c:pt idx="295">
                  <c:v>45719</c:v>
                </c:pt>
                <c:pt idx="296">
                  <c:v>45726</c:v>
                </c:pt>
                <c:pt idx="297">
                  <c:v>45726</c:v>
                </c:pt>
                <c:pt idx="298">
                  <c:v>45726</c:v>
                </c:pt>
                <c:pt idx="299">
                  <c:v>45726</c:v>
                </c:pt>
                <c:pt idx="300">
                  <c:v>45726</c:v>
                </c:pt>
                <c:pt idx="301">
                  <c:v>45733</c:v>
                </c:pt>
                <c:pt idx="302">
                  <c:v>45733</c:v>
                </c:pt>
                <c:pt idx="303">
                  <c:v>45733</c:v>
                </c:pt>
                <c:pt idx="304">
                  <c:v>45733</c:v>
                </c:pt>
                <c:pt idx="305">
                  <c:v>45733</c:v>
                </c:pt>
                <c:pt idx="306">
                  <c:v>45740</c:v>
                </c:pt>
                <c:pt idx="307">
                  <c:v>45740</c:v>
                </c:pt>
                <c:pt idx="308">
                  <c:v>45740</c:v>
                </c:pt>
                <c:pt idx="309">
                  <c:v>45740</c:v>
                </c:pt>
                <c:pt idx="310">
                  <c:v>45740</c:v>
                </c:pt>
                <c:pt idx="311">
                  <c:v>45747</c:v>
                </c:pt>
                <c:pt idx="312">
                  <c:v>45747</c:v>
                </c:pt>
                <c:pt idx="313">
                  <c:v>45747</c:v>
                </c:pt>
                <c:pt idx="314">
                  <c:v>45747</c:v>
                </c:pt>
                <c:pt idx="315">
                  <c:v>45747</c:v>
                </c:pt>
                <c:pt idx="316">
                  <c:v>45754</c:v>
                </c:pt>
                <c:pt idx="317">
                  <c:v>45754</c:v>
                </c:pt>
                <c:pt idx="318">
                  <c:v>45754</c:v>
                </c:pt>
                <c:pt idx="319">
                  <c:v>45754</c:v>
                </c:pt>
                <c:pt idx="320">
                  <c:v>45754</c:v>
                </c:pt>
                <c:pt idx="321">
                  <c:v>45761</c:v>
                </c:pt>
                <c:pt idx="322">
                  <c:v>45761</c:v>
                </c:pt>
                <c:pt idx="323">
                  <c:v>45761</c:v>
                </c:pt>
                <c:pt idx="324">
                  <c:v>45761</c:v>
                </c:pt>
                <c:pt idx="325">
                  <c:v>45768</c:v>
                </c:pt>
                <c:pt idx="326">
                  <c:v>45768</c:v>
                </c:pt>
                <c:pt idx="327">
                  <c:v>45768</c:v>
                </c:pt>
                <c:pt idx="328">
                  <c:v>45768</c:v>
                </c:pt>
                <c:pt idx="329">
                  <c:v>45768</c:v>
                </c:pt>
                <c:pt idx="330">
                  <c:v>45775</c:v>
                </c:pt>
                <c:pt idx="331">
                  <c:v>45775</c:v>
                </c:pt>
                <c:pt idx="332">
                  <c:v>45775</c:v>
                </c:pt>
                <c:pt idx="333">
                  <c:v>45775</c:v>
                </c:pt>
                <c:pt idx="334">
                  <c:v>45775</c:v>
                </c:pt>
                <c:pt idx="335">
                  <c:v>45782</c:v>
                </c:pt>
                <c:pt idx="336">
                  <c:v>45782</c:v>
                </c:pt>
                <c:pt idx="337">
                  <c:v>45782</c:v>
                </c:pt>
                <c:pt idx="338">
                  <c:v>45782</c:v>
                </c:pt>
                <c:pt idx="339">
                  <c:v>45782</c:v>
                </c:pt>
                <c:pt idx="340">
                  <c:v>45789</c:v>
                </c:pt>
                <c:pt idx="341">
                  <c:v>45789</c:v>
                </c:pt>
                <c:pt idx="342">
                  <c:v>45789</c:v>
                </c:pt>
                <c:pt idx="343">
                  <c:v>45789</c:v>
                </c:pt>
                <c:pt idx="344">
                  <c:v>45789</c:v>
                </c:pt>
                <c:pt idx="345">
                  <c:v>45796</c:v>
                </c:pt>
                <c:pt idx="346">
                  <c:v>45796</c:v>
                </c:pt>
                <c:pt idx="347">
                  <c:v>45796</c:v>
                </c:pt>
                <c:pt idx="348">
                  <c:v>45796</c:v>
                </c:pt>
                <c:pt idx="349">
                  <c:v>45796</c:v>
                </c:pt>
                <c:pt idx="350">
                  <c:v>45803</c:v>
                </c:pt>
                <c:pt idx="351">
                  <c:v>45803</c:v>
                </c:pt>
                <c:pt idx="352">
                  <c:v>45803</c:v>
                </c:pt>
                <c:pt idx="353">
                  <c:v>45803</c:v>
                </c:pt>
                <c:pt idx="354">
                  <c:v>45810</c:v>
                </c:pt>
                <c:pt idx="355">
                  <c:v>45810</c:v>
                </c:pt>
                <c:pt idx="356">
                  <c:v>45810</c:v>
                </c:pt>
                <c:pt idx="357">
                  <c:v>45810</c:v>
                </c:pt>
                <c:pt idx="358">
                  <c:v>45810</c:v>
                </c:pt>
                <c:pt idx="359">
                  <c:v>45817</c:v>
                </c:pt>
                <c:pt idx="360">
                  <c:v>45817</c:v>
                </c:pt>
                <c:pt idx="361">
                  <c:v>45817</c:v>
                </c:pt>
                <c:pt idx="362">
                  <c:v>45817</c:v>
                </c:pt>
                <c:pt idx="363">
                  <c:v>45817</c:v>
                </c:pt>
                <c:pt idx="364">
                  <c:v>45824</c:v>
                </c:pt>
                <c:pt idx="365">
                  <c:v>45824</c:v>
                </c:pt>
                <c:pt idx="366">
                  <c:v>45824</c:v>
                </c:pt>
                <c:pt idx="367">
                  <c:v>45824</c:v>
                </c:pt>
                <c:pt idx="368">
                  <c:v>45831</c:v>
                </c:pt>
                <c:pt idx="369">
                  <c:v>45831</c:v>
                </c:pt>
                <c:pt idx="370">
                  <c:v>45831</c:v>
                </c:pt>
                <c:pt idx="371">
                  <c:v>45831</c:v>
                </c:pt>
                <c:pt idx="372">
                  <c:v>45831</c:v>
                </c:pt>
                <c:pt idx="373">
                  <c:v>45838</c:v>
                </c:pt>
                <c:pt idx="374">
                  <c:v>45838</c:v>
                </c:pt>
                <c:pt idx="375">
                  <c:v>45838</c:v>
                </c:pt>
                <c:pt idx="376">
                  <c:v>45838</c:v>
                </c:pt>
                <c:pt idx="377">
                  <c:v>45845</c:v>
                </c:pt>
                <c:pt idx="378">
                  <c:v>45845</c:v>
                </c:pt>
                <c:pt idx="379">
                  <c:v>45845</c:v>
                </c:pt>
                <c:pt idx="380">
                  <c:v>45845</c:v>
                </c:pt>
                <c:pt idx="381">
                  <c:v>45845</c:v>
                </c:pt>
                <c:pt idx="382">
                  <c:v>45852</c:v>
                </c:pt>
                <c:pt idx="383">
                  <c:v>45852</c:v>
                </c:pt>
                <c:pt idx="384">
                  <c:v>45852</c:v>
                </c:pt>
                <c:pt idx="385">
                  <c:v>45852</c:v>
                </c:pt>
                <c:pt idx="386">
                  <c:v>45852</c:v>
                </c:pt>
                <c:pt idx="387">
                  <c:v>45859</c:v>
                </c:pt>
                <c:pt idx="388">
                  <c:v>45859</c:v>
                </c:pt>
                <c:pt idx="389">
                  <c:v>45859</c:v>
                </c:pt>
                <c:pt idx="390">
                  <c:v>45859</c:v>
                </c:pt>
                <c:pt idx="391">
                  <c:v>45859</c:v>
                </c:pt>
                <c:pt idx="392">
                  <c:v>45866</c:v>
                </c:pt>
                <c:pt idx="393">
                  <c:v>45866</c:v>
                </c:pt>
                <c:pt idx="394">
                  <c:v>45866</c:v>
                </c:pt>
                <c:pt idx="395">
                  <c:v>45866</c:v>
                </c:pt>
                <c:pt idx="396">
                  <c:v>45866</c:v>
                </c:pt>
                <c:pt idx="397">
                  <c:v>45873</c:v>
                </c:pt>
                <c:pt idx="398">
                  <c:v>45873</c:v>
                </c:pt>
                <c:pt idx="399">
                  <c:v>45873</c:v>
                </c:pt>
                <c:pt idx="400">
                  <c:v>45873</c:v>
                </c:pt>
                <c:pt idx="401">
                  <c:v>45873</c:v>
                </c:pt>
                <c:pt idx="402">
                  <c:v>45880</c:v>
                </c:pt>
                <c:pt idx="403">
                  <c:v>45880</c:v>
                </c:pt>
                <c:pt idx="404">
                  <c:v>45880</c:v>
                </c:pt>
                <c:pt idx="405">
                  <c:v>45880</c:v>
                </c:pt>
                <c:pt idx="406">
                  <c:v>45880</c:v>
                </c:pt>
                <c:pt idx="407">
                  <c:v>45887</c:v>
                </c:pt>
                <c:pt idx="408">
                  <c:v>45887</c:v>
                </c:pt>
                <c:pt idx="409">
                  <c:v>45887</c:v>
                </c:pt>
                <c:pt idx="410">
                  <c:v>45887</c:v>
                </c:pt>
                <c:pt idx="411">
                  <c:v>45887</c:v>
                </c:pt>
                <c:pt idx="412">
                  <c:v>45894</c:v>
                </c:pt>
                <c:pt idx="413">
                  <c:v>45894</c:v>
                </c:pt>
                <c:pt idx="414">
                  <c:v>45894</c:v>
                </c:pt>
                <c:pt idx="415">
                  <c:v>45894</c:v>
                </c:pt>
                <c:pt idx="416">
                  <c:v>45894</c:v>
                </c:pt>
                <c:pt idx="417">
                  <c:v>45901</c:v>
                </c:pt>
                <c:pt idx="418">
                  <c:v>45901</c:v>
                </c:pt>
                <c:pt idx="419">
                  <c:v>45901</c:v>
                </c:pt>
                <c:pt idx="420">
                  <c:v>45901</c:v>
                </c:pt>
                <c:pt idx="421">
                  <c:v>45908</c:v>
                </c:pt>
                <c:pt idx="422">
                  <c:v>45908</c:v>
                </c:pt>
                <c:pt idx="423">
                  <c:v>45908</c:v>
                </c:pt>
                <c:pt idx="424">
                  <c:v>45908</c:v>
                </c:pt>
                <c:pt idx="425">
                  <c:v>45908</c:v>
                </c:pt>
                <c:pt idx="426">
                  <c:v>45915</c:v>
                </c:pt>
                <c:pt idx="427">
                  <c:v>45915</c:v>
                </c:pt>
                <c:pt idx="428">
                  <c:v>45915</c:v>
                </c:pt>
                <c:pt idx="429">
                  <c:v>45915</c:v>
                </c:pt>
                <c:pt idx="430">
                  <c:v>45915</c:v>
                </c:pt>
                <c:pt idx="431">
                  <c:v>45922</c:v>
                </c:pt>
                <c:pt idx="432">
                  <c:v>45922</c:v>
                </c:pt>
                <c:pt idx="433">
                  <c:v>45922</c:v>
                </c:pt>
                <c:pt idx="434">
                  <c:v>45922</c:v>
                </c:pt>
                <c:pt idx="435">
                  <c:v>45922</c:v>
                </c:pt>
                <c:pt idx="436">
                  <c:v>45929</c:v>
                </c:pt>
                <c:pt idx="437">
                  <c:v>45929</c:v>
                </c:pt>
                <c:pt idx="438">
                  <c:v>45929</c:v>
                </c:pt>
                <c:pt idx="439">
                  <c:v>45929</c:v>
                </c:pt>
                <c:pt idx="440">
                  <c:v>45929</c:v>
                </c:pt>
                <c:pt idx="441">
                  <c:v>45936</c:v>
                </c:pt>
                <c:pt idx="442">
                  <c:v>45936</c:v>
                </c:pt>
                <c:pt idx="443">
                  <c:v>45936</c:v>
                </c:pt>
                <c:pt idx="444">
                  <c:v>45936</c:v>
                </c:pt>
                <c:pt idx="445">
                  <c:v>45936</c:v>
                </c:pt>
                <c:pt idx="446">
                  <c:v>45943</c:v>
                </c:pt>
                <c:pt idx="447">
                  <c:v>45943</c:v>
                </c:pt>
                <c:pt idx="448">
                  <c:v>45943</c:v>
                </c:pt>
                <c:pt idx="449">
                  <c:v>45943</c:v>
                </c:pt>
                <c:pt idx="450">
                  <c:v>45943</c:v>
                </c:pt>
                <c:pt idx="451">
                  <c:v>45950</c:v>
                </c:pt>
                <c:pt idx="452">
                  <c:v>45950</c:v>
                </c:pt>
                <c:pt idx="453">
                  <c:v>45950</c:v>
                </c:pt>
                <c:pt idx="454">
                  <c:v>45950</c:v>
                </c:pt>
                <c:pt idx="455">
                  <c:v>45950</c:v>
                </c:pt>
                <c:pt idx="456">
                  <c:v>45957</c:v>
                </c:pt>
                <c:pt idx="457">
                  <c:v>45957</c:v>
                </c:pt>
                <c:pt idx="458">
                  <c:v>45957</c:v>
                </c:pt>
                <c:pt idx="459">
                  <c:v>45957</c:v>
                </c:pt>
                <c:pt idx="460">
                  <c:v>45957</c:v>
                </c:pt>
                <c:pt idx="461">
                  <c:v>45964</c:v>
                </c:pt>
                <c:pt idx="462">
                  <c:v>45964</c:v>
                </c:pt>
                <c:pt idx="463">
                  <c:v>45964</c:v>
                </c:pt>
                <c:pt idx="464">
                  <c:v>45964</c:v>
                </c:pt>
                <c:pt idx="465">
                  <c:v>45964</c:v>
                </c:pt>
                <c:pt idx="466">
                  <c:v>45971</c:v>
                </c:pt>
                <c:pt idx="467">
                  <c:v>45971</c:v>
                </c:pt>
                <c:pt idx="468">
                  <c:v>45971</c:v>
                </c:pt>
                <c:pt idx="469">
                  <c:v>45971</c:v>
                </c:pt>
                <c:pt idx="470">
                  <c:v>45971</c:v>
                </c:pt>
                <c:pt idx="471">
                  <c:v>45978</c:v>
                </c:pt>
                <c:pt idx="472">
                  <c:v>45978</c:v>
                </c:pt>
                <c:pt idx="473">
                  <c:v>45978</c:v>
                </c:pt>
                <c:pt idx="474">
                  <c:v>45978</c:v>
                </c:pt>
                <c:pt idx="475">
                  <c:v>45978</c:v>
                </c:pt>
                <c:pt idx="476">
                  <c:v>45985</c:v>
                </c:pt>
                <c:pt idx="477">
                  <c:v>45985</c:v>
                </c:pt>
                <c:pt idx="478">
                  <c:v>45985</c:v>
                </c:pt>
                <c:pt idx="479">
                  <c:v>45985</c:v>
                </c:pt>
                <c:pt idx="480">
                  <c:v>45992</c:v>
                </c:pt>
                <c:pt idx="481">
                  <c:v>45992</c:v>
                </c:pt>
                <c:pt idx="482">
                  <c:v>45992</c:v>
                </c:pt>
                <c:pt idx="483">
                  <c:v>45992</c:v>
                </c:pt>
                <c:pt idx="484">
                  <c:v>45992</c:v>
                </c:pt>
                <c:pt idx="485">
                  <c:v>45999</c:v>
                </c:pt>
                <c:pt idx="486">
                  <c:v>45999</c:v>
                </c:pt>
                <c:pt idx="487">
                  <c:v>45999</c:v>
                </c:pt>
                <c:pt idx="488">
                  <c:v>45999</c:v>
                </c:pt>
                <c:pt idx="489">
                  <c:v>45999</c:v>
                </c:pt>
                <c:pt idx="490">
                  <c:v>46006</c:v>
                </c:pt>
                <c:pt idx="491">
                  <c:v>46006</c:v>
                </c:pt>
                <c:pt idx="492">
                  <c:v>46006</c:v>
                </c:pt>
                <c:pt idx="493">
                  <c:v>46006</c:v>
                </c:pt>
                <c:pt idx="494">
                  <c:v>46006</c:v>
                </c:pt>
                <c:pt idx="495">
                  <c:v>46013</c:v>
                </c:pt>
                <c:pt idx="496">
                  <c:v>46013</c:v>
                </c:pt>
                <c:pt idx="497">
                  <c:v>46013</c:v>
                </c:pt>
                <c:pt idx="498">
                  <c:v>46013</c:v>
                </c:pt>
                <c:pt idx="499">
                  <c:v>46020</c:v>
                </c:pt>
                <c:pt idx="500">
                  <c:v>46020</c:v>
                </c:pt>
                <c:pt idx="501">
                  <c:v>46020</c:v>
                </c:pt>
                <c:pt idx="502">
                  <c:v>46020</c:v>
                </c:pt>
                <c:pt idx="503">
                  <c:v>46027</c:v>
                </c:pt>
                <c:pt idx="504">
                  <c:v>46027</c:v>
                </c:pt>
                <c:pt idx="505">
                  <c:v>46027</c:v>
                </c:pt>
                <c:pt idx="506">
                  <c:v>46027</c:v>
                </c:pt>
                <c:pt idx="507">
                  <c:v>46027</c:v>
                </c:pt>
                <c:pt idx="508">
                  <c:v>46034</c:v>
                </c:pt>
                <c:pt idx="509">
                  <c:v>46034</c:v>
                </c:pt>
                <c:pt idx="510">
                  <c:v>46034</c:v>
                </c:pt>
                <c:pt idx="511">
                  <c:v>46034</c:v>
                </c:pt>
                <c:pt idx="512">
                  <c:v>46034</c:v>
                </c:pt>
                <c:pt idx="513">
                  <c:v>46041</c:v>
                </c:pt>
                <c:pt idx="514">
                  <c:v>46041</c:v>
                </c:pt>
                <c:pt idx="515">
                  <c:v>46041</c:v>
                </c:pt>
                <c:pt idx="516">
                  <c:v>46041</c:v>
                </c:pt>
                <c:pt idx="517">
                  <c:v>46048</c:v>
                </c:pt>
                <c:pt idx="518">
                  <c:v>46048</c:v>
                </c:pt>
              </c:numCache>
            </c:numRef>
          </c:cat>
          <c:val>
            <c:numRef>
              <c:f>IBM!$C$2:$C$520</c:f>
              <c:numCache>
                <c:formatCode>_([$$-409]* #,##0.00_);_([$$-409]* \(#,##0.00\);_([$$-409]* "-"??_);_(@_)</c:formatCode>
                <c:ptCount val="519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  <c:pt idx="513">
                  <c:v>291.35000000000002</c:v>
                </c:pt>
                <c:pt idx="514">
                  <c:v>297.54000000000002</c:v>
                </c:pt>
                <c:pt idx="515">
                  <c:v>294.67</c:v>
                </c:pt>
                <c:pt idx="516">
                  <c:v>292.44</c:v>
                </c:pt>
                <c:pt idx="517">
                  <c:v>296.33</c:v>
                </c:pt>
                <c:pt idx="518">
                  <c:v>293.86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D6-4BD7-9A88-E86D22DA48A0}"/>
            </c:ext>
          </c:extLst>
        </c:ser>
        <c:ser>
          <c:idx val="1"/>
          <c:order val="1"/>
          <c:tx>
            <c:strRef>
              <c:f>IBM!$H$1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IBM!$A$2:$A$520</c:f>
              <c:numCache>
                <c:formatCode>yyyy\-mm\-dd;@</c:formatCode>
                <c:ptCount val="519"/>
                <c:pt idx="0">
                  <c:v>45292</c:v>
                </c:pt>
                <c:pt idx="1">
                  <c:v>45292</c:v>
                </c:pt>
                <c:pt idx="2">
                  <c:v>45292</c:v>
                </c:pt>
                <c:pt idx="3">
                  <c:v>45292</c:v>
                </c:pt>
                <c:pt idx="4">
                  <c:v>45299</c:v>
                </c:pt>
                <c:pt idx="5">
                  <c:v>45299</c:v>
                </c:pt>
                <c:pt idx="6">
                  <c:v>45299</c:v>
                </c:pt>
                <c:pt idx="7">
                  <c:v>45299</c:v>
                </c:pt>
                <c:pt idx="8">
                  <c:v>45299</c:v>
                </c:pt>
                <c:pt idx="9">
                  <c:v>45306</c:v>
                </c:pt>
                <c:pt idx="10">
                  <c:v>45306</c:v>
                </c:pt>
                <c:pt idx="11">
                  <c:v>45306</c:v>
                </c:pt>
                <c:pt idx="12">
                  <c:v>45306</c:v>
                </c:pt>
                <c:pt idx="13">
                  <c:v>45313</c:v>
                </c:pt>
                <c:pt idx="14">
                  <c:v>45313</c:v>
                </c:pt>
                <c:pt idx="15">
                  <c:v>45313</c:v>
                </c:pt>
                <c:pt idx="16">
                  <c:v>45313</c:v>
                </c:pt>
                <c:pt idx="17">
                  <c:v>45313</c:v>
                </c:pt>
                <c:pt idx="18">
                  <c:v>45320</c:v>
                </c:pt>
                <c:pt idx="19">
                  <c:v>45320</c:v>
                </c:pt>
                <c:pt idx="20">
                  <c:v>45320</c:v>
                </c:pt>
                <c:pt idx="21">
                  <c:v>45320</c:v>
                </c:pt>
                <c:pt idx="22">
                  <c:v>45320</c:v>
                </c:pt>
                <c:pt idx="23">
                  <c:v>45327</c:v>
                </c:pt>
                <c:pt idx="24">
                  <c:v>45327</c:v>
                </c:pt>
                <c:pt idx="25">
                  <c:v>45327</c:v>
                </c:pt>
                <c:pt idx="26">
                  <c:v>45327</c:v>
                </c:pt>
                <c:pt idx="27">
                  <c:v>45327</c:v>
                </c:pt>
                <c:pt idx="28">
                  <c:v>45334</c:v>
                </c:pt>
                <c:pt idx="29">
                  <c:v>45334</c:v>
                </c:pt>
                <c:pt idx="30">
                  <c:v>45334</c:v>
                </c:pt>
                <c:pt idx="31">
                  <c:v>45334</c:v>
                </c:pt>
                <c:pt idx="32">
                  <c:v>45334</c:v>
                </c:pt>
                <c:pt idx="33">
                  <c:v>45341</c:v>
                </c:pt>
                <c:pt idx="34">
                  <c:v>45341</c:v>
                </c:pt>
                <c:pt idx="35">
                  <c:v>45341</c:v>
                </c:pt>
                <c:pt idx="36">
                  <c:v>45341</c:v>
                </c:pt>
                <c:pt idx="37">
                  <c:v>45348</c:v>
                </c:pt>
                <c:pt idx="38">
                  <c:v>45348</c:v>
                </c:pt>
                <c:pt idx="39">
                  <c:v>45348</c:v>
                </c:pt>
                <c:pt idx="40">
                  <c:v>45348</c:v>
                </c:pt>
                <c:pt idx="41">
                  <c:v>45348</c:v>
                </c:pt>
                <c:pt idx="42">
                  <c:v>45355</c:v>
                </c:pt>
                <c:pt idx="43">
                  <c:v>45355</c:v>
                </c:pt>
                <c:pt idx="44">
                  <c:v>45355</c:v>
                </c:pt>
                <c:pt idx="45">
                  <c:v>45355</c:v>
                </c:pt>
                <c:pt idx="46">
                  <c:v>45355</c:v>
                </c:pt>
                <c:pt idx="47">
                  <c:v>45362</c:v>
                </c:pt>
                <c:pt idx="48">
                  <c:v>45362</c:v>
                </c:pt>
                <c:pt idx="49">
                  <c:v>45362</c:v>
                </c:pt>
                <c:pt idx="50">
                  <c:v>45362</c:v>
                </c:pt>
                <c:pt idx="51">
                  <c:v>45362</c:v>
                </c:pt>
                <c:pt idx="52">
                  <c:v>45369</c:v>
                </c:pt>
                <c:pt idx="53">
                  <c:v>45369</c:v>
                </c:pt>
                <c:pt idx="54">
                  <c:v>45369</c:v>
                </c:pt>
                <c:pt idx="55">
                  <c:v>45369</c:v>
                </c:pt>
                <c:pt idx="56">
                  <c:v>45369</c:v>
                </c:pt>
                <c:pt idx="57">
                  <c:v>45376</c:v>
                </c:pt>
                <c:pt idx="58">
                  <c:v>45376</c:v>
                </c:pt>
                <c:pt idx="59">
                  <c:v>45376</c:v>
                </c:pt>
                <c:pt idx="60">
                  <c:v>45376</c:v>
                </c:pt>
                <c:pt idx="61">
                  <c:v>45383</c:v>
                </c:pt>
                <c:pt idx="62">
                  <c:v>45383</c:v>
                </c:pt>
                <c:pt idx="63">
                  <c:v>45383</c:v>
                </c:pt>
                <c:pt idx="64">
                  <c:v>45383</c:v>
                </c:pt>
                <c:pt idx="65">
                  <c:v>45383</c:v>
                </c:pt>
                <c:pt idx="66">
                  <c:v>45390</c:v>
                </c:pt>
                <c:pt idx="67">
                  <c:v>45390</c:v>
                </c:pt>
                <c:pt idx="68">
                  <c:v>45390</c:v>
                </c:pt>
                <c:pt idx="69">
                  <c:v>45390</c:v>
                </c:pt>
                <c:pt idx="70">
                  <c:v>45390</c:v>
                </c:pt>
                <c:pt idx="71">
                  <c:v>45397</c:v>
                </c:pt>
                <c:pt idx="72">
                  <c:v>45397</c:v>
                </c:pt>
                <c:pt idx="73">
                  <c:v>45397</c:v>
                </c:pt>
                <c:pt idx="74">
                  <c:v>45397</c:v>
                </c:pt>
                <c:pt idx="75">
                  <c:v>45397</c:v>
                </c:pt>
                <c:pt idx="76">
                  <c:v>45404</c:v>
                </c:pt>
                <c:pt idx="77">
                  <c:v>45404</c:v>
                </c:pt>
                <c:pt idx="78">
                  <c:v>45404</c:v>
                </c:pt>
                <c:pt idx="79">
                  <c:v>45404</c:v>
                </c:pt>
                <c:pt idx="80">
                  <c:v>45404</c:v>
                </c:pt>
                <c:pt idx="81">
                  <c:v>45411</c:v>
                </c:pt>
                <c:pt idx="82">
                  <c:v>45411</c:v>
                </c:pt>
                <c:pt idx="83">
                  <c:v>45411</c:v>
                </c:pt>
                <c:pt idx="84">
                  <c:v>45411</c:v>
                </c:pt>
                <c:pt idx="85">
                  <c:v>45411</c:v>
                </c:pt>
                <c:pt idx="86">
                  <c:v>45418</c:v>
                </c:pt>
                <c:pt idx="87">
                  <c:v>45418</c:v>
                </c:pt>
                <c:pt idx="88">
                  <c:v>45418</c:v>
                </c:pt>
                <c:pt idx="89">
                  <c:v>45418</c:v>
                </c:pt>
                <c:pt idx="90">
                  <c:v>45418</c:v>
                </c:pt>
                <c:pt idx="91">
                  <c:v>45425</c:v>
                </c:pt>
                <c:pt idx="92">
                  <c:v>45425</c:v>
                </c:pt>
                <c:pt idx="93">
                  <c:v>45425</c:v>
                </c:pt>
                <c:pt idx="94">
                  <c:v>45425</c:v>
                </c:pt>
                <c:pt idx="95">
                  <c:v>45425</c:v>
                </c:pt>
                <c:pt idx="96">
                  <c:v>45432</c:v>
                </c:pt>
                <c:pt idx="97">
                  <c:v>45432</c:v>
                </c:pt>
                <c:pt idx="98">
                  <c:v>45432</c:v>
                </c:pt>
                <c:pt idx="99">
                  <c:v>45432</c:v>
                </c:pt>
                <c:pt idx="100">
                  <c:v>45432</c:v>
                </c:pt>
                <c:pt idx="101">
                  <c:v>45439</c:v>
                </c:pt>
                <c:pt idx="102">
                  <c:v>45439</c:v>
                </c:pt>
                <c:pt idx="103">
                  <c:v>45439</c:v>
                </c:pt>
                <c:pt idx="104">
                  <c:v>45439</c:v>
                </c:pt>
                <c:pt idx="105">
                  <c:v>45446</c:v>
                </c:pt>
                <c:pt idx="106">
                  <c:v>45446</c:v>
                </c:pt>
                <c:pt idx="107">
                  <c:v>45446</c:v>
                </c:pt>
                <c:pt idx="108">
                  <c:v>45446</c:v>
                </c:pt>
                <c:pt idx="109">
                  <c:v>45446</c:v>
                </c:pt>
                <c:pt idx="110">
                  <c:v>45453</c:v>
                </c:pt>
                <c:pt idx="111">
                  <c:v>45453</c:v>
                </c:pt>
                <c:pt idx="112">
                  <c:v>45453</c:v>
                </c:pt>
                <c:pt idx="113">
                  <c:v>45453</c:v>
                </c:pt>
                <c:pt idx="114">
                  <c:v>45453</c:v>
                </c:pt>
                <c:pt idx="115">
                  <c:v>45460</c:v>
                </c:pt>
                <c:pt idx="116">
                  <c:v>45460</c:v>
                </c:pt>
                <c:pt idx="117">
                  <c:v>45460</c:v>
                </c:pt>
                <c:pt idx="118">
                  <c:v>45460</c:v>
                </c:pt>
                <c:pt idx="119">
                  <c:v>45467</c:v>
                </c:pt>
                <c:pt idx="120">
                  <c:v>45467</c:v>
                </c:pt>
                <c:pt idx="121">
                  <c:v>45467</c:v>
                </c:pt>
                <c:pt idx="122">
                  <c:v>45467</c:v>
                </c:pt>
                <c:pt idx="123">
                  <c:v>45467</c:v>
                </c:pt>
                <c:pt idx="124">
                  <c:v>45474</c:v>
                </c:pt>
                <c:pt idx="125">
                  <c:v>45474</c:v>
                </c:pt>
                <c:pt idx="126">
                  <c:v>45474</c:v>
                </c:pt>
                <c:pt idx="127">
                  <c:v>45474</c:v>
                </c:pt>
                <c:pt idx="128">
                  <c:v>45481</c:v>
                </c:pt>
                <c:pt idx="129">
                  <c:v>45481</c:v>
                </c:pt>
                <c:pt idx="130">
                  <c:v>45481</c:v>
                </c:pt>
                <c:pt idx="131">
                  <c:v>45481</c:v>
                </c:pt>
                <c:pt idx="132">
                  <c:v>45481</c:v>
                </c:pt>
                <c:pt idx="133">
                  <c:v>45488</c:v>
                </c:pt>
                <c:pt idx="134">
                  <c:v>45488</c:v>
                </c:pt>
                <c:pt idx="135">
                  <c:v>45488</c:v>
                </c:pt>
                <c:pt idx="136">
                  <c:v>45488</c:v>
                </c:pt>
                <c:pt idx="137">
                  <c:v>45488</c:v>
                </c:pt>
                <c:pt idx="138">
                  <c:v>45495</c:v>
                </c:pt>
                <c:pt idx="139">
                  <c:v>45495</c:v>
                </c:pt>
                <c:pt idx="140">
                  <c:v>45495</c:v>
                </c:pt>
                <c:pt idx="141">
                  <c:v>45495</c:v>
                </c:pt>
                <c:pt idx="142">
                  <c:v>45495</c:v>
                </c:pt>
                <c:pt idx="143">
                  <c:v>45502</c:v>
                </c:pt>
                <c:pt idx="144">
                  <c:v>45502</c:v>
                </c:pt>
                <c:pt idx="145">
                  <c:v>45502</c:v>
                </c:pt>
                <c:pt idx="146">
                  <c:v>45502</c:v>
                </c:pt>
                <c:pt idx="147">
                  <c:v>45502</c:v>
                </c:pt>
                <c:pt idx="148">
                  <c:v>45509</c:v>
                </c:pt>
                <c:pt idx="149">
                  <c:v>45509</c:v>
                </c:pt>
                <c:pt idx="150">
                  <c:v>45509</c:v>
                </c:pt>
                <c:pt idx="151">
                  <c:v>45509</c:v>
                </c:pt>
                <c:pt idx="152">
                  <c:v>45509</c:v>
                </c:pt>
                <c:pt idx="153">
                  <c:v>45516</c:v>
                </c:pt>
                <c:pt idx="154">
                  <c:v>45516</c:v>
                </c:pt>
                <c:pt idx="155">
                  <c:v>45516</c:v>
                </c:pt>
                <c:pt idx="156">
                  <c:v>45516</c:v>
                </c:pt>
                <c:pt idx="157">
                  <c:v>45516</c:v>
                </c:pt>
                <c:pt idx="158">
                  <c:v>45523</c:v>
                </c:pt>
                <c:pt idx="159">
                  <c:v>45523</c:v>
                </c:pt>
                <c:pt idx="160">
                  <c:v>45523</c:v>
                </c:pt>
                <c:pt idx="161">
                  <c:v>45523</c:v>
                </c:pt>
                <c:pt idx="162">
                  <c:v>45523</c:v>
                </c:pt>
                <c:pt idx="163">
                  <c:v>45530</c:v>
                </c:pt>
                <c:pt idx="164">
                  <c:v>45530</c:v>
                </c:pt>
                <c:pt idx="165">
                  <c:v>45530</c:v>
                </c:pt>
                <c:pt idx="166">
                  <c:v>45530</c:v>
                </c:pt>
                <c:pt idx="167">
                  <c:v>45530</c:v>
                </c:pt>
                <c:pt idx="168">
                  <c:v>45537</c:v>
                </c:pt>
                <c:pt idx="169">
                  <c:v>45537</c:v>
                </c:pt>
                <c:pt idx="170">
                  <c:v>45537</c:v>
                </c:pt>
                <c:pt idx="171">
                  <c:v>45537</c:v>
                </c:pt>
                <c:pt idx="172">
                  <c:v>45544</c:v>
                </c:pt>
                <c:pt idx="173">
                  <c:v>45544</c:v>
                </c:pt>
                <c:pt idx="174">
                  <c:v>45544</c:v>
                </c:pt>
                <c:pt idx="175">
                  <c:v>45544</c:v>
                </c:pt>
                <c:pt idx="176">
                  <c:v>45544</c:v>
                </c:pt>
                <c:pt idx="177">
                  <c:v>45551</c:v>
                </c:pt>
                <c:pt idx="178">
                  <c:v>45551</c:v>
                </c:pt>
                <c:pt idx="179">
                  <c:v>45551</c:v>
                </c:pt>
                <c:pt idx="180">
                  <c:v>45551</c:v>
                </c:pt>
                <c:pt idx="181">
                  <c:v>45551</c:v>
                </c:pt>
                <c:pt idx="182">
                  <c:v>45558</c:v>
                </c:pt>
                <c:pt idx="183">
                  <c:v>45558</c:v>
                </c:pt>
                <c:pt idx="184">
                  <c:v>45558</c:v>
                </c:pt>
                <c:pt idx="185">
                  <c:v>45558</c:v>
                </c:pt>
                <c:pt idx="186">
                  <c:v>45558</c:v>
                </c:pt>
                <c:pt idx="187">
                  <c:v>45565</c:v>
                </c:pt>
                <c:pt idx="188">
                  <c:v>45565</c:v>
                </c:pt>
                <c:pt idx="189">
                  <c:v>45565</c:v>
                </c:pt>
                <c:pt idx="190">
                  <c:v>45565</c:v>
                </c:pt>
                <c:pt idx="191">
                  <c:v>45565</c:v>
                </c:pt>
                <c:pt idx="192">
                  <c:v>45572</c:v>
                </c:pt>
                <c:pt idx="193">
                  <c:v>45572</c:v>
                </c:pt>
                <c:pt idx="194">
                  <c:v>45572</c:v>
                </c:pt>
                <c:pt idx="195">
                  <c:v>45572</c:v>
                </c:pt>
                <c:pt idx="196">
                  <c:v>45572</c:v>
                </c:pt>
                <c:pt idx="197">
                  <c:v>45579</c:v>
                </c:pt>
                <c:pt idx="198">
                  <c:v>45579</c:v>
                </c:pt>
                <c:pt idx="199">
                  <c:v>45579</c:v>
                </c:pt>
                <c:pt idx="200">
                  <c:v>45579</c:v>
                </c:pt>
                <c:pt idx="201">
                  <c:v>45579</c:v>
                </c:pt>
                <c:pt idx="202">
                  <c:v>45586</c:v>
                </c:pt>
                <c:pt idx="203">
                  <c:v>45586</c:v>
                </c:pt>
                <c:pt idx="204">
                  <c:v>45586</c:v>
                </c:pt>
                <c:pt idx="205">
                  <c:v>45586</c:v>
                </c:pt>
                <c:pt idx="206">
                  <c:v>45586</c:v>
                </c:pt>
                <c:pt idx="207">
                  <c:v>45593</c:v>
                </c:pt>
                <c:pt idx="208">
                  <c:v>45593</c:v>
                </c:pt>
                <c:pt idx="209">
                  <c:v>45593</c:v>
                </c:pt>
                <c:pt idx="210">
                  <c:v>45593</c:v>
                </c:pt>
                <c:pt idx="211">
                  <c:v>45593</c:v>
                </c:pt>
                <c:pt idx="212">
                  <c:v>45600</c:v>
                </c:pt>
                <c:pt idx="213">
                  <c:v>45600</c:v>
                </c:pt>
                <c:pt idx="214">
                  <c:v>45600</c:v>
                </c:pt>
                <c:pt idx="215">
                  <c:v>45600</c:v>
                </c:pt>
                <c:pt idx="216">
                  <c:v>45600</c:v>
                </c:pt>
                <c:pt idx="217">
                  <c:v>45607</c:v>
                </c:pt>
                <c:pt idx="218">
                  <c:v>45607</c:v>
                </c:pt>
                <c:pt idx="219">
                  <c:v>45607</c:v>
                </c:pt>
                <c:pt idx="220">
                  <c:v>45607</c:v>
                </c:pt>
                <c:pt idx="221">
                  <c:v>45607</c:v>
                </c:pt>
                <c:pt idx="222">
                  <c:v>45614</c:v>
                </c:pt>
                <c:pt idx="223">
                  <c:v>45614</c:v>
                </c:pt>
                <c:pt idx="224">
                  <c:v>45614</c:v>
                </c:pt>
                <c:pt idx="225">
                  <c:v>45614</c:v>
                </c:pt>
                <c:pt idx="226">
                  <c:v>45614</c:v>
                </c:pt>
                <c:pt idx="227">
                  <c:v>45621</c:v>
                </c:pt>
                <c:pt idx="228">
                  <c:v>45621</c:v>
                </c:pt>
                <c:pt idx="229">
                  <c:v>45621</c:v>
                </c:pt>
                <c:pt idx="230">
                  <c:v>45621</c:v>
                </c:pt>
                <c:pt idx="231">
                  <c:v>45628</c:v>
                </c:pt>
                <c:pt idx="232">
                  <c:v>45628</c:v>
                </c:pt>
                <c:pt idx="233">
                  <c:v>45628</c:v>
                </c:pt>
                <c:pt idx="234">
                  <c:v>45628</c:v>
                </c:pt>
                <c:pt idx="235">
                  <c:v>45628</c:v>
                </c:pt>
                <c:pt idx="236">
                  <c:v>45635</c:v>
                </c:pt>
                <c:pt idx="237">
                  <c:v>45635</c:v>
                </c:pt>
                <c:pt idx="238">
                  <c:v>45635</c:v>
                </c:pt>
                <c:pt idx="239">
                  <c:v>45635</c:v>
                </c:pt>
                <c:pt idx="240">
                  <c:v>45635</c:v>
                </c:pt>
                <c:pt idx="241">
                  <c:v>45642</c:v>
                </c:pt>
                <c:pt idx="242">
                  <c:v>45642</c:v>
                </c:pt>
                <c:pt idx="243">
                  <c:v>45642</c:v>
                </c:pt>
                <c:pt idx="244">
                  <c:v>45642</c:v>
                </c:pt>
                <c:pt idx="245">
                  <c:v>45642</c:v>
                </c:pt>
                <c:pt idx="246">
                  <c:v>45649</c:v>
                </c:pt>
                <c:pt idx="247">
                  <c:v>45649</c:v>
                </c:pt>
                <c:pt idx="248">
                  <c:v>45649</c:v>
                </c:pt>
                <c:pt idx="249">
                  <c:v>45649</c:v>
                </c:pt>
                <c:pt idx="250">
                  <c:v>45656</c:v>
                </c:pt>
                <c:pt idx="251">
                  <c:v>45656</c:v>
                </c:pt>
                <c:pt idx="252">
                  <c:v>45656</c:v>
                </c:pt>
                <c:pt idx="253">
                  <c:v>45656</c:v>
                </c:pt>
                <c:pt idx="254">
                  <c:v>45663</c:v>
                </c:pt>
                <c:pt idx="255">
                  <c:v>45663</c:v>
                </c:pt>
                <c:pt idx="256">
                  <c:v>45663</c:v>
                </c:pt>
                <c:pt idx="257">
                  <c:v>45663</c:v>
                </c:pt>
                <c:pt idx="258">
                  <c:v>45670</c:v>
                </c:pt>
                <c:pt idx="259">
                  <c:v>45670</c:v>
                </c:pt>
                <c:pt idx="260">
                  <c:v>45670</c:v>
                </c:pt>
                <c:pt idx="261">
                  <c:v>45670</c:v>
                </c:pt>
                <c:pt idx="262">
                  <c:v>45670</c:v>
                </c:pt>
                <c:pt idx="263">
                  <c:v>45677</c:v>
                </c:pt>
                <c:pt idx="264">
                  <c:v>45677</c:v>
                </c:pt>
                <c:pt idx="265">
                  <c:v>45677</c:v>
                </c:pt>
                <c:pt idx="266">
                  <c:v>45677</c:v>
                </c:pt>
                <c:pt idx="267">
                  <c:v>45684</c:v>
                </c:pt>
                <c:pt idx="268">
                  <c:v>45684</c:v>
                </c:pt>
                <c:pt idx="269">
                  <c:v>45684</c:v>
                </c:pt>
                <c:pt idx="270">
                  <c:v>45684</c:v>
                </c:pt>
                <c:pt idx="271">
                  <c:v>45684</c:v>
                </c:pt>
                <c:pt idx="272">
                  <c:v>45691</c:v>
                </c:pt>
                <c:pt idx="273">
                  <c:v>45691</c:v>
                </c:pt>
                <c:pt idx="274">
                  <c:v>45691</c:v>
                </c:pt>
                <c:pt idx="275">
                  <c:v>45691</c:v>
                </c:pt>
                <c:pt idx="276">
                  <c:v>45691</c:v>
                </c:pt>
                <c:pt idx="277">
                  <c:v>45698</c:v>
                </c:pt>
                <c:pt idx="278">
                  <c:v>45698</c:v>
                </c:pt>
                <c:pt idx="279">
                  <c:v>45698</c:v>
                </c:pt>
                <c:pt idx="280">
                  <c:v>45698</c:v>
                </c:pt>
                <c:pt idx="281">
                  <c:v>45698</c:v>
                </c:pt>
                <c:pt idx="282">
                  <c:v>45705</c:v>
                </c:pt>
                <c:pt idx="283">
                  <c:v>45705</c:v>
                </c:pt>
                <c:pt idx="284">
                  <c:v>45705</c:v>
                </c:pt>
                <c:pt idx="285">
                  <c:v>45705</c:v>
                </c:pt>
                <c:pt idx="286">
                  <c:v>45712</c:v>
                </c:pt>
                <c:pt idx="287">
                  <c:v>45712</c:v>
                </c:pt>
                <c:pt idx="288">
                  <c:v>45712</c:v>
                </c:pt>
                <c:pt idx="289">
                  <c:v>45712</c:v>
                </c:pt>
                <c:pt idx="290">
                  <c:v>45712</c:v>
                </c:pt>
                <c:pt idx="291">
                  <c:v>45719</c:v>
                </c:pt>
                <c:pt idx="292">
                  <c:v>45719</c:v>
                </c:pt>
                <c:pt idx="293">
                  <c:v>45719</c:v>
                </c:pt>
                <c:pt idx="294">
                  <c:v>45719</c:v>
                </c:pt>
                <c:pt idx="295">
                  <c:v>45719</c:v>
                </c:pt>
                <c:pt idx="296">
                  <c:v>45726</c:v>
                </c:pt>
                <c:pt idx="297">
                  <c:v>45726</c:v>
                </c:pt>
                <c:pt idx="298">
                  <c:v>45726</c:v>
                </c:pt>
                <c:pt idx="299">
                  <c:v>45726</c:v>
                </c:pt>
                <c:pt idx="300">
                  <c:v>45726</c:v>
                </c:pt>
                <c:pt idx="301">
                  <c:v>45733</c:v>
                </c:pt>
                <c:pt idx="302">
                  <c:v>45733</c:v>
                </c:pt>
                <c:pt idx="303">
                  <c:v>45733</c:v>
                </c:pt>
                <c:pt idx="304">
                  <c:v>45733</c:v>
                </c:pt>
                <c:pt idx="305">
                  <c:v>45733</c:v>
                </c:pt>
                <c:pt idx="306">
                  <c:v>45740</c:v>
                </c:pt>
                <c:pt idx="307">
                  <c:v>45740</c:v>
                </c:pt>
                <c:pt idx="308">
                  <c:v>45740</c:v>
                </c:pt>
                <c:pt idx="309">
                  <c:v>45740</c:v>
                </c:pt>
                <c:pt idx="310">
                  <c:v>45740</c:v>
                </c:pt>
                <c:pt idx="311">
                  <c:v>45747</c:v>
                </c:pt>
                <c:pt idx="312">
                  <c:v>45747</c:v>
                </c:pt>
                <c:pt idx="313">
                  <c:v>45747</c:v>
                </c:pt>
                <c:pt idx="314">
                  <c:v>45747</c:v>
                </c:pt>
                <c:pt idx="315">
                  <c:v>45747</c:v>
                </c:pt>
                <c:pt idx="316">
                  <c:v>45754</c:v>
                </c:pt>
                <c:pt idx="317">
                  <c:v>45754</c:v>
                </c:pt>
                <c:pt idx="318">
                  <c:v>45754</c:v>
                </c:pt>
                <c:pt idx="319">
                  <c:v>45754</c:v>
                </c:pt>
                <c:pt idx="320">
                  <c:v>45754</c:v>
                </c:pt>
                <c:pt idx="321">
                  <c:v>45761</c:v>
                </c:pt>
                <c:pt idx="322">
                  <c:v>45761</c:v>
                </c:pt>
                <c:pt idx="323">
                  <c:v>45761</c:v>
                </c:pt>
                <c:pt idx="324">
                  <c:v>45761</c:v>
                </c:pt>
                <c:pt idx="325">
                  <c:v>45768</c:v>
                </c:pt>
                <c:pt idx="326">
                  <c:v>45768</c:v>
                </c:pt>
                <c:pt idx="327">
                  <c:v>45768</c:v>
                </c:pt>
                <c:pt idx="328">
                  <c:v>45768</c:v>
                </c:pt>
                <c:pt idx="329">
                  <c:v>45768</c:v>
                </c:pt>
                <c:pt idx="330">
                  <c:v>45775</c:v>
                </c:pt>
                <c:pt idx="331">
                  <c:v>45775</c:v>
                </c:pt>
                <c:pt idx="332">
                  <c:v>45775</c:v>
                </c:pt>
                <c:pt idx="333">
                  <c:v>45775</c:v>
                </c:pt>
                <c:pt idx="334">
                  <c:v>45775</c:v>
                </c:pt>
                <c:pt idx="335">
                  <c:v>45782</c:v>
                </c:pt>
                <c:pt idx="336">
                  <c:v>45782</c:v>
                </c:pt>
                <c:pt idx="337">
                  <c:v>45782</c:v>
                </c:pt>
                <c:pt idx="338">
                  <c:v>45782</c:v>
                </c:pt>
                <c:pt idx="339">
                  <c:v>45782</c:v>
                </c:pt>
                <c:pt idx="340">
                  <c:v>45789</c:v>
                </c:pt>
                <c:pt idx="341">
                  <c:v>45789</c:v>
                </c:pt>
                <c:pt idx="342">
                  <c:v>45789</c:v>
                </c:pt>
                <c:pt idx="343">
                  <c:v>45789</c:v>
                </c:pt>
                <c:pt idx="344">
                  <c:v>45789</c:v>
                </c:pt>
                <c:pt idx="345">
                  <c:v>45796</c:v>
                </c:pt>
                <c:pt idx="346">
                  <c:v>45796</c:v>
                </c:pt>
                <c:pt idx="347">
                  <c:v>45796</c:v>
                </c:pt>
                <c:pt idx="348">
                  <c:v>45796</c:v>
                </c:pt>
                <c:pt idx="349">
                  <c:v>45796</c:v>
                </c:pt>
                <c:pt idx="350">
                  <c:v>45803</c:v>
                </c:pt>
                <c:pt idx="351">
                  <c:v>45803</c:v>
                </c:pt>
                <c:pt idx="352">
                  <c:v>45803</c:v>
                </c:pt>
                <c:pt idx="353">
                  <c:v>45803</c:v>
                </c:pt>
                <c:pt idx="354">
                  <c:v>45810</c:v>
                </c:pt>
                <c:pt idx="355">
                  <c:v>45810</c:v>
                </c:pt>
                <c:pt idx="356">
                  <c:v>45810</c:v>
                </c:pt>
                <c:pt idx="357">
                  <c:v>45810</c:v>
                </c:pt>
                <c:pt idx="358">
                  <c:v>45810</c:v>
                </c:pt>
                <c:pt idx="359">
                  <c:v>45817</c:v>
                </c:pt>
                <c:pt idx="360">
                  <c:v>45817</c:v>
                </c:pt>
                <c:pt idx="361">
                  <c:v>45817</c:v>
                </c:pt>
                <c:pt idx="362">
                  <c:v>45817</c:v>
                </c:pt>
                <c:pt idx="363">
                  <c:v>45817</c:v>
                </c:pt>
                <c:pt idx="364">
                  <c:v>45824</c:v>
                </c:pt>
                <c:pt idx="365">
                  <c:v>45824</c:v>
                </c:pt>
                <c:pt idx="366">
                  <c:v>45824</c:v>
                </c:pt>
                <c:pt idx="367">
                  <c:v>45824</c:v>
                </c:pt>
                <c:pt idx="368">
                  <c:v>45831</c:v>
                </c:pt>
                <c:pt idx="369">
                  <c:v>45831</c:v>
                </c:pt>
                <c:pt idx="370">
                  <c:v>45831</c:v>
                </c:pt>
                <c:pt idx="371">
                  <c:v>45831</c:v>
                </c:pt>
                <c:pt idx="372">
                  <c:v>45831</c:v>
                </c:pt>
                <c:pt idx="373">
                  <c:v>45838</c:v>
                </c:pt>
                <c:pt idx="374">
                  <c:v>45838</c:v>
                </c:pt>
                <c:pt idx="375">
                  <c:v>45838</c:v>
                </c:pt>
                <c:pt idx="376">
                  <c:v>45838</c:v>
                </c:pt>
                <c:pt idx="377">
                  <c:v>45845</c:v>
                </c:pt>
                <c:pt idx="378">
                  <c:v>45845</c:v>
                </c:pt>
                <c:pt idx="379">
                  <c:v>45845</c:v>
                </c:pt>
                <c:pt idx="380">
                  <c:v>45845</c:v>
                </c:pt>
                <c:pt idx="381">
                  <c:v>45845</c:v>
                </c:pt>
                <c:pt idx="382">
                  <c:v>45852</c:v>
                </c:pt>
                <c:pt idx="383">
                  <c:v>45852</c:v>
                </c:pt>
                <c:pt idx="384">
                  <c:v>45852</c:v>
                </c:pt>
                <c:pt idx="385">
                  <c:v>45852</c:v>
                </c:pt>
                <c:pt idx="386">
                  <c:v>45852</c:v>
                </c:pt>
                <c:pt idx="387">
                  <c:v>45859</c:v>
                </c:pt>
                <c:pt idx="388">
                  <c:v>45859</c:v>
                </c:pt>
                <c:pt idx="389">
                  <c:v>45859</c:v>
                </c:pt>
                <c:pt idx="390">
                  <c:v>45859</c:v>
                </c:pt>
                <c:pt idx="391">
                  <c:v>45859</c:v>
                </c:pt>
                <c:pt idx="392">
                  <c:v>45866</c:v>
                </c:pt>
                <c:pt idx="393">
                  <c:v>45866</c:v>
                </c:pt>
                <c:pt idx="394">
                  <c:v>45866</c:v>
                </c:pt>
                <c:pt idx="395">
                  <c:v>45866</c:v>
                </c:pt>
                <c:pt idx="396">
                  <c:v>45866</c:v>
                </c:pt>
                <c:pt idx="397">
                  <c:v>45873</c:v>
                </c:pt>
                <c:pt idx="398">
                  <c:v>45873</c:v>
                </c:pt>
                <c:pt idx="399">
                  <c:v>45873</c:v>
                </c:pt>
                <c:pt idx="400">
                  <c:v>45873</c:v>
                </c:pt>
                <c:pt idx="401">
                  <c:v>45873</c:v>
                </c:pt>
                <c:pt idx="402">
                  <c:v>45880</c:v>
                </c:pt>
                <c:pt idx="403">
                  <c:v>45880</c:v>
                </c:pt>
                <c:pt idx="404">
                  <c:v>45880</c:v>
                </c:pt>
                <c:pt idx="405">
                  <c:v>45880</c:v>
                </c:pt>
                <c:pt idx="406">
                  <c:v>45880</c:v>
                </c:pt>
                <c:pt idx="407">
                  <c:v>45887</c:v>
                </c:pt>
                <c:pt idx="408">
                  <c:v>45887</c:v>
                </c:pt>
                <c:pt idx="409">
                  <c:v>45887</c:v>
                </c:pt>
                <c:pt idx="410">
                  <c:v>45887</c:v>
                </c:pt>
                <c:pt idx="411">
                  <c:v>45887</c:v>
                </c:pt>
                <c:pt idx="412">
                  <c:v>45894</c:v>
                </c:pt>
                <c:pt idx="413">
                  <c:v>45894</c:v>
                </c:pt>
                <c:pt idx="414">
                  <c:v>45894</c:v>
                </c:pt>
                <c:pt idx="415">
                  <c:v>45894</c:v>
                </c:pt>
                <c:pt idx="416">
                  <c:v>45894</c:v>
                </c:pt>
                <c:pt idx="417">
                  <c:v>45901</c:v>
                </c:pt>
                <c:pt idx="418">
                  <c:v>45901</c:v>
                </c:pt>
                <c:pt idx="419">
                  <c:v>45901</c:v>
                </c:pt>
                <c:pt idx="420">
                  <c:v>45901</c:v>
                </c:pt>
                <c:pt idx="421">
                  <c:v>45908</c:v>
                </c:pt>
                <c:pt idx="422">
                  <c:v>45908</c:v>
                </c:pt>
                <c:pt idx="423">
                  <c:v>45908</c:v>
                </c:pt>
                <c:pt idx="424">
                  <c:v>45908</c:v>
                </c:pt>
                <c:pt idx="425">
                  <c:v>45908</c:v>
                </c:pt>
                <c:pt idx="426">
                  <c:v>45915</c:v>
                </c:pt>
                <c:pt idx="427">
                  <c:v>45915</c:v>
                </c:pt>
                <c:pt idx="428">
                  <c:v>45915</c:v>
                </c:pt>
                <c:pt idx="429">
                  <c:v>45915</c:v>
                </c:pt>
                <c:pt idx="430">
                  <c:v>45915</c:v>
                </c:pt>
                <c:pt idx="431">
                  <c:v>45922</c:v>
                </c:pt>
                <c:pt idx="432">
                  <c:v>45922</c:v>
                </c:pt>
                <c:pt idx="433">
                  <c:v>45922</c:v>
                </c:pt>
                <c:pt idx="434">
                  <c:v>45922</c:v>
                </c:pt>
                <c:pt idx="435">
                  <c:v>45922</c:v>
                </c:pt>
                <c:pt idx="436">
                  <c:v>45929</c:v>
                </c:pt>
                <c:pt idx="437">
                  <c:v>45929</c:v>
                </c:pt>
                <c:pt idx="438">
                  <c:v>45929</c:v>
                </c:pt>
                <c:pt idx="439">
                  <c:v>45929</c:v>
                </c:pt>
                <c:pt idx="440">
                  <c:v>45929</c:v>
                </c:pt>
                <c:pt idx="441">
                  <c:v>45936</c:v>
                </c:pt>
                <c:pt idx="442">
                  <c:v>45936</c:v>
                </c:pt>
                <c:pt idx="443">
                  <c:v>45936</c:v>
                </c:pt>
                <c:pt idx="444">
                  <c:v>45936</c:v>
                </c:pt>
                <c:pt idx="445">
                  <c:v>45936</c:v>
                </c:pt>
                <c:pt idx="446">
                  <c:v>45943</c:v>
                </c:pt>
                <c:pt idx="447">
                  <c:v>45943</c:v>
                </c:pt>
                <c:pt idx="448">
                  <c:v>45943</c:v>
                </c:pt>
                <c:pt idx="449">
                  <c:v>45943</c:v>
                </c:pt>
                <c:pt idx="450">
                  <c:v>45943</c:v>
                </c:pt>
                <c:pt idx="451">
                  <c:v>45950</c:v>
                </c:pt>
                <c:pt idx="452">
                  <c:v>45950</c:v>
                </c:pt>
                <c:pt idx="453">
                  <c:v>45950</c:v>
                </c:pt>
                <c:pt idx="454">
                  <c:v>45950</c:v>
                </c:pt>
                <c:pt idx="455">
                  <c:v>45950</c:v>
                </c:pt>
                <c:pt idx="456">
                  <c:v>45957</c:v>
                </c:pt>
                <c:pt idx="457">
                  <c:v>45957</c:v>
                </c:pt>
                <c:pt idx="458">
                  <c:v>45957</c:v>
                </c:pt>
                <c:pt idx="459">
                  <c:v>45957</c:v>
                </c:pt>
                <c:pt idx="460">
                  <c:v>45957</c:v>
                </c:pt>
                <c:pt idx="461">
                  <c:v>45964</c:v>
                </c:pt>
                <c:pt idx="462">
                  <c:v>45964</c:v>
                </c:pt>
                <c:pt idx="463">
                  <c:v>45964</c:v>
                </c:pt>
                <c:pt idx="464">
                  <c:v>45964</c:v>
                </c:pt>
                <c:pt idx="465">
                  <c:v>45964</c:v>
                </c:pt>
                <c:pt idx="466">
                  <c:v>45971</c:v>
                </c:pt>
                <c:pt idx="467">
                  <c:v>45971</c:v>
                </c:pt>
                <c:pt idx="468">
                  <c:v>45971</c:v>
                </c:pt>
                <c:pt idx="469">
                  <c:v>45971</c:v>
                </c:pt>
                <c:pt idx="470">
                  <c:v>45971</c:v>
                </c:pt>
                <c:pt idx="471">
                  <c:v>45978</c:v>
                </c:pt>
                <c:pt idx="472">
                  <c:v>45978</c:v>
                </c:pt>
                <c:pt idx="473">
                  <c:v>45978</c:v>
                </c:pt>
                <c:pt idx="474">
                  <c:v>45978</c:v>
                </c:pt>
                <c:pt idx="475">
                  <c:v>45978</c:v>
                </c:pt>
                <c:pt idx="476">
                  <c:v>45985</c:v>
                </c:pt>
                <c:pt idx="477">
                  <c:v>45985</c:v>
                </c:pt>
                <c:pt idx="478">
                  <c:v>45985</c:v>
                </c:pt>
                <c:pt idx="479">
                  <c:v>45985</c:v>
                </c:pt>
                <c:pt idx="480">
                  <c:v>45992</c:v>
                </c:pt>
                <c:pt idx="481">
                  <c:v>45992</c:v>
                </c:pt>
                <c:pt idx="482">
                  <c:v>45992</c:v>
                </c:pt>
                <c:pt idx="483">
                  <c:v>45992</c:v>
                </c:pt>
                <c:pt idx="484">
                  <c:v>45992</c:v>
                </c:pt>
                <c:pt idx="485">
                  <c:v>45999</c:v>
                </c:pt>
                <c:pt idx="486">
                  <c:v>45999</c:v>
                </c:pt>
                <c:pt idx="487">
                  <c:v>45999</c:v>
                </c:pt>
                <c:pt idx="488">
                  <c:v>45999</c:v>
                </c:pt>
                <c:pt idx="489">
                  <c:v>45999</c:v>
                </c:pt>
                <c:pt idx="490">
                  <c:v>46006</c:v>
                </c:pt>
                <c:pt idx="491">
                  <c:v>46006</c:v>
                </c:pt>
                <c:pt idx="492">
                  <c:v>46006</c:v>
                </c:pt>
                <c:pt idx="493">
                  <c:v>46006</c:v>
                </c:pt>
                <c:pt idx="494">
                  <c:v>46006</c:v>
                </c:pt>
                <c:pt idx="495">
                  <c:v>46013</c:v>
                </c:pt>
                <c:pt idx="496">
                  <c:v>46013</c:v>
                </c:pt>
                <c:pt idx="497">
                  <c:v>46013</c:v>
                </c:pt>
                <c:pt idx="498">
                  <c:v>46013</c:v>
                </c:pt>
                <c:pt idx="499">
                  <c:v>46020</c:v>
                </c:pt>
                <c:pt idx="500">
                  <c:v>46020</c:v>
                </c:pt>
                <c:pt idx="501">
                  <c:v>46020</c:v>
                </c:pt>
                <c:pt idx="502">
                  <c:v>46020</c:v>
                </c:pt>
                <c:pt idx="503">
                  <c:v>46027</c:v>
                </c:pt>
                <c:pt idx="504">
                  <c:v>46027</c:v>
                </c:pt>
                <c:pt idx="505">
                  <c:v>46027</c:v>
                </c:pt>
                <c:pt idx="506">
                  <c:v>46027</c:v>
                </c:pt>
                <c:pt idx="507">
                  <c:v>46027</c:v>
                </c:pt>
                <c:pt idx="508">
                  <c:v>46034</c:v>
                </c:pt>
                <c:pt idx="509">
                  <c:v>46034</c:v>
                </c:pt>
                <c:pt idx="510">
                  <c:v>46034</c:v>
                </c:pt>
                <c:pt idx="511">
                  <c:v>46034</c:v>
                </c:pt>
                <c:pt idx="512">
                  <c:v>46034</c:v>
                </c:pt>
                <c:pt idx="513">
                  <c:v>46041</c:v>
                </c:pt>
                <c:pt idx="514">
                  <c:v>46041</c:v>
                </c:pt>
                <c:pt idx="515">
                  <c:v>46041</c:v>
                </c:pt>
                <c:pt idx="516">
                  <c:v>46041</c:v>
                </c:pt>
                <c:pt idx="517">
                  <c:v>46048</c:v>
                </c:pt>
                <c:pt idx="518">
                  <c:v>46048</c:v>
                </c:pt>
              </c:numCache>
            </c:numRef>
          </c:cat>
          <c:val>
            <c:numRef>
              <c:f>IBM!$H$2:$H$520</c:f>
              <c:numCache>
                <c:formatCode>General</c:formatCode>
                <c:ptCount val="519"/>
                <c:pt idx="99">
                  <c:v>180.01369999999994</c:v>
                </c:pt>
                <c:pt idx="100">
                  <c:v>180.10759999999991</c:v>
                </c:pt>
                <c:pt idx="101">
                  <c:v>180.2031999999999</c:v>
                </c:pt>
                <c:pt idx="102">
                  <c:v>180.2650999999999</c:v>
                </c:pt>
                <c:pt idx="103">
                  <c:v>180.32979999999992</c:v>
                </c:pt>
                <c:pt idx="104">
                  <c:v>180.38689999999991</c:v>
                </c:pt>
                <c:pt idx="105">
                  <c:v>180.43889999999988</c:v>
                </c:pt>
                <c:pt idx="106">
                  <c:v>180.48469999999995</c:v>
                </c:pt>
                <c:pt idx="107">
                  <c:v>180.53689999999992</c:v>
                </c:pt>
                <c:pt idx="108">
                  <c:v>180.56089999999992</c:v>
                </c:pt>
                <c:pt idx="109">
                  <c:v>180.59139999999996</c:v>
                </c:pt>
                <c:pt idx="110">
                  <c:v>180.63439999999994</c:v>
                </c:pt>
                <c:pt idx="111">
                  <c:v>180.65919999999997</c:v>
                </c:pt>
                <c:pt idx="112">
                  <c:v>180.63439999999994</c:v>
                </c:pt>
                <c:pt idx="113">
                  <c:v>180.59729999999993</c:v>
                </c:pt>
                <c:pt idx="114">
                  <c:v>180.54999999999993</c:v>
                </c:pt>
                <c:pt idx="115">
                  <c:v>180.50569999999993</c:v>
                </c:pt>
                <c:pt idx="116">
                  <c:v>180.30689999999993</c:v>
                </c:pt>
                <c:pt idx="117">
                  <c:v>180.17189999999988</c:v>
                </c:pt>
                <c:pt idx="118">
                  <c:v>180.02509999999992</c:v>
                </c:pt>
                <c:pt idx="119">
                  <c:v>179.89649999999992</c:v>
                </c:pt>
                <c:pt idx="120">
                  <c:v>179.78589999999986</c:v>
                </c:pt>
                <c:pt idx="121">
                  <c:v>179.63559999999984</c:v>
                </c:pt>
                <c:pt idx="122">
                  <c:v>179.48619999999985</c:v>
                </c:pt>
                <c:pt idx="123">
                  <c:v>179.38149999999987</c:v>
                </c:pt>
                <c:pt idx="124">
                  <c:v>179.29839999999984</c:v>
                </c:pt>
                <c:pt idx="125">
                  <c:v>179.23399999999987</c:v>
                </c:pt>
                <c:pt idx="126">
                  <c:v>179.14769999999987</c:v>
                </c:pt>
                <c:pt idx="127">
                  <c:v>179.04449999999989</c:v>
                </c:pt>
                <c:pt idx="128">
                  <c:v>178.9592999999999</c:v>
                </c:pt>
                <c:pt idx="129">
                  <c:v>178.88709999999992</c:v>
                </c:pt>
                <c:pt idx="130">
                  <c:v>178.82979999999992</c:v>
                </c:pt>
                <c:pt idx="131">
                  <c:v>178.74419999999995</c:v>
                </c:pt>
                <c:pt idx="132">
                  <c:v>178.6961</c:v>
                </c:pt>
                <c:pt idx="133">
                  <c:v>178.69050000000004</c:v>
                </c:pt>
                <c:pt idx="134">
                  <c:v>178.75160000000002</c:v>
                </c:pt>
                <c:pt idx="135">
                  <c:v>178.78400000000002</c:v>
                </c:pt>
                <c:pt idx="136">
                  <c:v>178.77900000000005</c:v>
                </c:pt>
                <c:pt idx="137">
                  <c:v>178.77020000000005</c:v>
                </c:pt>
                <c:pt idx="138">
                  <c:v>178.76300000000006</c:v>
                </c:pt>
                <c:pt idx="139">
                  <c:v>178.75100000000003</c:v>
                </c:pt>
                <c:pt idx="140">
                  <c:v>178.74090000000001</c:v>
                </c:pt>
                <c:pt idx="141">
                  <c:v>178.77869999999999</c:v>
                </c:pt>
                <c:pt idx="142">
                  <c:v>178.76559999999998</c:v>
                </c:pt>
                <c:pt idx="143">
                  <c:v>178.76109999999997</c:v>
                </c:pt>
                <c:pt idx="144">
                  <c:v>178.70989999999998</c:v>
                </c:pt>
                <c:pt idx="145">
                  <c:v>178.66589999999997</c:v>
                </c:pt>
                <c:pt idx="146">
                  <c:v>178.60299999999995</c:v>
                </c:pt>
                <c:pt idx="147">
                  <c:v>178.57689999999994</c:v>
                </c:pt>
                <c:pt idx="148">
                  <c:v>178.43219999999997</c:v>
                </c:pt>
                <c:pt idx="149">
                  <c:v>178.33319999999992</c:v>
                </c:pt>
                <c:pt idx="150">
                  <c:v>178.26689999999991</c:v>
                </c:pt>
                <c:pt idx="151">
                  <c:v>178.28229999999994</c:v>
                </c:pt>
                <c:pt idx="152">
                  <c:v>178.27989999999994</c:v>
                </c:pt>
                <c:pt idx="153">
                  <c:v>178.24129999999994</c:v>
                </c:pt>
                <c:pt idx="154">
                  <c:v>178.2116</c:v>
                </c:pt>
                <c:pt idx="155">
                  <c:v>178.21579999999997</c:v>
                </c:pt>
                <c:pt idx="156">
                  <c:v>178.24689999999998</c:v>
                </c:pt>
                <c:pt idx="157">
                  <c:v>178.29679999999999</c:v>
                </c:pt>
                <c:pt idx="158">
                  <c:v>178.35909999999996</c:v>
                </c:pt>
                <c:pt idx="159">
                  <c:v>178.41139999999996</c:v>
                </c:pt>
                <c:pt idx="160">
                  <c:v>178.47389999999996</c:v>
                </c:pt>
                <c:pt idx="161">
                  <c:v>178.53519999999992</c:v>
                </c:pt>
                <c:pt idx="162">
                  <c:v>178.6073999999999</c:v>
                </c:pt>
                <c:pt idx="163">
                  <c:v>178.67819999999992</c:v>
                </c:pt>
                <c:pt idx="164">
                  <c:v>178.78609999999992</c:v>
                </c:pt>
                <c:pt idx="165">
                  <c:v>178.87929999999994</c:v>
                </c:pt>
                <c:pt idx="166">
                  <c:v>178.97009999999995</c:v>
                </c:pt>
                <c:pt idx="167">
                  <c:v>179.09829999999999</c:v>
                </c:pt>
                <c:pt idx="168">
                  <c:v>179.25069999999997</c:v>
                </c:pt>
                <c:pt idx="169">
                  <c:v>179.43279999999999</c:v>
                </c:pt>
                <c:pt idx="170">
                  <c:v>179.63600000000002</c:v>
                </c:pt>
                <c:pt idx="171">
                  <c:v>179.83090000000004</c:v>
                </c:pt>
                <c:pt idx="172">
                  <c:v>180.02870000000001</c:v>
                </c:pt>
                <c:pt idx="173">
                  <c:v>180.2509</c:v>
                </c:pt>
                <c:pt idx="174">
                  <c:v>180.53509999999997</c:v>
                </c:pt>
                <c:pt idx="175">
                  <c:v>180.83539999999996</c:v>
                </c:pt>
                <c:pt idx="176">
                  <c:v>181.16429999999997</c:v>
                </c:pt>
                <c:pt idx="177">
                  <c:v>181.51399999999998</c:v>
                </c:pt>
                <c:pt idx="178">
                  <c:v>181.81429999999997</c:v>
                </c:pt>
                <c:pt idx="179">
                  <c:v>182.27459999999999</c:v>
                </c:pt>
                <c:pt idx="180">
                  <c:v>182.74219999999997</c:v>
                </c:pt>
                <c:pt idx="181">
                  <c:v>183.24489999999997</c:v>
                </c:pt>
                <c:pt idx="182">
                  <c:v>183.78790000000001</c:v>
                </c:pt>
                <c:pt idx="183">
                  <c:v>184.35330000000002</c:v>
                </c:pt>
                <c:pt idx="184">
                  <c:v>184.9187</c:v>
                </c:pt>
                <c:pt idx="185">
                  <c:v>185.49590000000001</c:v>
                </c:pt>
                <c:pt idx="186">
                  <c:v>186.01820000000001</c:v>
                </c:pt>
                <c:pt idx="187">
                  <c:v>186.54520000000005</c:v>
                </c:pt>
                <c:pt idx="188">
                  <c:v>187.03970000000001</c:v>
                </c:pt>
                <c:pt idx="189">
                  <c:v>187.57429999999999</c:v>
                </c:pt>
                <c:pt idx="190">
                  <c:v>188.13000000000002</c:v>
                </c:pt>
                <c:pt idx="191">
                  <c:v>188.71440000000001</c:v>
                </c:pt>
                <c:pt idx="192">
                  <c:v>189.31200000000001</c:v>
                </c:pt>
                <c:pt idx="193">
                  <c:v>189.91560000000001</c:v>
                </c:pt>
                <c:pt idx="194">
                  <c:v>190.56889999999999</c:v>
                </c:pt>
                <c:pt idx="195">
                  <c:v>191.20879999999997</c:v>
                </c:pt>
                <c:pt idx="196">
                  <c:v>191.84219999999996</c:v>
                </c:pt>
                <c:pt idx="197">
                  <c:v>192.46009999999995</c:v>
                </c:pt>
                <c:pt idx="198">
                  <c:v>193.05279999999991</c:v>
                </c:pt>
                <c:pt idx="199">
                  <c:v>193.68279999999993</c:v>
                </c:pt>
                <c:pt idx="200">
                  <c:v>194.3026999999999</c:v>
                </c:pt>
                <c:pt idx="201">
                  <c:v>194.92809999999994</c:v>
                </c:pt>
                <c:pt idx="202">
                  <c:v>195.57509999999994</c:v>
                </c:pt>
                <c:pt idx="203">
                  <c:v>196.24129999999997</c:v>
                </c:pt>
                <c:pt idx="204">
                  <c:v>196.9002999999999</c:v>
                </c:pt>
                <c:pt idx="205">
                  <c:v>197.43139999999991</c:v>
                </c:pt>
                <c:pt idx="206">
                  <c:v>197.9199999999999</c:v>
                </c:pt>
                <c:pt idx="207">
                  <c:v>198.37529999999992</c:v>
                </c:pt>
                <c:pt idx="208">
                  <c:v>198.7975999999999</c:v>
                </c:pt>
                <c:pt idx="209">
                  <c:v>199.14649999999995</c:v>
                </c:pt>
                <c:pt idx="210">
                  <c:v>199.50989999999993</c:v>
                </c:pt>
                <c:pt idx="211">
                  <c:v>199.89919999999992</c:v>
                </c:pt>
                <c:pt idx="212">
                  <c:v>200.27239999999995</c:v>
                </c:pt>
                <c:pt idx="213">
                  <c:v>200.65689999999995</c:v>
                </c:pt>
                <c:pt idx="214">
                  <c:v>201.10079999999994</c:v>
                </c:pt>
                <c:pt idx="215">
                  <c:v>201.54269999999994</c:v>
                </c:pt>
                <c:pt idx="216">
                  <c:v>201.97439999999995</c:v>
                </c:pt>
                <c:pt idx="217">
                  <c:v>202.37089999999998</c:v>
                </c:pt>
                <c:pt idx="218">
                  <c:v>202.75489999999999</c:v>
                </c:pt>
                <c:pt idx="219">
                  <c:v>203.11399999999995</c:v>
                </c:pt>
                <c:pt idx="220">
                  <c:v>203.47789999999998</c:v>
                </c:pt>
                <c:pt idx="221">
                  <c:v>203.80909999999997</c:v>
                </c:pt>
                <c:pt idx="222">
                  <c:v>204.18149999999997</c:v>
                </c:pt>
                <c:pt idx="223">
                  <c:v>204.55449999999996</c:v>
                </c:pt>
                <c:pt idx="224">
                  <c:v>204.94949999999997</c:v>
                </c:pt>
                <c:pt idx="225">
                  <c:v>205.40049999999999</c:v>
                </c:pt>
                <c:pt idx="226">
                  <c:v>205.87290000000002</c:v>
                </c:pt>
                <c:pt idx="227">
                  <c:v>206.37400000000002</c:v>
                </c:pt>
                <c:pt idx="228">
                  <c:v>206.88590000000005</c:v>
                </c:pt>
                <c:pt idx="229">
                  <c:v>207.3903</c:v>
                </c:pt>
                <c:pt idx="230">
                  <c:v>207.886</c:v>
                </c:pt>
                <c:pt idx="231">
                  <c:v>208.37679999999997</c:v>
                </c:pt>
                <c:pt idx="232">
                  <c:v>208.83849999999998</c:v>
                </c:pt>
                <c:pt idx="233">
                  <c:v>209.34459999999999</c:v>
                </c:pt>
                <c:pt idx="234">
                  <c:v>209.83399999999997</c:v>
                </c:pt>
                <c:pt idx="235">
                  <c:v>210.33990000000003</c:v>
                </c:pt>
                <c:pt idx="236">
                  <c:v>210.78770000000003</c:v>
                </c:pt>
                <c:pt idx="237">
                  <c:v>211.27240000000006</c:v>
                </c:pt>
                <c:pt idx="238">
                  <c:v>211.73210000000003</c:v>
                </c:pt>
                <c:pt idx="239">
                  <c:v>212.21369999999999</c:v>
                </c:pt>
                <c:pt idx="240">
                  <c:v>212.68170000000001</c:v>
                </c:pt>
                <c:pt idx="241">
                  <c:v>213.05520000000004</c:v>
                </c:pt>
                <c:pt idx="242">
                  <c:v>213.42740000000001</c:v>
                </c:pt>
                <c:pt idx="243">
                  <c:v>213.71410000000003</c:v>
                </c:pt>
                <c:pt idx="244">
                  <c:v>214.04289999999997</c:v>
                </c:pt>
                <c:pt idx="245">
                  <c:v>214.35509999999999</c:v>
                </c:pt>
                <c:pt idx="246">
                  <c:v>214.67780000000002</c:v>
                </c:pt>
                <c:pt idx="247">
                  <c:v>215.0307</c:v>
                </c:pt>
                <c:pt idx="248">
                  <c:v>215.44649999999999</c:v>
                </c:pt>
                <c:pt idx="249">
                  <c:v>215.80629999999996</c:v>
                </c:pt>
                <c:pt idx="250">
                  <c:v>216.14079999999996</c:v>
                </c:pt>
                <c:pt idx="251">
                  <c:v>216.41299999999995</c:v>
                </c:pt>
                <c:pt idx="252">
                  <c:v>216.69789999999998</c:v>
                </c:pt>
                <c:pt idx="253">
                  <c:v>217.02959999999999</c:v>
                </c:pt>
                <c:pt idx="254">
                  <c:v>217.34639999999996</c:v>
                </c:pt>
                <c:pt idx="255">
                  <c:v>217.66279999999995</c:v>
                </c:pt>
                <c:pt idx="256">
                  <c:v>217.95509999999996</c:v>
                </c:pt>
                <c:pt idx="257">
                  <c:v>218.21479999999997</c:v>
                </c:pt>
                <c:pt idx="258">
                  <c:v>218.44149999999993</c:v>
                </c:pt>
                <c:pt idx="259">
                  <c:v>218.65869999999995</c:v>
                </c:pt>
                <c:pt idx="260">
                  <c:v>218.88689999999994</c:v>
                </c:pt>
                <c:pt idx="261">
                  <c:v>219.15389999999991</c:v>
                </c:pt>
                <c:pt idx="262">
                  <c:v>219.44079999999994</c:v>
                </c:pt>
                <c:pt idx="263">
                  <c:v>219.70359999999994</c:v>
                </c:pt>
                <c:pt idx="264">
                  <c:v>219.94889999999992</c:v>
                </c:pt>
                <c:pt idx="265">
                  <c:v>220.22469999999993</c:v>
                </c:pt>
                <c:pt idx="266">
                  <c:v>220.48369999999991</c:v>
                </c:pt>
                <c:pt idx="267">
                  <c:v>220.70369999999991</c:v>
                </c:pt>
                <c:pt idx="268">
                  <c:v>220.94749999999993</c:v>
                </c:pt>
                <c:pt idx="269">
                  <c:v>221.19269999999995</c:v>
                </c:pt>
                <c:pt idx="270">
                  <c:v>221.74949999999998</c:v>
                </c:pt>
                <c:pt idx="271">
                  <c:v>222.29909999999995</c:v>
                </c:pt>
                <c:pt idx="272">
                  <c:v>222.87109999999996</c:v>
                </c:pt>
                <c:pt idx="273">
                  <c:v>223.46249999999998</c:v>
                </c:pt>
                <c:pt idx="274">
                  <c:v>223.99659999999997</c:v>
                </c:pt>
                <c:pt idx="275">
                  <c:v>224.41489999999993</c:v>
                </c:pt>
                <c:pt idx="276">
                  <c:v>224.79039999999998</c:v>
                </c:pt>
                <c:pt idx="277">
                  <c:v>225.11149999999995</c:v>
                </c:pt>
                <c:pt idx="278">
                  <c:v>225.51719999999997</c:v>
                </c:pt>
                <c:pt idx="279">
                  <c:v>225.92589999999996</c:v>
                </c:pt>
                <c:pt idx="280">
                  <c:v>226.37889999999996</c:v>
                </c:pt>
                <c:pt idx="281">
                  <c:v>226.81469999999999</c:v>
                </c:pt>
                <c:pt idx="282">
                  <c:v>227.24039999999994</c:v>
                </c:pt>
                <c:pt idx="283">
                  <c:v>227.67389999999995</c:v>
                </c:pt>
                <c:pt idx="284">
                  <c:v>228.10899999999995</c:v>
                </c:pt>
                <c:pt idx="285">
                  <c:v>228.48949999999994</c:v>
                </c:pt>
                <c:pt idx="286">
                  <c:v>228.89979999999991</c:v>
                </c:pt>
                <c:pt idx="287">
                  <c:v>229.26649999999998</c:v>
                </c:pt>
                <c:pt idx="288">
                  <c:v>229.63139999999993</c:v>
                </c:pt>
                <c:pt idx="289">
                  <c:v>229.96639999999996</c:v>
                </c:pt>
                <c:pt idx="290">
                  <c:v>230.26359999999997</c:v>
                </c:pt>
                <c:pt idx="291">
                  <c:v>230.50549999999996</c:v>
                </c:pt>
                <c:pt idx="292">
                  <c:v>230.76639999999995</c:v>
                </c:pt>
                <c:pt idx="293">
                  <c:v>230.99369999999996</c:v>
                </c:pt>
                <c:pt idx="294">
                  <c:v>231.13759999999994</c:v>
                </c:pt>
                <c:pt idx="295">
                  <c:v>231.42279999999991</c:v>
                </c:pt>
                <c:pt idx="296">
                  <c:v>231.65919999999994</c:v>
                </c:pt>
                <c:pt idx="297">
                  <c:v>231.79609999999994</c:v>
                </c:pt>
                <c:pt idx="298">
                  <c:v>231.96279999999996</c:v>
                </c:pt>
                <c:pt idx="299">
                  <c:v>232.08409999999995</c:v>
                </c:pt>
                <c:pt idx="300">
                  <c:v>232.23879999999994</c:v>
                </c:pt>
                <c:pt idx="301">
                  <c:v>232.44649999999993</c:v>
                </c:pt>
                <c:pt idx="302">
                  <c:v>232.59849999999994</c:v>
                </c:pt>
                <c:pt idx="303">
                  <c:v>232.79889999999995</c:v>
                </c:pt>
                <c:pt idx="304">
                  <c:v>232.90459999999996</c:v>
                </c:pt>
                <c:pt idx="305">
                  <c:v>233.15939999999995</c:v>
                </c:pt>
                <c:pt idx="306">
                  <c:v>233.49719999999996</c:v>
                </c:pt>
                <c:pt idx="307">
                  <c:v>233.86709999999997</c:v>
                </c:pt>
                <c:pt idx="308">
                  <c:v>234.2662</c:v>
                </c:pt>
                <c:pt idx="309">
                  <c:v>234.67929999999996</c:v>
                </c:pt>
                <c:pt idx="310">
                  <c:v>235.0521</c:v>
                </c:pt>
                <c:pt idx="311">
                  <c:v>235.4562</c:v>
                </c:pt>
                <c:pt idx="312">
                  <c:v>235.8964</c:v>
                </c:pt>
                <c:pt idx="313">
                  <c:v>236.32049999999998</c:v>
                </c:pt>
                <c:pt idx="314">
                  <c:v>236.61939999999998</c:v>
                </c:pt>
                <c:pt idx="315">
                  <c:v>236.75729999999999</c:v>
                </c:pt>
                <c:pt idx="316">
                  <c:v>236.87789999999998</c:v>
                </c:pt>
                <c:pt idx="317">
                  <c:v>236.95249999999996</c:v>
                </c:pt>
                <c:pt idx="318">
                  <c:v>237.197</c:v>
                </c:pt>
                <c:pt idx="319">
                  <c:v>237.38329999999999</c:v>
                </c:pt>
                <c:pt idx="320">
                  <c:v>237.64819999999997</c:v>
                </c:pt>
                <c:pt idx="321">
                  <c:v>237.98890000000003</c:v>
                </c:pt>
                <c:pt idx="322">
                  <c:v>238.31500000000003</c:v>
                </c:pt>
                <c:pt idx="323">
                  <c:v>238.59820000000002</c:v>
                </c:pt>
                <c:pt idx="324">
                  <c:v>238.84030000000007</c:v>
                </c:pt>
                <c:pt idx="325">
                  <c:v>238.97850000000005</c:v>
                </c:pt>
                <c:pt idx="326">
                  <c:v>239.15780000000007</c:v>
                </c:pt>
                <c:pt idx="327">
                  <c:v>239.35130000000004</c:v>
                </c:pt>
                <c:pt idx="328">
                  <c:v>239.35630000000003</c:v>
                </c:pt>
                <c:pt idx="329">
                  <c:v>239.41120000000006</c:v>
                </c:pt>
                <c:pt idx="330">
                  <c:v>239.49870000000007</c:v>
                </c:pt>
                <c:pt idx="331">
                  <c:v>239.61870000000008</c:v>
                </c:pt>
                <c:pt idx="332">
                  <c:v>239.74690000000007</c:v>
                </c:pt>
                <c:pt idx="333">
                  <c:v>239.80860000000004</c:v>
                </c:pt>
                <c:pt idx="334">
                  <c:v>239.91660000000005</c:v>
                </c:pt>
                <c:pt idx="335">
                  <c:v>240.02800000000008</c:v>
                </c:pt>
                <c:pt idx="336">
                  <c:v>240.21920000000006</c:v>
                </c:pt>
                <c:pt idx="337">
                  <c:v>240.43570000000008</c:v>
                </c:pt>
                <c:pt idx="338">
                  <c:v>240.67590000000007</c:v>
                </c:pt>
                <c:pt idx="339">
                  <c:v>240.84530000000007</c:v>
                </c:pt>
                <c:pt idx="340">
                  <c:v>241.07400000000001</c:v>
                </c:pt>
                <c:pt idx="341">
                  <c:v>241.36660000000003</c:v>
                </c:pt>
                <c:pt idx="342">
                  <c:v>241.65510000000006</c:v>
                </c:pt>
                <c:pt idx="343">
                  <c:v>242.12020000000004</c:v>
                </c:pt>
                <c:pt idx="344">
                  <c:v>242.54859999999999</c:v>
                </c:pt>
                <c:pt idx="345">
                  <c:v>242.99910000000003</c:v>
                </c:pt>
                <c:pt idx="346">
                  <c:v>243.44929999999999</c:v>
                </c:pt>
                <c:pt idx="347">
                  <c:v>243.81390000000002</c:v>
                </c:pt>
                <c:pt idx="348">
                  <c:v>244.14869999999999</c:v>
                </c:pt>
                <c:pt idx="349">
                  <c:v>244.50720000000001</c:v>
                </c:pt>
                <c:pt idx="350">
                  <c:v>244.93700000000001</c:v>
                </c:pt>
                <c:pt idx="351">
                  <c:v>245.34110000000004</c:v>
                </c:pt>
                <c:pt idx="352">
                  <c:v>245.72860000000003</c:v>
                </c:pt>
                <c:pt idx="353">
                  <c:v>246.09270000000001</c:v>
                </c:pt>
                <c:pt idx="354">
                  <c:v>246.505</c:v>
                </c:pt>
                <c:pt idx="355">
                  <c:v>246.91740000000001</c:v>
                </c:pt>
                <c:pt idx="356">
                  <c:v>247.34080000000003</c:v>
                </c:pt>
                <c:pt idx="357">
                  <c:v>247.81189999999998</c:v>
                </c:pt>
                <c:pt idx="358">
                  <c:v>248.32659999999996</c:v>
                </c:pt>
                <c:pt idx="359">
                  <c:v>248.86989999999997</c:v>
                </c:pt>
                <c:pt idx="360">
                  <c:v>249.43200000000002</c:v>
                </c:pt>
                <c:pt idx="361">
                  <c:v>250.02059999999997</c:v>
                </c:pt>
                <c:pt idx="362">
                  <c:v>250.58299999999997</c:v>
                </c:pt>
                <c:pt idx="363">
                  <c:v>251.11259999999996</c:v>
                </c:pt>
                <c:pt idx="364">
                  <c:v>251.69829999999999</c:v>
                </c:pt>
                <c:pt idx="365">
                  <c:v>252.26839999999996</c:v>
                </c:pt>
                <c:pt idx="366">
                  <c:v>252.85249999999996</c:v>
                </c:pt>
                <c:pt idx="367">
                  <c:v>253.42089999999996</c:v>
                </c:pt>
                <c:pt idx="368">
                  <c:v>254.05609999999996</c:v>
                </c:pt>
                <c:pt idx="369">
                  <c:v>254.70770000000002</c:v>
                </c:pt>
                <c:pt idx="370">
                  <c:v>255.03560000000004</c:v>
                </c:pt>
                <c:pt idx="371">
                  <c:v>255.39790000000005</c:v>
                </c:pt>
                <c:pt idx="372">
                  <c:v>255.68760000000003</c:v>
                </c:pt>
                <c:pt idx="373">
                  <c:v>255.99080000000001</c:v>
                </c:pt>
                <c:pt idx="374">
                  <c:v>256.26980000000003</c:v>
                </c:pt>
                <c:pt idx="375">
                  <c:v>256.61190000000005</c:v>
                </c:pt>
                <c:pt idx="376">
                  <c:v>257.00820000000004</c:v>
                </c:pt>
                <c:pt idx="377">
                  <c:v>257.44020000000012</c:v>
                </c:pt>
                <c:pt idx="378">
                  <c:v>257.79740000000015</c:v>
                </c:pt>
                <c:pt idx="379">
                  <c:v>258.14070000000009</c:v>
                </c:pt>
                <c:pt idx="380">
                  <c:v>258.42310000000009</c:v>
                </c:pt>
                <c:pt idx="381">
                  <c:v>258.64620000000008</c:v>
                </c:pt>
                <c:pt idx="382">
                  <c:v>258.85340000000014</c:v>
                </c:pt>
                <c:pt idx="383">
                  <c:v>259.0372000000001</c:v>
                </c:pt>
                <c:pt idx="384">
                  <c:v>259.20900000000006</c:v>
                </c:pt>
                <c:pt idx="385">
                  <c:v>259.41420000000011</c:v>
                </c:pt>
                <c:pt idx="386">
                  <c:v>259.65420000000012</c:v>
                </c:pt>
                <c:pt idx="387">
                  <c:v>259.92380000000009</c:v>
                </c:pt>
                <c:pt idx="388">
                  <c:v>260.18500000000006</c:v>
                </c:pt>
                <c:pt idx="389">
                  <c:v>260.47280000000001</c:v>
                </c:pt>
                <c:pt idx="390">
                  <c:v>260.55350000000004</c:v>
                </c:pt>
                <c:pt idx="391">
                  <c:v>260.64880000000005</c:v>
                </c:pt>
                <c:pt idx="392">
                  <c:v>260.74880000000007</c:v>
                </c:pt>
                <c:pt idx="393">
                  <c:v>260.85940000000005</c:v>
                </c:pt>
                <c:pt idx="394">
                  <c:v>260.9751</c:v>
                </c:pt>
                <c:pt idx="395">
                  <c:v>260.89120000000003</c:v>
                </c:pt>
                <c:pt idx="396">
                  <c:v>260.82270000000005</c:v>
                </c:pt>
                <c:pt idx="397">
                  <c:v>260.85300000000001</c:v>
                </c:pt>
                <c:pt idx="398">
                  <c:v>260.86340000000001</c:v>
                </c:pt>
                <c:pt idx="399">
                  <c:v>260.9282</c:v>
                </c:pt>
                <c:pt idx="400">
                  <c:v>260.94630000000001</c:v>
                </c:pt>
                <c:pt idx="401">
                  <c:v>260.83929999999998</c:v>
                </c:pt>
                <c:pt idx="402">
                  <c:v>260.7328</c:v>
                </c:pt>
                <c:pt idx="403">
                  <c:v>260.55759999999992</c:v>
                </c:pt>
                <c:pt idx="404">
                  <c:v>260.52509999999995</c:v>
                </c:pt>
                <c:pt idx="405">
                  <c:v>260.45749999999998</c:v>
                </c:pt>
                <c:pt idx="406">
                  <c:v>260.37019999999995</c:v>
                </c:pt>
                <c:pt idx="407">
                  <c:v>260.26569999999992</c:v>
                </c:pt>
                <c:pt idx="408">
                  <c:v>260.17509999999993</c:v>
                </c:pt>
                <c:pt idx="409">
                  <c:v>260.13849999999996</c:v>
                </c:pt>
                <c:pt idx="410">
                  <c:v>260.09249999999997</c:v>
                </c:pt>
                <c:pt idx="411">
                  <c:v>260.02679999999998</c:v>
                </c:pt>
                <c:pt idx="412">
                  <c:v>259.91769999999991</c:v>
                </c:pt>
                <c:pt idx="413">
                  <c:v>259.84419999999989</c:v>
                </c:pt>
                <c:pt idx="414">
                  <c:v>259.85769999999991</c:v>
                </c:pt>
                <c:pt idx="415">
                  <c:v>260.04019999999991</c:v>
                </c:pt>
                <c:pt idx="416">
                  <c:v>260.21729999999997</c:v>
                </c:pt>
                <c:pt idx="417">
                  <c:v>260.42199999999991</c:v>
                </c:pt>
                <c:pt idx="418">
                  <c:v>260.5098999999999</c:v>
                </c:pt>
                <c:pt idx="419">
                  <c:v>260.68619999999993</c:v>
                </c:pt>
                <c:pt idx="420">
                  <c:v>260.81669999999991</c:v>
                </c:pt>
                <c:pt idx="421">
                  <c:v>260.98699999999991</c:v>
                </c:pt>
                <c:pt idx="422">
                  <c:v>261.17109999999991</c:v>
                </c:pt>
                <c:pt idx="423">
                  <c:v>261.35419999999993</c:v>
                </c:pt>
                <c:pt idx="424">
                  <c:v>261.53619999999995</c:v>
                </c:pt>
                <c:pt idx="425">
                  <c:v>261.70839999999987</c:v>
                </c:pt>
                <c:pt idx="426">
                  <c:v>261.8617999999999</c:v>
                </c:pt>
                <c:pt idx="427">
                  <c:v>261.98219999999992</c:v>
                </c:pt>
                <c:pt idx="428">
                  <c:v>262.27969999999999</c:v>
                </c:pt>
                <c:pt idx="429">
                  <c:v>262.60559999999998</c:v>
                </c:pt>
                <c:pt idx="430">
                  <c:v>262.90800000000002</c:v>
                </c:pt>
                <c:pt idx="431">
                  <c:v>263.2278</c:v>
                </c:pt>
                <c:pt idx="432">
                  <c:v>263.53199999999998</c:v>
                </c:pt>
                <c:pt idx="433">
                  <c:v>263.8107</c:v>
                </c:pt>
                <c:pt idx="434">
                  <c:v>264.1696</c:v>
                </c:pt>
                <c:pt idx="435">
                  <c:v>264.52089999999998</c:v>
                </c:pt>
                <c:pt idx="436">
                  <c:v>264.82769999999999</c:v>
                </c:pt>
                <c:pt idx="437">
                  <c:v>265.11560000000003</c:v>
                </c:pt>
                <c:pt idx="438">
                  <c:v>265.43910000000005</c:v>
                </c:pt>
                <c:pt idx="439">
                  <c:v>265.81430000000006</c:v>
                </c:pt>
                <c:pt idx="440">
                  <c:v>266.16110000000009</c:v>
                </c:pt>
                <c:pt idx="441">
                  <c:v>266.46940000000006</c:v>
                </c:pt>
                <c:pt idx="442">
                  <c:v>266.82990000000001</c:v>
                </c:pt>
                <c:pt idx="443">
                  <c:v>267.05770000000007</c:v>
                </c:pt>
                <c:pt idx="444">
                  <c:v>267.2724</c:v>
                </c:pt>
                <c:pt idx="445">
                  <c:v>267.36649999999997</c:v>
                </c:pt>
                <c:pt idx="446">
                  <c:v>267.4692</c:v>
                </c:pt>
                <c:pt idx="447">
                  <c:v>267.62200000000007</c:v>
                </c:pt>
                <c:pt idx="448">
                  <c:v>267.84580000000005</c:v>
                </c:pt>
                <c:pt idx="449">
                  <c:v>268.01920000000007</c:v>
                </c:pt>
                <c:pt idx="450">
                  <c:v>268.19970000000001</c:v>
                </c:pt>
                <c:pt idx="451">
                  <c:v>268.43380000000002</c:v>
                </c:pt>
                <c:pt idx="452">
                  <c:v>268.66740000000004</c:v>
                </c:pt>
                <c:pt idx="453">
                  <c:v>268.95190000000002</c:v>
                </c:pt>
                <c:pt idx="454">
                  <c:v>269.16289999999998</c:v>
                </c:pt>
                <c:pt idx="455">
                  <c:v>269.58549999999997</c:v>
                </c:pt>
                <c:pt idx="456">
                  <c:v>270.06119999999993</c:v>
                </c:pt>
                <c:pt idx="457">
                  <c:v>270.51829999999995</c:v>
                </c:pt>
                <c:pt idx="458">
                  <c:v>270.91169999999994</c:v>
                </c:pt>
                <c:pt idx="459">
                  <c:v>271.29149999999998</c:v>
                </c:pt>
                <c:pt idx="460">
                  <c:v>271.60320000000002</c:v>
                </c:pt>
                <c:pt idx="461">
                  <c:v>271.83529999999996</c:v>
                </c:pt>
                <c:pt idx="462">
                  <c:v>272.0335</c:v>
                </c:pt>
                <c:pt idx="463">
                  <c:v>272.32900000000001</c:v>
                </c:pt>
                <c:pt idx="464">
                  <c:v>272.63489999999996</c:v>
                </c:pt>
                <c:pt idx="465">
                  <c:v>272.86819999999994</c:v>
                </c:pt>
                <c:pt idx="466">
                  <c:v>273.12740000000002</c:v>
                </c:pt>
                <c:pt idx="467">
                  <c:v>273.45490000000001</c:v>
                </c:pt>
                <c:pt idx="468">
                  <c:v>273.71289999999999</c:v>
                </c:pt>
                <c:pt idx="469">
                  <c:v>273.8236</c:v>
                </c:pt>
                <c:pt idx="470">
                  <c:v>273.9699</c:v>
                </c:pt>
                <c:pt idx="471">
                  <c:v>274.02229999999997</c:v>
                </c:pt>
                <c:pt idx="472">
                  <c:v>274.02479999999997</c:v>
                </c:pt>
                <c:pt idx="473">
                  <c:v>273.96229999999997</c:v>
                </c:pt>
                <c:pt idx="474">
                  <c:v>273.95429999999999</c:v>
                </c:pt>
                <c:pt idx="475">
                  <c:v>274.05219999999991</c:v>
                </c:pt>
                <c:pt idx="476">
                  <c:v>274.17369999999994</c:v>
                </c:pt>
                <c:pt idx="477">
                  <c:v>274.29379999999992</c:v>
                </c:pt>
                <c:pt idx="478">
                  <c:v>274.42169999999993</c:v>
                </c:pt>
                <c:pt idx="479">
                  <c:v>274.60609999999997</c:v>
                </c:pt>
                <c:pt idx="480">
                  <c:v>274.78849999999994</c:v>
                </c:pt>
                <c:pt idx="481">
                  <c:v>274.97039999999998</c:v>
                </c:pt>
                <c:pt idx="482">
                  <c:v>275.15869999999995</c:v>
                </c:pt>
                <c:pt idx="483">
                  <c:v>275.41159999999996</c:v>
                </c:pt>
                <c:pt idx="484">
                  <c:v>275.67179999999991</c:v>
                </c:pt>
                <c:pt idx="485">
                  <c:v>275.94359999999995</c:v>
                </c:pt>
                <c:pt idx="486">
                  <c:v>276.1896999999999</c:v>
                </c:pt>
                <c:pt idx="487">
                  <c:v>276.46929999999992</c:v>
                </c:pt>
                <c:pt idx="488">
                  <c:v>276.75709999999987</c:v>
                </c:pt>
                <c:pt idx="489">
                  <c:v>277.0293999999999</c:v>
                </c:pt>
                <c:pt idx="490">
                  <c:v>277.51089999999988</c:v>
                </c:pt>
                <c:pt idx="491">
                  <c:v>277.94549999999992</c:v>
                </c:pt>
                <c:pt idx="492">
                  <c:v>278.34659999999991</c:v>
                </c:pt>
                <c:pt idx="493">
                  <c:v>278.72699999999992</c:v>
                </c:pt>
                <c:pt idx="494">
                  <c:v>279.13419999999991</c:v>
                </c:pt>
                <c:pt idx="495">
                  <c:v>279.6305999999999</c:v>
                </c:pt>
                <c:pt idx="496">
                  <c:v>280.16789999999992</c:v>
                </c:pt>
                <c:pt idx="497">
                  <c:v>280.69369999999992</c:v>
                </c:pt>
                <c:pt idx="498">
                  <c:v>281.23789999999991</c:v>
                </c:pt>
                <c:pt idx="499">
                  <c:v>281.77249999999992</c:v>
                </c:pt>
                <c:pt idx="500">
                  <c:v>282.2913999999999</c:v>
                </c:pt>
                <c:pt idx="501">
                  <c:v>282.8307999999999</c:v>
                </c:pt>
                <c:pt idx="502">
                  <c:v>283.38279999999986</c:v>
                </c:pt>
                <c:pt idx="503">
                  <c:v>283.98479999999995</c:v>
                </c:pt>
                <c:pt idx="504">
                  <c:v>284.60879999999992</c:v>
                </c:pt>
                <c:pt idx="505">
                  <c:v>285.20499999999998</c:v>
                </c:pt>
                <c:pt idx="506">
                  <c:v>285.83499999999992</c:v>
                </c:pt>
                <c:pt idx="507">
                  <c:v>286.48269999999991</c:v>
                </c:pt>
                <c:pt idx="508">
                  <c:v>287.19169999999997</c:v>
                </c:pt>
                <c:pt idx="509">
                  <c:v>287.79779999999994</c:v>
                </c:pt>
                <c:pt idx="510">
                  <c:v>288.49409999999989</c:v>
                </c:pt>
                <c:pt idx="511">
                  <c:v>289.05269999999996</c:v>
                </c:pt>
                <c:pt idx="512">
                  <c:v>289.71509999999989</c:v>
                </c:pt>
                <c:pt idx="513">
                  <c:v>290.20229999999992</c:v>
                </c:pt>
                <c:pt idx="514">
                  <c:v>290.72929999999991</c:v>
                </c:pt>
                <c:pt idx="515">
                  <c:v>291.2186999999999</c:v>
                </c:pt>
                <c:pt idx="516">
                  <c:v>291.70819999999992</c:v>
                </c:pt>
                <c:pt idx="517">
                  <c:v>292.25649999999996</c:v>
                </c:pt>
                <c:pt idx="518">
                  <c:v>292.75409999999994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D6-4BD7-9A88-E86D22DA4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227167"/>
        <c:axId val="1738240607"/>
      </c:lineChart>
      <c:dateAx>
        <c:axId val="1738227167"/>
        <c:scaling>
          <c:orientation val="minMax"/>
          <c:min val="45658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240607"/>
        <c:crosses val="autoZero"/>
        <c:auto val="1"/>
        <c:lblOffset val="100"/>
        <c:baseTimeUnit val="days"/>
      </c:dateAx>
      <c:valAx>
        <c:axId val="1738240607"/>
        <c:scaling>
          <c:orientation val="minMax"/>
          <c:min val="2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22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Dividends!$A$2:$A$107</c:f>
              <c:numCache>
                <c:formatCode>yyyy\-mm\-dd</c:formatCode>
                <c:ptCount val="106"/>
                <c:pt idx="0">
                  <c:v>36564</c:v>
                </c:pt>
                <c:pt idx="1">
                  <c:v>36654</c:v>
                </c:pt>
                <c:pt idx="2">
                  <c:v>36746</c:v>
                </c:pt>
                <c:pt idx="3">
                  <c:v>36838</c:v>
                </c:pt>
                <c:pt idx="4">
                  <c:v>36929</c:v>
                </c:pt>
                <c:pt idx="5">
                  <c:v>37019</c:v>
                </c:pt>
                <c:pt idx="6">
                  <c:v>37111</c:v>
                </c:pt>
                <c:pt idx="7">
                  <c:v>37202</c:v>
                </c:pt>
                <c:pt idx="8">
                  <c:v>37293</c:v>
                </c:pt>
                <c:pt idx="9">
                  <c:v>37384</c:v>
                </c:pt>
                <c:pt idx="10">
                  <c:v>37475</c:v>
                </c:pt>
                <c:pt idx="11">
                  <c:v>37566</c:v>
                </c:pt>
                <c:pt idx="12">
                  <c:v>37658</c:v>
                </c:pt>
                <c:pt idx="13">
                  <c:v>37748</c:v>
                </c:pt>
                <c:pt idx="14">
                  <c:v>37839</c:v>
                </c:pt>
                <c:pt idx="15">
                  <c:v>37931</c:v>
                </c:pt>
                <c:pt idx="16">
                  <c:v>38023</c:v>
                </c:pt>
                <c:pt idx="17">
                  <c:v>38113</c:v>
                </c:pt>
                <c:pt idx="18">
                  <c:v>38205</c:v>
                </c:pt>
                <c:pt idx="19">
                  <c:v>38299</c:v>
                </c:pt>
                <c:pt idx="20">
                  <c:v>38391</c:v>
                </c:pt>
                <c:pt idx="21">
                  <c:v>38478</c:v>
                </c:pt>
                <c:pt idx="22">
                  <c:v>38572</c:v>
                </c:pt>
                <c:pt idx="23">
                  <c:v>38664</c:v>
                </c:pt>
                <c:pt idx="24">
                  <c:v>38756</c:v>
                </c:pt>
                <c:pt idx="25">
                  <c:v>38845</c:v>
                </c:pt>
                <c:pt idx="26">
                  <c:v>38937</c:v>
                </c:pt>
                <c:pt idx="27">
                  <c:v>39029</c:v>
                </c:pt>
                <c:pt idx="28">
                  <c:v>39120</c:v>
                </c:pt>
                <c:pt idx="29">
                  <c:v>39210</c:v>
                </c:pt>
                <c:pt idx="30">
                  <c:v>39302</c:v>
                </c:pt>
                <c:pt idx="31">
                  <c:v>39393</c:v>
                </c:pt>
                <c:pt idx="32">
                  <c:v>39484</c:v>
                </c:pt>
                <c:pt idx="33">
                  <c:v>39575</c:v>
                </c:pt>
                <c:pt idx="34">
                  <c:v>39666</c:v>
                </c:pt>
                <c:pt idx="35">
                  <c:v>39758</c:v>
                </c:pt>
                <c:pt idx="36">
                  <c:v>39850</c:v>
                </c:pt>
                <c:pt idx="37">
                  <c:v>39939</c:v>
                </c:pt>
                <c:pt idx="38">
                  <c:v>40031</c:v>
                </c:pt>
                <c:pt idx="39">
                  <c:v>40123</c:v>
                </c:pt>
                <c:pt idx="40">
                  <c:v>40217</c:v>
                </c:pt>
                <c:pt idx="41">
                  <c:v>40304</c:v>
                </c:pt>
                <c:pt idx="42">
                  <c:v>40396</c:v>
                </c:pt>
                <c:pt idx="43">
                  <c:v>40490</c:v>
                </c:pt>
                <c:pt idx="44">
                  <c:v>40582</c:v>
                </c:pt>
                <c:pt idx="45">
                  <c:v>40669</c:v>
                </c:pt>
                <c:pt idx="46">
                  <c:v>40763</c:v>
                </c:pt>
                <c:pt idx="47">
                  <c:v>40855</c:v>
                </c:pt>
                <c:pt idx="48">
                  <c:v>40947</c:v>
                </c:pt>
                <c:pt idx="49">
                  <c:v>41037</c:v>
                </c:pt>
                <c:pt idx="50">
                  <c:v>41129</c:v>
                </c:pt>
                <c:pt idx="51">
                  <c:v>41220</c:v>
                </c:pt>
                <c:pt idx="52">
                  <c:v>41311</c:v>
                </c:pt>
                <c:pt idx="53">
                  <c:v>41402</c:v>
                </c:pt>
                <c:pt idx="54">
                  <c:v>41493</c:v>
                </c:pt>
                <c:pt idx="55">
                  <c:v>41584</c:v>
                </c:pt>
                <c:pt idx="56">
                  <c:v>41676</c:v>
                </c:pt>
                <c:pt idx="57">
                  <c:v>41766</c:v>
                </c:pt>
                <c:pt idx="58">
                  <c:v>41857</c:v>
                </c:pt>
                <c:pt idx="59">
                  <c:v>41949</c:v>
                </c:pt>
                <c:pt idx="60">
                  <c:v>42041</c:v>
                </c:pt>
                <c:pt idx="61">
                  <c:v>42130</c:v>
                </c:pt>
                <c:pt idx="62">
                  <c:v>42222</c:v>
                </c:pt>
                <c:pt idx="63">
                  <c:v>42314</c:v>
                </c:pt>
                <c:pt idx="64">
                  <c:v>42408</c:v>
                </c:pt>
                <c:pt idx="65">
                  <c:v>42496</c:v>
                </c:pt>
                <c:pt idx="66">
                  <c:v>42590</c:v>
                </c:pt>
                <c:pt idx="67">
                  <c:v>42682</c:v>
                </c:pt>
                <c:pt idx="68">
                  <c:v>42774</c:v>
                </c:pt>
                <c:pt idx="69">
                  <c:v>42863</c:v>
                </c:pt>
                <c:pt idx="70">
                  <c:v>42955</c:v>
                </c:pt>
                <c:pt idx="71">
                  <c:v>43048</c:v>
                </c:pt>
                <c:pt idx="72">
                  <c:v>43139</c:v>
                </c:pt>
                <c:pt idx="73">
                  <c:v>43229</c:v>
                </c:pt>
                <c:pt idx="74">
                  <c:v>43321</c:v>
                </c:pt>
                <c:pt idx="75">
                  <c:v>43412</c:v>
                </c:pt>
                <c:pt idx="76">
                  <c:v>43503</c:v>
                </c:pt>
                <c:pt idx="77">
                  <c:v>43594</c:v>
                </c:pt>
                <c:pt idx="78">
                  <c:v>43685</c:v>
                </c:pt>
                <c:pt idx="79">
                  <c:v>43776</c:v>
                </c:pt>
                <c:pt idx="80">
                  <c:v>43868</c:v>
                </c:pt>
                <c:pt idx="81">
                  <c:v>43958</c:v>
                </c:pt>
                <c:pt idx="82">
                  <c:v>44050</c:v>
                </c:pt>
                <c:pt idx="83">
                  <c:v>44144</c:v>
                </c:pt>
                <c:pt idx="84">
                  <c:v>44236</c:v>
                </c:pt>
                <c:pt idx="85">
                  <c:v>44323</c:v>
                </c:pt>
                <c:pt idx="86">
                  <c:v>44417</c:v>
                </c:pt>
                <c:pt idx="87">
                  <c:v>44509</c:v>
                </c:pt>
                <c:pt idx="88">
                  <c:v>44602</c:v>
                </c:pt>
                <c:pt idx="89">
                  <c:v>44690</c:v>
                </c:pt>
                <c:pt idx="90">
                  <c:v>44782</c:v>
                </c:pt>
                <c:pt idx="91">
                  <c:v>44874</c:v>
                </c:pt>
                <c:pt idx="92">
                  <c:v>44966</c:v>
                </c:pt>
                <c:pt idx="93">
                  <c:v>45055</c:v>
                </c:pt>
                <c:pt idx="94">
                  <c:v>45147</c:v>
                </c:pt>
                <c:pt idx="95">
                  <c:v>45239</c:v>
                </c:pt>
                <c:pt idx="96">
                  <c:v>45330</c:v>
                </c:pt>
                <c:pt idx="97">
                  <c:v>45421</c:v>
                </c:pt>
                <c:pt idx="98">
                  <c:v>45513</c:v>
                </c:pt>
                <c:pt idx="99">
                  <c:v>45608</c:v>
                </c:pt>
                <c:pt idx="100">
                  <c:v>45698</c:v>
                </c:pt>
                <c:pt idx="101">
                  <c:v>45786</c:v>
                </c:pt>
                <c:pt idx="102">
                  <c:v>45877</c:v>
                </c:pt>
                <c:pt idx="103">
                  <c:v>45971</c:v>
                </c:pt>
              </c:numCache>
            </c:numRef>
          </c:cat>
          <c:val>
            <c:numRef>
              <c:f>Dividends!$B$2:$B$107</c:f>
              <c:numCache>
                <c:formatCode>General</c:formatCode>
                <c:ptCount val="106"/>
                <c:pt idx="0">
                  <c:v>0.11472300000000001</c:v>
                </c:pt>
                <c:pt idx="1">
                  <c:v>0.124283</c:v>
                </c:pt>
                <c:pt idx="2">
                  <c:v>0.124283</c:v>
                </c:pt>
                <c:pt idx="3">
                  <c:v>0.124283</c:v>
                </c:pt>
                <c:pt idx="4">
                  <c:v>0.124283</c:v>
                </c:pt>
                <c:pt idx="5">
                  <c:v>0.13384299999999999</c:v>
                </c:pt>
                <c:pt idx="6">
                  <c:v>0.13384299999999999</c:v>
                </c:pt>
                <c:pt idx="7">
                  <c:v>0.13384299999999999</c:v>
                </c:pt>
                <c:pt idx="8">
                  <c:v>0.13384299999999999</c:v>
                </c:pt>
                <c:pt idx="9">
                  <c:v>0.143403</c:v>
                </c:pt>
                <c:pt idx="10">
                  <c:v>0.143403</c:v>
                </c:pt>
                <c:pt idx="11">
                  <c:v>0.143403</c:v>
                </c:pt>
                <c:pt idx="12">
                  <c:v>0.143403</c:v>
                </c:pt>
                <c:pt idx="13">
                  <c:v>0.15296399999999999</c:v>
                </c:pt>
                <c:pt idx="14">
                  <c:v>0.15296399999999999</c:v>
                </c:pt>
                <c:pt idx="15">
                  <c:v>0.15296399999999999</c:v>
                </c:pt>
                <c:pt idx="16">
                  <c:v>0.15296399999999999</c:v>
                </c:pt>
                <c:pt idx="17">
                  <c:v>0.17208399999999999</c:v>
                </c:pt>
                <c:pt idx="18">
                  <c:v>0.17208399999999999</c:v>
                </c:pt>
                <c:pt idx="19">
                  <c:v>0.17208399999999999</c:v>
                </c:pt>
                <c:pt idx="20">
                  <c:v>0.17208399999999999</c:v>
                </c:pt>
                <c:pt idx="21">
                  <c:v>0.19120500000000001</c:v>
                </c:pt>
                <c:pt idx="22">
                  <c:v>0.19120500000000001</c:v>
                </c:pt>
                <c:pt idx="23">
                  <c:v>0.19120500000000001</c:v>
                </c:pt>
                <c:pt idx="24">
                  <c:v>0.19120500000000001</c:v>
                </c:pt>
                <c:pt idx="25">
                  <c:v>0.28680699999999998</c:v>
                </c:pt>
                <c:pt idx="26">
                  <c:v>0.28680699999999998</c:v>
                </c:pt>
                <c:pt idx="27">
                  <c:v>0.28680699999999998</c:v>
                </c:pt>
                <c:pt idx="28">
                  <c:v>0.28680699999999998</c:v>
                </c:pt>
                <c:pt idx="29">
                  <c:v>0.382409</c:v>
                </c:pt>
                <c:pt idx="30">
                  <c:v>0.382409</c:v>
                </c:pt>
                <c:pt idx="31">
                  <c:v>0.382409</c:v>
                </c:pt>
                <c:pt idx="32">
                  <c:v>0.382409</c:v>
                </c:pt>
                <c:pt idx="33">
                  <c:v>0.47801100000000002</c:v>
                </c:pt>
                <c:pt idx="34">
                  <c:v>0.47801100000000002</c:v>
                </c:pt>
                <c:pt idx="35">
                  <c:v>0.47801100000000002</c:v>
                </c:pt>
                <c:pt idx="36">
                  <c:v>0.47801100000000002</c:v>
                </c:pt>
                <c:pt idx="37">
                  <c:v>0.52581299999999997</c:v>
                </c:pt>
                <c:pt idx="38">
                  <c:v>0.52581299999999997</c:v>
                </c:pt>
                <c:pt idx="39">
                  <c:v>0.52581299999999997</c:v>
                </c:pt>
                <c:pt idx="40">
                  <c:v>0.52581299999999997</c:v>
                </c:pt>
                <c:pt idx="41">
                  <c:v>0.62141500000000005</c:v>
                </c:pt>
                <c:pt idx="42">
                  <c:v>0.62141500000000005</c:v>
                </c:pt>
                <c:pt idx="43">
                  <c:v>0.62141500000000005</c:v>
                </c:pt>
                <c:pt idx="44">
                  <c:v>0.62141500000000005</c:v>
                </c:pt>
                <c:pt idx="45">
                  <c:v>0.71701700000000002</c:v>
                </c:pt>
                <c:pt idx="46">
                  <c:v>0.71701700000000002</c:v>
                </c:pt>
                <c:pt idx="47">
                  <c:v>0.71701700000000002</c:v>
                </c:pt>
                <c:pt idx="48">
                  <c:v>0.71701700000000002</c:v>
                </c:pt>
                <c:pt idx="49">
                  <c:v>0.81262000000000001</c:v>
                </c:pt>
                <c:pt idx="50">
                  <c:v>0.81262000000000001</c:v>
                </c:pt>
                <c:pt idx="51">
                  <c:v>0.81262000000000001</c:v>
                </c:pt>
                <c:pt idx="52">
                  <c:v>0.81262000000000001</c:v>
                </c:pt>
                <c:pt idx="53">
                  <c:v>0.90822199999999997</c:v>
                </c:pt>
                <c:pt idx="54">
                  <c:v>0.90822199999999997</c:v>
                </c:pt>
                <c:pt idx="55">
                  <c:v>0.90822199999999997</c:v>
                </c:pt>
                <c:pt idx="56">
                  <c:v>0.90822199999999997</c:v>
                </c:pt>
                <c:pt idx="57">
                  <c:v>1.051625</c:v>
                </c:pt>
                <c:pt idx="58">
                  <c:v>1.051625</c:v>
                </c:pt>
                <c:pt idx="59">
                  <c:v>1.051625</c:v>
                </c:pt>
                <c:pt idx="60">
                  <c:v>1.051625</c:v>
                </c:pt>
                <c:pt idx="61">
                  <c:v>1.2428300000000001</c:v>
                </c:pt>
                <c:pt idx="62">
                  <c:v>1.2428300000000001</c:v>
                </c:pt>
                <c:pt idx="63">
                  <c:v>1.2428300000000001</c:v>
                </c:pt>
                <c:pt idx="64">
                  <c:v>1.2428300000000001</c:v>
                </c:pt>
                <c:pt idx="65">
                  <c:v>1.3384320000000001</c:v>
                </c:pt>
                <c:pt idx="66">
                  <c:v>1.3384320000000001</c:v>
                </c:pt>
                <c:pt idx="67">
                  <c:v>1.3384320000000001</c:v>
                </c:pt>
                <c:pt idx="68">
                  <c:v>1.3384320000000001</c:v>
                </c:pt>
                <c:pt idx="69">
                  <c:v>1.434034</c:v>
                </c:pt>
                <c:pt idx="70">
                  <c:v>1.434034</c:v>
                </c:pt>
                <c:pt idx="71">
                  <c:v>1.434034</c:v>
                </c:pt>
                <c:pt idx="72">
                  <c:v>1.434034</c:v>
                </c:pt>
                <c:pt idx="73">
                  <c:v>1.500956</c:v>
                </c:pt>
                <c:pt idx="74">
                  <c:v>1.500956</c:v>
                </c:pt>
                <c:pt idx="75">
                  <c:v>1.500956</c:v>
                </c:pt>
                <c:pt idx="76">
                  <c:v>1.500956</c:v>
                </c:pt>
                <c:pt idx="77">
                  <c:v>1.5487569999999999</c:v>
                </c:pt>
                <c:pt idx="78">
                  <c:v>1.5487569999999999</c:v>
                </c:pt>
                <c:pt idx="79">
                  <c:v>1.5487569999999999</c:v>
                </c:pt>
                <c:pt idx="80">
                  <c:v>1.5487569999999999</c:v>
                </c:pt>
                <c:pt idx="81">
                  <c:v>1.558317</c:v>
                </c:pt>
                <c:pt idx="82">
                  <c:v>1.558317</c:v>
                </c:pt>
                <c:pt idx="83">
                  <c:v>1.558317</c:v>
                </c:pt>
                <c:pt idx="84">
                  <c:v>1.558317</c:v>
                </c:pt>
                <c:pt idx="85">
                  <c:v>1.5678780000000001</c:v>
                </c:pt>
                <c:pt idx="86">
                  <c:v>1.5678780000000001</c:v>
                </c:pt>
                <c:pt idx="87">
                  <c:v>1.64</c:v>
                </c:pt>
                <c:pt idx="88">
                  <c:v>1.64</c:v>
                </c:pt>
                <c:pt idx="89">
                  <c:v>1.65</c:v>
                </c:pt>
                <c:pt idx="90">
                  <c:v>1.65</c:v>
                </c:pt>
                <c:pt idx="91">
                  <c:v>1.65</c:v>
                </c:pt>
                <c:pt idx="92">
                  <c:v>1.65</c:v>
                </c:pt>
                <c:pt idx="93">
                  <c:v>1.66</c:v>
                </c:pt>
                <c:pt idx="94">
                  <c:v>1.66</c:v>
                </c:pt>
                <c:pt idx="95">
                  <c:v>1.66</c:v>
                </c:pt>
                <c:pt idx="96">
                  <c:v>1.66</c:v>
                </c:pt>
                <c:pt idx="97">
                  <c:v>1.67</c:v>
                </c:pt>
                <c:pt idx="98">
                  <c:v>1.67</c:v>
                </c:pt>
                <c:pt idx="99">
                  <c:v>1.67</c:v>
                </c:pt>
                <c:pt idx="100">
                  <c:v>1.67</c:v>
                </c:pt>
                <c:pt idx="101">
                  <c:v>1.68</c:v>
                </c:pt>
                <c:pt idx="102">
                  <c:v>1.68</c:v>
                </c:pt>
                <c:pt idx="103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D-4058-B17F-C5A023B5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607471"/>
        <c:axId val="1731606511"/>
      </c:barChart>
      <c:dateAx>
        <c:axId val="173160747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06511"/>
        <c:crosses val="autoZero"/>
        <c:auto val="1"/>
        <c:lblOffset val="100"/>
        <c:baseTimeUnit val="months"/>
      </c:dateAx>
      <c:valAx>
        <c:axId val="173160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0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160.405</c:v>
                </c:pt>
                <c:pt idx="1">
                  <c:v>162.08199999999999</c:v>
                </c:pt>
                <c:pt idx="2">
                  <c:v>167.84</c:v>
                </c:pt>
                <c:pt idx="3">
                  <c:v>179.71</c:v>
                </c:pt>
                <c:pt idx="4">
                  <c:v>186.27199999999999</c:v>
                </c:pt>
                <c:pt idx="5">
                  <c:v>184.25399999999999</c:v>
                </c:pt>
                <c:pt idx="6">
                  <c:v>185.58799999999999</c:v>
                </c:pt>
                <c:pt idx="7">
                  <c:v>183.26749999999998</c:v>
                </c:pt>
                <c:pt idx="8">
                  <c:v>185.506</c:v>
                </c:pt>
                <c:pt idx="9">
                  <c:v>194.732</c:v>
                </c:pt>
                <c:pt idx="10">
                  <c:v>194.142</c:v>
                </c:pt>
                <c:pt idx="11">
                  <c:v>192.346</c:v>
                </c:pt>
                <c:pt idx="12">
                  <c:v>189.76249999999999</c:v>
                </c:pt>
                <c:pt idx="13">
                  <c:v>189.33799999999999</c:v>
                </c:pt>
                <c:pt idx="14">
                  <c:v>186.66800000000001</c:v>
                </c:pt>
                <c:pt idx="15">
                  <c:v>182.23</c:v>
                </c:pt>
                <c:pt idx="16">
                  <c:v>176.846</c:v>
                </c:pt>
                <c:pt idx="17">
                  <c:v>165.69200000000001</c:v>
                </c:pt>
                <c:pt idx="18">
                  <c:v>168.06200000000001</c:v>
                </c:pt>
                <c:pt idx="19">
                  <c:v>168.23599999999999</c:v>
                </c:pt>
                <c:pt idx="20">
                  <c:v>171.72799999999998</c:v>
                </c:pt>
                <c:pt idx="21">
                  <c:v>167.29750000000001</c:v>
                </c:pt>
                <c:pt idx="22">
                  <c:v>167.33599999999998</c:v>
                </c:pt>
                <c:pt idx="23">
                  <c:v>169.40600000000001</c:v>
                </c:pt>
                <c:pt idx="24">
                  <c:v>171.60750000000002</c:v>
                </c:pt>
                <c:pt idx="25">
                  <c:v>172.65600000000001</c:v>
                </c:pt>
                <c:pt idx="26">
                  <c:v>176.03749999999999</c:v>
                </c:pt>
                <c:pt idx="27">
                  <c:v>178.62</c:v>
                </c:pt>
                <c:pt idx="28">
                  <c:v>184.922</c:v>
                </c:pt>
                <c:pt idx="29">
                  <c:v>187.2</c:v>
                </c:pt>
                <c:pt idx="30">
                  <c:v>190.69200000000001</c:v>
                </c:pt>
                <c:pt idx="31">
                  <c:v>188.19400000000002</c:v>
                </c:pt>
                <c:pt idx="32">
                  <c:v>192.10399999999998</c:v>
                </c:pt>
                <c:pt idx="33">
                  <c:v>196.006</c:v>
                </c:pt>
                <c:pt idx="34">
                  <c:v>199.24</c:v>
                </c:pt>
                <c:pt idx="35">
                  <c:v>202.18</c:v>
                </c:pt>
                <c:pt idx="36">
                  <c:v>209.02799999999999</c:v>
                </c:pt>
                <c:pt idx="37">
                  <c:v>215.56399999999999</c:v>
                </c:pt>
                <c:pt idx="38">
                  <c:v>221.39400000000001</c:v>
                </c:pt>
                <c:pt idx="39">
                  <c:v>221.77600000000001</c:v>
                </c:pt>
                <c:pt idx="40">
                  <c:v>231.26400000000001</c:v>
                </c:pt>
                <c:pt idx="41">
                  <c:v>233.39400000000001</c:v>
                </c:pt>
                <c:pt idx="42">
                  <c:v>225.96199999999999</c:v>
                </c:pt>
                <c:pt idx="43">
                  <c:v>208.642</c:v>
                </c:pt>
                <c:pt idx="44">
                  <c:v>210.98</c:v>
                </c:pt>
                <c:pt idx="45">
                  <c:v>209.86600000000001</c:v>
                </c:pt>
                <c:pt idx="46">
                  <c:v>215.66200000000001</c:v>
                </c:pt>
                <c:pt idx="47">
                  <c:v>227.32249999999999</c:v>
                </c:pt>
                <c:pt idx="48">
                  <c:v>232.53399999999999</c:v>
                </c:pt>
                <c:pt idx="49">
                  <c:v>230.98400000000001</c:v>
                </c:pt>
                <c:pt idx="50">
                  <c:v>225.15</c:v>
                </c:pt>
                <c:pt idx="51">
                  <c:v>223.5025</c:v>
                </c:pt>
                <c:pt idx="52">
                  <c:v>220.66750000000002</c:v>
                </c:pt>
                <c:pt idx="53">
                  <c:v>222.39</c:v>
                </c:pt>
                <c:pt idx="54">
                  <c:v>220.52600000000001</c:v>
                </c:pt>
                <c:pt idx="55">
                  <c:v>224.59</c:v>
                </c:pt>
                <c:pt idx="56">
                  <c:v>238.47799999999998</c:v>
                </c:pt>
                <c:pt idx="57">
                  <c:v>258.85399999999998</c:v>
                </c:pt>
                <c:pt idx="58">
                  <c:v>256.05</c:v>
                </c:pt>
                <c:pt idx="59">
                  <c:v>263.40250000000003</c:v>
                </c:pt>
                <c:pt idx="60">
                  <c:v>256.226</c:v>
                </c:pt>
                <c:pt idx="61">
                  <c:v>252.99600000000001</c:v>
                </c:pt>
                <c:pt idx="62">
                  <c:v>249.92599999999999</c:v>
                </c:pt>
                <c:pt idx="63">
                  <c:v>247.88</c:v>
                </c:pt>
                <c:pt idx="64">
                  <c:v>247.78</c:v>
                </c:pt>
                <c:pt idx="65">
                  <c:v>243.99</c:v>
                </c:pt>
                <c:pt idx="66">
                  <c:v>229.43</c:v>
                </c:pt>
                <c:pt idx="67">
                  <c:v>239.285</c:v>
                </c:pt>
                <c:pt idx="68">
                  <c:v>236.86799999999999</c:v>
                </c:pt>
                <c:pt idx="69">
                  <c:v>240.51599999999999</c:v>
                </c:pt>
                <c:pt idx="70">
                  <c:v>251.00200000000001</c:v>
                </c:pt>
                <c:pt idx="71">
                  <c:v>260.70799999999997</c:v>
                </c:pt>
                <c:pt idx="72">
                  <c:v>262.64600000000002</c:v>
                </c:pt>
                <c:pt idx="73">
                  <c:v>260.30500000000001</c:v>
                </c:pt>
                <c:pt idx="74">
                  <c:v>266.07</c:v>
                </c:pt>
                <c:pt idx="75">
                  <c:v>277.61799999999999</c:v>
                </c:pt>
                <c:pt idx="76">
                  <c:v>282.26499999999999</c:v>
                </c:pt>
                <c:pt idx="77">
                  <c:v>291.13200000000001</c:v>
                </c:pt>
                <c:pt idx="78">
                  <c:v>291.39999999999998</c:v>
                </c:pt>
                <c:pt idx="79">
                  <c:v>288.81</c:v>
                </c:pt>
                <c:pt idx="80">
                  <c:v>283.25600000000003</c:v>
                </c:pt>
                <c:pt idx="81">
                  <c:v>273.78199999999998</c:v>
                </c:pt>
                <c:pt idx="82">
                  <c:v>257.81600000000003</c:v>
                </c:pt>
                <c:pt idx="83">
                  <c:v>249.47200000000001</c:v>
                </c:pt>
                <c:pt idx="84">
                  <c:v>237.59399999999999</c:v>
                </c:pt>
                <c:pt idx="85">
                  <c:v>240.95400000000001</c:v>
                </c:pt>
                <c:pt idx="86">
                  <c:v>243.22399999999999</c:v>
                </c:pt>
                <c:pt idx="87">
                  <c:v>245.32749999999999</c:v>
                </c:pt>
                <c:pt idx="88">
                  <c:v>256.50599999999997</c:v>
                </c:pt>
                <c:pt idx="89">
                  <c:v>260.84800000000001</c:v>
                </c:pt>
                <c:pt idx="90">
                  <c:v>275.37799999999999</c:v>
                </c:pt>
                <c:pt idx="91">
                  <c:v>284.70800000000003</c:v>
                </c:pt>
                <c:pt idx="92">
                  <c:v>287.76</c:v>
                </c:pt>
                <c:pt idx="93">
                  <c:v>278.274</c:v>
                </c:pt>
                <c:pt idx="94">
                  <c:v>289.13400000000001</c:v>
                </c:pt>
                <c:pt idx="95">
                  <c:v>310.26799999999997</c:v>
                </c:pt>
                <c:pt idx="96">
                  <c:v>306.23</c:v>
                </c:pt>
                <c:pt idx="97">
                  <c:v>309.67599999999999</c:v>
                </c:pt>
                <c:pt idx="98">
                  <c:v>292.69799999999998</c:v>
                </c:pt>
                <c:pt idx="99">
                  <c:v>305.09749999999997</c:v>
                </c:pt>
                <c:pt idx="100">
                  <c:v>305.2</c:v>
                </c:pt>
                <c:pt idx="101">
                  <c:v>310.46199999999999</c:v>
                </c:pt>
                <c:pt idx="102">
                  <c:v>303.31799999999998</c:v>
                </c:pt>
                <c:pt idx="103">
                  <c:v>304.05500000000001</c:v>
                </c:pt>
                <c:pt idx="104">
                  <c:v>298.875</c:v>
                </c:pt>
                <c:pt idx="105">
                  <c:v>300.22200000000004</c:v>
                </c:pt>
                <c:pt idx="106">
                  <c:v>305.59800000000001</c:v>
                </c:pt>
                <c:pt idx="107">
                  <c:v>294</c:v>
                </c:pt>
                <c:pt idx="108">
                  <c:v>295.09500000000003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F-4DCD-84B4-9F1FB5D2FD12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9">
                  <c:v>286.40625838883028</c:v>
                </c:pt>
                <c:pt idx="110">
                  <c:v>282.06524858084924</c:v>
                </c:pt>
                <c:pt idx="111">
                  <c:v>306.79650850425065</c:v>
                </c:pt>
                <c:pt idx="112">
                  <c:v>311.63901585063388</c:v>
                </c:pt>
                <c:pt idx="113">
                  <c:v>313.76011561117315</c:v>
                </c:pt>
                <c:pt idx="114">
                  <c:v>314.40501541836613</c:v>
                </c:pt>
                <c:pt idx="115">
                  <c:v>314.37114003859341</c:v>
                </c:pt>
                <c:pt idx="116">
                  <c:v>316.95368239059792</c:v>
                </c:pt>
                <c:pt idx="117">
                  <c:v>322.6559815689447</c:v>
                </c:pt>
                <c:pt idx="118">
                  <c:v>324.76765365910421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F-4DCD-84B4-9F1FB5D2FD12}"/>
            </c:ext>
          </c:extLst>
        </c:ser>
        <c:ser>
          <c:idx val="2"/>
          <c:order val="2"/>
          <c:tx>
            <c:strRef>
              <c:f>Weekly!$E$1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Weekly!$E$2:$E$120</c:f>
              <c:numCache>
                <c:formatCode>General</c:formatCode>
                <c:ptCount val="119"/>
                <c:pt idx="109">
                  <c:v>301.55391385074876</c:v>
                </c:pt>
                <c:pt idx="110">
                  <c:v>300.69207351556111</c:v>
                </c:pt>
                <c:pt idx="111">
                  <c:v>327.30034951493047</c:v>
                </c:pt>
                <c:pt idx="112">
                  <c:v>334.31838453049761</c:v>
                </c:pt>
                <c:pt idx="113">
                  <c:v>338.87589208465852</c:v>
                </c:pt>
                <c:pt idx="114">
                  <c:v>345.7730760101054</c:v>
                </c:pt>
                <c:pt idx="115">
                  <c:v>348.06983535320995</c:v>
                </c:pt>
                <c:pt idx="116">
                  <c:v>343.45722756301336</c:v>
                </c:pt>
                <c:pt idx="117">
                  <c:v>350.76151605978907</c:v>
                </c:pt>
                <c:pt idx="118">
                  <c:v>354.97907729960536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F-4DCD-84B4-9F1FB5D2FD12}"/>
            </c:ext>
          </c:extLst>
        </c:ser>
        <c:ser>
          <c:idx val="3"/>
          <c:order val="3"/>
          <c:tx>
            <c:strRef>
              <c:f>Weekly!$F$1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Weekly!$F$2:$F$120</c:f>
              <c:numCache>
                <c:formatCode>General</c:formatCode>
                <c:ptCount val="119"/>
                <c:pt idx="109">
                  <c:v>271.25860292691181</c:v>
                </c:pt>
                <c:pt idx="110">
                  <c:v>263.43842364613738</c:v>
                </c:pt>
                <c:pt idx="111">
                  <c:v>286.29266749357083</c:v>
                </c:pt>
                <c:pt idx="112">
                  <c:v>288.95964717077015</c:v>
                </c:pt>
                <c:pt idx="113">
                  <c:v>288.64433913768778</c:v>
                </c:pt>
                <c:pt idx="114">
                  <c:v>283.03695482662687</c:v>
                </c:pt>
                <c:pt idx="115">
                  <c:v>280.67244472397687</c:v>
                </c:pt>
                <c:pt idx="116">
                  <c:v>290.45013721818248</c:v>
                </c:pt>
                <c:pt idx="117">
                  <c:v>294.55044707810032</c:v>
                </c:pt>
                <c:pt idx="118">
                  <c:v>294.55623001860306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DF-4DCD-84B4-9F1FB5D2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657391"/>
        <c:axId val="1731663631"/>
      </c:lineChart>
      <c:dateAx>
        <c:axId val="1731657391"/>
        <c:scaling>
          <c:orientation val="minMax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63631"/>
        <c:crosses val="autoZero"/>
        <c:auto val="1"/>
        <c:lblOffset val="100"/>
        <c:baseTimeUnit val="days"/>
      </c:dateAx>
      <c:valAx>
        <c:axId val="1731663631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5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51</xdr:row>
      <xdr:rowOff>66675</xdr:rowOff>
    </xdr:from>
    <xdr:to>
      <xdr:col>12</xdr:col>
      <xdr:colOff>419100</xdr:colOff>
      <xdr:row>65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F00F48-99F6-4E34-904F-0B587A072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67</xdr:row>
      <xdr:rowOff>180975</xdr:rowOff>
    </xdr:from>
    <xdr:to>
      <xdr:col>12</xdr:col>
      <xdr:colOff>457200</xdr:colOff>
      <xdr:row>82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648EF2-7C29-4387-B507-2065ECEE3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552450</xdr:colOff>
      <xdr:row>101</xdr:row>
      <xdr:rowOff>0</xdr:rowOff>
    </xdr:from>
    <xdr:to>
      <xdr:col>13</xdr:col>
      <xdr:colOff>247650</xdr:colOff>
      <xdr:row>115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8BE57F-79B1-40A3-B5B3-1418FF5C3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476250</xdr:colOff>
      <xdr:row>84</xdr:row>
      <xdr:rowOff>0</xdr:rowOff>
    </xdr:from>
    <xdr:to>
      <xdr:col>12</xdr:col>
      <xdr:colOff>495300</xdr:colOff>
      <xdr:row>98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D238DC-5E82-4836-80F1-9E2E0C52C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8E9D93-D0F9-4D9D-9580-6A3291DB39C4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Week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19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</a>
  <a r="1" c="519">
    <v>161.5</v>
    <v>160.1</v>
    <v>160.86000000000001</v>
    <v>159.16</v>
    <v>161.13999999999999</v>
    <v>160.08000000000001</v>
    <v>161.22999999999999</v>
    <v>162.16</v>
    <v>165.8</v>
    <v>166.96</v>
    <v>166.08</v>
    <v>166.84</v>
    <v>171.48</v>
    <v>172.83</v>
    <v>173.94</v>
    <v>173.93</v>
    <v>190.43</v>
    <v>187.42</v>
    <v>187.14</v>
    <v>187.87</v>
    <v>183.66</v>
    <v>186.9</v>
    <v>185.79</v>
    <v>183.42</v>
    <v>183.41</v>
    <v>183.74</v>
    <v>184.36</v>
    <v>186.34</v>
    <v>186.16</v>
    <v>183.7</v>
    <v>183.57</v>
    <v>186.87</v>
    <v>187.64</v>
    <v>183.44</v>
    <v>179.7</v>
    <v>184.21</v>
    <v>185.72</v>
    <v>184.13</v>
    <v>184.87</v>
    <v>185.3</v>
    <v>185.03</v>
    <v>188.2</v>
    <v>193.06</v>
    <v>191.95</v>
    <v>196.16</v>
    <v>196.54</v>
    <v>195.95</v>
    <v>191.73</v>
    <v>197.78</v>
    <v>196.7</v>
    <v>193.43</v>
    <v>191.07</v>
    <v>191.69</v>
    <v>193.34</v>
    <v>193.96</v>
    <v>191.9</v>
    <v>190.84</v>
    <v>188.79</v>
    <v>188.5</v>
    <v>190.8</v>
    <v>190.96</v>
    <v>189.83</v>
    <v>188.88</v>
    <v>190.9</v>
    <v>187.94</v>
    <v>189.14</v>
    <v>189.82</v>
    <v>189.31</v>
    <v>186.04</v>
    <v>185.9</v>
    <v>182.27</v>
    <v>181.25</v>
    <v>183.75</v>
    <v>183.1</v>
    <v>181.47</v>
    <v>181.58</v>
    <v>181.9</v>
    <v>182.19</v>
    <v>184.1</v>
    <v>168.91</v>
    <v>167.13</v>
    <v>167.43</v>
    <v>166.2</v>
    <v>164.43</v>
    <v>164.69</v>
    <v>165.71</v>
    <v>168.61</v>
    <v>168.38</v>
    <v>169.9</v>
    <v>166.27</v>
    <v>167.15</v>
    <v>167.56</v>
    <v>167.36</v>
    <v>168.26</v>
    <v>168.97</v>
    <v>169.03</v>
    <v>169.92</v>
    <v>173.47</v>
    <v>173.69</v>
    <v>170.67</v>
    <v>170.89</v>
    <v>169.66</v>
    <v>167.05</v>
    <v>165.63</v>
    <v>166.85</v>
    <v>165.28</v>
    <v>165.81</v>
    <v>167.38</v>
    <v>168.2</v>
    <v>170.01</v>
    <v>170.38</v>
    <v>169.32</v>
    <v>169</v>
    <v>169.12</v>
    <v>169.21</v>
    <v>169.5</v>
    <v>170.55</v>
    <v>173.92</v>
    <v>172.46</v>
    <v>175.01</v>
    <v>172.6</v>
    <v>171.87</v>
    <v>170.85</v>
    <v>172.95</v>
    <v>175.1</v>
    <v>177.3</v>
    <v>175.73</v>
    <v>176.02</v>
    <v>177.64</v>
    <v>176.48</v>
    <v>177.84</v>
    <v>178.31</v>
    <v>182.83</v>
    <v>182.88</v>
    <v>185.81</v>
    <v>187.45</v>
    <v>185.22</v>
    <v>183.25</v>
    <v>184.15</v>
    <v>184.1</v>
    <v>184.02</v>
    <v>191.98</v>
    <v>191.75</v>
    <v>191.5</v>
    <v>191.04</v>
    <v>192.14</v>
    <v>189.66</v>
    <v>189.12</v>
    <v>183.31</v>
    <v>186.8</v>
    <v>186.8</v>
    <v>192.61</v>
    <v>191.45</v>
    <v>189.48</v>
    <v>190.99</v>
    <v>192.32</v>
    <v>193.95</v>
    <v>193.78</v>
    <v>194.73</v>
    <v>196.03</v>
    <v>197.21</v>
    <v>195.96</v>
    <v>196.1</v>
    <v>197.98</v>
    <v>198.73</v>
    <v>198.46</v>
    <v>198.9</v>
    <v>202.13</v>
    <v>201.28</v>
    <v>204.11</v>
    <v>202.59</v>
    <v>200.74</v>
    <v>203.53</v>
    <v>205.32</v>
    <v>209.89</v>
    <v>211.61</v>
    <v>214.79</v>
    <v>217.16</v>
    <v>214.13</v>
    <v>214.94</v>
    <v>213.89</v>
    <v>217.7</v>
    <v>220.5</v>
    <v>220.97</v>
    <v>221.23</v>
    <v>223.43</v>
    <v>220.84</v>
    <v>221.08</v>
    <v>219.35</v>
    <v>219.73</v>
    <v>222.72</v>
    <v>226</v>
    <v>227.12</v>
    <v>228.62</v>
    <v>234.3</v>
    <v>233.02</v>
    <v>233.26</v>
    <v>235.26</v>
    <v>232.96</v>
    <v>233.67</v>
    <v>232.88</v>
    <v>232.2</v>
    <v>231.75</v>
    <v>232.25</v>
    <v>232.75</v>
    <v>218.39</v>
    <v>214.67</v>
    <v>212.91</v>
    <v>210.43</v>
    <v>204.9</v>
    <v>206.72</v>
    <v>208.25</v>
    <v>206.32</v>
    <v>207.57</v>
    <v>213.6</v>
    <v>213.69</v>
    <v>213.72</v>
    <v>213.57</v>
    <v>210.86</v>
    <v>210.92</v>
    <v>208.99</v>
    <v>204.99</v>
    <v>208.09</v>
    <v>210.25</v>
    <v>214.6</v>
    <v>222.4</v>
    <v>222.97</v>
    <v>226.13</v>
    <v>228.83</v>
    <v>226.92</v>
    <v>227.41</v>
    <v>227.39</v>
    <v>229</v>
    <v>233.49</v>
    <v>234.75</v>
    <v>238.04</v>
    <v>230</v>
    <v>231.72</v>
    <v>230.12</v>
    <v>232.26</v>
    <v>230.82</v>
    <v>229.33</v>
    <v>228.97</v>
    <v>220.17</v>
    <v>223.92</v>
    <v>223.36</v>
    <v>221.93</v>
    <v>224.41</v>
    <v>224.89</v>
    <v>222.78</v>
    <v>220.25</v>
    <v>219.83</v>
    <v>219.94</v>
    <v>222.65</v>
    <v>222.67</v>
    <v>223.96</v>
    <v>223.18</v>
    <v>219.75</v>
    <v>217.4</v>
    <v>217.75</v>
    <v>220.03</v>
    <v>222.66</v>
    <v>224.79</v>
    <v>224.26</v>
    <v>223.26</v>
    <v>226.04</v>
    <v>224.8</v>
    <v>224.13</v>
    <v>225.66</v>
    <v>228.63</v>
    <v>258.27</v>
    <v>255.7</v>
    <v>260.73</v>
    <v>264.45999999999998</v>
    <v>263.3</v>
    <v>253.44</v>
    <v>252.34</v>
    <v>249.27</v>
    <v>254.7</v>
    <v>255.81</v>
    <v>259.19</v>
    <v>261.27999999999997</v>
    <v>263.07</v>
    <v>264.32</v>
    <v>264.74</v>
    <v>261.48</v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  <v>313.72000000000003</v>
    <v>314.98</v>
    <v>304.86</v>
    <v>305.69</v>
    <v>297.17</v>
    <v>289.95</v>
    <v>288.52999999999997</v>
    <v>290.39999999999998</v>
    <v>297.44</v>
    <v>304.12</v>
    <v>304.48</v>
    <v>303.20999999999998</v>
    <v>308.58</v>
    <v>305.67</v>
    <v>301.77999999999997</v>
    <v>302.62</v>
    <v>307.99</v>
    <v>307.94</v>
    <v>309.18</v>
    <v>310.48</v>
    <v>312.67</v>
    <v>310.74</v>
    <v>309.24</v>
    <v>308.66000000000003</v>
    <v>303.18</v>
    <v>303.32</v>
    <v>300.45</v>
    <v>300.98</v>
    <v>302.79000000000002</v>
    <v>303.77999999999997</v>
    <v>304.56</v>
    <v>305.08999999999997</v>
    <v>305.74</v>
    <v>302.05</v>
    <v>296.20999999999998</v>
    <v>291.5</v>
    <v>294.97000000000003</v>
    <v>302.47000000000003</v>
    <v>296.73</v>
    <v>302.72000000000003</v>
    <v>304.22000000000003</v>
    <v>312.18</v>
    <v>303.16000000000003</v>
    <v>309.02999999999997</v>
    <v>297.95</v>
    <v>305.67</v>
    <v>291.35000000000002</v>
    <v>297.54000000000002</v>
    <v>294.67</v>
    <v>292.44</v>
    <v>296.33</v>
    <v>293.86</v>
  </a>
  <a r="1" c="519">
    <v>3825044</v>
    <v>4086065</v>
    <v>3212004</v>
    <v>4199504</v>
    <v>3321698</v>
    <v>2617186</v>
    <v>2967852</v>
    <v>3778395</v>
    <v>4958261</v>
    <v>4869635</v>
    <v>4288604</v>
    <v>3776990</v>
    <v>6929079</v>
    <v>4925964</v>
    <v>3983461</v>
    <v>9097827</v>
    <v>29596239</v>
    <v>9895941</v>
    <v>6107908</v>
    <v>4575058</v>
    <v>8876055</v>
    <v>4669444</v>
    <v>4055411</v>
    <v>4379602</v>
    <v>3338196</v>
    <v>4841188</v>
    <v>5161185</v>
    <v>5064641</v>
    <v>4724021</v>
    <v>4290453</v>
    <v>3173391</v>
    <v>4714301</v>
    <v>4842840</v>
    <v>4247181</v>
    <v>4728473</v>
    <v>5078398</v>
    <v>3433800</v>
    <v>4620815</v>
    <v>3641378</v>
    <v>3216345</v>
    <v>6458487</v>
    <v>4018354</v>
    <v>7938266</v>
    <v>5653641</v>
    <v>6945818</v>
    <v>4604458</v>
    <v>3943113</v>
    <v>4725057</v>
    <v>5880075</v>
    <v>3993258</v>
    <v>4109636</v>
    <v>8828184</v>
    <v>5410562</v>
    <v>5317341</v>
    <v>3238643</v>
    <v>6013561</v>
    <v>3988398</v>
    <v>3718289</v>
    <v>4229535</v>
    <v>3693305</v>
    <v>3742169</v>
    <v>2364320</v>
    <v>2693455</v>
    <v>2826193</v>
    <v>2983853</v>
    <v>2014264</v>
    <v>2678284</v>
    <v>2794381</v>
    <v>3081915</v>
    <v>2861736</v>
    <v>3547378</v>
    <v>3528140</v>
    <v>4473654</v>
    <v>3003033</v>
    <v>2886733</v>
    <v>3037990</v>
    <v>3076451</v>
    <v>5950229</v>
    <v>7616643</v>
    <v>16702150</v>
    <v>8983796</v>
    <v>5263342</v>
    <v>6011634</v>
    <v>4030960</v>
    <v>3829853</v>
    <v>3400405</v>
    <v>4222266</v>
    <v>3155260</v>
    <v>3522011</v>
    <v>4266616</v>
    <v>2255370</v>
    <v>2414859</v>
    <v>2600967</v>
    <v>4468823</v>
    <v>3492267</v>
    <v>2956387</v>
    <v>2726261</v>
    <v>6459800</v>
    <v>3294900</v>
    <v>3341335</v>
    <v>2587829</v>
    <v>2629645</v>
    <v>4206576</v>
    <v>3852963</v>
    <v>4905002</v>
    <v>2776058</v>
    <v>2594203</v>
    <v>3049377</v>
    <v>2207263</v>
    <v>3475495</v>
    <v>3444684</v>
    <v>2951251</v>
    <v>3522698</v>
    <v>3525717</v>
    <v>2777717</v>
    <v>3239815</v>
    <v>3386442</v>
    <v>4723078</v>
    <v>10182025</v>
    <v>4864735</v>
    <v>4119267</v>
    <v>2779016</v>
    <v>2894001</v>
    <v>4193459</v>
    <v>3320961</v>
    <v>2883275</v>
    <v>1649049</v>
    <v>2085970</v>
    <v>2503038</v>
    <v>2513305</v>
    <v>3462182</v>
    <v>2807145</v>
    <v>4785565</v>
    <v>2925794</v>
    <v>3374526</v>
    <v>4225302</v>
    <v>3487808</v>
    <v>3816039</v>
    <v>2488525</v>
    <v>2180225</v>
    <v>6962071</v>
    <v>9532802</v>
    <v>4294875</v>
    <v>3336806</v>
    <v>3064978</v>
    <v>5558405</v>
    <v>4085354</v>
    <v>4548824</v>
    <v>4975002</v>
    <v>3632517</v>
    <v>3801942</v>
    <v>3712698</v>
    <v>2773706</v>
    <v>2290421</v>
    <v>2178862</v>
    <v>1895114</v>
    <v>2471985</v>
    <v>2494472</v>
    <v>2361378</v>
    <v>1790371</v>
    <v>2579343</v>
    <v>1969496</v>
    <v>2321961</v>
    <v>2567217</v>
    <v>2617229</v>
    <v>2645244</v>
    <v>2989594</v>
    <v>4750999</v>
    <v>3874697</v>
    <v>3142476</v>
    <v>3229345</v>
    <v>3304491</v>
    <v>3705004</v>
    <v>3070644</v>
    <v>5554309</v>
    <v>4616446</v>
    <v>4572344</v>
    <v>4176257</v>
    <v>5635210</v>
    <v>3482764</v>
    <v>5279559</v>
    <v>9958980</v>
    <v>4074755</v>
    <v>3184114</v>
    <v>2537751</v>
    <v>2673210</v>
    <v>3830335</v>
    <v>3544264</v>
    <v>3548374</v>
    <v>3343399</v>
    <v>3788265</v>
    <v>3554328</v>
    <v>3457952</v>
    <v>3245342</v>
    <v>5083566</v>
    <v>3142031</v>
    <v>3469322</v>
    <v>2524389</v>
    <v>3350556</v>
    <v>2846669</v>
    <v>5040092</v>
    <v>4715688</v>
    <v>2733336</v>
    <v>3180807</v>
    <v>5791002</v>
    <v>11193440</v>
    <v>8482235</v>
    <v>4993343</v>
    <v>5258366</v>
    <v>6956624</v>
    <v>5925250</v>
    <v>3334308</v>
    <v>2594119</v>
    <v>2441535</v>
    <v>3934386</v>
    <v>3675812</v>
    <v>3201038</v>
    <v>3012987</v>
    <v>2818216</v>
    <v>3247830</v>
    <v>6372853</v>
    <v>3986460</v>
    <v>3406045</v>
    <v>2860746</v>
    <v>4562901</v>
    <v>5236434</v>
    <v>5320740</v>
    <v>7189260</v>
    <v>4449543</v>
    <v>2995121</v>
    <v>2640253</v>
    <v>2656181</v>
    <v>3163815</v>
    <v>4104195</v>
    <v>4791116</v>
    <v>4028430</v>
    <v>4970449</v>
    <v>4769531</v>
    <v>3872680</v>
    <v>4515741</v>
    <v>2757683</v>
    <v>3610257</v>
    <v>3651346</v>
    <v>4152517</v>
    <v>4430120</v>
    <v>12423200</v>
    <v>2988137</v>
    <v>1186216</v>
    <v>3287238</v>
    <v>1810760</v>
    <v>2095565</v>
    <v>2270512</v>
    <v>2579498</v>
    <v>3873578</v>
    <v>2847128</v>
    <v>3299701</v>
    <v>2619768</v>
    <v>3570497</v>
    <v>3716816</v>
    <v>3485829</v>
    <v>2951825</v>
    <v>3329060</v>
    <v>5506837</v>
    <v>3982203</v>
    <v>4759490</v>
    <v>3619651</v>
    <v>3233293</v>
    <v>4898355</v>
    <v>4485429</v>
    <v>7079804</v>
    <v>15381890</v>
    <v>7203519</v>
    <v>8408523</v>
    <v>6077652</v>
    <v>6165096</v>
    <v>6128293</v>
    <v>3370284</v>
    <v>3564400</v>
    <v>4801550</v>
    <v>3075308</v>
    <v>4531538</v>
    <v>3925277</v>
    <v>4262812</v>
    <v>3718678</v>
    <v>4884805</v>
    <v>5667874</v>
    <v>4398107</v>
    <v>6292487</v>
    <v>3460124</v>
    <v>3402234</v>
    <v>7988809</v>
    <v>2977699</v>
    <v>5342106</v>
    <v>4009813</v>
    <v>3254358</v>
    <v>6700184</v>
    <v>8165503</v>
    <v>5630570</v>
    <v>3849206</v>
    <v>3862416</v>
    <v>4045284</v>
    <v>3234149</v>
    <v>4172239</v>
    <v>3853598</v>
    <v>7026796</v>
    <v>9580084</v>
    <v>4753331</v>
    <v>3133809</v>
    <v>4452220</v>
    <v>2889328</v>
    <v>3125594</v>
    <v>6794972</v>
    <v>4413139</v>
    <v>4080832</v>
    <v>5309626</v>
    <v>7407096</v>
    <v>7797889</v>
    <v>6849996</v>
    <v>7302808</v>
    <v>5656108</v>
    <v>4325895</v>
    <v>3321717</v>
    <v>3363708</v>
    <v>4870299</v>
    <v>4635204</v>
    <v>4908923</v>
    <v>4232658</v>
    <v>7948259</v>
    <v>15428144</v>
    <v>6700068</v>
    <v>3653461</v>
    <v>3426508</v>
    <v>5142993</v>
    <v>4243294</v>
    <v>3731946</v>
    <v>4138168</v>
    <v>2900556</v>
    <v>3400001</v>
    <v>3637012</v>
    <v>2901346</v>
    <v>4609520</v>
    <v>3521389</v>
    <v>3635124</v>
    <v>4856276</v>
    <v>3817937</v>
    <v>3198903</v>
    <v>2437860</v>
    <v>3753904</v>
    <v>3091253</v>
    <v>2722721</v>
    <v>3284216</v>
    <v>2318437</v>
    <v>2295228</v>
    <v>9668923</v>
    <v>2831881</v>
    <v>2494922</v>
    <v>2588741</v>
    <v>2659478</v>
    <v>2495543</v>
    <v>4331464</v>
    <v>5163507</v>
    <v>4656034</v>
    <v>3418007</v>
    <v>3243824</v>
    <v>3685321</v>
    <v>3069556</v>
    <v>3534110</v>
    <v>7676962</v>
    <v>3786159</v>
    <v>4219120</v>
    <v>3862309</v>
    <v>3621110</v>
    <v>3562501</v>
    <v>3495386</v>
    <v>3272797</v>
    <v>3257515</v>
    <v>1853289</v>
    <v>4488064</v>
    <v>2925329</v>
    <v>2971309</v>
    <v>3489068</v>
    <v>3790679</v>
    <v>2857401</v>
    <v>2864106</v>
    <v>2804831</v>
    <v>3337168</v>
    <v>4478165</v>
    <v>3051791</v>
    <v>4824219</v>
    <v>8105906</v>
    <v>22647720</v>
    <v>7758653</v>
    <v>5192516</v>
    <v>4627265</v>
    <v>3718290</v>
    <v>6739092</v>
    <v>9683404</v>
    <v>5280588</v>
    <v>5823016</v>
    <v>3692105</v>
    <v>6251285</v>
    <v>6828390</v>
    <v>9381960</v>
    <v>8800597</v>
    <v>5663562</v>
    <v>4556725</v>
    <v>4344322</v>
    <v>3569594</v>
    <v>3328305</v>
    <v>3240064</v>
    <v>2991902</v>
    <v>3134882</v>
    <v>3513327</v>
    <v>5386582</v>
    <v>3698372</v>
    <v>2820817</v>
    <v>2967558</v>
    <v>3469501</v>
    <v>3163225</v>
    <v>4765087</v>
    <v>3147478</v>
    <v>6940270</v>
    <v>4931105</v>
    <v>5185420</v>
    <v>3576048</v>
    <v>3433300</v>
    <v>4028365</v>
    <v>2719918</v>
    <v>3974785</v>
    <v>4988421</v>
    <v>9858112</v>
    <v>5030540</v>
    <v>5394121</v>
    <v>3159924</v>
    <v>11506192</v>
    <v>9063938</v>
    <v>6022125</v>
    <v>5926924</v>
    <v>4381338</v>
    <v>3814232</v>
    <v>4375082</v>
    <v>2881947</v>
    <v>7190126</v>
    <v>5297030</v>
    <v>4912375</v>
    <v>4508506</v>
    <v>4333836</v>
    <v>3058149</v>
    <v>3346753</v>
    <v>2956923</v>
    <v>5309565</v>
    <v>3494336</v>
    <v>4080981</v>
    <v>10538480</v>
    <v>16676394</v>
    <v>16914243</v>
    <v>9868151</v>
    <v>6044770</v>
    <v>4135948</v>
    <v>4694275</v>
    <v>7697499</v>
    <v>4957958</v>
    <v>5677330</v>
    <v>4650368</v>
    <v>6818521</v>
    <v>5070773</v>
    <v>2975188</v>
    <v>4381913</v>
    <v>6042686</v>
    <v>5310150</v>
    <v>3592455</v>
    <v>3909741</v>
    <v>4861928</v>
    <v>3595912</v>
    <v>5597028</v>
    <v>5710903</v>
    <v>6050640</v>
    <v>2825322</v>
    <v>2196446</v>
    <v>1689031</v>
    <v>3166555</v>
    <v>4261100</v>
    <v>3953390</v>
    <v>2962463</v>
    <v>2344667</v>
    <v>3630157</v>
    <v>2935669</v>
    <v>3411524</v>
    <v>2755749</v>
    <v>2953374</v>
    <v>3566732</v>
    <v>3366878</v>
    <v>3130954</v>
    <v>5411669</v>
    <v>11031341</v>
    <v>2612100</v>
    <v>2923037</v>
    <v>1210642</v>
    <v>2814732</v>
    <v>4664711</v>
    <v>1883651</v>
    <v>3430133</v>
    <v>4662804</v>
    <v>4189960</v>
    <v>4147315</v>
    <v>2833274</v>
    <v>3343273</v>
    <v>2718828</v>
    <v>3895197</v>
    <v>4507760</v>
    <v>3779045</v>
    <v>4932480</v>
    <v>6199635</v>
    <v>7275490</v>
    <v>5185023</v>
    <v>3670152</v>
    <v>3298424</v>
    <v>3726890</v>
    <v>2954936</v>
  </a>
</arrayData>
</file>

<file path=xl/richData/rdrichvalue.xml><?xml version="1.0" encoding="utf-8"?>
<rvData xmlns="http://schemas.microsoft.com/office/spreadsheetml/2017/richdata" count="1550">
  <rv s="0">
    <fb>45293</fb>
    <v>0</v>
  </rv>
  <rv s="0">
    <fb>161.5</fb>
    <v>1</v>
  </rv>
  <rv s="0">
    <fb>3825044</fb>
    <v>2</v>
  </rv>
  <rv s="0">
    <fb>45294</fb>
    <v>0</v>
  </rv>
  <rv s="0">
    <fb>160.1</fb>
    <v>1</v>
  </rv>
  <rv s="0">
    <fb>4086065</fb>
    <v>2</v>
  </rv>
  <rv s="0">
    <fb>45295</fb>
    <v>0</v>
  </rv>
  <rv s="0">
    <fb>160.86000000000001</fb>
    <v>1</v>
  </rv>
  <rv s="0">
    <fb>3212004</fb>
    <v>2</v>
  </rv>
  <rv s="0">
    <fb>45296</fb>
    <v>0</v>
  </rv>
  <rv s="0">
    <fb>159.16</fb>
    <v>1</v>
  </rv>
  <rv s="0">
    <fb>4199504</fb>
    <v>2</v>
  </rv>
  <rv s="0">
    <fb>45299</fb>
    <v>0</v>
  </rv>
  <rv s="0">
    <fb>161.13999999999999</fb>
    <v>1</v>
  </rv>
  <rv s="0">
    <fb>3321698</fb>
    <v>2</v>
  </rv>
  <rv s="0">
    <fb>45300</fb>
    <v>0</v>
  </rv>
  <rv s="0">
    <fb>160.08000000000001</fb>
    <v>1</v>
  </rv>
  <rv s="0">
    <fb>2617186</fb>
    <v>2</v>
  </rv>
  <rv s="0">
    <fb>45301</fb>
    <v>0</v>
  </rv>
  <rv s="0">
    <fb>161.22999999999999</fb>
    <v>1</v>
  </rv>
  <rv s="0">
    <fb>2967852</fb>
    <v>2</v>
  </rv>
  <rv s="0">
    <fb>45302</fb>
    <v>0</v>
  </rv>
  <rv s="0">
    <fb>162.16</fb>
    <v>1</v>
  </rv>
  <rv s="0">
    <fb>3778395</fb>
    <v>2</v>
  </rv>
  <rv s="0">
    <fb>45303</fb>
    <v>0</v>
  </rv>
  <rv s="0">
    <fb>165.8</fb>
    <v>1</v>
  </rv>
  <rv s="0">
    <fb>4958261</fb>
    <v>2</v>
  </rv>
  <rv s="0">
    <fb>45307</fb>
    <v>0</v>
  </rv>
  <rv s="0">
    <fb>166.96</fb>
    <v>1</v>
  </rv>
  <rv s="0">
    <fb>4869635</fb>
    <v>2</v>
  </rv>
  <rv s="0">
    <fb>45308</fb>
    <v>0</v>
  </rv>
  <rv s="0">
    <fb>166.08</fb>
    <v>1</v>
  </rv>
  <rv s="0">
    <fb>4288604</fb>
    <v>2</v>
  </rv>
  <rv s="0">
    <fb>45309</fb>
    <v>0</v>
  </rv>
  <rv s="0">
    <fb>166.84</fb>
    <v>1</v>
  </rv>
  <rv s="0">
    <fb>3776990</fb>
    <v>2</v>
  </rv>
  <rv s="0">
    <fb>45310</fb>
    <v>0</v>
  </rv>
  <rv s="0">
    <fb>171.48</fb>
    <v>1</v>
  </rv>
  <rv s="0">
    <fb>6929079</fb>
    <v>2</v>
  </rv>
  <rv s="0">
    <fb>45313</fb>
    <v>0</v>
  </rv>
  <rv s="0">
    <fb>172.83</fb>
    <v>1</v>
  </rv>
  <rv s="0">
    <fb>4925964</fb>
    <v>2</v>
  </rv>
  <rv s="0">
    <fb>45314</fb>
    <v>0</v>
  </rv>
  <rv s="0">
    <fb>173.94</fb>
    <v>1</v>
  </rv>
  <rv s="0">
    <fb>3983461</fb>
    <v>2</v>
  </rv>
  <rv s="0">
    <fb>45315</fb>
    <v>0</v>
  </rv>
  <rv s="0">
    <fb>173.93</fb>
    <v>1</v>
  </rv>
  <rv s="0">
    <fb>9097827</fb>
    <v>2</v>
  </rv>
  <rv s="0">
    <fb>45316</fb>
    <v>0</v>
  </rv>
  <rv s="0">
    <fb>190.43</fb>
    <v>1</v>
  </rv>
  <rv s="0">
    <fb>29596239</fb>
    <v>2</v>
  </rv>
  <rv s="0">
    <fb>45317</fb>
    <v>0</v>
  </rv>
  <rv s="0">
    <fb>187.42</fb>
    <v>1</v>
  </rv>
  <rv s="0">
    <fb>9895941</fb>
    <v>2</v>
  </rv>
  <rv s="0">
    <fb>45320</fb>
    <v>0</v>
  </rv>
  <rv s="0">
    <fb>187.14</fb>
    <v>1</v>
  </rv>
  <rv s="0">
    <fb>6107908</fb>
    <v>2</v>
  </rv>
  <rv s="0">
    <fb>45321</fb>
    <v>0</v>
  </rv>
  <rv s="0">
    <fb>187.87</fb>
    <v>1</v>
  </rv>
  <rv s="0">
    <fb>4575058</fb>
    <v>2</v>
  </rv>
  <rv s="0">
    <fb>45322</fb>
    <v>0</v>
  </rv>
  <rv s="0">
    <fb>183.66</fb>
    <v>1</v>
  </rv>
  <rv s="0">
    <fb>8876055</fb>
    <v>2</v>
  </rv>
  <rv s="0">
    <fb>45323</fb>
    <v>0</v>
  </rv>
  <rv s="0">
    <fb>186.9</fb>
    <v>1</v>
  </rv>
  <rv s="0">
    <fb>4669444</fb>
    <v>2</v>
  </rv>
  <rv s="0">
    <fb>45324</fb>
    <v>0</v>
  </rv>
  <rv s="0">
    <fb>185.79</fb>
    <v>1</v>
  </rv>
  <rv s="0">
    <fb>4055411</fb>
    <v>2</v>
  </rv>
  <rv s="0">
    <fb>45327</fb>
    <v>0</v>
  </rv>
  <rv s="0">
    <fb>183.42</fb>
    <v>1</v>
  </rv>
  <rv s="0">
    <fb>4379602</fb>
    <v>2</v>
  </rv>
  <rv s="0">
    <fb>45328</fb>
    <v>0</v>
  </rv>
  <rv s="0">
    <fb>183.41</fb>
    <v>1</v>
  </rv>
  <rv s="0">
    <fb>3338196</fb>
    <v>2</v>
  </rv>
  <rv s="0">
    <fb>45329</fb>
    <v>0</v>
  </rv>
  <rv s="0">
    <fb>183.74</fb>
    <v>1</v>
  </rv>
  <rv s="0">
    <fb>4841188</fb>
    <v>2</v>
  </rv>
  <rv s="0">
    <fb>45330</fb>
    <v>0</v>
  </rv>
  <rv s="0">
    <fb>184.36</fb>
    <v>1</v>
  </rv>
  <rv s="0">
    <fb>5161185</fb>
    <v>2</v>
  </rv>
  <rv s="0">
    <fb>45331</fb>
    <v>0</v>
  </rv>
  <rv s="0">
    <fb>186.34</fb>
    <v>1</v>
  </rv>
  <rv s="0">
    <fb>5064641</fb>
    <v>2</v>
  </rv>
  <rv s="0">
    <fb>45334</fb>
    <v>0</v>
  </rv>
  <rv s="0">
    <fb>186.16</fb>
    <v>1</v>
  </rv>
  <rv s="0">
    <fb>4724021</fb>
    <v>2</v>
  </rv>
  <rv s="0">
    <fb>45335</fb>
    <v>0</v>
  </rv>
  <rv s="0">
    <fb>183.7</fb>
    <v>1</v>
  </rv>
  <rv s="0">
    <fb>4290453</fb>
    <v>2</v>
  </rv>
  <rv s="0">
    <fb>45336</fb>
    <v>0</v>
  </rv>
  <rv s="0">
    <fb>183.57</fb>
    <v>1</v>
  </rv>
  <rv s="0">
    <fb>3173391</fb>
    <v>2</v>
  </rv>
  <rv s="0">
    <fb>45337</fb>
    <v>0</v>
  </rv>
  <rv s="0">
    <fb>186.87</fb>
    <v>1</v>
  </rv>
  <rv s="0">
    <fb>4714301</fb>
    <v>2</v>
  </rv>
  <rv s="0">
    <fb>45338</fb>
    <v>0</v>
  </rv>
  <rv s="0">
    <fb>187.64</fb>
    <v>1</v>
  </rv>
  <rv s="0">
    <fb>4842840</fb>
    <v>2</v>
  </rv>
  <rv s="0">
    <fb>45342</fb>
    <v>0</v>
  </rv>
  <rv s="0">
    <fb>183.44</fb>
    <v>1</v>
  </rv>
  <rv s="0">
    <fb>4247181</fb>
    <v>2</v>
  </rv>
  <rv s="0">
    <fb>45343</fb>
    <v>0</v>
  </rv>
  <rv s="0">
    <fb>179.7</fb>
    <v>1</v>
  </rv>
  <rv s="0">
    <fb>4728473</fb>
    <v>2</v>
  </rv>
  <rv s="0">
    <fb>45344</fb>
    <v>0</v>
  </rv>
  <rv s="0">
    <fb>184.21</fb>
    <v>1</v>
  </rv>
  <rv s="0">
    <fb>5078398</fb>
    <v>2</v>
  </rv>
  <rv s="0">
    <fb>45345</fb>
    <v>0</v>
  </rv>
  <rv s="0">
    <fb>185.72</fb>
    <v>1</v>
  </rv>
  <rv s="0">
    <fb>3433800</fb>
    <v>2</v>
  </rv>
  <rv s="0">
    <fb>45348</fb>
    <v>0</v>
  </rv>
  <rv s="0">
    <fb>184.13</fb>
    <v>1</v>
  </rv>
  <rv s="0">
    <fb>4620815</fb>
    <v>2</v>
  </rv>
  <rv s="0">
    <fb>45349</fb>
    <v>0</v>
  </rv>
  <rv s="0">
    <fb>184.87</fb>
    <v>1</v>
  </rv>
  <rv s="0">
    <fb>3641378</fb>
    <v>2</v>
  </rv>
  <rv s="0">
    <fb>45350</fb>
    <v>0</v>
  </rv>
  <rv s="0">
    <fb>185.3</fb>
    <v>1</v>
  </rv>
  <rv s="0">
    <fb>3216345</fb>
    <v>2</v>
  </rv>
  <rv s="0">
    <fb>45351</fb>
    <v>0</v>
  </rv>
  <rv s="0">
    <fb>185.03</fb>
    <v>1</v>
  </rv>
  <rv s="0">
    <fb>6458487</fb>
    <v>2</v>
  </rv>
  <rv s="0">
    <fb>45352</fb>
    <v>0</v>
  </rv>
  <rv s="0">
    <fb>188.2</fb>
    <v>1</v>
  </rv>
  <rv s="0">
    <fb>4018354</fb>
    <v>2</v>
  </rv>
  <rv s="0">
    <fb>45355</fb>
    <v>0</v>
  </rv>
  <rv s="0">
    <fb>193.06</fb>
    <v>1</v>
  </rv>
  <rv s="0">
    <fb>7938266</fb>
    <v>2</v>
  </rv>
  <rv s="0">
    <fb>45356</fb>
    <v>0</v>
  </rv>
  <rv s="0">
    <fb>191.95</fb>
    <v>1</v>
  </rv>
  <rv s="0">
    <fb>5653641</fb>
    <v>2</v>
  </rv>
  <rv s="0">
    <fb>45357</fb>
    <v>0</v>
  </rv>
  <rv s="0">
    <fb>196.16</fb>
    <v>1</v>
  </rv>
  <rv s="0">
    <fb>6945818</fb>
    <v>2</v>
  </rv>
  <rv s="0">
    <fb>45358</fb>
    <v>0</v>
  </rv>
  <rv s="0">
    <fb>196.54</fb>
    <v>1</v>
  </rv>
  <rv s="0">
    <fb>4604458</fb>
    <v>2</v>
  </rv>
  <rv s="0">
    <fb>45359</fb>
    <v>0</v>
  </rv>
  <rv s="0">
    <fb>195.95</fb>
    <v>1</v>
  </rv>
  <rv s="0">
    <fb>3943113</fb>
    <v>2</v>
  </rv>
  <rv s="0">
    <fb>45362</fb>
    <v>0</v>
  </rv>
  <rv s="0">
    <fb>191.73</fb>
    <v>1</v>
  </rv>
  <rv s="0">
    <fb>4725057</fb>
    <v>2</v>
  </rv>
  <rv s="0">
    <fb>45363</fb>
    <v>0</v>
  </rv>
  <rv s="0">
    <fb>197.78</fb>
    <v>1</v>
  </rv>
  <rv s="0">
    <fb>5880075</fb>
    <v>2</v>
  </rv>
  <rv s="0">
    <fb>45364</fb>
    <v>0</v>
  </rv>
  <rv s="0">
    <fb>196.7</fb>
    <v>1</v>
  </rv>
  <rv s="0">
    <fb>3993258</fb>
    <v>2</v>
  </rv>
  <rv s="0">
    <fb>45365</fb>
    <v>0</v>
  </rv>
  <rv s="0">
    <fb>193.43</fb>
    <v>1</v>
  </rv>
  <rv s="0">
    <fb>4109636</fb>
    <v>2</v>
  </rv>
  <rv s="0">
    <fb>45366</fb>
    <v>0</v>
  </rv>
  <rv s="0">
    <fb>191.07</fb>
    <v>1</v>
  </rv>
  <rv s="0">
    <fb>8828184</fb>
    <v>2</v>
  </rv>
  <rv s="0">
    <fb>45369</fb>
    <v>0</v>
  </rv>
  <rv s="0">
    <fb>191.69</fb>
    <v>1</v>
  </rv>
  <rv s="0">
    <fb>5410562</fb>
    <v>2</v>
  </rv>
  <rv s="0">
    <fb>45370</fb>
    <v>0</v>
  </rv>
  <rv s="0">
    <fb>193.34</fb>
    <v>1</v>
  </rv>
  <rv s="0">
    <fb>5317341</fb>
    <v>2</v>
  </rv>
  <rv s="0">
    <fb>45371</fb>
    <v>0</v>
  </rv>
  <rv s="0">
    <fb>193.96</fb>
    <v>1</v>
  </rv>
  <rv s="0">
    <fb>3238643</fb>
    <v>2</v>
  </rv>
  <rv s="0">
    <fb>45372</fb>
    <v>0</v>
  </rv>
  <rv s="0">
    <fb>191.9</fb>
    <v>1</v>
  </rv>
  <rv s="0">
    <fb>6013561</fb>
    <v>2</v>
  </rv>
  <rv s="0">
    <fb>45373</fb>
    <v>0</v>
  </rv>
  <rv s="0">
    <fb>190.84</fb>
    <v>1</v>
  </rv>
  <rv s="0">
    <fb>3988398</fb>
    <v>2</v>
  </rv>
  <rv s="0">
    <fb>45376</fb>
    <v>0</v>
  </rv>
  <rv s="0">
    <fb>188.79</fb>
    <v>1</v>
  </rv>
  <rv s="0">
    <fb>3718289</fb>
    <v>2</v>
  </rv>
  <rv s="0">
    <fb>45377</fb>
    <v>0</v>
  </rv>
  <rv s="0">
    <fb>188.5</fb>
    <v>1</v>
  </rv>
  <rv s="0">
    <fb>4229535</fb>
    <v>2</v>
  </rv>
  <rv s="0">
    <fb>45378</fb>
    <v>0</v>
  </rv>
  <rv s="0">
    <fb>190.8</fb>
    <v>1</v>
  </rv>
  <rv s="0">
    <fb>3693305</fb>
    <v>2</v>
  </rv>
  <rv s="0">
    <fb>45379</fb>
    <v>0</v>
  </rv>
  <rv s="0">
    <fb>190.96</fb>
    <v>1</v>
  </rv>
  <rv s="0">
    <fb>3742169</fb>
    <v>2</v>
  </rv>
  <rv s="0">
    <fb>45383</fb>
    <v>0</v>
  </rv>
  <rv s="0">
    <fb>189.83</fb>
    <v>1</v>
  </rv>
  <rv s="0">
    <fb>2364320</fb>
    <v>2</v>
  </rv>
  <rv s="0">
    <fb>45384</fb>
    <v>0</v>
  </rv>
  <rv s="0">
    <fb>188.88</fb>
    <v>1</v>
  </rv>
  <rv s="0">
    <fb>2693455</fb>
    <v>2</v>
  </rv>
  <rv s="0">
    <fb>45385</fb>
    <v>0</v>
  </rv>
  <rv s="0">
    <fb>190.9</fb>
    <v>1</v>
  </rv>
  <rv s="0">
    <fb>2826193</fb>
    <v>2</v>
  </rv>
  <rv s="0">
    <fb>45386</fb>
    <v>0</v>
  </rv>
  <rv s="0">
    <fb>187.94</fb>
    <v>1</v>
  </rv>
  <rv s="0">
    <fb>2983853</fb>
    <v>2</v>
  </rv>
  <rv s="0">
    <fb>45387</fb>
    <v>0</v>
  </rv>
  <rv s="0">
    <fb>189.14</fb>
    <v>1</v>
  </rv>
  <rv s="0">
    <fb>2014264</fb>
    <v>2</v>
  </rv>
  <rv s="0">
    <fb>45390</fb>
    <v>0</v>
  </rv>
  <rv s="0">
    <fb>189.82</fb>
    <v>1</v>
  </rv>
  <rv s="0">
    <fb>2678284</fb>
    <v>2</v>
  </rv>
  <rv s="0">
    <fb>45391</fb>
    <v>0</v>
  </rv>
  <rv s="0">
    <fb>189.31</fb>
    <v>1</v>
  </rv>
  <rv s="0">
    <fb>2794381</fb>
    <v>2</v>
  </rv>
  <rv s="0">
    <fb>45392</fb>
    <v>0</v>
  </rv>
  <rv s="0">
    <fb>186.04</fb>
    <v>1</v>
  </rv>
  <rv s="0">
    <fb>3081915</fb>
    <v>2</v>
  </rv>
  <rv s="0">
    <fb>45393</fb>
    <v>0</v>
  </rv>
  <rv s="0">
    <fb>185.9</fb>
    <v>1</v>
  </rv>
  <rv s="0">
    <fb>2861736</fb>
    <v>2</v>
  </rv>
  <rv s="0">
    <fb>45394</fb>
    <v>0</v>
  </rv>
  <rv s="0">
    <fb>182.27</fb>
    <v>1</v>
  </rv>
  <rv s="0">
    <fb>3547378</fb>
    <v>2</v>
  </rv>
  <rv s="0">
    <fb>45397</fb>
    <v>0</v>
  </rv>
  <rv s="0">
    <fb>181.25</fb>
    <v>1</v>
  </rv>
  <rv s="0">
    <fb>3528140</fb>
    <v>2</v>
  </rv>
  <rv s="0">
    <fb>45398</fb>
    <v>0</v>
  </rv>
  <rv s="0">
    <fb>183.75</fb>
    <v>1</v>
  </rv>
  <rv s="0">
    <fb>4473654</fb>
    <v>2</v>
  </rv>
  <rv s="0">
    <fb>45399</fb>
    <v>0</v>
  </rv>
  <rv s="0">
    <fb>183.1</fb>
    <v>1</v>
  </rv>
  <rv s="0">
    <fb>3003033</fb>
    <v>2</v>
  </rv>
  <rv s="0">
    <fb>45400</fb>
    <v>0</v>
  </rv>
  <rv s="0">
    <fb>181.47</fb>
    <v>1</v>
  </rv>
  <rv s="0">
    <fb>2886733</fb>
    <v>2</v>
  </rv>
  <rv s="0">
    <fb>45401</fb>
    <v>0</v>
  </rv>
  <rv s="0">
    <fb>181.58</fb>
    <v>1</v>
  </rv>
  <rv s="0">
    <fb>3037990</fb>
    <v>2</v>
  </rv>
  <rv s="0">
    <fb>45404</fb>
    <v>0</v>
  </rv>
  <rv s="0">
    <fb>181.9</fb>
    <v>1</v>
  </rv>
  <rv s="0">
    <fb>3076451</fb>
    <v>2</v>
  </rv>
  <rv s="0">
    <fb>45405</fb>
    <v>0</v>
  </rv>
  <rv s="0">
    <fb>182.19</fb>
    <v>1</v>
  </rv>
  <rv s="0">
    <fb>5950229</fb>
    <v>2</v>
  </rv>
  <rv s="0">
    <fb>45406</fb>
    <v>0</v>
  </rv>
  <rv s="0">
    <fb>184.1</fb>
    <v>1</v>
  </rv>
  <rv s="0">
    <fb>7616643</fb>
    <v>2</v>
  </rv>
  <rv s="0">
    <fb>45407</fb>
    <v>0</v>
  </rv>
  <rv s="0">
    <fb>168.91</fb>
    <v>1</v>
  </rv>
  <rv s="0">
    <fb>16702150</fb>
    <v>2</v>
  </rv>
  <rv s="0">
    <fb>45408</fb>
    <v>0</v>
  </rv>
  <rv s="0">
    <fb>167.13</fb>
    <v>1</v>
  </rv>
  <rv s="0">
    <fb>8983796</fb>
    <v>2</v>
  </rv>
  <rv s="0">
    <fb>45411</fb>
    <v>0</v>
  </rv>
  <rv s="0">
    <fb>167.43</fb>
    <v>1</v>
  </rv>
  <rv s="0">
    <fb>5263342</fb>
    <v>2</v>
  </rv>
  <rv s="0">
    <fb>45412</fb>
    <v>0</v>
  </rv>
  <rv s="0">
    <fb>166.2</fb>
    <v>1</v>
  </rv>
  <rv s="0">
    <fb>6011634</fb>
    <v>2</v>
  </rv>
  <rv s="0">
    <fb>45413</fb>
    <v>0</v>
  </rv>
  <rv s="0">
    <fb>164.43</fb>
    <v>1</v>
  </rv>
  <rv s="0">
    <fb>4030960</fb>
    <v>2</v>
  </rv>
  <rv s="0">
    <fb>45414</fb>
    <v>0</v>
  </rv>
  <rv s="0">
    <fb>164.69</fb>
    <v>1</v>
  </rv>
  <rv s="0">
    <fb>3829853</fb>
    <v>2</v>
  </rv>
  <rv s="0">
    <fb>45415</fb>
    <v>0</v>
  </rv>
  <rv s="0">
    <fb>165.71</fb>
    <v>1</v>
  </rv>
  <rv s="0">
    <fb>3400405</fb>
    <v>2</v>
  </rv>
  <rv s="0">
    <fb>45418</fb>
    <v>0</v>
  </rv>
  <rv s="0">
    <fb>168.61</fb>
    <v>1</v>
  </rv>
  <rv s="0">
    <fb>4222266</fb>
    <v>2</v>
  </rv>
  <rv s="0">
    <fb>45419</fb>
    <v>0</v>
  </rv>
  <rv s="0">
    <fb>168.38</fb>
    <v>1</v>
  </rv>
  <rv s="0">
    <fb>3155260</fb>
    <v>2</v>
  </rv>
  <rv s="0">
    <fb>45420</fb>
    <v>0</v>
  </rv>
  <rv s="0">
    <fb>169.9</fb>
    <v>1</v>
  </rv>
  <rv s="0">
    <fb>3522011</fb>
    <v>2</v>
  </rv>
  <rv s="0">
    <fb>45421</fb>
    <v>0</v>
  </rv>
  <rv s="0">
    <fb>166.27</fb>
    <v>1</v>
  </rv>
  <rv s="0">
    <fb>4266616</fb>
    <v>2</v>
  </rv>
  <rv s="0">
    <fb>45422</fb>
    <v>0</v>
  </rv>
  <rv s="0">
    <fb>167.15</fb>
    <v>1</v>
  </rv>
  <rv s="0">
    <fb>2255370</fb>
    <v>2</v>
  </rv>
  <rv s="0">
    <fb>45425</fb>
    <v>0</v>
  </rv>
  <rv s="0">
    <fb>167.56</fb>
    <v>1</v>
  </rv>
  <rv s="0">
    <fb>2414859</fb>
    <v>2</v>
  </rv>
  <rv s="0">
    <fb>45426</fb>
    <v>0</v>
  </rv>
  <rv s="0">
    <fb>167.36</fb>
    <v>1</v>
  </rv>
  <rv s="0">
    <fb>2600967</fb>
    <v>2</v>
  </rv>
  <rv s="0">
    <fb>45427</fb>
    <v>0</v>
  </rv>
  <rv s="0">
    <fb>168.26</fb>
    <v>1</v>
  </rv>
  <rv s="0">
    <fb>4468823</fb>
    <v>2</v>
  </rv>
  <rv s="0">
    <fb>45428</fb>
    <v>0</v>
  </rv>
  <rv s="0">
    <fb>168.97</fb>
    <v>1</v>
  </rv>
  <rv s="0">
    <fb>3492267</fb>
    <v>2</v>
  </rv>
  <rv s="0">
    <fb>45429</fb>
    <v>0</v>
  </rv>
  <rv s="0">
    <fb>169.03</fb>
    <v>1</v>
  </rv>
  <rv s="0">
    <fb>2956387</fb>
    <v>2</v>
  </rv>
  <rv s="0">
    <fb>45432</fb>
    <v>0</v>
  </rv>
  <rv s="0">
    <fb>169.92</fb>
    <v>1</v>
  </rv>
  <rv s="0">
    <fb>2726261</fb>
    <v>2</v>
  </rv>
  <rv s="0">
    <fb>45433</fb>
    <v>0</v>
  </rv>
  <rv s="0">
    <fb>173.47</fb>
    <v>1</v>
  </rv>
  <rv s="0">
    <fb>6459800</fb>
    <v>2</v>
  </rv>
  <rv s="0">
    <fb>45434</fb>
    <v>0</v>
  </rv>
  <rv s="0">
    <fb>173.69</fb>
    <v>1</v>
  </rv>
  <rv s="0">
    <fb>3294900</fb>
    <v>2</v>
  </rv>
  <rv s="0">
    <fb>45435</fb>
    <v>0</v>
  </rv>
  <rv s="0">
    <fb>170.67</fb>
    <v>1</v>
  </rv>
  <rv s="0">
    <fb>3341335</fb>
    <v>2</v>
  </rv>
  <rv s="0">
    <fb>45436</fb>
    <v>0</v>
  </rv>
  <rv s="0">
    <fb>170.89</fb>
    <v>1</v>
  </rv>
  <rv s="0">
    <fb>2587829</fb>
    <v>2</v>
  </rv>
  <rv s="0">
    <fb>45440</fb>
    <v>0</v>
  </rv>
  <rv s="0">
    <fb>169.66</fb>
    <v>1</v>
  </rv>
  <rv s="0">
    <fb>2629645</fb>
    <v>2</v>
  </rv>
  <rv s="0">
    <fb>45441</fb>
    <v>0</v>
  </rv>
  <rv s="0">
    <fb>167.05</fb>
    <v>1</v>
  </rv>
  <rv s="0">
    <fb>4206576</fb>
    <v>2</v>
  </rv>
  <rv s="0">
    <fb>45442</fb>
    <v>0</v>
  </rv>
  <rv s="0">
    <fb>165.63</fb>
    <v>1</v>
  </rv>
  <rv s="0">
    <fb>3852963</fb>
    <v>2</v>
  </rv>
  <rv s="0">
    <fb>45443</fb>
    <v>0</v>
  </rv>
  <rv s="0">
    <fb>166.85</fb>
    <v>1</v>
  </rv>
  <rv s="0">
    <fb>4905002</fb>
    <v>2</v>
  </rv>
  <rv s="0">
    <fb>45446</fb>
    <v>0</v>
  </rv>
  <rv s="0">
    <fb>165.28</fb>
    <v>1</v>
  </rv>
  <rv s="0">
    <fb>2776058</fb>
    <v>2</v>
  </rv>
  <rv s="0">
    <fb>45447</fb>
    <v>0</v>
  </rv>
  <rv s="0">
    <fb>165.81</fb>
    <v>1</v>
  </rv>
  <rv s="0">
    <fb>2594203</fb>
    <v>2</v>
  </rv>
  <rv s="0">
    <fb>45448</fb>
    <v>0</v>
  </rv>
  <rv s="0">
    <fb>167.38</fb>
    <v>1</v>
  </rv>
  <rv s="0">
    <fb>3049377</fb>
    <v>2</v>
  </rv>
  <rv s="0">
    <fb>45449</fb>
    <v>0</v>
  </rv>
  <rv s="0">
    <fb>168.2</fb>
    <v>1</v>
  </rv>
  <rv s="0">
    <fb>2207263</fb>
    <v>2</v>
  </rv>
  <rv s="0">
    <fb>45450</fb>
    <v>0</v>
  </rv>
  <rv s="0">
    <fb>170.01</fb>
    <v>1</v>
  </rv>
  <rv s="0">
    <fb>3475495</fb>
    <v>2</v>
  </rv>
  <rv s="0">
    <fb>45453</fb>
    <v>0</v>
  </rv>
  <rv s="0">
    <fb>170.38</fb>
    <v>1</v>
  </rv>
  <rv s="0">
    <fb>3444684</fb>
    <v>2</v>
  </rv>
  <rv s="0">
    <fb>45454</fb>
    <v>0</v>
  </rv>
  <rv s="0">
    <fb>169.32</fb>
    <v>1</v>
  </rv>
  <rv s="0">
    <fb>2951251</fb>
    <v>2</v>
  </rv>
  <rv s="0">
    <fb>45455</fb>
    <v>0</v>
  </rv>
  <rv s="0">
    <fb>169</fb>
    <v>1</v>
  </rv>
  <rv s="0">
    <fb>3522698</fb>
    <v>2</v>
  </rv>
  <rv s="0">
    <fb>45456</fb>
    <v>0</v>
  </rv>
  <rv s="0">
    <fb>169.12</fb>
    <v>1</v>
  </rv>
  <rv s="0">
    <fb>3525717</fb>
    <v>2</v>
  </rv>
  <rv s="0">
    <fb>45457</fb>
    <v>0</v>
  </rv>
  <rv s="0">
    <fb>169.21</fb>
    <v>1</v>
  </rv>
  <rv s="0">
    <fb>2777717</fb>
    <v>2</v>
  </rv>
  <rv s="0">
    <fb>45460</fb>
    <v>0</v>
  </rv>
  <rv s="0">
    <fb>169.5</fb>
    <v>1</v>
  </rv>
  <rv s="0">
    <fb>3239815</fb>
    <v>2</v>
  </rv>
  <rv s="0">
    <fb>45461</fb>
    <v>0</v>
  </rv>
  <rv s="0">
    <fb>170.55</fb>
    <v>1</v>
  </rv>
  <rv s="0">
    <fb>3386442</fb>
    <v>2</v>
  </rv>
  <rv s="0">
    <fb>45463</fb>
    <v>0</v>
  </rv>
  <rv s="0">
    <fb>173.92</fb>
    <v>1</v>
  </rv>
  <rv s="0">
    <fb>4723078</fb>
    <v>2</v>
  </rv>
  <rv s="0">
    <fb>45464</fb>
    <v>0</v>
  </rv>
  <rv s="0">
    <fb>172.46</fb>
    <v>1</v>
  </rv>
  <rv s="0">
    <fb>10182025</fb>
    <v>2</v>
  </rv>
  <rv s="0">
    <fb>45467</fb>
    <v>0</v>
  </rv>
  <rv s="0">
    <fb>175.01</fb>
    <v>1</v>
  </rv>
  <rv s="0">
    <fb>4864735</fb>
    <v>2</v>
  </rv>
  <rv s="0">
    <fb>45468</fb>
    <v>0</v>
  </rv>
  <rv s="0">
    <fb>172.6</fb>
    <v>1</v>
  </rv>
  <rv s="0">
    <fb>4119267</fb>
    <v>2</v>
  </rv>
  <rv s="0">
    <fb>45469</fb>
    <v>0</v>
  </rv>
  <rv s="0">
    <fb>171.87</fb>
    <v>1</v>
  </rv>
  <rv s="0">
    <fb>2779016</fb>
    <v>2</v>
  </rv>
  <rv s="0">
    <fb>45470</fb>
    <v>0</v>
  </rv>
  <rv s="0">
    <fb>170.85</fb>
    <v>1</v>
  </rv>
  <rv s="0">
    <fb>2894001</fb>
    <v>2</v>
  </rv>
  <rv s="0">
    <fb>45471</fb>
    <v>0</v>
  </rv>
  <rv s="0">
    <fb>172.95</fb>
    <v>1</v>
  </rv>
  <rv s="0">
    <fb>4193459</fb>
    <v>2</v>
  </rv>
  <rv s="0">
    <fb>45474</fb>
    <v>0</v>
  </rv>
  <rv s="0">
    <fb>175.1</fb>
    <v>1</v>
  </rv>
  <rv s="0">
    <fb>3320961</fb>
    <v>2</v>
  </rv>
  <rv s="0">
    <fb>45475</fb>
    <v>0</v>
  </rv>
  <rv s="0">
    <fb>177.3</fb>
    <v>1</v>
  </rv>
  <rv s="0">
    <fb>2883275</fb>
    <v>2</v>
  </rv>
  <rv s="0">
    <fb>45476</fb>
    <v>0</v>
  </rv>
  <rv s="0">
    <fb>175.73</fb>
    <v>1</v>
  </rv>
  <rv s="0">
    <fb>1649049</fb>
    <v>2</v>
  </rv>
  <rv s="0">
    <fb>45478</fb>
    <v>0</v>
  </rv>
  <rv s="0">
    <fb>176.02</fb>
    <v>1</v>
  </rv>
  <rv s="0">
    <fb>2085970</fb>
    <v>2</v>
  </rv>
  <rv s="0">
    <fb>45481</fb>
    <v>0</v>
  </rv>
  <rv s="0">
    <fb>177.64</fb>
    <v>1</v>
  </rv>
  <rv s="0">
    <fb>2503038</fb>
    <v>2</v>
  </rv>
  <rv s="0">
    <fb>45482</fb>
    <v>0</v>
  </rv>
  <rv s="0">
    <fb>176.48</fb>
    <v>1</v>
  </rv>
  <rv s="0">
    <fb>2513305</fb>
    <v>2</v>
  </rv>
  <rv s="0">
    <fb>45483</fb>
    <v>0</v>
  </rv>
  <rv s="0">
    <fb>177.84</fb>
    <v>1</v>
  </rv>
  <rv s="0">
    <fb>3462182</fb>
    <v>2</v>
  </rv>
  <rv s="0">
    <fb>45484</fb>
    <v>0</v>
  </rv>
  <rv s="0">
    <fb>178.31</fb>
    <v>1</v>
  </rv>
  <rv s="0">
    <fb>2807145</fb>
    <v>2</v>
  </rv>
  <rv s="0">
    <fb>45485</fb>
    <v>0</v>
  </rv>
  <rv s="0">
    <fb>182.83</fb>
    <v>1</v>
  </rv>
  <rv s="0">
    <fb>4785565</fb>
    <v>2</v>
  </rv>
  <rv s="0">
    <fb>45488</fb>
    <v>0</v>
  </rv>
  <rv s="0">
    <fb>182.88</fb>
    <v>1</v>
  </rv>
  <rv s="0">
    <fb>2925794</fb>
    <v>2</v>
  </rv>
  <rv s="0">
    <fb>45489</fb>
    <v>0</v>
  </rv>
  <rv s="0">
    <fb>185.81</fb>
    <v>1</v>
  </rv>
  <rv s="0">
    <fb>3374526</fb>
    <v>2</v>
  </rv>
  <rv s="0">
    <fb>45490</fb>
    <v>0</v>
  </rv>
  <rv s="0">
    <fb>187.45</fb>
    <v>1</v>
  </rv>
  <rv s="0">
    <fb>4225302</fb>
    <v>2</v>
  </rv>
  <rv s="0">
    <fb>45491</fb>
    <v>0</v>
  </rv>
  <rv s="0">
    <fb>185.22</fb>
    <v>1</v>
  </rv>
  <rv s="0">
    <fb>3487808</fb>
    <v>2</v>
  </rv>
  <rv s="0">
    <fb>45492</fb>
    <v>0</v>
  </rv>
  <rv s="0">
    <fb>183.25</fb>
    <v>1</v>
  </rv>
  <rv s="0">
    <fb>3816039</fb>
    <v>2</v>
  </rv>
  <rv s="0">
    <fb>45495</fb>
    <v>0</v>
  </rv>
  <rv s="0">
    <fb>184.15</fb>
    <v>1</v>
  </rv>
  <rv s="0">
    <fb>2488525</fb>
    <v>2</v>
  </rv>
  <rv s="0">
    <fb>45496</fb>
    <v>0</v>
  </rv>
  <rv s="0">
    <fb>2180225</fb>
    <v>2</v>
  </rv>
  <rv s="0">
    <fb>45497</fb>
    <v>0</v>
  </rv>
  <rv s="0">
    <fb>184.02</fb>
    <v>1</v>
  </rv>
  <rv s="0">
    <fb>6962071</fb>
    <v>2</v>
  </rv>
  <rv s="0">
    <fb>45498</fb>
    <v>0</v>
  </rv>
  <rv s="0">
    <fb>191.98</fb>
    <v>1</v>
  </rv>
  <rv s="0">
    <fb>9532802</fb>
    <v>2</v>
  </rv>
  <rv s="0">
    <fb>45499</fb>
    <v>0</v>
  </rv>
  <rv s="0">
    <fb>191.75</fb>
    <v>1</v>
  </rv>
  <rv s="0">
    <fb>4294875</fb>
    <v>2</v>
  </rv>
  <rv s="0">
    <fb>45502</fb>
    <v>0</v>
  </rv>
  <rv s="0">
    <fb>191.5</fb>
    <v>1</v>
  </rv>
  <rv s="0">
    <fb>3336806</fb>
    <v>2</v>
  </rv>
  <rv s="0">
    <fb>45503</fb>
    <v>0</v>
  </rv>
  <rv s="0">
    <fb>191.04</fb>
    <v>1</v>
  </rv>
  <rv s="0">
    <fb>3064978</fb>
    <v>2</v>
  </rv>
  <rv s="0">
    <fb>45504</fb>
    <v>0</v>
  </rv>
  <rv s="0">
    <fb>192.14</fb>
    <v>1</v>
  </rv>
  <rv s="0">
    <fb>5558405</fb>
    <v>2</v>
  </rv>
  <rv s="0">
    <fb>45505</fb>
    <v>0</v>
  </rv>
  <rv s="0">
    <fb>189.66</fb>
    <v>1</v>
  </rv>
  <rv s="0">
    <fb>4085354</fb>
    <v>2</v>
  </rv>
  <rv s="0">
    <fb>45506</fb>
    <v>0</v>
  </rv>
  <rv s="0">
    <fb>189.12</fb>
    <v>1</v>
  </rv>
  <rv s="0">
    <fb>4548824</fb>
    <v>2</v>
  </rv>
  <rv s="0">
    <fb>45509</fb>
    <v>0</v>
  </rv>
  <rv s="0">
    <fb>183.31</fb>
    <v>1</v>
  </rv>
  <rv s="0">
    <fb>4975002</fb>
    <v>2</v>
  </rv>
  <rv s="0">
    <fb>45510</fb>
    <v>0</v>
  </rv>
  <rv s="0">
    <fb>186.8</fb>
    <v>1</v>
  </rv>
  <rv s="0">
    <fb>3632517</fb>
    <v>2</v>
  </rv>
  <rv s="0">
    <fb>45511</fb>
    <v>0</v>
  </rv>
  <rv s="0">
    <fb>3801942</fb>
    <v>2</v>
  </rv>
  <rv s="0">
    <fb>45512</fb>
    <v>0</v>
  </rv>
  <rv s="0">
    <fb>192.61</fb>
    <v>1</v>
  </rv>
  <rv s="0">
    <fb>3712698</fb>
    <v>2</v>
  </rv>
  <rv s="0">
    <fb>45513</fb>
    <v>0</v>
  </rv>
  <rv s="0">
    <fb>191.45</fb>
    <v>1</v>
  </rv>
  <rv s="0">
    <fb>2773706</fb>
    <v>2</v>
  </rv>
  <rv s="0">
    <fb>45516</fb>
    <v>0</v>
  </rv>
  <rv s="0">
    <fb>189.48</fb>
    <v>1</v>
  </rv>
  <rv s="0">
    <fb>2290421</fb>
    <v>2</v>
  </rv>
  <rv s="0">
    <fb>45517</fb>
    <v>0</v>
  </rv>
  <rv s="0">
    <fb>190.99</fb>
    <v>1</v>
  </rv>
  <rv s="0">
    <fb>2178862</fb>
    <v>2</v>
  </rv>
  <rv s="0">
    <fb>45518</fb>
    <v>0</v>
  </rv>
  <rv s="0">
    <fb>192.32</fb>
    <v>1</v>
  </rv>
  <rv s="0">
    <fb>1895114</fb>
    <v>2</v>
  </rv>
  <rv s="0">
    <fb>45519</fb>
    <v>0</v>
  </rv>
  <rv s="0">
    <fb>193.95</fb>
    <v>1</v>
  </rv>
  <rv s="0">
    <fb>2471985</fb>
    <v>2</v>
  </rv>
  <rv s="0">
    <fb>45520</fb>
    <v>0</v>
  </rv>
  <rv s="0">
    <fb>193.78</fb>
    <v>1</v>
  </rv>
  <rv s="0">
    <fb>2494472</fb>
    <v>2</v>
  </rv>
  <rv s="0">
    <fb>45523</fb>
    <v>0</v>
  </rv>
  <rv s="0">
    <fb>194.73</fb>
    <v>1</v>
  </rv>
  <rv s="0">
    <fb>2361378</fb>
    <v>2</v>
  </rv>
  <rv s="0">
    <fb>45524</fb>
    <v>0</v>
  </rv>
  <rv s="0">
    <fb>196.03</fb>
    <v>1</v>
  </rv>
  <rv s="0">
    <fb>1790371</fb>
    <v>2</v>
  </rv>
  <rv s="0">
    <fb>45525</fb>
    <v>0</v>
  </rv>
  <rv s="0">
    <fb>197.21</fb>
    <v>1</v>
  </rv>
  <rv s="0">
    <fb>2579343</fb>
    <v>2</v>
  </rv>
  <rv s="0">
    <fb>45526</fb>
    <v>0</v>
  </rv>
  <rv s="0">
    <fb>195.96</fb>
    <v>1</v>
  </rv>
  <rv s="0">
    <fb>1969496</fb>
    <v>2</v>
  </rv>
  <rv s="0">
    <fb>45527</fb>
    <v>0</v>
  </rv>
  <rv s="0">
    <fb>196.1</fb>
    <v>1</v>
  </rv>
  <rv s="0">
    <fb>2321961</fb>
    <v>2</v>
  </rv>
  <rv s="0">
    <fb>45530</fb>
    <v>0</v>
  </rv>
  <rv s="0">
    <fb>197.98</fb>
    <v>1</v>
  </rv>
  <rv s="0">
    <fb>2567217</fb>
    <v>2</v>
  </rv>
  <rv s="0">
    <fb>45531</fb>
    <v>0</v>
  </rv>
  <rv s="0">
    <fb>198.73</fb>
    <v>1</v>
  </rv>
  <rv s="0">
    <fb>2617229</fb>
    <v>2</v>
  </rv>
  <rv s="0">
    <fb>45532</fb>
    <v>0</v>
  </rv>
  <rv s="0">
    <fb>198.46</fb>
    <v>1</v>
  </rv>
  <rv s="0">
    <fb>2645244</fb>
    <v>2</v>
  </rv>
  <rv s="0">
    <fb>45533</fb>
    <v>0</v>
  </rv>
  <rv s="0">
    <fb>198.9</fb>
    <v>1</v>
  </rv>
  <rv s="0">
    <fb>2989594</fb>
    <v>2</v>
  </rv>
  <rv s="0">
    <fb>45534</fb>
    <v>0</v>
  </rv>
  <rv s="0">
    <fb>202.13</fb>
    <v>1</v>
  </rv>
  <rv s="0">
    <fb>4750999</fb>
    <v>2</v>
  </rv>
  <rv s="0">
    <fb>45538</fb>
    <v>0</v>
  </rv>
  <rv s="0">
    <fb>201.28</fb>
    <v>1</v>
  </rv>
  <rv s="0">
    <fb>3874697</fb>
    <v>2</v>
  </rv>
  <rv s="0">
    <fb>45539</fb>
    <v>0</v>
  </rv>
  <rv s="0">
    <fb>204.11</fb>
    <v>1</v>
  </rv>
  <rv s="0">
    <fb>3142476</fb>
    <v>2</v>
  </rv>
  <rv s="0">
    <fb>45540</fb>
    <v>0</v>
  </rv>
  <rv s="0">
    <fb>202.59</fb>
    <v>1</v>
  </rv>
  <rv s="0">
    <fb>3229345</fb>
    <v>2</v>
  </rv>
  <rv s="0">
    <fb>45541</fb>
    <v>0</v>
  </rv>
  <rv s="0">
    <fb>200.74</fb>
    <v>1</v>
  </rv>
  <rv s="0">
    <fb>3304491</fb>
    <v>2</v>
  </rv>
  <rv s="0">
    <fb>45544</fb>
    <v>0</v>
  </rv>
  <rv s="0">
    <fb>203.53</fb>
    <v>1</v>
  </rv>
  <rv s="0">
    <fb>3705004</fb>
    <v>2</v>
  </rv>
  <rv s="0">
    <fb>45545</fb>
    <v>0</v>
  </rv>
  <rv s="0">
    <fb>205.32</fb>
    <v>1</v>
  </rv>
  <rv s="0">
    <fb>3070644</fb>
    <v>2</v>
  </rv>
  <rv s="0">
    <fb>45546</fb>
    <v>0</v>
  </rv>
  <rv s="0">
    <fb>209.89</fb>
    <v>1</v>
  </rv>
  <rv s="0">
    <fb>5554309</fb>
    <v>2</v>
  </rv>
  <rv s="0">
    <fb>45547</fb>
    <v>0</v>
  </rv>
  <rv s="0">
    <fb>211.61</fb>
    <v>1</v>
  </rv>
  <rv s="0">
    <fb>4616446</fb>
    <v>2</v>
  </rv>
  <rv s="0">
    <fb>45548</fb>
    <v>0</v>
  </rv>
  <rv s="0">
    <fb>214.79</fb>
    <v>1</v>
  </rv>
  <rv s="0">
    <fb>4572344</fb>
    <v>2</v>
  </rv>
  <rv s="0">
    <fb>45551</fb>
    <v>0</v>
  </rv>
  <rv s="0">
    <fb>217.16</fb>
    <v>1</v>
  </rv>
  <rv s="0">
    <fb>4176257</fb>
    <v>2</v>
  </rv>
  <rv s="0">
    <fb>45552</fb>
    <v>0</v>
  </rv>
  <rv s="0">
    <fb>214.13</fb>
    <v>1</v>
  </rv>
  <rv s="0">
    <fb>5635210</fb>
    <v>2</v>
  </rv>
  <rv s="0">
    <fb>45553</fb>
    <v>0</v>
  </rv>
  <rv s="0">
    <fb>214.94</fb>
    <v>1</v>
  </rv>
  <rv s="0">
    <fb>3482764</fb>
    <v>2</v>
  </rv>
  <rv s="0">
    <fb>45554</fb>
    <v>0</v>
  </rv>
  <rv s="0">
    <fb>213.89</fb>
    <v>1</v>
  </rv>
  <rv s="0">
    <fb>5279559</fb>
    <v>2</v>
  </rv>
  <rv s="0">
    <fb>45555</fb>
    <v>0</v>
  </rv>
  <rv s="0">
    <fb>217.7</fb>
    <v>1</v>
  </rv>
  <rv s="0">
    <fb>9958980</fb>
    <v>2</v>
  </rv>
  <rv s="0">
    <fb>45558</fb>
    <v>0</v>
  </rv>
  <rv s="0">
    <fb>220.5</fb>
    <v>1</v>
  </rv>
  <rv s="0">
    <fb>4074755</fb>
    <v>2</v>
  </rv>
  <rv s="0">
    <fb>45559</fb>
    <v>0</v>
  </rv>
  <rv s="0">
    <fb>220.97</fb>
    <v>1</v>
  </rv>
  <rv s="0">
    <fb>3184114</fb>
    <v>2</v>
  </rv>
  <rv s="0">
    <fb>45560</fb>
    <v>0</v>
  </rv>
  <rv s="0">
    <fb>221.23</fb>
    <v>1</v>
  </rv>
  <rv s="0">
    <fb>2537751</fb>
    <v>2</v>
  </rv>
  <rv s="0">
    <fb>45561</fb>
    <v>0</v>
  </rv>
  <rv s="0">
    <fb>223.43</fb>
    <v>1</v>
  </rv>
  <rv s="0">
    <fb>2673210</fb>
    <v>2</v>
  </rv>
  <rv s="0">
    <fb>45562</fb>
    <v>0</v>
  </rv>
  <rv s="0">
    <fb>220.84</fb>
    <v>1</v>
  </rv>
  <rv s="0">
    <fb>3830335</fb>
    <v>2</v>
  </rv>
  <rv s="0">
    <fb>45565</fb>
    <v>0</v>
  </rv>
  <rv s="0">
    <fb>221.08</fb>
    <v>1</v>
  </rv>
  <rv s="0">
    <fb>3544264</fb>
    <v>2</v>
  </rv>
  <rv s="0">
    <fb>45566</fb>
    <v>0</v>
  </rv>
  <rv s="0">
    <fb>219.35</fb>
    <v>1</v>
  </rv>
  <rv s="0">
    <fb>3548374</fb>
    <v>2</v>
  </rv>
  <rv s="0">
    <fb>45567</fb>
    <v>0</v>
  </rv>
  <rv s="0">
    <fb>219.73</fb>
    <v>1</v>
  </rv>
  <rv s="0">
    <fb>3343399</fb>
    <v>2</v>
  </rv>
  <rv s="0">
    <fb>45568</fb>
    <v>0</v>
  </rv>
  <rv s="0">
    <fb>222.72</fb>
    <v>1</v>
  </rv>
  <rv s="0">
    <fb>3788265</fb>
    <v>2</v>
  </rv>
  <rv s="0">
    <fb>45569</fb>
    <v>0</v>
  </rv>
  <rv s="0">
    <fb>226</fb>
    <v>1</v>
  </rv>
  <rv s="0">
    <fb>3554328</fb>
    <v>2</v>
  </rv>
  <rv s="0">
    <fb>45572</fb>
    <v>0</v>
  </rv>
  <rv s="0">
    <fb>227.12</fb>
    <v>1</v>
  </rv>
  <rv s="0">
    <fb>3457952</fb>
    <v>2</v>
  </rv>
  <rv s="0">
    <fb>45573</fb>
    <v>0</v>
  </rv>
  <rv s="0">
    <fb>228.62</fb>
    <v>1</v>
  </rv>
  <rv s="0">
    <fb>3245342</fb>
    <v>2</v>
  </rv>
  <rv s="0">
    <fb>45574</fb>
    <v>0</v>
  </rv>
  <rv s="0">
    <fb>234.3</fb>
    <v>1</v>
  </rv>
  <rv s="0">
    <fb>5083566</fb>
    <v>2</v>
  </rv>
  <rv s="0">
    <fb>45575</fb>
    <v>0</v>
  </rv>
  <rv s="0">
    <fb>233.02</fb>
    <v>1</v>
  </rv>
  <rv s="0">
    <fb>3142031</fb>
    <v>2</v>
  </rv>
  <rv s="0">
    <fb>45576</fb>
    <v>0</v>
  </rv>
  <rv s="0">
    <fb>233.26</fb>
    <v>1</v>
  </rv>
  <rv s="0">
    <fb>3469322</fb>
    <v>2</v>
  </rv>
  <rv s="0">
    <fb>45579</fb>
    <v>0</v>
  </rv>
  <rv s="0">
    <fb>235.26</fb>
    <v>1</v>
  </rv>
  <rv s="0">
    <fb>2524389</fb>
    <v>2</v>
  </rv>
  <rv s="0">
    <fb>45580</fb>
    <v>0</v>
  </rv>
  <rv s="0">
    <fb>232.96</fb>
    <v>1</v>
  </rv>
  <rv s="0">
    <fb>3350556</fb>
    <v>2</v>
  </rv>
  <rv s="0">
    <fb>45581</fb>
    <v>0</v>
  </rv>
  <rv s="0">
    <fb>233.67</fb>
    <v>1</v>
  </rv>
  <rv s="0">
    <fb>2846669</fb>
    <v>2</v>
  </rv>
  <rv s="0">
    <fb>45582</fb>
    <v>0</v>
  </rv>
  <rv s="0">
    <fb>232.88</fb>
    <v>1</v>
  </rv>
  <rv s="0">
    <fb>5040092</fb>
    <v>2</v>
  </rv>
  <rv s="0">
    <fb>45583</fb>
    <v>0</v>
  </rv>
  <rv s="0">
    <fb>232.2</fb>
    <v>1</v>
  </rv>
  <rv s="0">
    <fb>4715688</fb>
    <v>2</v>
  </rv>
  <rv s="0">
    <fb>45586</fb>
    <v>0</v>
  </rv>
  <rv s="0">
    <fb>231.75</fb>
    <v>1</v>
  </rv>
  <rv s="0">
    <fb>2733336</fb>
    <v>2</v>
  </rv>
  <rv s="0">
    <fb>45587</fb>
    <v>0</v>
  </rv>
  <rv s="0">
    <fb>232.25</fb>
    <v>1</v>
  </rv>
  <rv s="0">
    <fb>3180807</fb>
    <v>2</v>
  </rv>
  <rv s="0">
    <fb>45588</fb>
    <v>0</v>
  </rv>
  <rv s="0">
    <fb>232.75</fb>
    <v>1</v>
  </rv>
  <rv s="0">
    <fb>5791002</fb>
    <v>2</v>
  </rv>
  <rv s="0">
    <fb>45589</fb>
    <v>0</v>
  </rv>
  <rv s="0">
    <fb>218.39</fb>
    <v>1</v>
  </rv>
  <rv s="0">
    <fb>11193440</fb>
    <v>2</v>
  </rv>
  <rv s="0">
    <fb>45590</fb>
    <v>0</v>
  </rv>
  <rv s="0">
    <fb>214.67</fb>
    <v>1</v>
  </rv>
  <rv s="0">
    <fb>8482235</fb>
    <v>2</v>
  </rv>
  <rv s="0">
    <fb>45593</fb>
    <v>0</v>
  </rv>
  <rv s="0">
    <fb>212.91</fb>
    <v>1</v>
  </rv>
  <rv s="0">
    <fb>4993343</fb>
    <v>2</v>
  </rv>
  <rv s="0">
    <fb>45594</fb>
    <v>0</v>
  </rv>
  <rv s="0">
    <fb>210.43</fb>
    <v>1</v>
  </rv>
  <rv s="0">
    <fb>5258366</fb>
    <v>2</v>
  </rv>
  <rv s="0">
    <fb>45595</fb>
    <v>0</v>
  </rv>
  <rv s="0">
    <fb>204.9</fb>
    <v>1</v>
  </rv>
  <rv s="0">
    <fb>6956624</fb>
    <v>2</v>
  </rv>
  <rv s="0">
    <fb>45596</fb>
    <v>0</v>
  </rv>
  <rv s="0">
    <fb>206.72</fb>
    <v>1</v>
  </rv>
  <rv s="0">
    <fb>5925250</fb>
    <v>2</v>
  </rv>
  <rv s="0">
    <fb>45597</fb>
    <v>0</v>
  </rv>
  <rv s="0">
    <fb>208.25</fb>
    <v>1</v>
  </rv>
  <rv s="0">
    <fb>3334308</fb>
    <v>2</v>
  </rv>
  <rv s="0">
    <fb>45600</fb>
    <v>0</v>
  </rv>
  <rv s="0">
    <fb>206.32</fb>
    <v>1</v>
  </rv>
  <rv s="0">
    <fb>2594119</fb>
    <v>2</v>
  </rv>
  <rv s="0">
    <fb>45601</fb>
    <v>0</v>
  </rv>
  <rv s="0">
    <fb>207.57</fb>
    <v>1</v>
  </rv>
  <rv s="0">
    <fb>2441535</fb>
    <v>2</v>
  </rv>
  <rv s="0">
    <fb>45602</fb>
    <v>0</v>
  </rv>
  <rv s="0">
    <fb>213.6</fb>
    <v>1</v>
  </rv>
  <rv s="0">
    <fb>3934386</fb>
    <v>2</v>
  </rv>
  <rv s="0">
    <fb>45603</fb>
    <v>0</v>
  </rv>
  <rv s="0">
    <fb>213.69</fb>
    <v>1</v>
  </rv>
  <rv s="0">
    <fb>3675812</fb>
    <v>2</v>
  </rv>
  <rv s="0">
    <fb>45604</fb>
    <v>0</v>
  </rv>
  <rv s="0">
    <fb>213.72</fb>
    <v>1</v>
  </rv>
  <rv s="0">
    <fb>3201038</fb>
    <v>2</v>
  </rv>
  <rv s="0">
    <fb>45607</fb>
    <v>0</v>
  </rv>
  <rv s="0">
    <fb>213.57</fb>
    <v>1</v>
  </rv>
  <rv s="0">
    <fb>3012987</fb>
    <v>2</v>
  </rv>
  <rv s="0">
    <fb>45608</fb>
    <v>0</v>
  </rv>
  <rv s="0">
    <fb>210.86</fb>
    <v>1</v>
  </rv>
  <rv s="0">
    <fb>2818216</fb>
    <v>2</v>
  </rv>
  <rv s="0">
    <fb>45609</fb>
    <v>0</v>
  </rv>
  <rv s="0">
    <fb>210.92</fb>
    <v>1</v>
  </rv>
  <rv s="0">
    <fb>3247830</fb>
    <v>2</v>
  </rv>
  <rv s="0">
    <fb>45610</fb>
    <v>0</v>
  </rv>
  <rv s="0">
    <fb>208.99</fb>
    <v>1</v>
  </rv>
  <rv s="0">
    <fb>6372853</fb>
    <v>2</v>
  </rv>
  <rv s="0">
    <fb>45611</fb>
    <v>0</v>
  </rv>
  <rv s="0">
    <fb>204.99</fb>
    <v>1</v>
  </rv>
  <rv s="0">
    <fb>3986460</fb>
    <v>2</v>
  </rv>
  <rv s="0">
    <fb>45614</fb>
    <v>0</v>
  </rv>
  <rv s="0">
    <fb>208.09</fb>
    <v>1</v>
  </rv>
  <rv s="0">
    <fb>3406045</fb>
    <v>2</v>
  </rv>
  <rv s="0">
    <fb>45615</fb>
    <v>0</v>
  </rv>
  <rv s="0">
    <fb>210.25</fb>
    <v>1</v>
  </rv>
  <rv s="0">
    <fb>2860746</fb>
    <v>2</v>
  </rv>
  <rv s="0">
    <fb>45616</fb>
    <v>0</v>
  </rv>
  <rv s="0">
    <fb>214.6</fb>
    <v>1</v>
  </rv>
  <rv s="0">
    <fb>4562901</fb>
    <v>2</v>
  </rv>
  <rv s="0">
    <fb>45617</fb>
    <v>0</v>
  </rv>
  <rv s="0">
    <fb>222.4</fb>
    <v>1</v>
  </rv>
  <rv s="0">
    <fb>5236434</fb>
    <v>2</v>
  </rv>
  <rv s="0">
    <fb>45618</fb>
    <v>0</v>
  </rv>
  <rv s="0">
    <fb>222.97</fb>
    <v>1</v>
  </rv>
  <rv s="0">
    <fb>5320740</fb>
    <v>2</v>
  </rv>
  <rv s="0">
    <fb>45621</fb>
    <v>0</v>
  </rv>
  <rv s="0">
    <fb>226.13</fb>
    <v>1</v>
  </rv>
  <rv s="0">
    <fb>7189260</fb>
    <v>2</v>
  </rv>
  <rv s="0">
    <fb>45622</fb>
    <v>0</v>
  </rv>
  <rv s="0">
    <fb>228.83</fb>
    <v>1</v>
  </rv>
  <rv s="0">
    <fb>4449543</fb>
    <v>2</v>
  </rv>
  <rv s="0">
    <fb>45623</fb>
    <v>0</v>
  </rv>
  <rv s="0">
    <fb>226.92</fb>
    <v>1</v>
  </rv>
  <rv s="0">
    <fb>2995121</fb>
    <v>2</v>
  </rv>
  <rv s="0">
    <fb>45625</fb>
    <v>0</v>
  </rv>
  <rv s="0">
    <fb>227.41</fb>
    <v>1</v>
  </rv>
  <rv s="0">
    <fb>2640253</fb>
    <v>2</v>
  </rv>
  <rv s="0">
    <fb>45628</fb>
    <v>0</v>
  </rv>
  <rv s="0">
    <fb>227.39</fb>
    <v>1</v>
  </rv>
  <rv s="0">
    <fb>2656181</fb>
    <v>2</v>
  </rv>
  <rv s="0">
    <fb>45629</fb>
    <v>0</v>
  </rv>
  <rv s="0">
    <fb>229</fb>
    <v>1</v>
  </rv>
  <rv s="0">
    <fb>3163815</fb>
    <v>2</v>
  </rv>
  <rv s="0">
    <fb>45630</fb>
    <v>0</v>
  </rv>
  <rv s="0">
    <fb>233.49</fb>
    <v>1</v>
  </rv>
  <rv s="0">
    <fb>4104195</fb>
    <v>2</v>
  </rv>
  <rv s="0">
    <fb>45631</fb>
    <v>0</v>
  </rv>
  <rv s="0">
    <fb>234.75</fb>
    <v>1</v>
  </rv>
  <rv s="0">
    <fb>4791116</fb>
    <v>2</v>
  </rv>
  <rv s="0">
    <fb>45632</fb>
    <v>0</v>
  </rv>
  <rv s="0">
    <fb>238.04</fb>
    <v>1</v>
  </rv>
  <rv s="0">
    <fb>4028430</fb>
    <v>2</v>
  </rv>
  <rv s="0">
    <fb>45635</fb>
    <v>0</v>
  </rv>
  <rv s="0">
    <fb>230</fb>
    <v>1</v>
  </rv>
  <rv s="0">
    <fb>4970449</fb>
    <v>2</v>
  </rv>
  <rv s="0">
    <fb>45636</fb>
    <v>0</v>
  </rv>
  <rv s="0">
    <fb>231.72</fb>
    <v>1</v>
  </rv>
  <rv s="0">
    <fb>4769531</fb>
    <v>2</v>
  </rv>
  <rv s="0">
    <fb>45637</fb>
    <v>0</v>
  </rv>
  <rv s="0">
    <fb>230.12</fb>
    <v>1</v>
  </rv>
  <rv s="0">
    <fb>3872680</fb>
    <v>2</v>
  </rv>
  <rv s="0">
    <fb>45638</fb>
    <v>0</v>
  </rv>
  <rv s="0">
    <fb>232.26</fb>
    <v>1</v>
  </rv>
  <rv s="0">
    <fb>4515741</fb>
    <v>2</v>
  </rv>
  <rv s="0">
    <fb>45639</fb>
    <v>0</v>
  </rv>
  <rv s="0">
    <fb>230.82</fb>
    <v>1</v>
  </rv>
  <rv s="0">
    <fb>2757683</fb>
    <v>2</v>
  </rv>
  <rv s="0">
    <fb>45642</fb>
    <v>0</v>
  </rv>
  <rv s="0">
    <fb>229.33</fb>
    <v>1</v>
  </rv>
  <rv s="0">
    <fb>3610257</fb>
    <v>2</v>
  </rv>
  <rv s="0">
    <fb>45643</fb>
    <v>0</v>
  </rv>
  <rv s="0">
    <fb>228.97</fb>
    <v>1</v>
  </rv>
  <rv s="0">
    <fb>3651346</fb>
    <v>2</v>
  </rv>
  <rv s="0">
    <fb>45644</fb>
    <v>0</v>
  </rv>
  <rv s="0">
    <fb>220.17</fb>
    <v>1</v>
  </rv>
  <rv s="0">
    <fb>4152517</fb>
    <v>2</v>
  </rv>
  <rv s="0">
    <fb>45645</fb>
    <v>0</v>
  </rv>
  <rv s="0">
    <fb>223.92</fb>
    <v>1</v>
  </rv>
  <rv s="0">
    <fb>4430120</fb>
    <v>2</v>
  </rv>
  <rv s="0">
    <fb>45646</fb>
    <v>0</v>
  </rv>
  <rv s="0">
    <fb>223.36</fb>
    <v>1</v>
  </rv>
  <rv s="0">
    <fb>12423200</fb>
    <v>2</v>
  </rv>
  <rv s="0">
    <fb>45649</fb>
    <v>0</v>
  </rv>
  <rv s="0">
    <fb>221.93</fb>
    <v>1</v>
  </rv>
  <rv s="0">
    <fb>2988137</fb>
    <v>2</v>
  </rv>
  <rv s="0">
    <fb>45650</fb>
    <v>0</v>
  </rv>
  <rv s="0">
    <fb>224.41</fb>
    <v>1</v>
  </rv>
  <rv s="0">
    <fb>1186216</fb>
    <v>2</v>
  </rv>
  <rv s="0">
    <fb>45652</fb>
    <v>0</v>
  </rv>
  <rv s="0">
    <fb>224.89</fb>
    <v>1</v>
  </rv>
  <rv s="0">
    <fb>3287238</fb>
    <v>2</v>
  </rv>
  <rv s="0">
    <fb>45653</fb>
    <v>0</v>
  </rv>
  <rv s="0">
    <fb>222.78</fb>
    <v>1</v>
  </rv>
  <rv s="0">
    <fb>1810760</fb>
    <v>2</v>
  </rv>
  <rv s="0">
    <fb>45656</fb>
    <v>0</v>
  </rv>
  <rv s="0">
    <fb>220.25</fb>
    <v>1</v>
  </rv>
  <rv s="0">
    <fb>2095565</fb>
    <v>2</v>
  </rv>
  <rv s="0">
    <fb>45657</fb>
    <v>0</v>
  </rv>
  <rv s="0">
    <fb>219.83</fb>
    <v>1</v>
  </rv>
  <rv s="0">
    <fb>2270512</fb>
    <v>2</v>
  </rv>
  <rv s="0">
    <fb>45659</fb>
    <v>0</v>
  </rv>
  <rv s="0">
    <fb>219.94</fb>
    <v>1</v>
  </rv>
  <rv s="0">
    <fb>2579498</fb>
    <v>2</v>
  </rv>
  <rv s="0">
    <fb>45660</fb>
    <v>0</v>
  </rv>
  <rv s="0">
    <fb>222.65</fb>
    <v>1</v>
  </rv>
  <rv s="0">
    <fb>3873578</fb>
    <v>2</v>
  </rv>
  <rv s="0">
    <fb>45663</fb>
    <v>0</v>
  </rv>
  <rv s="0">
    <fb>222.67</fb>
    <v>1</v>
  </rv>
  <rv s="0">
    <fb>2847128</fb>
    <v>2</v>
  </rv>
  <rv s="0">
    <fb>45664</fb>
    <v>0</v>
  </rv>
  <rv s="0">
    <fb>223.96</fb>
    <v>1</v>
  </rv>
  <rv s="0">
    <fb>3299701</fb>
    <v>2</v>
  </rv>
  <rv s="0">
    <fb>45665</fb>
    <v>0</v>
  </rv>
  <rv s="0">
    <fb>223.18</fb>
    <v>1</v>
  </rv>
  <rv s="0">
    <fb>2619768</fb>
    <v>2</v>
  </rv>
  <rv s="0">
    <fb>45667</fb>
    <v>0</v>
  </rv>
  <rv s="0">
    <fb>219.75</fb>
    <v>1</v>
  </rv>
  <rv s="0">
    <fb>3570497</fb>
    <v>2</v>
  </rv>
  <rv s="0">
    <fb>45670</fb>
    <v>0</v>
  </rv>
  <rv s="0">
    <fb>217.4</fb>
    <v>1</v>
  </rv>
  <rv s="0">
    <fb>3716816</fb>
    <v>2</v>
  </rv>
  <rv s="0">
    <fb>45671</fb>
    <v>0</v>
  </rv>
  <rv s="0">
    <fb>217.75</fb>
    <v>1</v>
  </rv>
  <rv s="0">
    <fb>3485829</fb>
    <v>2</v>
  </rv>
  <rv s="0">
    <fb>45672</fb>
    <v>0</v>
  </rv>
  <rv s="0">
    <fb>220.03</fb>
    <v>1</v>
  </rv>
  <rv s="0">
    <fb>2951825</fb>
    <v>2</v>
  </rv>
  <rv s="0">
    <fb>45673</fb>
    <v>0</v>
  </rv>
  <rv s="0">
    <fb>222.66</fb>
    <v>1</v>
  </rv>
  <rv s="0">
    <fb>3329060</fb>
    <v>2</v>
  </rv>
  <rv s="0">
    <fb>45674</fb>
    <v>0</v>
  </rv>
  <rv s="0">
    <fb>224.79</fb>
    <v>1</v>
  </rv>
  <rv s="0">
    <fb>5506837</fb>
    <v>2</v>
  </rv>
  <rv s="0">
    <fb>45678</fb>
    <v>0</v>
  </rv>
  <rv s="0">
    <fb>224.26</fb>
    <v>1</v>
  </rv>
  <rv s="0">
    <fb>3982203</fb>
    <v>2</v>
  </rv>
  <rv s="0">
    <fb>45679</fb>
    <v>0</v>
  </rv>
  <rv s="0">
    <fb>223.26</fb>
    <v>1</v>
  </rv>
  <rv s="0">
    <fb>4759490</fb>
    <v>2</v>
  </rv>
  <rv s="0">
    <fb>45680</fb>
    <v>0</v>
  </rv>
  <rv s="0">
    <fb>226.04</fb>
    <v>1</v>
  </rv>
  <rv s="0">
    <fb>3619651</fb>
    <v>2</v>
  </rv>
  <rv s="0">
    <fb>45681</fb>
    <v>0</v>
  </rv>
  <rv s="0">
    <fb>224.8</fb>
    <v>1</v>
  </rv>
  <rv s="0">
    <fb>3233293</fb>
    <v>2</v>
  </rv>
  <rv s="0">
    <fb>45684</fb>
    <v>0</v>
  </rv>
  <rv s="0">
    <fb>224.13</fb>
    <v>1</v>
  </rv>
  <rv s="0">
    <fb>4898355</fb>
    <v>2</v>
  </rv>
  <rv s="0">
    <fb>45685</fb>
    <v>0</v>
  </rv>
  <rv s="0">
    <fb>225.66</fb>
    <v>1</v>
  </rv>
  <rv s="0">
    <fb>4485429</fb>
    <v>2</v>
  </rv>
  <rv s="0">
    <fb>45686</fb>
    <v>0</v>
  </rv>
  <rv s="0">
    <fb>228.63</fb>
    <v>1</v>
  </rv>
  <rv s="0">
    <fb>7079804</fb>
    <v>2</v>
  </rv>
  <rv s="0">
    <fb>45687</fb>
    <v>0</v>
  </rv>
  <rv s="0">
    <fb>258.27</fb>
    <v>1</v>
  </rv>
  <rv s="0">
    <fb>15381890</fb>
    <v>2</v>
  </rv>
  <rv s="0">
    <fb>45688</fb>
    <v>0</v>
  </rv>
  <rv s="0">
    <fb>255.7</fb>
    <v>1</v>
  </rv>
  <rv s="0">
    <fb>7203519</fb>
    <v>2</v>
  </rv>
  <rv s="0">
    <fb>45691</fb>
    <v>0</v>
  </rv>
  <rv s="0">
    <fb>260.73</fb>
    <v>1</v>
  </rv>
  <rv s="0">
    <fb>8408523</fb>
    <v>2</v>
  </rv>
  <rv s="0">
    <fb>45692</fb>
    <v>0</v>
  </rv>
  <rv s="0">
    <fb>264.45999999999998</fb>
    <v>1</v>
  </rv>
  <rv s="0">
    <fb>6077652</fb>
    <v>2</v>
  </rv>
  <rv s="0">
    <fb>45693</fb>
    <v>0</v>
  </rv>
  <rv s="0">
    <fb>263.3</fb>
    <v>1</v>
  </rv>
  <rv s="0">
    <fb>6165096</fb>
    <v>2</v>
  </rv>
  <rv s="0">
    <fb>45694</fb>
    <v>0</v>
  </rv>
  <rv s="0">
    <fb>253.44</fb>
    <v>1</v>
  </rv>
  <rv s="0">
    <fb>6128293</fb>
    <v>2</v>
  </rv>
  <rv s="0">
    <fb>45695</fb>
    <v>0</v>
  </rv>
  <rv s="0">
    <fb>252.34</fb>
    <v>1</v>
  </rv>
  <rv s="0">
    <fb>3370284</fb>
    <v>2</v>
  </rv>
  <rv s="0">
    <fb>45698</fb>
    <v>0</v>
  </rv>
  <rv s="0">
    <fb>249.27</fb>
    <v>1</v>
  </rv>
  <rv s="0">
    <fb>3564400</fb>
    <v>2</v>
  </rv>
  <rv s="0">
    <fb>45699</fb>
    <v>0</v>
  </rv>
  <rv s="0">
    <fb>254.7</fb>
    <v>1</v>
  </rv>
  <rv s="0">
    <fb>4801550</fb>
    <v>2</v>
  </rv>
  <rv s="0">
    <fb>45700</fb>
    <v>0</v>
  </rv>
  <rv s="0">
    <fb>255.81</fb>
    <v>1</v>
  </rv>
  <rv s="0">
    <fb>3075308</fb>
    <v>2</v>
  </rv>
  <rv s="0">
    <fb>45701</fb>
    <v>0</v>
  </rv>
  <rv s="0">
    <fb>259.19</fb>
    <v>1</v>
  </rv>
  <rv s="0">
    <fb>4531538</fb>
    <v>2</v>
  </rv>
  <rv s="0">
    <fb>45702</fb>
    <v>0</v>
  </rv>
  <rv s="0">
    <fb>261.27999999999997</fb>
    <v>1</v>
  </rv>
  <rv s="0">
    <fb>3925277</fb>
    <v>2</v>
  </rv>
  <rv s="0">
    <fb>45706</fb>
    <v>0</v>
  </rv>
  <rv s="0">
    <fb>263.07</fb>
    <v>1</v>
  </rv>
  <rv s="0">
    <fb>4262812</fb>
    <v>2</v>
  </rv>
  <rv s="0">
    <fb>45707</fb>
    <v>0</v>
  </rv>
  <rv s="0">
    <fb>264.32</fb>
    <v>1</v>
  </rv>
  <rv s="0">
    <fb>3718678</fb>
    <v>2</v>
  </rv>
  <rv s="0">
    <fb>45708</fb>
    <v>0</v>
  </rv>
  <rv s="0">
    <fb>264.74</fb>
    <v>1</v>
  </rv>
  <rv s="0">
    <fb>4884805</fb>
    <v>2</v>
  </rv>
  <rv s="0">
    <fb>45709</fb>
    <v>0</v>
  </rv>
  <rv s="0">
    <fb>261.48</fb>
    <v>1</v>
  </rv>
  <rv s="0">
    <fb>5667874</fb>
    <v>2</v>
  </rv>
  <rv s="0">
    <fb>45712</fb>
    <v>0</v>
  </rv>
  <rv s="0">
    <fb>261.87</fb>
    <v>1</v>
  </rv>
  <rv s="0">
    <fb>4398107</fb>
    <v>2</v>
  </rv>
  <rv s="0">
    <fb>45713</fb>
    <v>0</v>
  </rv>
  <rv s="0">
    <fb>257.75</fb>
    <v>1</v>
  </rv>
  <rv s="0">
    <fb>6292487</fb>
    <v>2</v>
  </rv>
  <rv s="0">
    <fb>45714</fb>
    <v>0</v>
  </rv>
  <rv s="0">
    <fb>255.84</fb>
    <v>1</v>
  </rv>
  <rv s="0">
    <fb>3460124</fb>
    <v>2</v>
  </rv>
  <rv s="0">
    <fb>45715</fb>
    <v>0</v>
  </rv>
  <rv s="0">
    <fb>253.23</fb>
    <v>1</v>
  </rv>
  <rv s="0">
    <fb>3402234</fb>
    <v>2</v>
  </rv>
  <rv s="0">
    <fb>45716</fb>
    <v>0</v>
  </rv>
  <rv s="0">
    <fb>252.44</fb>
    <v>1</v>
  </rv>
  <rv s="0">
    <fb>7988809</fb>
    <v>2</v>
  </rv>
  <rv s="0">
    <fb>45719</fb>
    <v>0</v>
  </rv>
  <rv s="0">
    <fb>250.19</fb>
    <v>1</v>
  </rv>
  <rv s="0">
    <fb>2977699</fb>
    <v>2</v>
  </rv>
  <rv s="0">
    <fb>45720</fb>
    <v>0</v>
  </rv>
  <rv s="0">
    <fb>253.21</fb>
    <v>1</v>
  </rv>
  <rv s="0">
    <fb>5342106</fb>
    <v>2</v>
  </rv>
  <rv s="0">
    <fb>45721</fb>
    <v>0</v>
  </rv>
  <rv s="0">
    <fb>251.35</fb>
    <v>1</v>
  </rv>
  <rv s="0">
    <fb>4009813</fb>
    <v>2</v>
  </rv>
  <rv s="0">
    <fb>45722</fb>
    <v>0</v>
  </rv>
  <rv s="0">
    <fb>248.69</fb>
    <v>1</v>
  </rv>
  <rv s="0">
    <fb>3254358</fb>
    <v>2</v>
  </rv>
  <rv s="0">
    <fb>45723</fb>
    <v>0</v>
  </rv>
  <rv s="0">
    <fb>261.54000000000002</fb>
    <v>1</v>
  </rv>
  <rv s="0">
    <fb>6700184</fb>
    <v>2</v>
  </rv>
  <rv s="0">
    <fb>45726</fb>
    <v>0</v>
  </rv>
  <rv s="0">
    <fb>256.89999999999998</fb>
    <v>1</v>
  </rv>
  <rv s="0">
    <fb>8165503</fb>
    <v>2</v>
  </rv>
  <rv s="0">
    <fb>45727</fb>
    <v>0</v>
  </rv>
  <rv s="0">
    <fb>248.95</fb>
    <v>1</v>
  </rv>
  <rv s="0">
    <fb>5630570</fb>
    <v>2</v>
  </rv>
  <rv s="0">
    <fb>45728</fb>
    <v>0</v>
  </rv>
  <rv s="0">
    <fb>249.63</fb>
    <v>1</v>
  </rv>
  <rv s="0">
    <fb>3849206</fb>
    <v>2</v>
  </rv>
  <rv s="0">
    <fb>45729</fb>
    <v>0</v>
  </rv>
  <rv s="0">
    <fb>245.8</fb>
    <v>1</v>
  </rv>
  <rv s="0">
    <fb>3862416</fb>
    <v>2</v>
  </rv>
  <rv s="0">
    <fb>45730</fb>
    <v>0</v>
  </rv>
  <rv s="0">
    <fb>248.35</fb>
    <v>1</v>
  </rv>
  <rv s="0">
    <fb>4045284</fb>
    <v>2</v>
  </rv>
  <rv s="0">
    <fb>45733</fb>
    <v>0</v>
  </rv>
  <rv s="0">
    <fb>252.97</fb>
    <v>1</v>
  </rv>
  <rv s="0">
    <fb>3234149</fb>
    <v>2</v>
  </rv>
  <rv s="0">
    <fb>45734</fb>
    <v>0</v>
  </rv>
  <rv s="0">
    <fb>246.95</fb>
    <v>1</v>
  </rv>
  <rv s="0">
    <fb>4172239</fb>
    <v>2</v>
  </rv>
  <rv s="0">
    <fb>45735</fb>
    <v>0</v>
  </rv>
  <rv s="0">
    <fb>252.29</fb>
    <v>1</v>
  </rv>
  <rv s="0">
    <fb>3853598</fb>
    <v>2</v>
  </rv>
  <rv s="0">
    <fb>45736</fb>
    <v>0</v>
  </rv>
  <rv s="0">
    <fb>243.32</fb>
    <v>1</v>
  </rv>
  <rv s="0">
    <fb>7026796</fb>
    <v>2</v>
  </rv>
  <rv s="0">
    <fb>45737</fb>
    <v>0</v>
  </rv>
  <rv s="0">
    <fb>243.87</fb>
    <v>1</v>
  </rv>
  <rv s="0">
    <fb>9580084</fb>
    <v>2</v>
  </rv>
  <rv s="0">
    <fb>45740</fb>
    <v>0</v>
  </rv>
  <rv s="0">
    <fb>248.45</fb>
    <v>1</v>
  </rv>
  <rv s="0">
    <fb>4753331</fb>
    <v>2</v>
  </rv>
  <rv s="0">
    <fb>45741</fb>
    <v>0</v>
  </rv>
  <rv s="0">
    <fb>249.9</fb>
    <v>1</v>
  </rv>
  <rv s="0">
    <fb>3133809</fb>
    <v>2</v>
  </rv>
  <rv s="0">
    <fb>45742</fb>
    <v>0</v>
  </rv>
  <rv s="0">
    <fb>250.34</fb>
    <v>1</v>
  </rv>
  <rv s="0">
    <fb>4452220</fb>
    <v>2</v>
  </rv>
  <rv s="0">
    <fb>45743</fb>
    <v>0</v>
  </rv>
  <rv s="0">
    <fb>246.21</fb>
    <v>1</v>
  </rv>
  <rv s="0">
    <fb>2889328</fb>
    <v>2</v>
  </rv>
  <rv s="0">
    <fb>45744</fb>
    <v>0</v>
  </rv>
  <rv s="0">
    <fb>244</fb>
    <v>1</v>
  </rv>
  <rv s="0">
    <fb>3125594</fb>
    <v>2</v>
  </rv>
  <rv s="0">
    <fb>45747</fb>
    <v>0</v>
  </rv>
  <rv s="0">
    <fb>248.66</fb>
    <v>1</v>
  </rv>
  <rv s="0">
    <fb>6794972</fb>
    <v>2</v>
  </rv>
  <rv s="0">
    <fb>45748</fb>
    <v>0</v>
  </rv>
  <rv s="0">
    <fb>4413139</fb>
    <v>2</v>
  </rv>
  <rv s="0">
    <fb>45749</fb>
    <v>0</v>
  </rv>
  <rv s="0">
    <fb>249.98</fb>
    <v>1</v>
  </rv>
  <rv s="0">
    <fb>4080832</fb>
    <v>2</v>
  </rv>
  <rv s="0">
    <fb>45750</fb>
    <v>0</v>
  </rv>
  <rv s="0">
    <fb>243.49</fb>
    <v>1</v>
  </rv>
  <rv s="0">
    <fb>5309626</fb>
    <v>2</v>
  </rv>
  <rv s="0">
    <fb>45751</fb>
    <v>0</v>
  </rv>
  <rv s="0">
    <fb>227.48</fb>
    <v>1</v>
  </rv>
  <rv s="0">
    <fb>7407096</fb>
    <v>2</v>
  </rv>
  <rv s="0">
    <fb>45754</fb>
    <v>0</v>
  </rv>
  <rv s="0">
    <fb>225.78</fb>
    <v>1</v>
  </rv>
  <rv s="0">
    <fb>7797889</fb>
    <v>2</v>
  </rv>
  <rv s="0">
    <fb>45755</fb>
    <v>0</v>
  </rv>
  <rv s="0">
    <fb>221.03</fb>
    <v>1</v>
  </rv>
  <rv s="0">
    <fb>6849996</fb>
    <v>2</v>
  </rv>
  <rv s="0">
    <fb>45756</fb>
    <v>0</v>
  </rv>
  <rv s="0">
    <fb>235.31</fb>
    <v>1</v>
  </rv>
  <rv s="0">
    <fb>7302808</fb>
    <v>2</v>
  </rv>
  <rv s="0">
    <fb>45757</fb>
    <v>0</v>
  </rv>
  <rv s="0">
    <fb>229.55</fb>
    <v>1</v>
  </rv>
  <rv s="0">
    <fb>5656108</fb>
    <v>2</v>
  </rv>
  <rv s="0">
    <fb>45758</fb>
    <v>0</v>
  </rv>
  <rv s="0">
    <fb>235.48</fb>
    <v>1</v>
  </rv>
  <rv s="0">
    <fb>4325895</fb>
    <v>2</v>
  </rv>
  <rv s="0">
    <fb>45761</fb>
    <v>0</v>
  </rv>
  <rv s="0">
    <fb>239.06</fb>
    <v>1</v>
  </rv>
  <rv s="0">
    <fb>3321717</fb>
    <v>2</v>
  </rv>
  <rv s="0">
    <fb>45762</fb>
    <v>0</v>
  </rv>
  <rv s="0">
    <fb>240.7</fb>
    <v>1</v>
  </rv>
  <rv s="0">
    <fb>3363708</fb>
    <v>2</v>
  </rv>
  <rv s="0">
    <fb>45763</fb>
    <v>0</v>
  </rv>
  <rv s="0">
    <fb>238.57</fb>
    <v>1</v>
  </rv>
  <rv s="0">
    <fb>4870299</fb>
    <v>2</v>
  </rv>
  <rv s="0">
    <fb>45764</fb>
    <v>0</v>
  </rv>
  <rv s="0">
    <fb>238.81</fb>
    <v>1</v>
  </rv>
  <rv s="0">
    <fb>4635204</fb>
    <v>2</v>
  </rv>
  <rv s="0">
    <fb>45768</fb>
    <v>0</v>
  </rv>
  <rv s="0">
    <fb>236.22</fb>
    <v>1</v>
  </rv>
  <rv s="0">
    <fb>4908923</fb>
    <v>2</v>
  </rv>
  <rv s="0">
    <fb>45769</fb>
    <v>0</v>
  </rv>
  <rv s="0">
    <fb>240.9</fb>
    <v>1</v>
  </rv>
  <rv s="0">
    <fb>4232658</fb>
    <v>2</v>
  </rv>
  <rv s="0">
    <fb>45770</fb>
    <v>0</v>
  </rv>
  <rv s="0">
    <fb>245.48</fb>
    <v>1</v>
  </rv>
  <rv s="0">
    <fb>7948259</fb>
    <v>2</v>
  </rv>
  <rv s="0">
    <fb>45771</fb>
    <v>0</v>
  </rv>
  <rv s="0">
    <fb>15428144</fb>
    <v>2</v>
  </rv>
  <rv s="0">
    <fb>45772</fb>
    <v>0</v>
  </rv>
  <rv s="0">
    <fb>232.41</fb>
    <v>1</v>
  </rv>
  <rv s="0">
    <fb>6700068</fb>
    <v>2</v>
  </rv>
  <rv s="0">
    <fb>45775</fb>
    <v>0</v>
  </rv>
  <rv s="0">
    <fb>236.16</fb>
    <v>1</v>
  </rv>
  <rv s="0">
    <fb>3653461</fb>
    <v>2</v>
  </rv>
  <rv s="0">
    <fb>45776</fb>
    <v>0</v>
  </rv>
  <rv s="0">
    <fb>239.39</fb>
    <v>1</v>
  </rv>
  <rv s="0">
    <fb>3426508</fb>
    <v>2</v>
  </rv>
  <rv s="0">
    <fb>45777</fb>
    <v>0</v>
  </rv>
  <rv s="0">
    <fb>241.82</fb>
    <v>1</v>
  </rv>
  <rv s="0">
    <fb>5142993</fb>
    <v>2</v>
  </rv>
  <rv s="0">
    <fb>45778</fb>
    <v>0</v>
  </rv>
  <rv s="0">
    <fb>239.66</fb>
    <v>1</v>
  </rv>
  <rv s="0">
    <fb>4243294</fb>
    <v>2</v>
  </rv>
  <rv s="0">
    <fb>45779</fb>
    <v>0</v>
  </rv>
  <rv s="0">
    <fb>245.55</fb>
    <v>1</v>
  </rv>
  <rv s="0">
    <fb>3731946</fb>
    <v>2</v>
  </rv>
  <rv s="0">
    <fb>45782</fb>
    <v>0</v>
  </rv>
  <rv s="0">
    <fb>249.18</fb>
    <v>1</v>
  </rv>
  <rv s="0">
    <fb>4138168</fb>
    <v>2</v>
  </rv>
  <rv s="0">
    <fb>45783</fb>
    <v>0</v>
  </rv>
  <rv s="0">
    <fb>249.12</fb>
    <v>1</v>
  </rv>
  <rv s="0">
    <fb>2900556</fb>
    <v>2</v>
  </rv>
  <rv s="0">
    <fb>45784</fb>
    <v>0</v>
  </rv>
  <rv s="0">
    <fb>253.37</fb>
    <v>1</v>
  </rv>
  <rv s="0">
    <fb>3400001</fb>
    <v>2</v>
  </rv>
  <rv s="0">
    <fb>45785</fb>
    <v>0</v>
  </rv>
  <rv s="0">
    <fb>254.14</fb>
    <v>1</v>
  </rv>
  <rv s="0">
    <fb>3637012</fb>
    <v>2</v>
  </rv>
  <rv s="0">
    <fb>45786</fb>
    <v>0</v>
  </rv>
  <rv s="0">
    <fb>249.2</fb>
    <v>1</v>
  </rv>
  <rv s="0">
    <fb>2901346</fb>
    <v>2</v>
  </rv>
  <rv s="0">
    <fb>45789</fb>
    <v>0</v>
  </rv>
  <rv s="0">
    <fb>253.69</fb>
    <v>1</v>
  </rv>
  <rv s="0">
    <fb>4609520</fb>
    <v>2</v>
  </rv>
  <rv s="0">
    <fb>45790</fb>
    <v>0</v>
  </rv>
  <rv s="0">
    <fb>258.58999999999997</fb>
    <v>1</v>
  </rv>
  <rv s="0">
    <fb>3521389</fb>
    <v>2</v>
  </rv>
  <rv s="0">
    <fb>45791</fb>
    <v>0</v>
  </rv>
  <rv s="0">
    <fb>257.82</fb>
    <v>1</v>
  </rv>
  <rv s="0">
    <fb>3635124</fb>
    <v>2</v>
  </rv>
  <rv s="0">
    <fb>45792</fb>
    <v>0</v>
  </rv>
  <rv s="0">
    <fb>266.68</fb>
    <v>1</v>
  </rv>
  <rv s="0">
    <fb>4856276</fb>
    <v>2</v>
  </rv>
  <rv s="0">
    <fb>45793</fb>
    <v>0</v>
  </rv>
  <rv s="0">
    <fb>266.76</fb>
    <v>1</v>
  </rv>
  <rv s="0">
    <fb>3817937</fb>
    <v>2</v>
  </rv>
  <rv s="0">
    <fb>45796</fb>
    <v>0</v>
  </rv>
  <rv s="0">
    <fb>268.41000000000003</fb>
    <v>1</v>
  </rv>
  <rv s="0">
    <fb>3198903</fb>
    <v>2</v>
  </rv>
  <rv s="0">
    <fb>45797</fb>
    <v>0</v>
  </rv>
  <rv s="0">
    <fb>266.95</fb>
    <v>1</v>
  </rv>
  <rv s="0">
    <fb>2437860</fb>
    <v>2</v>
  </rv>
  <rv s="0">
    <fb>45798</fb>
    <v>0</v>
  </rv>
  <rv s="0">
    <fb>260.87</fb>
    <v>1</v>
  </rv>
  <rv s="0">
    <fb>3753904</fb>
    <v>2</v>
  </rv>
  <rv s="0">
    <fb>45799</fb>
    <v>0</v>
  </rv>
  <rv s="0">
    <fb>258.37</fb>
    <v>1</v>
  </rv>
  <rv s="0">
    <fb>3091253</fb>
    <v>2</v>
  </rv>
  <rv s="0">
    <fb>45800</fb>
    <v>0</v>
  </rv>
  <rv s="0">
    <fb>258.63</fb>
    <v>1</v>
  </rv>
  <rv s="0">
    <fb>2722721</fb>
    <v>2</v>
  </rv>
  <rv s="0">
    <fb>45804</fb>
    <v>0</v>
  </rv>
  <rv s="0">
    <fb>263.23</fb>
    <v>1</v>
  </rv>
  <rv s="0">
    <fb>3284216</fb>
    <v>2</v>
  </rv>
  <rv s="0">
    <fb>45805</fb>
    <v>0</v>
  </rv>
  <rv s="0">
    <fb>260.24</fb>
    <v>1</v>
  </rv>
  <rv s="0">
    <fb>2318437</fb>
    <v>2</v>
  </rv>
  <rv s="0">
    <fb>45806</fb>
    <v>0</v>
  </rv>
  <rv s="0">
    <fb>258.69</fb>
    <v>1</v>
  </rv>
  <rv s="0">
    <fb>2295228</fb>
    <v>2</v>
  </rv>
  <rv s="0">
    <fb>45807</fb>
    <v>0</v>
  </rv>
  <rv s="0">
    <fb>259.06</fb>
    <v>1</v>
  </rv>
  <rv s="0">
    <fb>9668923</fb>
    <v>2</v>
  </rv>
  <rv s="0">
    <fb>45810</fb>
    <v>0</v>
  </rv>
  <rv s="0">
    <fb>263.89999999999998</fb>
    <v>1</v>
  </rv>
  <rv s="0">
    <fb>2831881</fb>
    <v>2</v>
  </rv>
  <rv s="0">
    <fb>45811</fb>
    <v>0</v>
  </rv>
  <rv s="0">
    <fb>265.2</fb>
    <v>1</v>
  </rv>
  <rv s="0">
    <fb>2494922</fb>
    <v>2</v>
  </rv>
  <rv s="0">
    <fb>45812</fb>
    <v>0</v>
  </rv>
  <rv s="0">
    <fb>265.52</fb>
    <v>1</v>
  </rv>
  <rv s="0">
    <fb>2588741</fb>
    <v>2</v>
  </rv>
  <rv s="0">
    <fb>45813</fb>
    <v>0</v>
  </rv>
  <rv s="0">
    <fb>266.86</fb>
    <v>1</v>
  </rv>
  <rv s="0">
    <fb>2659478</fb>
    <v>2</v>
  </rv>
  <rv s="0">
    <fb>45814</fb>
    <v>0</v>
  </rv>
  <rv s="0">
    <fb>268.87</fb>
    <v>1</v>
  </rv>
  <rv s="0">
    <fb>2495543</fb>
    <v>2</v>
  </rv>
  <rv s="0">
    <fb>45817</fb>
    <v>0</v>
  </rv>
  <rv s="0">
    <fb>272.08</fb>
    <v>1</v>
  </rv>
  <rv s="0">
    <fb>4331464</fb>
    <v>2</v>
  </rv>
  <rv s="0">
    <fb>45818</fb>
    <v>0</v>
  </rv>
  <rv s="0">
    <fb>276.24</fb>
    <v>1</v>
  </rv>
  <rv s="0">
    <fb>5163507</fb>
    <v>2</v>
  </rv>
  <rv s="0">
    <fb>45819</fb>
    <v>0</v>
  </rv>
  <rv s="0">
    <fb>281.52</fb>
    <v>1</v>
  </rv>
  <rv s="0">
    <fb>4656034</fb>
    <v>2</v>
  </rv>
  <rv s="0">
    <fb>45820</fb>
    <v>0</v>
  </rv>
  <rv s="0">
    <fb>281.02999999999997</fb>
    <v>1</v>
  </rv>
  <rv s="0">
    <fb>3418007</fb>
    <v>2</v>
  </rv>
  <rv s="0">
    <fb>45821</fb>
    <v>0</v>
  </rv>
  <rv s="0">
    <fb>277.22000000000003</fb>
    <v>1</v>
  </rv>
  <rv s="0">
    <fb>3243824</fb>
    <v>2</v>
  </rv>
  <rv s="0">
    <fb>45824</fb>
    <v>0</v>
  </rv>
  <rv s="0">
    <fb>281.83</fb>
    <v>1</v>
  </rv>
  <rv s="0">
    <fb>3685321</fb>
    <v>2</v>
  </rv>
  <rv s="0">
    <fb>45825</fb>
    <v>0</v>
  </rv>
  <rv s="0">
    <fb>283.05</fb>
    <v>1</v>
  </rv>
  <rv s="0">
    <fb>3069556</fb>
    <v>2</v>
  </rv>
  <rv s="0">
    <fb>45826</fb>
    <v>0</v>
  </rv>
  <rv s="0">
    <fb>283.20999999999998</fb>
    <v>1</v>
  </rv>
  <rv s="0">
    <fb>3534110</fb>
    <v>2</v>
  </rv>
  <rv s="0">
    <fb>45828</fb>
    <v>0</v>
  </rv>
  <rv s="0">
    <fb>280.97000000000003</fb>
    <v>1</v>
  </rv>
  <rv s="0">
    <fb>7676962</fb>
    <v>2</v>
  </rv>
  <rv s="0">
    <fb>45831</fb>
    <v>0</v>
  </rv>
  <rv s="0">
    <fb>289.18</fb>
    <v>1</v>
  </rv>
  <rv s="0">
    <fb>3786159</fb>
    <v>2</v>
  </rv>
  <rv s="0">
    <fb>45832</fb>
    <v>0</v>
  </rv>
  <rv s="0">
    <fb>293.79000000000002</fb>
    <v>1</v>
  </rv>
  <rv s="0">
    <fb>4219120</fb>
    <v>2</v>
  </rv>
  <rv s="0">
    <fb>45833</fb>
    <v>0</v>
  </rv>
  <rv s="0">
    <fb>291.06</fb>
    <v>1</v>
  </rv>
  <rv s="0">
    <fb>3862309</fb>
    <v>2</v>
  </rv>
  <rv s="0">
    <fb>45834</fb>
    <v>0</v>
  </rv>
  <rv s="0">
    <fb>291.93</fb>
    <v>1</v>
  </rv>
  <rv s="0">
    <fb>3621110</fb>
    <v>2</v>
  </rv>
  <rv s="0">
    <fb>45835</fb>
    <v>0</v>
  </rv>
  <rv s="0">
    <fb>289.7</fb>
    <v>1</v>
  </rv>
  <rv s="0">
    <fb>3562501</fb>
    <v>2</v>
  </rv>
  <rv s="0">
    <fb>45838</fb>
    <v>0</v>
  </rv>
  <rv s="0">
    <fb>294.77999999999997</fb>
    <v>1</v>
  </rv>
  <rv s="0">
    <fb>3495386</fb>
    <v>2</v>
  </rv>
  <rv s="0">
    <fb>45839</fb>
    <v>0</v>
  </rv>
  <rv s="0">
    <fb>291.2</fb>
    <v>1</v>
  </rv>
  <rv s="0">
    <fb>3272797</fb>
    <v>2</v>
  </rv>
  <rv s="0">
    <fb>45840</fb>
    <v>0</v>
  </rv>
  <rv s="0">
    <fb>287.64999999999998</fb>
    <v>1</v>
  </rv>
  <rv s="0">
    <fb>3257515</fb>
    <v>2</v>
  </rv>
  <rv s="0">
    <fb>45841</fb>
    <v>0</v>
  </rv>
  <rv s="0">
    <fb>291.97000000000003</fb>
    <v>1</v>
  </rv>
  <rv s="0">
    <fb>1853289</fb>
    <v>2</v>
  </rv>
  <rv s="0">
    <fb>45845</fb>
    <v>0</v>
  </rv>
  <rv s="0">
    <fb>292.47000000000003</fb>
    <v>1</v>
  </rv>
  <rv s="0">
    <fb>4488064</fb>
    <v>2</v>
  </rv>
  <rv s="0">
    <fb>45846</fb>
    <v>0</v>
  </rv>
  <rv s="0">
    <fb>290.42</fb>
    <v>1</v>
  </rv>
  <rv s="0">
    <fb>2925329</fb>
    <v>2</v>
  </rv>
  <rv s="0">
    <fb>45847</fb>
    <v>0</v>
  </rv>
  <rv s="0">
    <fb>290.14</fb>
    <v>1</v>
  </rv>
  <rv s="0">
    <fb>2971309</fb>
    <v>2</v>
  </rv>
  <rv s="0">
    <fb>45848</fb>
    <v>0</v>
  </rv>
  <rv s="0">
    <fb>287.43</fb>
    <v>1</v>
  </rv>
  <rv s="0">
    <fb>3489068</fb>
    <v>2</v>
  </rv>
  <rv s="0">
    <fb>45849</fb>
    <v>0</v>
  </rv>
  <rv s="0">
    <fb>283.58999999999997</fb>
    <v>1</v>
  </rv>
  <rv s="0">
    <fb>3790679</fb>
    <v>2</v>
  </rv>
  <rv s="0">
    <fb>45852</fb>
    <v>0</v>
  </rv>
  <rv s="0">
    <fb>283.79000000000002</fb>
    <v>1</v>
  </rv>
  <rv s="0">
    <fb>2857401</fb>
    <v>2</v>
  </rv>
  <rv s="0">
    <fb>45853</fb>
    <v>0</v>
  </rv>
  <rv s="0">
    <fb>282.7</fb>
    <v>1</v>
  </rv>
  <rv s="0">
    <fb>2864106</fb>
    <v>2</v>
  </rv>
  <rv s="0">
    <fb>45854</fb>
    <v>0</v>
  </rv>
  <rv s="0">
    <fb>281.92</fb>
    <v>1</v>
  </rv>
  <rv s="0">
    <fb>2804831</fb>
    <v>2</v>
  </rv>
  <rv s="0">
    <fb>45855</fb>
    <v>0</v>
  </rv>
  <rv s="0">
    <fb>282</fb>
    <v>1</v>
  </rv>
  <rv s="0">
    <fb>3337168</fb>
    <v>2</v>
  </rv>
  <rv s="0">
    <fb>45856</fb>
    <v>0</v>
  </rv>
  <rv s="0">
    <fb>285.87</fb>
    <v>1</v>
  </rv>
  <rv s="0">
    <fb>4478165</fb>
    <v>2</v>
  </rv>
  <rv s="0">
    <fb>45859</fb>
    <v>0</v>
  </rv>
  <rv s="0">
    <fb>284.70999999999998</fb>
    <v>1</v>
  </rv>
  <rv s="0">
    <fb>3051791</fb>
    <v>2</v>
  </rv>
  <rv s="0">
    <fb>45860</fb>
    <v>0</v>
  </rv>
  <rv s="0">
    <fb>281.95999999999998</fb>
    <v>1</v>
  </rv>
  <rv s="0">
    <fb>4824219</fb>
    <v>2</v>
  </rv>
  <rv s="0">
    <fb>45861</fb>
    <v>0</v>
  </rv>
  <rv s="0">
    <fb>282.01</fb>
    <v>1</v>
  </rv>
  <rv s="0">
    <fb>8105906</fb>
    <v>2</v>
  </rv>
  <rv s="0">
    <fb>45862</fb>
    <v>0</v>
  </rv>
  <rv s="0">
    <fb>260.51</fb>
    <v>1</v>
  </rv>
  <rv s="0">
    <fb>22647720</fb>
    <v>2</v>
  </rv>
  <rv s="0">
    <fb>45863</fb>
    <v>0</v>
  </rv>
  <rv s="0">
    <fb>259.72000000000003</fb>
    <v>1</v>
  </rv>
  <rv s="0">
    <fb>7758653</fb>
    <v>2</v>
  </rv>
  <rv s="0">
    <fb>45866</fb>
    <v>0</v>
  </rv>
  <rv s="0">
    <fb>263.20999999999998</fb>
    <v>1</v>
  </rv>
  <rv s="0">
    <fb>5192516</fb>
    <v>2</v>
  </rv>
  <rv s="0">
    <fb>45867</fb>
    <v>0</v>
  </rv>
  <rv s="0">
    <fb>262.41000000000003</fb>
    <v>1</v>
  </rv>
  <rv s="0">
    <fb>4627265</fb>
    <v>2</v>
  </rv>
  <rv s="0">
    <fb>45868</fb>
    <v>0</v>
  </rv>
  <rv s="0">
    <fb>260.26</fb>
    <v>1</v>
  </rv>
  <rv s="0">
    <fb>3718290</fb>
    <v>2</v>
  </rv>
  <rv s="0">
    <fb>45869</fb>
    <v>0</v>
  </rv>
  <rv s="0">
    <fb>253.15</fb>
    <v>1</v>
  </rv>
  <rv s="0">
    <fb>6739092</fb>
    <v>2</v>
  </rv>
  <rv s="0">
    <fb>45870</fb>
    <v>0</v>
  </rv>
  <rv s="0">
    <fb>250.05</fb>
    <v>1</v>
  </rv>
  <rv s="0">
    <fb>9683404</fb>
    <v>2</v>
  </rv>
  <rv s="0">
    <fb>45873</fb>
    <v>0</v>
  </rv>
  <rv s="0">
    <fb>251.98</fb>
    <v>1</v>
  </rv>
  <rv s="0">
    <fb>5280588</fb>
    <v>2</v>
  </rv>
  <rv s="0">
    <fb>45874</fb>
    <v>0</v>
  </rv>
  <rv s="0">
    <fb>250.67</fb>
    <v>1</v>
  </rv>
  <rv s="0">
    <fb>5823016</fb>
    <v>2</v>
  </rv>
  <rv s="0">
    <fb>45875</fb>
    <v>0</v>
  </rv>
  <rv s="0">
    <fb>252.28</fb>
    <v>1</v>
  </rv>
  <rv s="0">
    <fb>3692105</fb>
    <v>2</v>
  </rv>
  <rv s="0">
    <fb>45876</fb>
    <v>0</v>
  </rv>
  <rv s="0">
    <fb>250.16</fb>
    <v>1</v>
  </rv>
  <rv s="0">
    <fb>6251285</fb>
    <v>2</v>
  </rv>
  <rv s="0">
    <fb>45877</fb>
    <v>0</v>
  </rv>
  <rv s="0">
    <fb>242.27</fb>
    <v>1</v>
  </rv>
  <rv s="0">
    <fb>6828390</fb>
    <v>2</v>
  </rv>
  <rv s="0">
    <fb>45880</fb>
    <v>0</v>
  </rv>
  <rv s="0">
    <fb>236.3</fb>
    <v>1</v>
  </rv>
  <rv s="0">
    <fb>9381960</fb>
    <v>2</v>
  </rv>
  <rv s="0">
    <fb>45881</fb>
    <v>0</v>
  </rv>
  <rv s="0">
    <fb>234.77</fb>
    <v>1</v>
  </rv>
  <rv s="0">
    <fb>8800597</fb>
    <v>2</v>
  </rv>
  <rv s="0">
    <fb>45882</fb>
    <v>0</v>
  </rv>
  <rv s="0">
    <fb>240.07</fb>
    <v>1</v>
  </rv>
  <rv s="0">
    <fb>5663562</fb>
    <v>2</v>
  </rv>
  <rv s="0">
    <fb>45883</fb>
    <v>0</v>
  </rv>
  <rv s="0">
    <fb>237.11</fb>
    <v>1</v>
  </rv>
  <rv s="0">
    <fb>4556725</fb>
    <v>2</v>
  </rv>
  <rv s="0">
    <fb>45884</fb>
    <v>0</v>
  </rv>
  <rv s="0">
    <fb>239.72</fb>
    <v>1</v>
  </rv>
  <rv s="0">
    <fb>4344322</fb>
    <v>2</v>
  </rv>
  <rv s="0">
    <fb>45887</fb>
    <v>0</v>
  </rv>
  <rv s="0">
    <fb>239.45</fb>
    <v>1</v>
  </rv>
  <rv s="0">
    <fb>3569594</fb>
    <v>2</v>
  </rv>
  <rv s="0">
    <fb>45888</fb>
    <v>0</v>
  </rv>
  <rv s="0">
    <fb>241.28</fb>
    <v>1</v>
  </rv>
  <rv s="0">
    <fb>3328305</fb>
    <v>2</v>
  </rv>
  <rv s="0">
    <fb>45889</fb>
    <v>0</v>
  </rv>
  <rv s="0">
    <fb>242.55</fb>
    <v>1</v>
  </rv>
  <rv s="0">
    <fb>3240064</fb>
    <v>2</v>
  </rv>
  <rv s="0">
    <fb>45890</fb>
    <v>0</v>
  </rv>
  <rv s="0">
    <fb>239.4</fb>
    <v>1</v>
  </rv>
  <rv s="0">
    <fb>2991902</fb>
    <v>2</v>
  </rv>
  <rv s="0">
    <fb>45891</fb>
    <v>0</v>
  </rv>
  <rv s="0">
    <fb>242.09</fb>
    <v>1</v>
  </rv>
  <rv s="0">
    <fb>3134882</fb>
    <v>2</v>
  </rv>
  <rv s="0">
    <fb>45894</fb>
    <v>0</v>
  </rv>
  <rv s="0">
    <fb>239.43</fb>
    <v>1</v>
  </rv>
  <rv s="0">
    <fb>3513327</fb>
    <v>2</v>
  </rv>
  <rv s="0">
    <fb>45895</fb>
    <v>0</v>
  </rv>
  <rv s="0">
    <fb>242.63</fb>
    <v>1</v>
  </rv>
  <rv s="0">
    <fb>5386582</fb>
    <v>2</v>
  </rv>
  <rv s="0">
    <fb>45896</fb>
    <v>0</v>
  </rv>
  <rv s="0">
    <fb>244.84</fb>
    <v>1</v>
  </rv>
  <rv s="0">
    <fb>3698372</fb>
    <v>2</v>
  </rv>
  <rv s="0">
    <fb>45897</fb>
    <v>0</v>
  </rv>
  <rv s="0">
    <fb>245.73</fb>
    <v>1</v>
  </rv>
  <rv s="0">
    <fb>2820817</fb>
    <v>2</v>
  </rv>
  <rv s="0">
    <fb>45898</fb>
    <v>0</v>
  </rv>
  <rv s="0">
    <fb>2967558</fb>
    <v>2</v>
  </rv>
  <rv s="0">
    <fb>45902</fb>
    <v>0</v>
  </rv>
  <rv s="0">
    <fb>241.5</fb>
    <v>1</v>
  </rv>
  <rv s="0">
    <fb>3469501</fb>
    <v>2</v>
  </rv>
  <rv s="0">
    <fb>45903</fb>
    <v>0</v>
  </rv>
  <rv s="0">
    <fb>244.1</fb>
    <v>1</v>
  </rv>
  <rv s="0">
    <fb>3163225</fb>
    <v>2</v>
  </rv>
  <rv s="0">
    <fb>45904</fb>
    <v>0</v>
  </rv>
  <rv s="0">
    <fb>247.18</fb>
    <v>1</v>
  </rv>
  <rv s="0">
    <fb>4765087</fb>
    <v>2</v>
  </rv>
  <rv s="0">
    <fb>45905</fb>
    <v>0</v>
  </rv>
  <rv s="0">
    <fb>248.53</fb>
    <v>1</v>
  </rv>
  <rv s="0">
    <fb>3147478</fb>
    <v>2</v>
  </rv>
  <rv s="0">
    <fb>45908</fb>
    <v>0</v>
  </rv>
  <rv s="0">
    <fb>256.08999999999997</fb>
    <v>1</v>
  </rv>
  <rv s="0">
    <fb>6940270</fb>
    <v>2</v>
  </rv>
  <rv s="0">
    <fb>45909</fb>
    <v>0</v>
  </rv>
  <rv s="0">
    <fb>259.11</fb>
    <v>1</v>
  </rv>
  <rv s="0">
    <fb>4931105</fb>
    <v>2</v>
  </rv>
  <rv s="0">
    <fb>45910</fb>
    <v>0</v>
  </rv>
  <rv s="0">
    <fb>256.88</fb>
    <v>1</v>
  </rv>
  <rv s="0">
    <fb>5185420</fb>
    <v>2</v>
  </rv>
  <rv s="0">
    <fb>45911</fb>
    <v>0</v>
  </rv>
  <rv s="0">
    <fb>257.01</fb>
    <v>1</v>
  </rv>
  <rv s="0">
    <fb>3576048</fb>
    <v>2</v>
  </rv>
  <rv s="0">
    <fb>45912</fb>
    <v>0</v>
  </rv>
  <rv s="0">
    <fb>3433300</fb>
    <v>2</v>
  </rv>
  <rv s="0">
    <fb>45915</fb>
    <v>0</v>
  </rv>
  <rv s="0">
    <fb>256.24</fb>
    <v>1</v>
  </rv>
  <rv s="0">
    <fb>4028365</fb>
    <v>2</v>
  </rv>
  <rv s="0">
    <fb>45916</fb>
    <v>0</v>
  </rv>
  <rv s="0">
    <fb>257.52</fb>
    <v>1</v>
  </rv>
  <rv s="0">
    <fb>2719918</fb>
    <v>2</v>
  </rv>
  <rv s="0">
    <fb>45917</fb>
    <v>0</v>
  </rv>
  <rv s="0">
    <fb>259.08</fb>
    <v>1</v>
  </rv>
  <rv s="0">
    <fb>3974785</fb>
    <v>2</v>
  </rv>
  <rv s="0">
    <fb>45918</fb>
    <v>0</v>
  </rv>
  <rv s="0">
    <fb>265</fb>
    <v>1</v>
  </rv>
  <rv s="0">
    <fb>4988421</fb>
    <v>2</v>
  </rv>
  <rv s="0">
    <fb>45919</fb>
    <v>0</v>
  </rv>
  <rv s="0">
    <fb>266.39999999999998</fb>
    <v>1</v>
  </rv>
  <rv s="0">
    <fb>9858112</fb>
    <v>2</v>
  </rv>
  <rv s="0">
    <fb>45922</fb>
    <v>0</v>
  </rv>
  <rv s="0">
    <fb>271.37</fb>
    <v>1</v>
  </rv>
  <rv s="0">
    <fb>5030540</fb>
    <v>2</v>
  </rv>
  <rv s="0">
    <fb>45923</fb>
    <v>0</v>
  </rv>
  <rv s="0">
    <fb>272.24</fb>
    <v>1</v>
  </rv>
  <rv s="0">
    <fb>5394121</fb>
    <v>2</v>
  </rv>
  <rv s="0">
    <fb>45924</fb>
    <v>0</v>
  </rv>
  <rv s="0">
    <fb>267.52999999999997</fb>
    <v>1</v>
  </rv>
  <rv s="0">
    <fb>3159924</fb>
    <v>2</v>
  </rv>
  <rv s="0">
    <fb>45925</fb>
    <v>0</v>
  </rv>
  <rv s="0">
    <fb>281.44</fb>
    <v>1</v>
  </rv>
  <rv s="0">
    <fb>11506192</fb>
    <v>2</v>
  </rv>
  <rv s="0">
    <fb>45926</fb>
    <v>0</v>
  </rv>
  <rv s="0">
    <fb>284.31</fb>
    <v>1</v>
  </rv>
  <rv s="0">
    <fb>9063938</fb>
    <v>2</v>
  </rv>
  <rv s="0">
    <fb>45929</fb>
    <v>0</v>
  </rv>
  <rv s="0">
    <fb>279.8</fb>
    <v>1</v>
  </rv>
  <rv s="0">
    <fb>6022125</fb>
    <v>2</v>
  </rv>
  <rv s="0">
    <fb>45930</fb>
    <v>0</v>
  </rv>
  <rv s="0">
    <fb>282.16000000000003</fb>
    <v>1</v>
  </rv>
  <rv s="0">
    <fb>5926924</fb>
    <v>2</v>
  </rv>
  <rv s="0">
    <fb>45931</fb>
    <v>0</v>
  </rv>
  <rv s="0">
    <fb>286.49</fb>
    <v>1</v>
  </rv>
  <rv s="0">
    <fb>4381338</fb>
    <v>2</v>
  </rv>
  <rv s="0">
    <fb>45932</fb>
    <v>0</v>
  </rv>
  <rv s="0">
    <fb>286.72000000000003</fb>
    <v>1</v>
  </rv>
  <rv s="0">
    <fb>3814232</fb>
    <v>2</v>
  </rv>
  <rv s="0">
    <fb>45933</fb>
    <v>0</v>
  </rv>
  <rv s="0">
    <fb>288.37</fb>
    <v>1</v>
  </rv>
  <rv s="0">
    <fb>4375082</fb>
    <v>2</v>
  </rv>
  <rv s="0">
    <fb>45936</fb>
    <v>0</v>
  </rv>
  <rv s="0">
    <fb>289.42</fb>
    <v>1</v>
  </rv>
  <rv s="0">
    <fb>2881947</fb>
    <v>2</v>
  </rv>
  <rv s="0">
    <fb>45937</fb>
    <v>0</v>
  </rv>
  <rv s="0">
    <fb>293.87</fb>
    <v>1</v>
  </rv>
  <rv s="0">
    <fb>7190126</fb>
    <v>2</v>
  </rv>
  <rv s="0">
    <fb>45938</fb>
    <v>0</v>
  </rv>
  <rv s="0">
    <fb>289.45999999999998</fb>
    <v>1</v>
  </rv>
  <rv s="0">
    <fb>5297030</fb>
    <v>2</v>
  </rv>
  <rv s="0">
    <fb>45939</fb>
    <v>0</v>
  </rv>
  <rv s="0">
    <fb>288.23</fb>
    <v>1</v>
  </rv>
  <rv s="0">
    <fb>4912375</fb>
    <v>2</v>
  </rv>
  <rv s="0">
    <fb>45940</fb>
    <v>0</v>
  </rv>
  <rv s="0">
    <fb>277.82</fb>
    <v>1</v>
  </rv>
  <rv s="0">
    <fb>4508506</fb>
    <v>2</v>
  </rv>
  <rv s="0">
    <fb>45943</fb>
    <v>0</v>
  </rv>
  <rv s="0">
    <fb>4333836</fb>
    <v>2</v>
  </rv>
  <rv s="0">
    <fb>45944</fb>
    <v>0</v>
  </rv>
  <rv s="0">
    <fb>276.14999999999998</fb>
    <v>1</v>
  </rv>
  <rv s="0">
    <fb>3058149</fb>
    <v>2</v>
  </rv>
  <rv s="0">
    <fb>45945</fb>
    <v>0</v>
  </rv>
  <rv s="0">
    <fb>280.75</fb>
    <v>1</v>
  </rv>
  <rv s="0">
    <fb>3346753</fb>
    <v>2</v>
  </rv>
  <rv s="0">
    <fb>45946</fb>
    <v>0</v>
  </rv>
  <rv s="0">
    <fb>275.97000000000003</fb>
    <v>1</v>
  </rv>
  <rv s="0">
    <fb>2956923</fb>
    <v>2</v>
  </rv>
  <rv s="0">
    <fb>45947</fb>
    <v>0</v>
  </rv>
  <rv s="0">
    <fb>281.27999999999997</fb>
    <v>1</v>
  </rv>
  <rv s="0">
    <fb>5309565</fb>
    <v>2</v>
  </rv>
  <rv s="0">
    <fb>45950</fb>
    <v>0</v>
  </rv>
  <rv s="0">
    <fb>283.64999999999998</fb>
    <v>1</v>
  </rv>
  <rv s="0">
    <fb>3494336</fb>
    <v>2</v>
  </rv>
  <rv s="0">
    <fb>45951</fb>
    <v>0</v>
  </rv>
  <rv s="0">
    <fb>282.05</fb>
    <v>1</v>
  </rv>
  <rv s="0">
    <fb>4080981</fb>
    <v>2</v>
  </rv>
  <rv s="0">
    <fb>45952</fb>
    <v>0</v>
  </rv>
  <rv s="0">
    <fb>287.51</fb>
    <v>1</v>
  </rv>
  <rv s="0">
    <fb>10538480</fb>
    <v>2</v>
  </rv>
  <rv s="0">
    <fb>45953</fb>
    <v>0</v>
  </rv>
  <rv s="0">
    <fb>285</fb>
    <v>1</v>
  </rv>
  <rv s="0">
    <fb>16676394</fb>
    <v>2</v>
  </rv>
  <rv s="0">
    <fb>45954</fb>
    <v>0</v>
  </rv>
  <rv s="0">
    <fb>307.45999999999998</fb>
    <v>1</v>
  </rv>
  <rv s="0">
    <fb>16914243</fb>
    <v>2</v>
  </rv>
  <rv s="0">
    <fb>45957</fb>
    <v>0</v>
  </rv>
  <rv s="0">
    <fb>313.08999999999997</fb>
    <v>1</v>
  </rv>
  <rv s="0">
    <fb>9868151</fb>
    <v>2</v>
  </rv>
  <rv s="0">
    <fb>45958</fb>
    <v>0</v>
  </rv>
  <rv s="0">
    <fb>312.57</fb>
    <v>1</v>
  </rv>
  <rv s="0">
    <fb>6044770</fb>
    <v>2</v>
  </rv>
  <rv s="0">
    <fb>45959</fb>
    <v>0</v>
  </rv>
  <rv s="0">
    <fb>308.20999999999998</fb>
    <v>1</v>
  </rv>
  <rv s="0">
    <fb>4135948</fb>
    <v>2</v>
  </rv>
  <rv s="0">
    <fb>45960</fb>
    <v>0</v>
  </rv>
  <rv s="0">
    <fb>310.06</fb>
    <v>1</v>
  </rv>
  <rv s="0">
    <fb>4694275</fb>
    <v>2</v>
  </rv>
  <rv s="0">
    <fb>45961</fb>
    <v>0</v>
  </rv>
  <rv s="0">
    <fb>307.41000000000003</fb>
    <v>1</v>
  </rv>
  <rv s="0">
    <fb>7697499</fb>
    <v>2</v>
  </rv>
  <rv s="0">
    <fb>45964</fb>
    <v>0</v>
  </rv>
  <rv s="0">
    <fb>304.73</fb>
    <v>1</v>
  </rv>
  <rv s="0">
    <fb>4957958</fb>
    <v>2</v>
  </rv>
  <rv s="0">
    <fb>45965</fb>
    <v>0</v>
  </rv>
  <rv s="0">
    <fb>300.85000000000002</fb>
    <v>1</v>
  </rv>
  <rv s="0">
    <fb>5677330</fb>
    <v>2</v>
  </rv>
  <rv s="0">
    <fb>45966</fb>
    <v>0</v>
  </rv>
  <rv s="0">
    <fb>306.77</fb>
    <v>1</v>
  </rv>
  <rv s="0">
    <fb>4650368</fb>
    <v>2</v>
  </rv>
  <rv s="0">
    <fb>45967</fb>
    <v>0</v>
  </rv>
  <rv s="0">
    <fb>312.42</fb>
    <v>1</v>
  </rv>
  <rv s="0">
    <fb>6818521</fb>
    <v>2</v>
  </rv>
  <rv s="0">
    <fb>45968</fb>
    <v>0</v>
  </rv>
  <rv s="0">
    <fb>306.38</fb>
    <v>1</v>
  </rv>
  <rv s="0">
    <fb>5070773</fb>
    <v>2</v>
  </rv>
  <rv s="0">
    <fb>45971</fb>
    <v>0</v>
  </rv>
  <rv s="0">
    <fb>309.13</fb>
    <v>1</v>
  </rv>
  <rv s="0">
    <fb>2975188</fb>
    <v>2</v>
  </rv>
  <rv s="0">
    <fb>45972</fb>
    <v>0</v>
  </rv>
  <rv s="0">
    <fb>313.72000000000003</fb>
    <v>1</v>
  </rv>
  <rv s="0">
    <fb>4381913</fb>
    <v>2</v>
  </rv>
  <rv s="0">
    <fb>45973</fb>
    <v>0</v>
  </rv>
  <rv s="0">
    <fb>314.98</fb>
    <v>1</v>
  </rv>
  <rv s="0">
    <fb>6042686</fb>
    <v>2</v>
  </rv>
  <rv s="0">
    <fb>45974</fb>
    <v>0</v>
  </rv>
  <rv s="0">
    <fb>304.86</fb>
    <v>1</v>
  </rv>
  <rv s="0">
    <fb>5310150</fb>
    <v>2</v>
  </rv>
  <rv s="0">
    <fb>45975</fb>
    <v>0</v>
  </rv>
  <rv s="0">
    <fb>305.69</fb>
    <v>1</v>
  </rv>
  <rv s="0">
    <fb>3592455</fb>
    <v>2</v>
  </rv>
  <rv s="0">
    <fb>45978</fb>
    <v>0</v>
  </rv>
  <rv s="0">
    <fb>297.17</fb>
    <v>1</v>
  </rv>
  <rv s="0">
    <fb>3909741</fb>
    <v>2</v>
  </rv>
  <rv s="0">
    <fb>45979</fb>
    <v>0</v>
  </rv>
  <rv s="0">
    <fb>289.95</fb>
    <v>1</v>
  </rv>
  <rv s="0">
    <fb>4861928</fb>
    <v>2</v>
  </rv>
  <rv s="0">
    <fb>45980</fb>
    <v>0</v>
  </rv>
  <rv s="0">
    <fb>288.52999999999997</fb>
    <v>1</v>
  </rv>
  <rv s="0">
    <fb>3595912</fb>
    <v>2</v>
  </rv>
  <rv s="0">
    <fb>45981</fb>
    <v>0</v>
  </rv>
  <rv s="0">
    <fb>290.39999999999998</fb>
    <v>1</v>
  </rv>
  <rv s="0">
    <fb>5597028</fb>
    <v>2</v>
  </rv>
  <rv s="0">
    <fb>45982</fb>
    <v>0</v>
  </rv>
  <rv s="0">
    <fb>297.44</fb>
    <v>1</v>
  </rv>
  <rv s="0">
    <fb>5710903</fb>
    <v>2</v>
  </rv>
  <rv s="0">
    <fb>45985</fb>
    <v>0</v>
  </rv>
  <rv s="0">
    <fb>304.12</fb>
    <v>1</v>
  </rv>
  <rv s="0">
    <fb>6050640</fb>
    <v>2</v>
  </rv>
  <rv s="0">
    <fb>45986</fb>
    <v>0</v>
  </rv>
  <rv s="0">
    <fb>304.48</fb>
    <v>1</v>
  </rv>
  <rv s="0">
    <fb>2825322</fb>
    <v>2</v>
  </rv>
  <rv s="0">
    <fb>45987</fb>
    <v>0</v>
  </rv>
  <rv s="0">
    <fb>303.20999999999998</fb>
    <v>1</v>
  </rv>
  <rv s="0">
    <fb>2196446</fb>
    <v>2</v>
  </rv>
  <rv s="0">
    <fb>45989</fb>
    <v>0</v>
  </rv>
  <rv s="0">
    <fb>308.58</fb>
    <v>1</v>
  </rv>
  <rv s="0">
    <fb>1689031</fb>
    <v>2</v>
  </rv>
  <rv s="0">
    <fb>45992</fb>
    <v>0</v>
  </rv>
  <rv s="0">
    <fb>305.67</fb>
    <v>1</v>
  </rv>
  <rv s="0">
    <fb>3166555</fb>
    <v>2</v>
  </rv>
  <rv s="0">
    <fb>45993</fb>
    <v>0</v>
  </rv>
  <rv s="0">
    <fb>301.77999999999997</fb>
    <v>1</v>
  </rv>
  <rv s="0">
    <fb>4261100</fb>
    <v>2</v>
  </rv>
  <rv s="0">
    <fb>45994</fb>
    <v>0</v>
  </rv>
  <rv s="0">
    <fb>302.62</fb>
    <v>1</v>
  </rv>
  <rv s="0">
    <fb>3953390</fb>
    <v>2</v>
  </rv>
  <rv s="0">
    <fb>45995</fb>
    <v>0</v>
  </rv>
  <rv s="0">
    <fb>307.99</fb>
    <v>1</v>
  </rv>
  <rv s="0">
    <fb>2962463</fb>
    <v>2</v>
  </rv>
  <rv s="0">
    <fb>45996</fb>
    <v>0</v>
  </rv>
  <rv s="0">
    <fb>307.94</fb>
    <v>1</v>
  </rv>
  <rv s="0">
    <fb>2344667</fb>
    <v>2</v>
  </rv>
  <rv s="0">
    <fb>45999</fb>
    <v>0</v>
  </rv>
  <rv s="0">
    <fb>309.18</fb>
    <v>1</v>
  </rv>
  <rv s="0">
    <fb>3630157</fb>
    <v>2</v>
  </rv>
  <rv s="0">
    <fb>46000</fb>
    <v>0</v>
  </rv>
  <rv s="0">
    <fb>310.48</fb>
    <v>1</v>
  </rv>
  <rv s="0">
    <fb>2935669</fb>
    <v>2</v>
  </rv>
  <rv s="0">
    <fb>46001</fb>
    <v>0</v>
  </rv>
  <rv s="0">
    <fb>312.67</fb>
    <v>1</v>
  </rv>
  <rv s="0">
    <fb>3411524</fb>
    <v>2</v>
  </rv>
  <rv s="0">
    <fb>46002</fb>
    <v>0</v>
  </rv>
  <rv s="0">
    <fb>310.74</fb>
    <v>1</v>
  </rv>
  <rv s="0">
    <fb>2755749</fb>
    <v>2</v>
  </rv>
  <rv s="0">
    <fb>46003</fb>
    <v>0</v>
  </rv>
  <rv s="0">
    <fb>309.24</fb>
    <v>1</v>
  </rv>
  <rv s="0">
    <fb>2953374</fb>
    <v>2</v>
  </rv>
  <rv s="0">
    <fb>46006</fb>
    <v>0</v>
  </rv>
  <rv s="0">
    <fb>308.66000000000003</fb>
    <v>1</v>
  </rv>
  <rv s="0">
    <fb>3566732</fb>
    <v>2</v>
  </rv>
  <rv s="0">
    <fb>46007</fb>
    <v>0</v>
  </rv>
  <rv s="0">
    <fb>303.18</fb>
    <v>1</v>
  </rv>
  <rv s="0">
    <fb>3366878</fb>
    <v>2</v>
  </rv>
  <rv s="0">
    <fb>46008</fb>
    <v>0</v>
  </rv>
  <rv s="0">
    <fb>303.32</fb>
    <v>1</v>
  </rv>
  <rv s="0">
    <fb>3130954</fb>
    <v>2</v>
  </rv>
  <rv s="0">
    <fb>46009</fb>
    <v>0</v>
  </rv>
  <rv s="0">
    <fb>300.45</fb>
    <v>1</v>
  </rv>
  <rv s="0">
    <fb>5411669</fb>
    <v>2</v>
  </rv>
  <rv s="0">
    <fb>46010</fb>
    <v>0</v>
  </rv>
  <rv s="0">
    <fb>300.98</fb>
    <v>1</v>
  </rv>
  <rv s="0">
    <fb>11031341</fb>
    <v>2</v>
  </rv>
  <rv s="0">
    <fb>46013</fb>
    <v>0</v>
  </rv>
  <rv s="0">
    <fb>302.79000000000002</fb>
    <v>1</v>
  </rv>
  <rv s="0">
    <fb>2612100</fb>
    <v>2</v>
  </rv>
  <rv s="0">
    <fb>46014</fb>
    <v>0</v>
  </rv>
  <rv s="0">
    <fb>303.77999999999997</fb>
    <v>1</v>
  </rv>
  <rv s="0">
    <fb>2923037</fb>
    <v>2</v>
  </rv>
  <rv s="0">
    <fb>46015</fb>
    <v>0</v>
  </rv>
  <rv s="0">
    <fb>304.56</fb>
    <v>1</v>
  </rv>
  <rv s="0">
    <fb>1210642</fb>
    <v>2</v>
  </rv>
  <rv s="0">
    <fb>46017</fb>
    <v>0</v>
  </rv>
  <rv s="0">
    <fb>305.08999999999997</fb>
    <v>1</v>
  </rv>
  <rv s="0">
    <fb>2814732</fb>
    <v>2</v>
  </rv>
  <rv s="0">
    <fb>46020</fb>
    <v>0</v>
  </rv>
  <rv s="0">
    <fb>305.74</fb>
    <v>1</v>
  </rv>
  <rv s="0">
    <fb>4664711</fb>
    <v>2</v>
  </rv>
  <rv s="0">
    <fb>46021</fb>
    <v>0</v>
  </rv>
  <rv s="0">
    <fb>302.05</fb>
    <v>1</v>
  </rv>
  <rv s="0">
    <fb>1883651</fb>
    <v>2</v>
  </rv>
  <rv s="0">
    <fb>46022</fb>
    <v>0</v>
  </rv>
  <rv s="0">
    <fb>296.20999999999998</fb>
    <v>1</v>
  </rv>
  <rv s="0">
    <fb>3430133</fb>
    <v>2</v>
  </rv>
  <rv s="0">
    <fb>46024</fb>
    <v>0</v>
  </rv>
  <rv s="0">
    <fb>291.5</fb>
    <v>1</v>
  </rv>
  <rv s="0">
    <fb>4662804</fb>
    <v>2</v>
  </rv>
  <rv s="0">
    <fb>46027</fb>
    <v>0</v>
  </rv>
  <rv s="0">
    <fb>294.97000000000003</fb>
    <v>1</v>
  </rv>
  <rv s="0">
    <fb>4189960</fb>
    <v>2</v>
  </rv>
  <rv s="0">
    <fb>46028</fb>
    <v>0</v>
  </rv>
  <rv s="0">
    <fb>302.47000000000003</fb>
    <v>1</v>
  </rv>
  <rv s="0">
    <fb>4147315</fb>
    <v>2</v>
  </rv>
  <rv s="0">
    <fb>46029</fb>
    <v>0</v>
  </rv>
  <rv s="0">
    <fb>296.73</fb>
    <v>1</v>
  </rv>
  <rv s="0">
    <fb>2833274</fb>
    <v>2</v>
  </rv>
  <rv s="0">
    <fb>46030</fb>
    <v>0</v>
  </rv>
  <rv s="0">
    <fb>302.72000000000003</fb>
    <v>1</v>
  </rv>
  <rv s="0">
    <fb>3343273</fb>
    <v>2</v>
  </rv>
  <rv s="0">
    <fb>46031</fb>
    <v>0</v>
  </rv>
  <rv s="0">
    <fb>304.22000000000003</fb>
    <v>1</v>
  </rv>
  <rv s="0">
    <fb>2718828</fb>
    <v>2</v>
  </rv>
  <rv s="0">
    <fb>46034</fb>
    <v>0</v>
  </rv>
  <rv s="0">
    <fb>312.18</fb>
    <v>1</v>
  </rv>
  <rv s="0">
    <fb>3895197</fb>
    <v>2</v>
  </rv>
  <rv s="0">
    <fb>46035</fb>
    <v>0</v>
  </rv>
  <rv s="0">
    <fb>303.16000000000003</fb>
    <v>1</v>
  </rv>
  <rv s="0">
    <fb>4507760</fb>
    <v>2</v>
  </rv>
  <rv s="0">
    <fb>46036</fb>
    <v>0</v>
  </rv>
  <rv s="0">
    <fb>309.02999999999997</fb>
    <v>1</v>
  </rv>
  <rv s="0">
    <fb>3779045</fb>
    <v>2</v>
  </rv>
  <rv s="0">
    <fb>46037</fb>
    <v>0</v>
  </rv>
  <rv s="0">
    <fb>297.95</fb>
    <v>1</v>
  </rv>
  <rv s="0">
    <fb>4932480</fb>
    <v>2</v>
  </rv>
  <rv s="0">
    <fb>46038</fb>
    <v>0</v>
  </rv>
  <rv s="0">
    <fb>6199635</fb>
    <v>2</v>
  </rv>
  <rv s="0">
    <fb>46042</fb>
    <v>0</v>
  </rv>
  <rv s="0">
    <fb>291.35000000000002</fb>
    <v>1</v>
  </rv>
  <rv s="0">
    <fb>7275490</fb>
    <v>2</v>
  </rv>
  <rv s="0">
    <fb>46043</fb>
    <v>0</v>
  </rv>
  <rv s="0">
    <fb>297.54000000000002</fb>
    <v>1</v>
  </rv>
  <rv s="0">
    <fb>5185023</fb>
    <v>2</v>
  </rv>
  <rv s="0">
    <fb>46044</fb>
    <v>0</v>
  </rv>
  <rv s="0">
    <fb>294.67</fb>
    <v>1</v>
  </rv>
  <rv s="0">
    <fb>3670152</fb>
    <v>2</v>
  </rv>
  <rv s="0">
    <fb>46045</fb>
    <v>0</v>
  </rv>
  <rv s="0">
    <fb>292.44</fb>
    <v>1</v>
  </rv>
  <rv s="0">
    <fb>3298424</fb>
    <v>2</v>
  </rv>
  <rv s="0">
    <fb>46048</fb>
    <v>0</v>
  </rv>
  <rv s="0">
    <fb>296.33</fb>
    <v>1</v>
  </rv>
  <rv s="0">
    <fb>3726890</fb>
    <v>2</v>
  </rv>
  <rv s="0">
    <fb>46049</fb>
    <v>0</v>
  </rv>
  <rv s="0">
    <fb>293.86</fb>
    <v>1</v>
  </rv>
  <rv s="0">
    <fb>2954936</fb>
    <v>2</v>
  </rv>
  <rv s="1">
    <v>3</v>
    <v>IBM</v>
    <v>Daily</v>
    <v>45292</v>
    <v>46050</v>
    <v>0</v>
    <v>1</v>
    <v>639050688000000000,639052447500796106,0</v>
    <v>0</v>
    <v>a1v6nm</v>
    <v>XNYS:IBM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8FA170-30A4-49AD-806C-DFC25AE4D2A0}" name="Table5" displayName="Table5" ref="A1:C120" totalsRowShown="0">
  <autoFilter ref="A1:C120" xr:uid="{108FA170-30A4-49AD-806C-DFC25AE4D2A0}"/>
  <tableColumns count="3">
    <tableColumn id="1" xr3:uid="{62A06A4C-C2DB-4EFA-9A6A-448926D1056F}" name="Week" dataDxfId="2"/>
    <tableColumn id="2" xr3:uid="{EB8F8D5E-D4CC-42FC-893E-17E7620E7DE6}" name="Average"/>
    <tableColumn id="3" xr3:uid="{7CA21F40-8424-4724-A66E-CB9963EDC307}" name="Forecast(Average)">
      <calculatedColumnFormula>_xlfn.FORECAST.ETS(A2,$B$2:$B$110,$A$2:$A$110,1,1)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511D77-0F90-49B5-A480-070CA78DAAC7}" name="Weekly" displayName="Weekly" ref="A1:F120" tableType="queryTable" totalsRowShown="0">
  <autoFilter ref="A1:F120" xr:uid="{5A511D77-0F90-49B5-A480-070CA78DAAC7}"/>
  <tableColumns count="6">
    <tableColumn id="1" xr3:uid="{870ACE04-5099-4CE5-8BAF-4A5FDBA261E8}" uniqueName="1" name="Week" queryTableFieldId="1" dataDxfId="3"/>
    <tableColumn id="2" xr3:uid="{F627A035-6A40-4F36-9CD3-F4040B08B015}" uniqueName="2" name="Average" queryTableFieldId="2"/>
    <tableColumn id="3" xr3:uid="{1136955E-2044-4EE6-AB61-45CC19ECDBE8}" uniqueName="3" name="XL Forecast" queryTableFieldId="3"/>
    <tableColumn id="4" xr3:uid="{14ACB3E2-5340-4C84-B3BE-77DF6E5E8ADC}" uniqueName="4" name="CI/PI" queryTableFieldId="4"/>
    <tableColumn id="5" xr3:uid="{1E866D68-1D5A-4C50-B3A7-FB7A76667F96}" uniqueName="5" name="Upper" queryTableFieldId="5" dataDxfId="1">
      <calculatedColumnFormula>Weekly[[#This Row],[XL Forecast]]+Weekly[[#This Row],[CI/PI]]</calculatedColumnFormula>
    </tableColumn>
    <tableColumn id="6" xr3:uid="{D570BBDA-B41D-44C4-9AE4-033B2F2C395D}" uniqueName="6" name="Lower" queryTableFieldId="6" dataDxfId="0">
      <calculatedColumnFormula>Weekly[[#This Row],[XL Forecast]]-Weekly[[#This Row],[CI/PI]]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94C5C4-EE51-458C-BB25-457AB5856936}" name="Table3" displayName="Table3" ref="J1:K1048576" totalsRowShown="0">
  <autoFilter ref="J1:K1048576" xr:uid="{4294C5C4-EE51-458C-BB25-457AB5856936}"/>
  <tableColumns count="2">
    <tableColumn id="1" xr3:uid="{F7083283-DF40-4BBA-9957-0B3A87FB1D80}" name="Week" dataDxfId="4"/>
    <tableColumn id="2" xr3:uid="{9BFD5B18-8A2D-41D1-9F2F-522810D75AC9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FDD0-3075-4C93-96DD-D20900D2A3FF}">
  <dimension ref="A1:C120"/>
  <sheetViews>
    <sheetView workbookViewId="0">
      <selection activeCell="Q17" sqref="Q17"/>
    </sheetView>
  </sheetViews>
  <sheetFormatPr defaultRowHeight="15" x14ac:dyDescent="0.25"/>
  <cols>
    <col min="1" max="1" width="10.42578125" bestFit="1" customWidth="1"/>
    <col min="2" max="2" width="10.28515625" customWidth="1"/>
    <col min="3" max="3" width="19.42578125" customWidth="1"/>
  </cols>
  <sheetData>
    <row r="1" spans="1:3" x14ac:dyDescent="0.25">
      <c r="A1" t="s">
        <v>0</v>
      </c>
      <c r="B1" t="s">
        <v>7</v>
      </c>
      <c r="C1" t="s">
        <v>11</v>
      </c>
    </row>
    <row r="2" spans="1:3" x14ac:dyDescent="0.25">
      <c r="A2" s="3">
        <v>45292</v>
      </c>
      <c r="B2">
        <v>160.405</v>
      </c>
    </row>
    <row r="3" spans="1:3" x14ac:dyDescent="0.25">
      <c r="A3" s="3">
        <v>45299</v>
      </c>
      <c r="B3">
        <v>162.08199999999999</v>
      </c>
    </row>
    <row r="4" spans="1:3" x14ac:dyDescent="0.25">
      <c r="A4" s="3">
        <v>45306</v>
      </c>
      <c r="B4">
        <v>167.84</v>
      </c>
    </row>
    <row r="5" spans="1:3" x14ac:dyDescent="0.25">
      <c r="A5" s="3">
        <v>45313</v>
      </c>
      <c r="B5">
        <v>179.71</v>
      </c>
    </row>
    <row r="6" spans="1:3" x14ac:dyDescent="0.25">
      <c r="A6" s="3">
        <v>45320</v>
      </c>
      <c r="B6">
        <v>186.27199999999999</v>
      </c>
    </row>
    <row r="7" spans="1:3" x14ac:dyDescent="0.25">
      <c r="A7" s="3">
        <v>45327</v>
      </c>
      <c r="B7">
        <v>184.25399999999999</v>
      </c>
    </row>
    <row r="8" spans="1:3" x14ac:dyDescent="0.25">
      <c r="A8" s="3">
        <v>45334</v>
      </c>
      <c r="B8">
        <v>185.58799999999999</v>
      </c>
    </row>
    <row r="9" spans="1:3" x14ac:dyDescent="0.25">
      <c r="A9" s="3">
        <v>45341</v>
      </c>
      <c r="B9">
        <v>183.26749999999998</v>
      </c>
    </row>
    <row r="10" spans="1:3" x14ac:dyDescent="0.25">
      <c r="A10" s="3">
        <v>45348</v>
      </c>
      <c r="B10">
        <v>185.506</v>
      </c>
    </row>
    <row r="11" spans="1:3" x14ac:dyDescent="0.25">
      <c r="A11" s="3">
        <v>45355</v>
      </c>
      <c r="B11">
        <v>194.732</v>
      </c>
    </row>
    <row r="12" spans="1:3" x14ac:dyDescent="0.25">
      <c r="A12" s="3">
        <v>45362</v>
      </c>
      <c r="B12">
        <v>194.142</v>
      </c>
    </row>
    <row r="13" spans="1:3" x14ac:dyDescent="0.25">
      <c r="A13" s="3">
        <v>45369</v>
      </c>
      <c r="B13">
        <v>192.346</v>
      </c>
    </row>
    <row r="14" spans="1:3" x14ac:dyDescent="0.25">
      <c r="A14" s="3">
        <v>45376</v>
      </c>
      <c r="B14">
        <v>189.76249999999999</v>
      </c>
    </row>
    <row r="15" spans="1:3" x14ac:dyDescent="0.25">
      <c r="A15" s="3">
        <v>45383</v>
      </c>
      <c r="B15">
        <v>189.33799999999999</v>
      </c>
    </row>
    <row r="16" spans="1:3" x14ac:dyDescent="0.25">
      <c r="A16" s="3">
        <v>45390</v>
      </c>
      <c r="B16">
        <v>186.66800000000001</v>
      </c>
    </row>
    <row r="17" spans="1:2" x14ac:dyDescent="0.25">
      <c r="A17" s="3">
        <v>45397</v>
      </c>
      <c r="B17">
        <v>182.23</v>
      </c>
    </row>
    <row r="18" spans="1:2" x14ac:dyDescent="0.25">
      <c r="A18" s="3">
        <v>45404</v>
      </c>
      <c r="B18">
        <v>176.846</v>
      </c>
    </row>
    <row r="19" spans="1:2" x14ac:dyDescent="0.25">
      <c r="A19" s="3">
        <v>45411</v>
      </c>
      <c r="B19">
        <v>165.69200000000001</v>
      </c>
    </row>
    <row r="20" spans="1:2" x14ac:dyDescent="0.25">
      <c r="A20" s="3">
        <v>45418</v>
      </c>
      <c r="B20">
        <v>168.06200000000001</v>
      </c>
    </row>
    <row r="21" spans="1:2" x14ac:dyDescent="0.25">
      <c r="A21" s="3">
        <v>45425</v>
      </c>
      <c r="B21">
        <v>168.23599999999999</v>
      </c>
    </row>
    <row r="22" spans="1:2" x14ac:dyDescent="0.25">
      <c r="A22" s="3">
        <v>45432</v>
      </c>
      <c r="B22">
        <v>171.72799999999998</v>
      </c>
    </row>
    <row r="23" spans="1:2" x14ac:dyDescent="0.25">
      <c r="A23" s="3">
        <v>45439</v>
      </c>
      <c r="B23">
        <v>167.29750000000001</v>
      </c>
    </row>
    <row r="24" spans="1:2" x14ac:dyDescent="0.25">
      <c r="A24" s="3">
        <v>45446</v>
      </c>
      <c r="B24">
        <v>167.33599999999998</v>
      </c>
    </row>
    <row r="25" spans="1:2" x14ac:dyDescent="0.25">
      <c r="A25" s="3">
        <v>45453</v>
      </c>
      <c r="B25">
        <v>169.40600000000001</v>
      </c>
    </row>
    <row r="26" spans="1:2" x14ac:dyDescent="0.25">
      <c r="A26" s="3">
        <v>45460</v>
      </c>
      <c r="B26">
        <v>171.60750000000002</v>
      </c>
    </row>
    <row r="27" spans="1:2" x14ac:dyDescent="0.25">
      <c r="A27" s="3">
        <v>45467</v>
      </c>
      <c r="B27">
        <v>172.65600000000001</v>
      </c>
    </row>
    <row r="28" spans="1:2" x14ac:dyDescent="0.25">
      <c r="A28" s="3">
        <v>45474</v>
      </c>
      <c r="B28">
        <v>176.03749999999999</v>
      </c>
    </row>
    <row r="29" spans="1:2" x14ac:dyDescent="0.25">
      <c r="A29" s="3">
        <v>45481</v>
      </c>
      <c r="B29">
        <v>178.62</v>
      </c>
    </row>
    <row r="30" spans="1:2" x14ac:dyDescent="0.25">
      <c r="A30" s="3">
        <v>45488</v>
      </c>
      <c r="B30">
        <v>184.922</v>
      </c>
    </row>
    <row r="31" spans="1:2" x14ac:dyDescent="0.25">
      <c r="A31" s="3">
        <v>45495</v>
      </c>
      <c r="B31">
        <v>187.2</v>
      </c>
    </row>
    <row r="32" spans="1:2" x14ac:dyDescent="0.25">
      <c r="A32" s="3">
        <v>45502</v>
      </c>
      <c r="B32">
        <v>190.69200000000001</v>
      </c>
    </row>
    <row r="33" spans="1:2" x14ac:dyDescent="0.25">
      <c r="A33" s="3">
        <v>45509</v>
      </c>
      <c r="B33">
        <v>188.19400000000002</v>
      </c>
    </row>
    <row r="34" spans="1:2" x14ac:dyDescent="0.25">
      <c r="A34" s="3">
        <v>45516</v>
      </c>
      <c r="B34">
        <v>192.10399999999998</v>
      </c>
    </row>
    <row r="35" spans="1:2" x14ac:dyDescent="0.25">
      <c r="A35" s="3">
        <v>45523</v>
      </c>
      <c r="B35">
        <v>196.006</v>
      </c>
    </row>
    <row r="36" spans="1:2" x14ac:dyDescent="0.25">
      <c r="A36" s="3">
        <v>45530</v>
      </c>
      <c r="B36">
        <v>199.24</v>
      </c>
    </row>
    <row r="37" spans="1:2" x14ac:dyDescent="0.25">
      <c r="A37" s="3">
        <v>45537</v>
      </c>
      <c r="B37">
        <v>202.18</v>
      </c>
    </row>
    <row r="38" spans="1:2" x14ac:dyDescent="0.25">
      <c r="A38" s="3">
        <v>45544</v>
      </c>
      <c r="B38">
        <v>209.02799999999999</v>
      </c>
    </row>
    <row r="39" spans="1:2" x14ac:dyDescent="0.25">
      <c r="A39" s="3">
        <v>45551</v>
      </c>
      <c r="B39">
        <v>215.56399999999999</v>
      </c>
    </row>
    <row r="40" spans="1:2" x14ac:dyDescent="0.25">
      <c r="A40" s="3">
        <v>45558</v>
      </c>
      <c r="B40">
        <v>221.39400000000001</v>
      </c>
    </row>
    <row r="41" spans="1:2" x14ac:dyDescent="0.25">
      <c r="A41" s="3">
        <v>45565</v>
      </c>
      <c r="B41">
        <v>221.77600000000001</v>
      </c>
    </row>
    <row r="42" spans="1:2" x14ac:dyDescent="0.25">
      <c r="A42" s="3">
        <v>45572</v>
      </c>
      <c r="B42">
        <v>231.26400000000001</v>
      </c>
    </row>
    <row r="43" spans="1:2" x14ac:dyDescent="0.25">
      <c r="A43" s="3">
        <v>45579</v>
      </c>
      <c r="B43">
        <v>233.39400000000001</v>
      </c>
    </row>
    <row r="44" spans="1:2" x14ac:dyDescent="0.25">
      <c r="A44" s="3">
        <v>45586</v>
      </c>
      <c r="B44">
        <v>225.96199999999999</v>
      </c>
    </row>
    <row r="45" spans="1:2" x14ac:dyDescent="0.25">
      <c r="A45" s="3">
        <v>45593</v>
      </c>
      <c r="B45">
        <v>208.642</v>
      </c>
    </row>
    <row r="46" spans="1:2" x14ac:dyDescent="0.25">
      <c r="A46" s="3">
        <v>45600</v>
      </c>
      <c r="B46">
        <v>210.98</v>
      </c>
    </row>
    <row r="47" spans="1:2" x14ac:dyDescent="0.25">
      <c r="A47" s="3">
        <v>45607</v>
      </c>
      <c r="B47">
        <v>209.86600000000001</v>
      </c>
    </row>
    <row r="48" spans="1:2" x14ac:dyDescent="0.25">
      <c r="A48" s="3">
        <v>45614</v>
      </c>
      <c r="B48">
        <v>215.66200000000001</v>
      </c>
    </row>
    <row r="49" spans="1:2" x14ac:dyDescent="0.25">
      <c r="A49" s="3">
        <v>45621</v>
      </c>
      <c r="B49">
        <v>227.32249999999999</v>
      </c>
    </row>
    <row r="50" spans="1:2" x14ac:dyDescent="0.25">
      <c r="A50" s="3">
        <v>45628</v>
      </c>
      <c r="B50">
        <v>232.53399999999999</v>
      </c>
    </row>
    <row r="51" spans="1:2" x14ac:dyDescent="0.25">
      <c r="A51" s="3">
        <v>45635</v>
      </c>
      <c r="B51">
        <v>230.98400000000001</v>
      </c>
    </row>
    <row r="52" spans="1:2" x14ac:dyDescent="0.25">
      <c r="A52" s="3">
        <v>45642</v>
      </c>
      <c r="B52">
        <v>225.15</v>
      </c>
    </row>
    <row r="53" spans="1:2" x14ac:dyDescent="0.25">
      <c r="A53" s="3">
        <v>45649</v>
      </c>
      <c r="B53">
        <v>223.5025</v>
      </c>
    </row>
    <row r="54" spans="1:2" x14ac:dyDescent="0.25">
      <c r="A54" s="3">
        <v>45656</v>
      </c>
      <c r="B54">
        <v>220.66750000000002</v>
      </c>
    </row>
    <row r="55" spans="1:2" x14ac:dyDescent="0.25">
      <c r="A55" s="3">
        <v>45663</v>
      </c>
      <c r="B55">
        <v>222.39</v>
      </c>
    </row>
    <row r="56" spans="1:2" x14ac:dyDescent="0.25">
      <c r="A56" s="3">
        <v>45670</v>
      </c>
      <c r="B56">
        <v>220.52600000000001</v>
      </c>
    </row>
    <row r="57" spans="1:2" x14ac:dyDescent="0.25">
      <c r="A57" s="3">
        <v>45677</v>
      </c>
      <c r="B57">
        <v>224.59</v>
      </c>
    </row>
    <row r="58" spans="1:2" x14ac:dyDescent="0.25">
      <c r="A58" s="3">
        <v>45684</v>
      </c>
      <c r="B58">
        <v>238.47799999999998</v>
      </c>
    </row>
    <row r="59" spans="1:2" x14ac:dyDescent="0.25">
      <c r="A59" s="3">
        <v>45691</v>
      </c>
      <c r="B59">
        <v>258.85399999999998</v>
      </c>
    </row>
    <row r="60" spans="1:2" x14ac:dyDescent="0.25">
      <c r="A60" s="3">
        <v>45698</v>
      </c>
      <c r="B60">
        <v>256.05</v>
      </c>
    </row>
    <row r="61" spans="1:2" x14ac:dyDescent="0.25">
      <c r="A61" s="3">
        <v>45705</v>
      </c>
      <c r="B61">
        <v>263.40250000000003</v>
      </c>
    </row>
    <row r="62" spans="1:2" x14ac:dyDescent="0.25">
      <c r="A62" s="3">
        <v>45712</v>
      </c>
      <c r="B62">
        <v>256.226</v>
      </c>
    </row>
    <row r="63" spans="1:2" x14ac:dyDescent="0.25">
      <c r="A63" s="3">
        <v>45719</v>
      </c>
      <c r="B63">
        <v>252.99600000000001</v>
      </c>
    </row>
    <row r="64" spans="1:2" x14ac:dyDescent="0.25">
      <c r="A64" s="3">
        <v>45726</v>
      </c>
      <c r="B64">
        <v>249.92599999999999</v>
      </c>
    </row>
    <row r="65" spans="1:2" x14ac:dyDescent="0.25">
      <c r="A65" s="3">
        <v>45733</v>
      </c>
      <c r="B65">
        <v>247.88</v>
      </c>
    </row>
    <row r="66" spans="1:2" x14ac:dyDescent="0.25">
      <c r="A66" s="3">
        <v>45740</v>
      </c>
      <c r="B66">
        <v>247.78</v>
      </c>
    </row>
    <row r="67" spans="1:2" x14ac:dyDescent="0.25">
      <c r="A67" s="3">
        <v>45747</v>
      </c>
      <c r="B67">
        <v>243.99</v>
      </c>
    </row>
    <row r="68" spans="1:2" x14ac:dyDescent="0.25">
      <c r="A68" s="3">
        <v>45754</v>
      </c>
      <c r="B68">
        <v>229.43</v>
      </c>
    </row>
    <row r="69" spans="1:2" x14ac:dyDescent="0.25">
      <c r="A69" s="3">
        <v>45761</v>
      </c>
      <c r="B69">
        <v>239.285</v>
      </c>
    </row>
    <row r="70" spans="1:2" x14ac:dyDescent="0.25">
      <c r="A70" s="3">
        <v>45768</v>
      </c>
      <c r="B70">
        <v>236.86799999999999</v>
      </c>
    </row>
    <row r="71" spans="1:2" x14ac:dyDescent="0.25">
      <c r="A71" s="3">
        <v>45775</v>
      </c>
      <c r="B71">
        <v>240.51599999999999</v>
      </c>
    </row>
    <row r="72" spans="1:2" x14ac:dyDescent="0.25">
      <c r="A72" s="3">
        <v>45782</v>
      </c>
      <c r="B72">
        <v>251.00200000000001</v>
      </c>
    </row>
    <row r="73" spans="1:2" x14ac:dyDescent="0.25">
      <c r="A73" s="3">
        <v>45789</v>
      </c>
      <c r="B73">
        <v>260.70799999999997</v>
      </c>
    </row>
    <row r="74" spans="1:2" x14ac:dyDescent="0.25">
      <c r="A74" s="3">
        <v>45796</v>
      </c>
      <c r="B74">
        <v>262.64600000000002</v>
      </c>
    </row>
    <row r="75" spans="1:2" x14ac:dyDescent="0.25">
      <c r="A75" s="3">
        <v>45803</v>
      </c>
      <c r="B75">
        <v>260.30500000000001</v>
      </c>
    </row>
    <row r="76" spans="1:2" x14ac:dyDescent="0.25">
      <c r="A76" s="3">
        <v>45810</v>
      </c>
      <c r="B76">
        <v>266.07</v>
      </c>
    </row>
    <row r="77" spans="1:2" x14ac:dyDescent="0.25">
      <c r="A77" s="3">
        <v>45817</v>
      </c>
      <c r="B77">
        <v>277.61799999999999</v>
      </c>
    </row>
    <row r="78" spans="1:2" x14ac:dyDescent="0.25">
      <c r="A78" s="3">
        <v>45824</v>
      </c>
      <c r="B78">
        <v>282.26499999999999</v>
      </c>
    </row>
    <row r="79" spans="1:2" x14ac:dyDescent="0.25">
      <c r="A79" s="3">
        <v>45831</v>
      </c>
      <c r="B79">
        <v>291.13200000000001</v>
      </c>
    </row>
    <row r="80" spans="1:2" x14ac:dyDescent="0.25">
      <c r="A80" s="3">
        <v>45838</v>
      </c>
      <c r="B80">
        <v>291.39999999999998</v>
      </c>
    </row>
    <row r="81" spans="1:2" x14ac:dyDescent="0.25">
      <c r="A81" s="3">
        <v>45845</v>
      </c>
      <c r="B81">
        <v>288.81</v>
      </c>
    </row>
    <row r="82" spans="1:2" x14ac:dyDescent="0.25">
      <c r="A82" s="3">
        <v>45852</v>
      </c>
      <c r="B82">
        <v>283.25600000000003</v>
      </c>
    </row>
    <row r="83" spans="1:2" x14ac:dyDescent="0.25">
      <c r="A83" s="3">
        <v>45859</v>
      </c>
      <c r="B83">
        <v>273.78199999999998</v>
      </c>
    </row>
    <row r="84" spans="1:2" x14ac:dyDescent="0.25">
      <c r="A84" s="3">
        <v>45866</v>
      </c>
      <c r="B84">
        <v>257.81600000000003</v>
      </c>
    </row>
    <row r="85" spans="1:2" x14ac:dyDescent="0.25">
      <c r="A85" s="3">
        <v>45873</v>
      </c>
      <c r="B85">
        <v>249.47200000000001</v>
      </c>
    </row>
    <row r="86" spans="1:2" x14ac:dyDescent="0.25">
      <c r="A86" s="3">
        <v>45880</v>
      </c>
      <c r="B86">
        <v>237.59399999999999</v>
      </c>
    </row>
    <row r="87" spans="1:2" x14ac:dyDescent="0.25">
      <c r="A87" s="3">
        <v>45887</v>
      </c>
      <c r="B87">
        <v>240.95400000000001</v>
      </c>
    </row>
    <row r="88" spans="1:2" x14ac:dyDescent="0.25">
      <c r="A88" s="3">
        <v>45894</v>
      </c>
      <c r="B88">
        <v>243.22399999999999</v>
      </c>
    </row>
    <row r="89" spans="1:2" x14ac:dyDescent="0.25">
      <c r="A89" s="3">
        <v>45901</v>
      </c>
      <c r="B89">
        <v>245.32749999999999</v>
      </c>
    </row>
    <row r="90" spans="1:2" x14ac:dyDescent="0.25">
      <c r="A90" s="3">
        <v>45908</v>
      </c>
      <c r="B90">
        <v>256.50599999999997</v>
      </c>
    </row>
    <row r="91" spans="1:2" x14ac:dyDescent="0.25">
      <c r="A91" s="3">
        <v>45915</v>
      </c>
      <c r="B91">
        <v>260.84800000000001</v>
      </c>
    </row>
    <row r="92" spans="1:2" x14ac:dyDescent="0.25">
      <c r="A92" s="3">
        <v>45922</v>
      </c>
      <c r="B92">
        <v>275.37799999999999</v>
      </c>
    </row>
    <row r="93" spans="1:2" x14ac:dyDescent="0.25">
      <c r="A93" s="3">
        <v>45929</v>
      </c>
      <c r="B93">
        <v>284.70800000000003</v>
      </c>
    </row>
    <row r="94" spans="1:2" x14ac:dyDescent="0.25">
      <c r="A94" s="3">
        <v>45936</v>
      </c>
      <c r="B94">
        <v>287.76</v>
      </c>
    </row>
    <row r="95" spans="1:2" x14ac:dyDescent="0.25">
      <c r="A95" s="3">
        <v>45943</v>
      </c>
      <c r="B95">
        <v>278.274</v>
      </c>
    </row>
    <row r="96" spans="1:2" x14ac:dyDescent="0.25">
      <c r="A96" s="3">
        <v>45950</v>
      </c>
      <c r="B96">
        <v>289.13400000000001</v>
      </c>
    </row>
    <row r="97" spans="1:3" x14ac:dyDescent="0.25">
      <c r="A97" s="3">
        <v>45957</v>
      </c>
      <c r="B97">
        <v>310.26799999999997</v>
      </c>
    </row>
    <row r="98" spans="1:3" x14ac:dyDescent="0.25">
      <c r="A98" s="3">
        <v>45964</v>
      </c>
      <c r="B98">
        <v>306.23</v>
      </c>
    </row>
    <row r="99" spans="1:3" x14ac:dyDescent="0.25">
      <c r="A99" s="3">
        <v>45971</v>
      </c>
      <c r="B99">
        <v>309.67599999999999</v>
      </c>
    </row>
    <row r="100" spans="1:3" x14ac:dyDescent="0.25">
      <c r="A100" s="3">
        <v>45978</v>
      </c>
      <c r="B100">
        <v>292.69799999999998</v>
      </c>
    </row>
    <row r="101" spans="1:3" x14ac:dyDescent="0.25">
      <c r="A101" s="3">
        <v>45985</v>
      </c>
      <c r="B101">
        <v>305.09749999999997</v>
      </c>
    </row>
    <row r="102" spans="1:3" x14ac:dyDescent="0.25">
      <c r="A102" s="3">
        <v>45992</v>
      </c>
      <c r="B102">
        <v>305.2</v>
      </c>
    </row>
    <row r="103" spans="1:3" x14ac:dyDescent="0.25">
      <c r="A103" s="3">
        <v>45999</v>
      </c>
      <c r="B103">
        <v>310.46199999999999</v>
      </c>
    </row>
    <row r="104" spans="1:3" x14ac:dyDescent="0.25">
      <c r="A104" s="3">
        <v>46006</v>
      </c>
      <c r="B104">
        <v>303.31799999999998</v>
      </c>
    </row>
    <row r="105" spans="1:3" x14ac:dyDescent="0.25">
      <c r="A105" s="3">
        <v>46013</v>
      </c>
      <c r="B105">
        <v>304.05500000000001</v>
      </c>
    </row>
    <row r="106" spans="1:3" x14ac:dyDescent="0.25">
      <c r="A106" s="3">
        <v>46020</v>
      </c>
      <c r="B106">
        <v>298.875</v>
      </c>
    </row>
    <row r="107" spans="1:3" x14ac:dyDescent="0.25">
      <c r="A107" s="3">
        <v>46027</v>
      </c>
      <c r="B107">
        <v>300.22200000000004</v>
      </c>
    </row>
    <row r="108" spans="1:3" x14ac:dyDescent="0.25">
      <c r="A108" s="3">
        <v>46034</v>
      </c>
      <c r="B108">
        <v>305.59800000000001</v>
      </c>
    </row>
    <row r="109" spans="1:3" x14ac:dyDescent="0.25">
      <c r="A109" s="3">
        <v>46041</v>
      </c>
      <c r="B109">
        <v>294</v>
      </c>
    </row>
    <row r="110" spans="1:3" x14ac:dyDescent="0.25">
      <c r="A110" s="3">
        <v>46048</v>
      </c>
      <c r="B110">
        <v>295.09500000000003</v>
      </c>
      <c r="C110">
        <v>295.09500000000003</v>
      </c>
    </row>
    <row r="111" spans="1:3" x14ac:dyDescent="0.25">
      <c r="A111" s="3">
        <v>46055</v>
      </c>
      <c r="C111">
        <f>_xlfn.FORECAST.ETS(A111,$B$2:$B$110,$A$2:$A$110,1,1)</f>
        <v>286.40625838883028</v>
      </c>
    </row>
    <row r="112" spans="1:3" x14ac:dyDescent="0.25">
      <c r="A112" s="3">
        <v>46062</v>
      </c>
      <c r="C112">
        <f>_xlfn.FORECAST.ETS(A112,$B$2:$B$110,$A$2:$A$110,1,1)</f>
        <v>282.04846000776701</v>
      </c>
    </row>
    <row r="113" spans="1:3" x14ac:dyDescent="0.25">
      <c r="A113" s="3">
        <v>46069</v>
      </c>
      <c r="C113">
        <f>_xlfn.FORECAST.ETS(A113,$B$2:$B$110,$A$2:$A$110,1,1)</f>
        <v>285.33615942849769</v>
      </c>
    </row>
    <row r="114" spans="1:3" x14ac:dyDescent="0.25">
      <c r="A114" s="3">
        <v>46076</v>
      </c>
      <c r="C114">
        <f>_xlfn.FORECAST.ETS(A114,$B$2:$B$110,$A$2:$A$110,1,1)</f>
        <v>286.90767265263116</v>
      </c>
    </row>
    <row r="115" spans="1:3" x14ac:dyDescent="0.25">
      <c r="A115" s="3">
        <v>46083</v>
      </c>
      <c r="C115">
        <f>_xlfn.FORECAST.ETS(A115,$B$2:$B$110,$A$2:$A$110,1,1)</f>
        <v>292.18168481840627</v>
      </c>
    </row>
    <row r="116" spans="1:3" x14ac:dyDescent="0.25">
      <c r="A116" s="3">
        <v>46090</v>
      </c>
      <c r="C116">
        <f>_xlfn.FORECAST.ETS(A116,$B$2:$B$110,$A$2:$A$110,1,1)</f>
        <v>298.43387239287853</v>
      </c>
    </row>
    <row r="117" spans="1:3" x14ac:dyDescent="0.25">
      <c r="A117" s="3">
        <v>46097</v>
      </c>
      <c r="C117">
        <f>_xlfn.FORECAST.ETS(A117,$B$2:$B$110,$A$2:$A$110,1,1)</f>
        <v>302.06408716571713</v>
      </c>
    </row>
    <row r="118" spans="1:3" x14ac:dyDescent="0.25">
      <c r="A118" s="3">
        <v>46104</v>
      </c>
      <c r="C118">
        <f>_xlfn.FORECAST.ETS(A118,$B$2:$B$110,$A$2:$A$110,1,1)</f>
        <v>302.9325909353916</v>
      </c>
    </row>
    <row r="119" spans="1:3" x14ac:dyDescent="0.25">
      <c r="A119" s="3">
        <v>46111</v>
      </c>
      <c r="C119">
        <f>_xlfn.FORECAST.ETS(A119,$B$2:$B$110,$A$2:$A$110,1,1)</f>
        <v>302.55841104484955</v>
      </c>
    </row>
    <row r="120" spans="1:3" x14ac:dyDescent="0.25">
      <c r="A120" s="3">
        <v>46113</v>
      </c>
      <c r="C120">
        <f>_xlfn.FORECAST.ETS(A120,$B$2:$B$110,$A$2:$A$110,1,1)</f>
        <v>303.23811791164445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BCA8-6BB6-4BDD-89C5-3DB37DB5DCCA}">
  <dimension ref="A1:F120"/>
  <sheetViews>
    <sheetView workbookViewId="0">
      <selection activeCell="P14" sqref="P14"/>
    </sheetView>
  </sheetViews>
  <sheetFormatPr defaultRowHeight="15" x14ac:dyDescent="0.25"/>
  <cols>
    <col min="1" max="2" width="10.42578125" bestFit="1" customWidth="1"/>
    <col min="3" max="3" width="13.5703125" bestFit="1" customWidth="1"/>
  </cols>
  <sheetData>
    <row r="1" spans="1:6" x14ac:dyDescent="0.25">
      <c r="A1" t="s">
        <v>0</v>
      </c>
      <c r="B1" t="s">
        <v>7</v>
      </c>
      <c r="C1" t="s">
        <v>8</v>
      </c>
      <c r="D1" t="s">
        <v>12</v>
      </c>
      <c r="E1" t="s">
        <v>13</v>
      </c>
      <c r="F1" t="s">
        <v>14</v>
      </c>
    </row>
    <row r="2" spans="1:6" x14ac:dyDescent="0.25">
      <c r="A2" s="3">
        <v>45292</v>
      </c>
      <c r="B2">
        <v>160.405</v>
      </c>
    </row>
    <row r="3" spans="1:6" x14ac:dyDescent="0.25">
      <c r="A3" s="3">
        <v>45299</v>
      </c>
      <c r="B3">
        <v>162.08199999999999</v>
      </c>
    </row>
    <row r="4" spans="1:6" x14ac:dyDescent="0.25">
      <c r="A4" s="3">
        <v>45306</v>
      </c>
      <c r="B4">
        <v>167.84</v>
      </c>
    </row>
    <row r="5" spans="1:6" x14ac:dyDescent="0.25">
      <c r="A5" s="3">
        <v>45313</v>
      </c>
      <c r="B5">
        <v>179.71</v>
      </c>
    </row>
    <row r="6" spans="1:6" x14ac:dyDescent="0.25">
      <c r="A6" s="3">
        <v>45320</v>
      </c>
      <c r="B6">
        <v>186.27199999999999</v>
      </c>
    </row>
    <row r="7" spans="1:6" x14ac:dyDescent="0.25">
      <c r="A7" s="3">
        <v>45327</v>
      </c>
      <c r="B7">
        <v>184.25399999999999</v>
      </c>
    </row>
    <row r="8" spans="1:6" x14ac:dyDescent="0.25">
      <c r="A8" s="3">
        <v>45334</v>
      </c>
      <c r="B8">
        <v>185.58799999999999</v>
      </c>
    </row>
    <row r="9" spans="1:6" x14ac:dyDescent="0.25">
      <c r="A9" s="3">
        <v>45341</v>
      </c>
      <c r="B9">
        <v>183.26749999999998</v>
      </c>
    </row>
    <row r="10" spans="1:6" x14ac:dyDescent="0.25">
      <c r="A10" s="3">
        <v>45348</v>
      </c>
      <c r="B10">
        <v>185.506</v>
      </c>
    </row>
    <row r="11" spans="1:6" x14ac:dyDescent="0.25">
      <c r="A11" s="3">
        <v>45355</v>
      </c>
      <c r="B11">
        <v>194.732</v>
      </c>
    </row>
    <row r="12" spans="1:6" x14ac:dyDescent="0.25">
      <c r="A12" s="3">
        <v>45362</v>
      </c>
      <c r="B12">
        <v>194.142</v>
      </c>
    </row>
    <row r="13" spans="1:6" x14ac:dyDescent="0.25">
      <c r="A13" s="3">
        <v>45369</v>
      </c>
      <c r="B13">
        <v>192.346</v>
      </c>
    </row>
    <row r="14" spans="1:6" x14ac:dyDescent="0.25">
      <c r="A14" s="3">
        <v>45376</v>
      </c>
      <c r="B14">
        <v>189.76249999999999</v>
      </c>
    </row>
    <row r="15" spans="1:6" x14ac:dyDescent="0.25">
      <c r="A15" s="3">
        <v>45383</v>
      </c>
      <c r="B15">
        <v>189.33799999999999</v>
      </c>
    </row>
    <row r="16" spans="1:6" x14ac:dyDescent="0.25">
      <c r="A16" s="3">
        <v>45390</v>
      </c>
      <c r="B16">
        <v>186.66800000000001</v>
      </c>
    </row>
    <row r="17" spans="1:2" x14ac:dyDescent="0.25">
      <c r="A17" s="3">
        <v>45397</v>
      </c>
      <c r="B17">
        <v>182.23</v>
      </c>
    </row>
    <row r="18" spans="1:2" x14ac:dyDescent="0.25">
      <c r="A18" s="3">
        <v>45404</v>
      </c>
      <c r="B18">
        <v>176.846</v>
      </c>
    </row>
    <row r="19" spans="1:2" x14ac:dyDescent="0.25">
      <c r="A19" s="3">
        <v>45411</v>
      </c>
      <c r="B19">
        <v>165.69200000000001</v>
      </c>
    </row>
    <row r="20" spans="1:2" x14ac:dyDescent="0.25">
      <c r="A20" s="3">
        <v>45418</v>
      </c>
      <c r="B20">
        <v>168.06200000000001</v>
      </c>
    </row>
    <row r="21" spans="1:2" x14ac:dyDescent="0.25">
      <c r="A21" s="3">
        <v>45425</v>
      </c>
      <c r="B21">
        <v>168.23599999999999</v>
      </c>
    </row>
    <row r="22" spans="1:2" x14ac:dyDescent="0.25">
      <c r="A22" s="3">
        <v>45432</v>
      </c>
      <c r="B22">
        <v>171.72799999999998</v>
      </c>
    </row>
    <row r="23" spans="1:2" x14ac:dyDescent="0.25">
      <c r="A23" s="3">
        <v>45439</v>
      </c>
      <c r="B23">
        <v>167.29750000000001</v>
      </c>
    </row>
    <row r="24" spans="1:2" x14ac:dyDescent="0.25">
      <c r="A24" s="3">
        <v>45446</v>
      </c>
      <c r="B24">
        <v>167.33599999999998</v>
      </c>
    </row>
    <row r="25" spans="1:2" x14ac:dyDescent="0.25">
      <c r="A25" s="3">
        <v>45453</v>
      </c>
      <c r="B25">
        <v>169.40600000000001</v>
      </c>
    </row>
    <row r="26" spans="1:2" x14ac:dyDescent="0.25">
      <c r="A26" s="3">
        <v>45460</v>
      </c>
      <c r="B26">
        <v>171.60750000000002</v>
      </c>
    </row>
    <row r="27" spans="1:2" x14ac:dyDescent="0.25">
      <c r="A27" s="3">
        <v>45467</v>
      </c>
      <c r="B27">
        <v>172.65600000000001</v>
      </c>
    </row>
    <row r="28" spans="1:2" x14ac:dyDescent="0.25">
      <c r="A28" s="3">
        <v>45474</v>
      </c>
      <c r="B28">
        <v>176.03749999999999</v>
      </c>
    </row>
    <row r="29" spans="1:2" x14ac:dyDescent="0.25">
      <c r="A29" s="3">
        <v>45481</v>
      </c>
      <c r="B29">
        <v>178.62</v>
      </c>
    </row>
    <row r="30" spans="1:2" x14ac:dyDescent="0.25">
      <c r="A30" s="3">
        <v>45488</v>
      </c>
      <c r="B30">
        <v>184.922</v>
      </c>
    </row>
    <row r="31" spans="1:2" x14ac:dyDescent="0.25">
      <c r="A31" s="3">
        <v>45495</v>
      </c>
      <c r="B31">
        <v>187.2</v>
      </c>
    </row>
    <row r="32" spans="1:2" x14ac:dyDescent="0.25">
      <c r="A32" s="3">
        <v>45502</v>
      </c>
      <c r="B32">
        <v>190.69200000000001</v>
      </c>
    </row>
    <row r="33" spans="1:2" x14ac:dyDescent="0.25">
      <c r="A33" s="3">
        <v>45509</v>
      </c>
      <c r="B33">
        <v>188.19400000000002</v>
      </c>
    </row>
    <row r="34" spans="1:2" x14ac:dyDescent="0.25">
      <c r="A34" s="3">
        <v>45516</v>
      </c>
      <c r="B34">
        <v>192.10399999999998</v>
      </c>
    </row>
    <row r="35" spans="1:2" x14ac:dyDescent="0.25">
      <c r="A35" s="3">
        <v>45523</v>
      </c>
      <c r="B35">
        <v>196.006</v>
      </c>
    </row>
    <row r="36" spans="1:2" x14ac:dyDescent="0.25">
      <c r="A36" s="3">
        <v>45530</v>
      </c>
      <c r="B36">
        <v>199.24</v>
      </c>
    </row>
    <row r="37" spans="1:2" x14ac:dyDescent="0.25">
      <c r="A37" s="3">
        <v>45537</v>
      </c>
      <c r="B37">
        <v>202.18</v>
      </c>
    </row>
    <row r="38" spans="1:2" x14ac:dyDescent="0.25">
      <c r="A38" s="3">
        <v>45544</v>
      </c>
      <c r="B38">
        <v>209.02799999999999</v>
      </c>
    </row>
    <row r="39" spans="1:2" x14ac:dyDescent="0.25">
      <c r="A39" s="3">
        <v>45551</v>
      </c>
      <c r="B39">
        <v>215.56399999999999</v>
      </c>
    </row>
    <row r="40" spans="1:2" x14ac:dyDescent="0.25">
      <c r="A40" s="3">
        <v>45558</v>
      </c>
      <c r="B40">
        <v>221.39400000000001</v>
      </c>
    </row>
    <row r="41" spans="1:2" x14ac:dyDescent="0.25">
      <c r="A41" s="3">
        <v>45565</v>
      </c>
      <c r="B41">
        <v>221.77600000000001</v>
      </c>
    </row>
    <row r="42" spans="1:2" x14ac:dyDescent="0.25">
      <c r="A42" s="3">
        <v>45572</v>
      </c>
      <c r="B42">
        <v>231.26400000000001</v>
      </c>
    </row>
    <row r="43" spans="1:2" x14ac:dyDescent="0.25">
      <c r="A43" s="3">
        <v>45579</v>
      </c>
      <c r="B43">
        <v>233.39400000000001</v>
      </c>
    </row>
    <row r="44" spans="1:2" x14ac:dyDescent="0.25">
      <c r="A44" s="3">
        <v>45586</v>
      </c>
      <c r="B44">
        <v>225.96199999999999</v>
      </c>
    </row>
    <row r="45" spans="1:2" x14ac:dyDescent="0.25">
      <c r="A45" s="3">
        <v>45593</v>
      </c>
      <c r="B45">
        <v>208.642</v>
      </c>
    </row>
    <row r="46" spans="1:2" x14ac:dyDescent="0.25">
      <c r="A46" s="3">
        <v>45600</v>
      </c>
      <c r="B46">
        <v>210.98</v>
      </c>
    </row>
    <row r="47" spans="1:2" x14ac:dyDescent="0.25">
      <c r="A47" s="3">
        <v>45607</v>
      </c>
      <c r="B47">
        <v>209.86600000000001</v>
      </c>
    </row>
    <row r="48" spans="1:2" x14ac:dyDescent="0.25">
      <c r="A48" s="3">
        <v>45614</v>
      </c>
      <c r="B48">
        <v>215.66200000000001</v>
      </c>
    </row>
    <row r="49" spans="1:2" x14ac:dyDescent="0.25">
      <c r="A49" s="3">
        <v>45621</v>
      </c>
      <c r="B49">
        <v>227.32249999999999</v>
      </c>
    </row>
    <row r="50" spans="1:2" x14ac:dyDescent="0.25">
      <c r="A50" s="3">
        <v>45628</v>
      </c>
      <c r="B50">
        <v>232.53399999999999</v>
      </c>
    </row>
    <row r="51" spans="1:2" x14ac:dyDescent="0.25">
      <c r="A51" s="3">
        <v>45635</v>
      </c>
      <c r="B51">
        <v>230.98400000000001</v>
      </c>
    </row>
    <row r="52" spans="1:2" x14ac:dyDescent="0.25">
      <c r="A52" s="3">
        <v>45642</v>
      </c>
      <c r="B52">
        <v>225.15</v>
      </c>
    </row>
    <row r="53" spans="1:2" x14ac:dyDescent="0.25">
      <c r="A53" s="3">
        <v>45649</v>
      </c>
      <c r="B53">
        <v>223.5025</v>
      </c>
    </row>
    <row r="54" spans="1:2" x14ac:dyDescent="0.25">
      <c r="A54" s="3">
        <v>45656</v>
      </c>
      <c r="B54">
        <v>220.66750000000002</v>
      </c>
    </row>
    <row r="55" spans="1:2" x14ac:dyDescent="0.25">
      <c r="A55" s="3">
        <v>45663</v>
      </c>
      <c r="B55">
        <v>222.39</v>
      </c>
    </row>
    <row r="56" spans="1:2" x14ac:dyDescent="0.25">
      <c r="A56" s="3">
        <v>45670</v>
      </c>
      <c r="B56">
        <v>220.52600000000001</v>
      </c>
    </row>
    <row r="57" spans="1:2" x14ac:dyDescent="0.25">
      <c r="A57" s="3">
        <v>45677</v>
      </c>
      <c r="B57">
        <v>224.59</v>
      </c>
    </row>
    <row r="58" spans="1:2" x14ac:dyDescent="0.25">
      <c r="A58" s="3">
        <v>45684</v>
      </c>
      <c r="B58">
        <v>238.47799999999998</v>
      </c>
    </row>
    <row r="59" spans="1:2" x14ac:dyDescent="0.25">
      <c r="A59" s="3">
        <v>45691</v>
      </c>
      <c r="B59">
        <v>258.85399999999998</v>
      </c>
    </row>
    <row r="60" spans="1:2" x14ac:dyDescent="0.25">
      <c r="A60" s="3">
        <v>45698</v>
      </c>
      <c r="B60">
        <v>256.05</v>
      </c>
    </row>
    <row r="61" spans="1:2" x14ac:dyDescent="0.25">
      <c r="A61" s="3">
        <v>45705</v>
      </c>
      <c r="B61">
        <v>263.40250000000003</v>
      </c>
    </row>
    <row r="62" spans="1:2" x14ac:dyDescent="0.25">
      <c r="A62" s="3">
        <v>45712</v>
      </c>
      <c r="B62">
        <v>256.226</v>
      </c>
    </row>
    <row r="63" spans="1:2" x14ac:dyDescent="0.25">
      <c r="A63" s="3">
        <v>45719</v>
      </c>
      <c r="B63">
        <v>252.99600000000001</v>
      </c>
    </row>
    <row r="64" spans="1:2" x14ac:dyDescent="0.25">
      <c r="A64" s="3">
        <v>45726</v>
      </c>
      <c r="B64">
        <v>249.92599999999999</v>
      </c>
    </row>
    <row r="65" spans="1:2" x14ac:dyDescent="0.25">
      <c r="A65" s="3">
        <v>45733</v>
      </c>
      <c r="B65">
        <v>247.88</v>
      </c>
    </row>
    <row r="66" spans="1:2" x14ac:dyDescent="0.25">
      <c r="A66" s="3">
        <v>45740</v>
      </c>
      <c r="B66">
        <v>247.78</v>
      </c>
    </row>
    <row r="67" spans="1:2" x14ac:dyDescent="0.25">
      <c r="A67" s="3">
        <v>45747</v>
      </c>
      <c r="B67">
        <v>243.99</v>
      </c>
    </row>
    <row r="68" spans="1:2" x14ac:dyDescent="0.25">
      <c r="A68" s="3">
        <v>45754</v>
      </c>
      <c r="B68">
        <v>229.43</v>
      </c>
    </row>
    <row r="69" spans="1:2" x14ac:dyDescent="0.25">
      <c r="A69" s="3">
        <v>45761</v>
      </c>
      <c r="B69">
        <v>239.285</v>
      </c>
    </row>
    <row r="70" spans="1:2" x14ac:dyDescent="0.25">
      <c r="A70" s="3">
        <v>45768</v>
      </c>
      <c r="B70">
        <v>236.86799999999999</v>
      </c>
    </row>
    <row r="71" spans="1:2" x14ac:dyDescent="0.25">
      <c r="A71" s="3">
        <v>45775</v>
      </c>
      <c r="B71">
        <v>240.51599999999999</v>
      </c>
    </row>
    <row r="72" spans="1:2" x14ac:dyDescent="0.25">
      <c r="A72" s="3">
        <v>45782</v>
      </c>
      <c r="B72">
        <v>251.00200000000001</v>
      </c>
    </row>
    <row r="73" spans="1:2" x14ac:dyDescent="0.25">
      <c r="A73" s="3">
        <v>45789</v>
      </c>
      <c r="B73">
        <v>260.70799999999997</v>
      </c>
    </row>
    <row r="74" spans="1:2" x14ac:dyDescent="0.25">
      <c r="A74" s="3">
        <v>45796</v>
      </c>
      <c r="B74">
        <v>262.64600000000002</v>
      </c>
    </row>
    <row r="75" spans="1:2" x14ac:dyDescent="0.25">
      <c r="A75" s="3">
        <v>45803</v>
      </c>
      <c r="B75">
        <v>260.30500000000001</v>
      </c>
    </row>
    <row r="76" spans="1:2" x14ac:dyDescent="0.25">
      <c r="A76" s="3">
        <v>45810</v>
      </c>
      <c r="B76">
        <v>266.07</v>
      </c>
    </row>
    <row r="77" spans="1:2" x14ac:dyDescent="0.25">
      <c r="A77" s="3">
        <v>45817</v>
      </c>
      <c r="B77">
        <v>277.61799999999999</v>
      </c>
    </row>
    <row r="78" spans="1:2" x14ac:dyDescent="0.25">
      <c r="A78" s="3">
        <v>45824</v>
      </c>
      <c r="B78">
        <v>282.26499999999999</v>
      </c>
    </row>
    <row r="79" spans="1:2" x14ac:dyDescent="0.25">
      <c r="A79" s="3">
        <v>45831</v>
      </c>
      <c r="B79">
        <v>291.13200000000001</v>
      </c>
    </row>
    <row r="80" spans="1:2" x14ac:dyDescent="0.25">
      <c r="A80" s="3">
        <v>45838</v>
      </c>
      <c r="B80">
        <v>291.39999999999998</v>
      </c>
    </row>
    <row r="81" spans="1:2" x14ac:dyDescent="0.25">
      <c r="A81" s="3">
        <v>45845</v>
      </c>
      <c r="B81">
        <v>288.81</v>
      </c>
    </row>
    <row r="82" spans="1:2" x14ac:dyDescent="0.25">
      <c r="A82" s="3">
        <v>45852</v>
      </c>
      <c r="B82">
        <v>283.25600000000003</v>
      </c>
    </row>
    <row r="83" spans="1:2" x14ac:dyDescent="0.25">
      <c r="A83" s="3">
        <v>45859</v>
      </c>
      <c r="B83">
        <v>273.78199999999998</v>
      </c>
    </row>
    <row r="84" spans="1:2" x14ac:dyDescent="0.25">
      <c r="A84" s="3">
        <v>45866</v>
      </c>
      <c r="B84">
        <v>257.81600000000003</v>
      </c>
    </row>
    <row r="85" spans="1:2" x14ac:dyDescent="0.25">
      <c r="A85" s="3">
        <v>45873</v>
      </c>
      <c r="B85">
        <v>249.47200000000001</v>
      </c>
    </row>
    <row r="86" spans="1:2" x14ac:dyDescent="0.25">
      <c r="A86" s="3">
        <v>45880</v>
      </c>
      <c r="B86">
        <v>237.59399999999999</v>
      </c>
    </row>
    <row r="87" spans="1:2" x14ac:dyDescent="0.25">
      <c r="A87" s="3">
        <v>45887</v>
      </c>
      <c r="B87">
        <v>240.95400000000001</v>
      </c>
    </row>
    <row r="88" spans="1:2" x14ac:dyDescent="0.25">
      <c r="A88" s="3">
        <v>45894</v>
      </c>
      <c r="B88">
        <v>243.22399999999999</v>
      </c>
    </row>
    <row r="89" spans="1:2" x14ac:dyDescent="0.25">
      <c r="A89" s="3">
        <v>45901</v>
      </c>
      <c r="B89">
        <v>245.32749999999999</v>
      </c>
    </row>
    <row r="90" spans="1:2" x14ac:dyDescent="0.25">
      <c r="A90" s="3">
        <v>45908</v>
      </c>
      <c r="B90">
        <v>256.50599999999997</v>
      </c>
    </row>
    <row r="91" spans="1:2" x14ac:dyDescent="0.25">
      <c r="A91" s="3">
        <v>45915</v>
      </c>
      <c r="B91">
        <v>260.84800000000001</v>
      </c>
    </row>
    <row r="92" spans="1:2" x14ac:dyDescent="0.25">
      <c r="A92" s="3">
        <v>45922</v>
      </c>
      <c r="B92">
        <v>275.37799999999999</v>
      </c>
    </row>
    <row r="93" spans="1:2" x14ac:dyDescent="0.25">
      <c r="A93" s="3">
        <v>45929</v>
      </c>
      <c r="B93">
        <v>284.70800000000003</v>
      </c>
    </row>
    <row r="94" spans="1:2" x14ac:dyDescent="0.25">
      <c r="A94" s="3">
        <v>45936</v>
      </c>
      <c r="B94">
        <v>287.76</v>
      </c>
    </row>
    <row r="95" spans="1:2" x14ac:dyDescent="0.25">
      <c r="A95" s="3">
        <v>45943</v>
      </c>
      <c r="B95">
        <v>278.274</v>
      </c>
    </row>
    <row r="96" spans="1:2" x14ac:dyDescent="0.25">
      <c r="A96" s="3">
        <v>45950</v>
      </c>
      <c r="B96">
        <v>289.13400000000001</v>
      </c>
    </row>
    <row r="97" spans="1:6" x14ac:dyDescent="0.25">
      <c r="A97" s="3">
        <v>45957</v>
      </c>
      <c r="B97">
        <v>310.26799999999997</v>
      </c>
    </row>
    <row r="98" spans="1:6" x14ac:dyDescent="0.25">
      <c r="A98" s="3">
        <v>45964</v>
      </c>
      <c r="B98">
        <v>306.23</v>
      </c>
    </row>
    <row r="99" spans="1:6" x14ac:dyDescent="0.25">
      <c r="A99" s="3">
        <v>45971</v>
      </c>
      <c r="B99">
        <v>309.67599999999999</v>
      </c>
    </row>
    <row r="100" spans="1:6" x14ac:dyDescent="0.25">
      <c r="A100" s="3">
        <v>45978</v>
      </c>
      <c r="B100">
        <v>292.69799999999998</v>
      </c>
    </row>
    <row r="101" spans="1:6" x14ac:dyDescent="0.25">
      <c r="A101" s="3">
        <v>45985</v>
      </c>
      <c r="B101">
        <v>305.09749999999997</v>
      </c>
    </row>
    <row r="102" spans="1:6" x14ac:dyDescent="0.25">
      <c r="A102" s="3">
        <v>45992</v>
      </c>
      <c r="B102">
        <v>305.2</v>
      </c>
    </row>
    <row r="103" spans="1:6" x14ac:dyDescent="0.25">
      <c r="A103" s="3">
        <v>45999</v>
      </c>
      <c r="B103">
        <v>310.46199999999999</v>
      </c>
    </row>
    <row r="104" spans="1:6" x14ac:dyDescent="0.25">
      <c r="A104" s="3">
        <v>46006</v>
      </c>
      <c r="B104">
        <v>303.31799999999998</v>
      </c>
    </row>
    <row r="105" spans="1:6" x14ac:dyDescent="0.25">
      <c r="A105" s="3">
        <v>46013</v>
      </c>
      <c r="B105">
        <v>304.05500000000001</v>
      </c>
    </row>
    <row r="106" spans="1:6" x14ac:dyDescent="0.25">
      <c r="A106" s="3">
        <v>46020</v>
      </c>
      <c r="B106">
        <v>298.875</v>
      </c>
    </row>
    <row r="107" spans="1:6" x14ac:dyDescent="0.25">
      <c r="A107" s="3">
        <v>46027</v>
      </c>
      <c r="B107">
        <v>300.22200000000004</v>
      </c>
    </row>
    <row r="108" spans="1:6" x14ac:dyDescent="0.25">
      <c r="A108" s="3">
        <v>46034</v>
      </c>
      <c r="B108">
        <v>305.59800000000001</v>
      </c>
    </row>
    <row r="109" spans="1:6" x14ac:dyDescent="0.25">
      <c r="A109" s="3">
        <v>46041</v>
      </c>
      <c r="B109">
        <v>294</v>
      </c>
    </row>
    <row r="110" spans="1:6" x14ac:dyDescent="0.25">
      <c r="A110" s="3">
        <v>46048</v>
      </c>
      <c r="B110">
        <v>295.09500000000003</v>
      </c>
    </row>
    <row r="111" spans="1:6" x14ac:dyDescent="0.25">
      <c r="A111" s="3">
        <v>46055</v>
      </c>
      <c r="C111">
        <f>_xlfn.FORECAST.ETS(Weekly[[#This Row],[Week]],B2:B110,A2:A110,1,1,1)</f>
        <v>286.40625838883028</v>
      </c>
      <c r="D111">
        <f>_xlfn.FORECAST.ETS.CONFINT(Weekly[[#This Row],[Week]],B2:B110,A2:A110,0.95)</f>
        <v>15.147655461918493</v>
      </c>
      <c r="E111">
        <f>Weekly[[#This Row],[XL Forecast]]+Weekly[[#This Row],[CI/PI]]</f>
        <v>301.55391385074876</v>
      </c>
      <c r="F111">
        <f>Weekly[[#This Row],[XL Forecast]]-Weekly[[#This Row],[CI/PI]]</f>
        <v>271.25860292691181</v>
      </c>
    </row>
    <row r="112" spans="1:6" x14ac:dyDescent="0.25">
      <c r="A112" s="3">
        <v>46062</v>
      </c>
      <c r="C112">
        <f>_xlfn.FORECAST.ETS(Weekly[[#This Row],[Week]],B3:B111,A3:A111,1,1,1)</f>
        <v>282.06524858084924</v>
      </c>
      <c r="D112">
        <f>_xlfn.FORECAST.ETS.CONFINT(Weekly[[#This Row],[Week]],B3:B111,A3:A111,0.95)</f>
        <v>18.62682493471187</v>
      </c>
      <c r="E112">
        <f>Weekly[[#This Row],[XL Forecast]]+Weekly[[#This Row],[CI/PI]]</f>
        <v>300.69207351556111</v>
      </c>
      <c r="F112">
        <f>Weekly[[#This Row],[XL Forecast]]-Weekly[[#This Row],[CI/PI]]</f>
        <v>263.43842364613738</v>
      </c>
    </row>
    <row r="113" spans="1:6" x14ac:dyDescent="0.25">
      <c r="A113" s="3">
        <v>46069</v>
      </c>
      <c r="C113">
        <f>_xlfn.FORECAST.ETS(Weekly[[#This Row],[Week]],B4:B112,A4:A112,1,1,1)</f>
        <v>306.79650850425065</v>
      </c>
      <c r="D113">
        <f>_xlfn.FORECAST.ETS.CONFINT(Weekly[[#This Row],[Week]],B4:B112,A4:A112,0.95)</f>
        <v>20.503841010679814</v>
      </c>
      <c r="E113">
        <f>Weekly[[#This Row],[XL Forecast]]+Weekly[[#This Row],[CI/PI]]</f>
        <v>327.30034951493047</v>
      </c>
      <c r="F113">
        <f>Weekly[[#This Row],[XL Forecast]]-Weekly[[#This Row],[CI/PI]]</f>
        <v>286.29266749357083</v>
      </c>
    </row>
    <row r="114" spans="1:6" x14ac:dyDescent="0.25">
      <c r="A114" s="3">
        <v>46076</v>
      </c>
      <c r="C114">
        <f>_xlfn.FORECAST.ETS(Weekly[[#This Row],[Week]],B5:B113,A5:A113,1,1,1)</f>
        <v>311.63901585063388</v>
      </c>
      <c r="D114">
        <f>_xlfn.FORECAST.ETS.CONFINT(Weekly[[#This Row],[Week]],B5:B113,A5:A113,0.95)</f>
        <v>22.679368679863749</v>
      </c>
      <c r="E114">
        <f>Weekly[[#This Row],[XL Forecast]]+Weekly[[#This Row],[CI/PI]]</f>
        <v>334.31838453049761</v>
      </c>
      <c r="F114">
        <f>Weekly[[#This Row],[XL Forecast]]-Weekly[[#This Row],[CI/PI]]</f>
        <v>288.95964717077015</v>
      </c>
    </row>
    <row r="115" spans="1:6" x14ac:dyDescent="0.25">
      <c r="A115" s="3">
        <v>46083</v>
      </c>
      <c r="C115">
        <f>_xlfn.FORECAST.ETS(Weekly[[#This Row],[Week]],B6:B114,A6:A114,1,1,1)</f>
        <v>313.76011561117315</v>
      </c>
      <c r="D115">
        <f>_xlfn.FORECAST.ETS.CONFINT(Weekly[[#This Row],[Week]],B6:B114,A6:A114,0.95)</f>
        <v>25.11577647348539</v>
      </c>
      <c r="E115">
        <f>Weekly[[#This Row],[XL Forecast]]+Weekly[[#This Row],[CI/PI]]</f>
        <v>338.87589208465852</v>
      </c>
      <c r="F115">
        <f>Weekly[[#This Row],[XL Forecast]]-Weekly[[#This Row],[CI/PI]]</f>
        <v>288.64433913768778</v>
      </c>
    </row>
    <row r="116" spans="1:6" x14ac:dyDescent="0.25">
      <c r="A116" s="3">
        <v>46090</v>
      </c>
      <c r="C116">
        <f>_xlfn.FORECAST.ETS(Weekly[[#This Row],[Week]],B7:B115,A7:A115,1,1,1)</f>
        <v>314.40501541836613</v>
      </c>
      <c r="D116">
        <f>_xlfn.FORECAST.ETS.CONFINT(Weekly[[#This Row],[Week]],B7:B115,A7:A115,0.95)</f>
        <v>31.36806059173929</v>
      </c>
      <c r="E116">
        <f>Weekly[[#This Row],[XL Forecast]]+Weekly[[#This Row],[CI/PI]]</f>
        <v>345.7730760101054</v>
      </c>
      <c r="F116">
        <f>Weekly[[#This Row],[XL Forecast]]-Weekly[[#This Row],[CI/PI]]</f>
        <v>283.03695482662687</v>
      </c>
    </row>
    <row r="117" spans="1:6" x14ac:dyDescent="0.25">
      <c r="A117" s="3">
        <v>46097</v>
      </c>
      <c r="C117">
        <f>_xlfn.FORECAST.ETS(Weekly[[#This Row],[Week]],B8:B116,A8:A116,1,1,1)</f>
        <v>314.37114003859341</v>
      </c>
      <c r="D117">
        <f>_xlfn.FORECAST.ETS.CONFINT(Weekly[[#This Row],[Week]],B8:B116,A8:A116,0.95)</f>
        <v>33.698695314616558</v>
      </c>
      <c r="E117">
        <f>Weekly[[#This Row],[XL Forecast]]+Weekly[[#This Row],[CI/PI]]</f>
        <v>348.06983535320995</v>
      </c>
      <c r="F117">
        <f>Weekly[[#This Row],[XL Forecast]]-Weekly[[#This Row],[CI/PI]]</f>
        <v>280.67244472397687</v>
      </c>
    </row>
    <row r="118" spans="1:6" x14ac:dyDescent="0.25">
      <c r="A118" s="3">
        <v>46104</v>
      </c>
      <c r="C118">
        <f>_xlfn.FORECAST.ETS(Weekly[[#This Row],[Week]],B9:B117,A9:A117,1,1,1)</f>
        <v>316.95368239059792</v>
      </c>
      <c r="D118">
        <f>_xlfn.FORECAST.ETS.CONFINT(Weekly[[#This Row],[Week]],B9:B117,A9:A117,0.95)</f>
        <v>26.503545172415436</v>
      </c>
      <c r="E118">
        <f>Weekly[[#This Row],[XL Forecast]]+Weekly[[#This Row],[CI/PI]]</f>
        <v>343.45722756301336</v>
      </c>
      <c r="F118">
        <f>Weekly[[#This Row],[XL Forecast]]-Weekly[[#This Row],[CI/PI]]</f>
        <v>290.45013721818248</v>
      </c>
    </row>
    <row r="119" spans="1:6" x14ac:dyDescent="0.25">
      <c r="A119" s="3">
        <v>46111</v>
      </c>
      <c r="C119">
        <f>_xlfn.FORECAST.ETS(Weekly[[#This Row],[Week]],B10:B118,A10:A118,1,1,1)</f>
        <v>322.6559815689447</v>
      </c>
      <c r="D119">
        <f>_xlfn.FORECAST.ETS.CONFINT(Weekly[[#This Row],[Week]],B10:B118,A10:A118,0.95)</f>
        <v>28.105534490844391</v>
      </c>
      <c r="E119">
        <f>Weekly[[#This Row],[XL Forecast]]+Weekly[[#This Row],[CI/PI]]</f>
        <v>350.76151605978907</v>
      </c>
      <c r="F119">
        <f>Weekly[[#This Row],[XL Forecast]]-Weekly[[#This Row],[CI/PI]]</f>
        <v>294.55044707810032</v>
      </c>
    </row>
    <row r="120" spans="1:6" x14ac:dyDescent="0.25">
      <c r="A120" s="3">
        <v>46118</v>
      </c>
      <c r="C120">
        <f>_xlfn.FORECAST.ETS(Weekly[[#This Row],[Week]],B11:B119,A11:A119,1,1,1)</f>
        <v>324.76765365910421</v>
      </c>
      <c r="D120">
        <f>_xlfn.FORECAST.ETS.CONFINT(Weekly[[#This Row],[Week]],B11:B119,A11:A119,0.95)</f>
        <v>30.211423640501135</v>
      </c>
      <c r="E120">
        <f>Weekly[[#This Row],[XL Forecast]]+Weekly[[#This Row],[CI/PI]]</f>
        <v>354.97907729960536</v>
      </c>
      <c r="F120">
        <f>Weekly[[#This Row],[XL Forecast]]-Weekly[[#This Row],[CI/PI]]</f>
        <v>294.55623001860306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54E1-5C0D-477C-9900-2358880FDBDD}">
  <dimension ref="A1:K520"/>
  <sheetViews>
    <sheetView workbookViewId="0">
      <selection activeCell="J1" sqref="J1:K1048576"/>
    </sheetView>
  </sheetViews>
  <sheetFormatPr defaultRowHeight="15" x14ac:dyDescent="0.25"/>
  <cols>
    <col min="1" max="2" width="10.42578125" style="1" bestFit="1" customWidth="1"/>
    <col min="4" max="4" width="10.140625" bestFit="1" customWidth="1"/>
    <col min="10" max="10" width="10.42578125" style="1" bestFit="1" customWidth="1"/>
  </cols>
  <sheetData>
    <row r="1" spans="1:11" x14ac:dyDescent="0.25">
      <c r="A1" s="6" t="s">
        <v>0</v>
      </c>
      <c r="B1" s="6" t="str" cm="1">
        <f t="array" aca="1" ref="B1:D520" ca="1">_xlfn.STOCKHISTORY("IBM","2024-01-01",TODAY(),0,1,0,1,5)</f>
        <v>Date</v>
      </c>
      <c r="C1" s="7" t="str">
        <f ca="1"/>
        <v>Close</v>
      </c>
      <c r="D1" s="7" t="str">
        <f ca="1"/>
        <v>Volume</v>
      </c>
      <c r="E1" s="7" t="s">
        <v>1</v>
      </c>
      <c r="F1" s="7" t="s">
        <v>2</v>
      </c>
      <c r="G1" s="7" t="s">
        <v>3</v>
      </c>
      <c r="H1" s="7" t="s">
        <v>4</v>
      </c>
      <c r="J1" s="1" t="s">
        <v>0</v>
      </c>
      <c r="K1" t="s">
        <v>6</v>
      </c>
    </row>
    <row r="2" spans="1:11" x14ac:dyDescent="0.25">
      <c r="A2" s="1">
        <f ca="1">B2 - WEEKDAY(B2, 2) + 1</f>
        <v>45292</v>
      </c>
      <c r="B2" s="1" vm="1">
        <f ca="1"/>
        <v>45293</v>
      </c>
      <c r="C2" vm="2">
        <f ca="1"/>
        <v>161.5</v>
      </c>
      <c r="D2" vm="3">
        <f ca="1"/>
        <v>3825044</v>
      </c>
      <c r="J2" s="1">
        <v>45292</v>
      </c>
      <c r="K2" vm="2">
        <v>161.5</v>
      </c>
    </row>
    <row r="3" spans="1:11" x14ac:dyDescent="0.25">
      <c r="A3" s="1">
        <f t="shared" ref="A3:A66" ca="1" si="0">B3 - WEEKDAY(B3, 2) + 1</f>
        <v>45292</v>
      </c>
      <c r="B3" s="1" vm="4">
        <f ca="1"/>
        <v>45294</v>
      </c>
      <c r="C3" vm="5">
        <f ca="1"/>
        <v>160.1</v>
      </c>
      <c r="D3" vm="6">
        <f ca="1"/>
        <v>4086065</v>
      </c>
      <c r="J3" s="1">
        <v>45292</v>
      </c>
      <c r="K3" vm="5">
        <v>160.1</v>
      </c>
    </row>
    <row r="4" spans="1:11" x14ac:dyDescent="0.25">
      <c r="A4" s="1">
        <f t="shared" ca="1" si="0"/>
        <v>45292</v>
      </c>
      <c r="B4" s="1" vm="7">
        <f ca="1"/>
        <v>45295</v>
      </c>
      <c r="C4" vm="8">
        <f ca="1"/>
        <v>160.86000000000001</v>
      </c>
      <c r="D4" vm="9">
        <f ca="1"/>
        <v>3212004</v>
      </c>
      <c r="J4" s="1">
        <v>45292</v>
      </c>
      <c r="K4" vm="8">
        <v>160.86000000000001</v>
      </c>
    </row>
    <row r="5" spans="1:11" x14ac:dyDescent="0.25">
      <c r="A5" s="1">
        <f t="shared" ca="1" si="0"/>
        <v>45292</v>
      </c>
      <c r="B5" s="1" vm="10">
        <f ca="1"/>
        <v>45296</v>
      </c>
      <c r="C5" vm="11">
        <f ca="1"/>
        <v>159.16</v>
      </c>
      <c r="D5" vm="12">
        <f ca="1"/>
        <v>4199504</v>
      </c>
      <c r="J5" s="1">
        <v>45292</v>
      </c>
      <c r="K5" vm="11">
        <v>159.16</v>
      </c>
    </row>
    <row r="6" spans="1:11" x14ac:dyDescent="0.25">
      <c r="A6" s="1">
        <f t="shared" ca="1" si="0"/>
        <v>45299</v>
      </c>
      <c r="B6" s="1" vm="13">
        <f ca="1"/>
        <v>45299</v>
      </c>
      <c r="C6" vm="14">
        <f ca="1"/>
        <v>161.13999999999999</v>
      </c>
      <c r="D6" vm="15">
        <f ca="1"/>
        <v>3321698</v>
      </c>
      <c r="J6" s="1">
        <v>45299</v>
      </c>
      <c r="K6" vm="14">
        <v>161.13999999999999</v>
      </c>
    </row>
    <row r="7" spans="1:11" x14ac:dyDescent="0.25">
      <c r="A7" s="1">
        <f t="shared" ca="1" si="0"/>
        <v>45299</v>
      </c>
      <c r="B7" s="1" vm="16">
        <f ca="1"/>
        <v>45300</v>
      </c>
      <c r="C7" vm="17">
        <f ca="1"/>
        <v>160.08000000000001</v>
      </c>
      <c r="D7" vm="18">
        <f ca="1"/>
        <v>2617186</v>
      </c>
      <c r="J7" s="1">
        <v>45299</v>
      </c>
      <c r="K7" vm="17">
        <v>160.08000000000001</v>
      </c>
    </row>
    <row r="8" spans="1:11" x14ac:dyDescent="0.25">
      <c r="A8" s="1">
        <f t="shared" ca="1" si="0"/>
        <v>45299</v>
      </c>
      <c r="B8" s="1" vm="19">
        <f ca="1"/>
        <v>45301</v>
      </c>
      <c r="C8" vm="20">
        <f ca="1"/>
        <v>161.22999999999999</v>
      </c>
      <c r="D8" vm="21">
        <f ca="1"/>
        <v>2967852</v>
      </c>
      <c r="J8" s="1">
        <v>45299</v>
      </c>
      <c r="K8" vm="20">
        <v>161.22999999999999</v>
      </c>
    </row>
    <row r="9" spans="1:11" x14ac:dyDescent="0.25">
      <c r="A9" s="1">
        <f t="shared" ca="1" si="0"/>
        <v>45299</v>
      </c>
      <c r="B9" s="1" vm="22">
        <f ca="1"/>
        <v>45302</v>
      </c>
      <c r="C9" vm="23">
        <f ca="1"/>
        <v>162.16</v>
      </c>
      <c r="D9" vm="24">
        <f ca="1"/>
        <v>3778395</v>
      </c>
      <c r="J9" s="1">
        <v>45299</v>
      </c>
      <c r="K9" vm="23">
        <v>162.16</v>
      </c>
    </row>
    <row r="10" spans="1:11" x14ac:dyDescent="0.25">
      <c r="A10" s="1">
        <f t="shared" ca="1" si="0"/>
        <v>45299</v>
      </c>
      <c r="B10" s="1" vm="25">
        <f ca="1"/>
        <v>45303</v>
      </c>
      <c r="C10" vm="26">
        <f ca="1"/>
        <v>165.8</v>
      </c>
      <c r="D10" vm="27">
        <f ca="1"/>
        <v>4958261</v>
      </c>
      <c r="J10" s="1">
        <v>45299</v>
      </c>
      <c r="K10" vm="26">
        <v>165.8</v>
      </c>
    </row>
    <row r="11" spans="1:11" x14ac:dyDescent="0.25">
      <c r="A11" s="1">
        <f t="shared" ca="1" si="0"/>
        <v>45306</v>
      </c>
      <c r="B11" s="1" vm="28">
        <f ca="1"/>
        <v>45307</v>
      </c>
      <c r="C11" vm="29">
        <f ca="1"/>
        <v>166.96</v>
      </c>
      <c r="D11" vm="30">
        <f ca="1"/>
        <v>4869635</v>
      </c>
      <c r="E11">
        <f ca="1">AVERAGE(C2:C11)</f>
        <v>161.899</v>
      </c>
      <c r="J11" s="1">
        <v>45306</v>
      </c>
      <c r="K11" vm="29">
        <v>166.96</v>
      </c>
    </row>
    <row r="12" spans="1:11" x14ac:dyDescent="0.25">
      <c r="A12" s="1">
        <f t="shared" ca="1" si="0"/>
        <v>45306</v>
      </c>
      <c r="B12" s="1" vm="31">
        <f ca="1"/>
        <v>45308</v>
      </c>
      <c r="C12" vm="32">
        <f ca="1"/>
        <v>166.08</v>
      </c>
      <c r="D12" vm="33">
        <f ca="1"/>
        <v>4288604</v>
      </c>
      <c r="E12">
        <f t="shared" ref="E12:E75" ca="1" si="1">AVERAGE(C3:C12)</f>
        <v>162.357</v>
      </c>
      <c r="J12" s="1">
        <v>45306</v>
      </c>
      <c r="K12" vm="32">
        <v>166.08</v>
      </c>
    </row>
    <row r="13" spans="1:11" x14ac:dyDescent="0.25">
      <c r="A13" s="1">
        <f t="shared" ca="1" si="0"/>
        <v>45306</v>
      </c>
      <c r="B13" s="1" vm="34">
        <f ca="1"/>
        <v>45309</v>
      </c>
      <c r="C13" vm="35">
        <f ca="1"/>
        <v>166.84</v>
      </c>
      <c r="D13" vm="36">
        <f ca="1"/>
        <v>3776990</v>
      </c>
      <c r="E13">
        <f t="shared" ca="1" si="1"/>
        <v>163.03100000000001</v>
      </c>
      <c r="J13" s="1">
        <v>45306</v>
      </c>
      <c r="K13" vm="35">
        <v>166.84</v>
      </c>
    </row>
    <row r="14" spans="1:11" x14ac:dyDescent="0.25">
      <c r="A14" s="1">
        <f t="shared" ca="1" si="0"/>
        <v>45306</v>
      </c>
      <c r="B14" s="1" vm="37">
        <f ca="1"/>
        <v>45310</v>
      </c>
      <c r="C14" vm="38">
        <f ca="1"/>
        <v>171.48</v>
      </c>
      <c r="D14" vm="39">
        <f ca="1"/>
        <v>6929079</v>
      </c>
      <c r="E14">
        <f t="shared" ca="1" si="1"/>
        <v>164.09299999999999</v>
      </c>
      <c r="J14" s="1">
        <v>45306</v>
      </c>
      <c r="K14" vm="38">
        <v>171.48</v>
      </c>
    </row>
    <row r="15" spans="1:11" x14ac:dyDescent="0.25">
      <c r="A15" s="1">
        <f t="shared" ca="1" si="0"/>
        <v>45313</v>
      </c>
      <c r="B15" s="1" vm="40">
        <f ca="1"/>
        <v>45313</v>
      </c>
      <c r="C15" vm="41">
        <f ca="1"/>
        <v>172.83</v>
      </c>
      <c r="D15" vm="42">
        <f ca="1"/>
        <v>4925964</v>
      </c>
      <c r="E15">
        <f t="shared" ca="1" si="1"/>
        <v>165.45999999999998</v>
      </c>
      <c r="J15" s="1">
        <v>45313</v>
      </c>
      <c r="K15" vm="41">
        <v>172.83</v>
      </c>
    </row>
    <row r="16" spans="1:11" x14ac:dyDescent="0.25">
      <c r="A16" s="1">
        <f t="shared" ca="1" si="0"/>
        <v>45313</v>
      </c>
      <c r="B16" s="1" vm="43">
        <f ca="1"/>
        <v>45314</v>
      </c>
      <c r="C16" vm="44">
        <f ca="1"/>
        <v>173.94</v>
      </c>
      <c r="D16" vm="45">
        <f ca="1"/>
        <v>3983461</v>
      </c>
      <c r="E16">
        <f t="shared" ca="1" si="1"/>
        <v>166.74</v>
      </c>
      <c r="J16" s="1">
        <v>45313</v>
      </c>
      <c r="K16" vm="44">
        <v>173.94</v>
      </c>
    </row>
    <row r="17" spans="1:11" x14ac:dyDescent="0.25">
      <c r="A17" s="1">
        <f t="shared" ca="1" si="0"/>
        <v>45313</v>
      </c>
      <c r="B17" s="1" vm="46">
        <f ca="1"/>
        <v>45315</v>
      </c>
      <c r="C17" vm="47">
        <f ca="1"/>
        <v>173.93</v>
      </c>
      <c r="D17" vm="48">
        <f ca="1"/>
        <v>9097827</v>
      </c>
      <c r="E17">
        <f t="shared" ca="1" si="1"/>
        <v>168.125</v>
      </c>
      <c r="J17" s="1">
        <v>45313</v>
      </c>
      <c r="K17" vm="47">
        <v>173.93</v>
      </c>
    </row>
    <row r="18" spans="1:11" x14ac:dyDescent="0.25">
      <c r="A18" s="1">
        <f t="shared" ca="1" si="0"/>
        <v>45313</v>
      </c>
      <c r="B18" s="1" vm="49">
        <f ca="1"/>
        <v>45316</v>
      </c>
      <c r="C18" vm="50">
        <f ca="1"/>
        <v>190.43</v>
      </c>
      <c r="D18" vm="51">
        <f ca="1"/>
        <v>29596239</v>
      </c>
      <c r="E18">
        <f t="shared" ca="1" si="1"/>
        <v>171.04500000000002</v>
      </c>
      <c r="J18" s="1">
        <v>45313</v>
      </c>
      <c r="K18" vm="50">
        <v>190.43</v>
      </c>
    </row>
    <row r="19" spans="1:11" x14ac:dyDescent="0.25">
      <c r="A19" s="1">
        <f t="shared" ca="1" si="0"/>
        <v>45313</v>
      </c>
      <c r="B19" s="1" vm="52">
        <f ca="1"/>
        <v>45317</v>
      </c>
      <c r="C19" vm="53">
        <f ca="1"/>
        <v>187.42</v>
      </c>
      <c r="D19" vm="54">
        <f ca="1"/>
        <v>9895941</v>
      </c>
      <c r="E19">
        <f t="shared" ca="1" si="1"/>
        <v>173.57100000000003</v>
      </c>
      <c r="J19" s="1">
        <v>45313</v>
      </c>
      <c r="K19" vm="53">
        <v>187.42</v>
      </c>
    </row>
    <row r="20" spans="1:11" x14ac:dyDescent="0.25">
      <c r="A20" s="1">
        <f t="shared" ca="1" si="0"/>
        <v>45320</v>
      </c>
      <c r="B20" s="1" vm="55">
        <f ca="1"/>
        <v>45320</v>
      </c>
      <c r="C20" vm="56">
        <f ca="1"/>
        <v>187.14</v>
      </c>
      <c r="D20" vm="57">
        <f ca="1"/>
        <v>6107908</v>
      </c>
      <c r="E20">
        <f t="shared" ca="1" si="1"/>
        <v>175.70500000000001</v>
      </c>
      <c r="J20" s="1">
        <v>45320</v>
      </c>
      <c r="K20" vm="56">
        <v>187.14</v>
      </c>
    </row>
    <row r="21" spans="1:11" x14ac:dyDescent="0.25">
      <c r="A21" s="1">
        <f t="shared" ca="1" si="0"/>
        <v>45320</v>
      </c>
      <c r="B21" s="1" vm="58">
        <f ca="1"/>
        <v>45321</v>
      </c>
      <c r="C21" vm="59">
        <f ca="1"/>
        <v>187.87</v>
      </c>
      <c r="D21" vm="60">
        <f ca="1"/>
        <v>4575058</v>
      </c>
      <c r="E21">
        <f t="shared" ca="1" si="1"/>
        <v>177.79599999999999</v>
      </c>
      <c r="F21">
        <f ca="1">AVERAGE(C2:C21)</f>
        <v>169.84749999999997</v>
      </c>
      <c r="J21" s="1">
        <v>45320</v>
      </c>
      <c r="K21" vm="59">
        <v>187.87</v>
      </c>
    </row>
    <row r="22" spans="1:11" x14ac:dyDescent="0.25">
      <c r="A22" s="1">
        <f t="shared" ca="1" si="0"/>
        <v>45320</v>
      </c>
      <c r="B22" s="1" vm="61">
        <f ca="1"/>
        <v>45322</v>
      </c>
      <c r="C22" vm="62">
        <f ca="1"/>
        <v>183.66</v>
      </c>
      <c r="D22" vm="63">
        <f ca="1"/>
        <v>8876055</v>
      </c>
      <c r="E22">
        <f t="shared" ca="1" si="1"/>
        <v>179.55400000000003</v>
      </c>
      <c r="F22">
        <f t="shared" ref="F22:F85" ca="1" si="2">AVERAGE(C3:C22)</f>
        <v>170.95549999999997</v>
      </c>
      <c r="J22" s="1">
        <v>45320</v>
      </c>
      <c r="K22" vm="62">
        <v>183.66</v>
      </c>
    </row>
    <row r="23" spans="1:11" x14ac:dyDescent="0.25">
      <c r="A23" s="1">
        <f t="shared" ca="1" si="0"/>
        <v>45320</v>
      </c>
      <c r="B23" s="1" vm="64">
        <f ca="1"/>
        <v>45323</v>
      </c>
      <c r="C23" vm="65">
        <f ca="1"/>
        <v>186.9</v>
      </c>
      <c r="D23" vm="66">
        <f ca="1"/>
        <v>4669444</v>
      </c>
      <c r="E23">
        <f t="shared" ca="1" si="1"/>
        <v>181.56</v>
      </c>
      <c r="F23">
        <f t="shared" ca="1" si="2"/>
        <v>172.29549999999998</v>
      </c>
      <c r="J23" s="1">
        <v>45320</v>
      </c>
      <c r="K23" vm="65">
        <v>186.9</v>
      </c>
    </row>
    <row r="24" spans="1:11" x14ac:dyDescent="0.25">
      <c r="A24" s="1">
        <f t="shared" ca="1" si="0"/>
        <v>45320</v>
      </c>
      <c r="B24" s="1" vm="67">
        <f ca="1"/>
        <v>45324</v>
      </c>
      <c r="C24" vm="68">
        <f ca="1"/>
        <v>185.79</v>
      </c>
      <c r="D24" vm="69">
        <f ca="1"/>
        <v>4055411</v>
      </c>
      <c r="E24">
        <f t="shared" ca="1" si="1"/>
        <v>182.99100000000001</v>
      </c>
      <c r="F24">
        <f t="shared" ca="1" si="2"/>
        <v>173.54199999999997</v>
      </c>
      <c r="J24" s="1">
        <v>45320</v>
      </c>
      <c r="K24" vm="68">
        <v>185.79</v>
      </c>
    </row>
    <row r="25" spans="1:11" x14ac:dyDescent="0.25">
      <c r="A25" s="1">
        <f t="shared" ca="1" si="0"/>
        <v>45327</v>
      </c>
      <c r="B25" s="1" vm="70">
        <f ca="1"/>
        <v>45327</v>
      </c>
      <c r="C25" vm="71">
        <f ca="1"/>
        <v>183.42</v>
      </c>
      <c r="D25" vm="72">
        <f ca="1"/>
        <v>4379602</v>
      </c>
      <c r="E25">
        <f t="shared" ca="1" si="1"/>
        <v>184.05</v>
      </c>
      <c r="F25">
        <f t="shared" ca="1" si="2"/>
        <v>174.755</v>
      </c>
      <c r="J25" s="1">
        <v>45327</v>
      </c>
      <c r="K25" vm="71">
        <v>183.42</v>
      </c>
    </row>
    <row r="26" spans="1:11" x14ac:dyDescent="0.25">
      <c r="A26" s="1">
        <f t="shared" ca="1" si="0"/>
        <v>45327</v>
      </c>
      <c r="B26" s="1" vm="73">
        <f ca="1"/>
        <v>45328</v>
      </c>
      <c r="C26" vm="74">
        <f ca="1"/>
        <v>183.41</v>
      </c>
      <c r="D26" vm="75">
        <f ca="1"/>
        <v>3338196</v>
      </c>
      <c r="E26">
        <f t="shared" ca="1" si="1"/>
        <v>184.99700000000001</v>
      </c>
      <c r="F26">
        <f t="shared" ca="1" si="2"/>
        <v>175.86849999999998</v>
      </c>
      <c r="J26" s="1">
        <v>45327</v>
      </c>
      <c r="K26" vm="74">
        <v>183.41</v>
      </c>
    </row>
    <row r="27" spans="1:11" x14ac:dyDescent="0.25">
      <c r="A27" s="1">
        <f t="shared" ca="1" si="0"/>
        <v>45327</v>
      </c>
      <c r="B27" s="1" vm="76">
        <f ca="1"/>
        <v>45329</v>
      </c>
      <c r="C27" vm="77">
        <f ca="1"/>
        <v>183.74</v>
      </c>
      <c r="D27" vm="78">
        <f ca="1"/>
        <v>4841188</v>
      </c>
      <c r="E27">
        <f t="shared" ca="1" si="1"/>
        <v>185.97800000000001</v>
      </c>
      <c r="F27">
        <f t="shared" ca="1" si="2"/>
        <v>177.05149999999998</v>
      </c>
      <c r="J27" s="1">
        <v>45327</v>
      </c>
      <c r="K27" vm="77">
        <v>183.74</v>
      </c>
    </row>
    <row r="28" spans="1:11" x14ac:dyDescent="0.25">
      <c r="A28" s="1">
        <f t="shared" ca="1" si="0"/>
        <v>45327</v>
      </c>
      <c r="B28" s="1" vm="79">
        <f ca="1"/>
        <v>45330</v>
      </c>
      <c r="C28" vm="80">
        <f ca="1"/>
        <v>184.36</v>
      </c>
      <c r="D28" vm="81">
        <f ca="1"/>
        <v>5161185</v>
      </c>
      <c r="E28">
        <f t="shared" ca="1" si="1"/>
        <v>185.37100000000001</v>
      </c>
      <c r="F28">
        <f t="shared" ca="1" si="2"/>
        <v>178.20800000000003</v>
      </c>
      <c r="J28" s="1">
        <v>45327</v>
      </c>
      <c r="K28" vm="80">
        <v>184.36</v>
      </c>
    </row>
    <row r="29" spans="1:11" x14ac:dyDescent="0.25">
      <c r="A29" s="1">
        <f t="shared" ca="1" si="0"/>
        <v>45327</v>
      </c>
      <c r="B29" s="1" vm="82">
        <f ca="1"/>
        <v>45331</v>
      </c>
      <c r="C29" vm="83">
        <f ca="1"/>
        <v>186.34</v>
      </c>
      <c r="D29" vm="84">
        <f ca="1"/>
        <v>5064641</v>
      </c>
      <c r="E29">
        <f t="shared" ca="1" si="1"/>
        <v>185.26299999999998</v>
      </c>
      <c r="F29">
        <f t="shared" ca="1" si="2"/>
        <v>179.41700000000003</v>
      </c>
      <c r="J29" s="1">
        <v>45327</v>
      </c>
      <c r="K29" vm="83">
        <v>186.34</v>
      </c>
    </row>
    <row r="30" spans="1:11" x14ac:dyDescent="0.25">
      <c r="A30" s="1">
        <f t="shared" ca="1" si="0"/>
        <v>45334</v>
      </c>
      <c r="B30" s="1" vm="85">
        <f ca="1"/>
        <v>45334</v>
      </c>
      <c r="C30" vm="86">
        <f ca="1"/>
        <v>186.16</v>
      </c>
      <c r="D30" vm="87">
        <f ca="1"/>
        <v>4724021</v>
      </c>
      <c r="E30">
        <f t="shared" ca="1" si="1"/>
        <v>185.16500000000002</v>
      </c>
      <c r="F30">
        <f t="shared" ca="1" si="2"/>
        <v>180.435</v>
      </c>
      <c r="J30" s="1">
        <v>45334</v>
      </c>
      <c r="K30" vm="86">
        <v>186.16</v>
      </c>
    </row>
    <row r="31" spans="1:11" x14ac:dyDescent="0.25">
      <c r="A31" s="1">
        <f t="shared" ca="1" si="0"/>
        <v>45334</v>
      </c>
      <c r="B31" s="1" vm="88">
        <f ca="1"/>
        <v>45335</v>
      </c>
      <c r="C31" vm="89">
        <f ca="1"/>
        <v>183.7</v>
      </c>
      <c r="D31" vm="90">
        <f ca="1"/>
        <v>4290453</v>
      </c>
      <c r="E31">
        <f t="shared" ca="1" si="1"/>
        <v>184.74800000000002</v>
      </c>
      <c r="F31">
        <f t="shared" ca="1" si="2"/>
        <v>181.27199999999999</v>
      </c>
      <c r="J31" s="1">
        <v>45334</v>
      </c>
      <c r="K31" vm="89">
        <v>183.7</v>
      </c>
    </row>
    <row r="32" spans="1:11" x14ac:dyDescent="0.25">
      <c r="A32" s="1">
        <f t="shared" ca="1" si="0"/>
        <v>45334</v>
      </c>
      <c r="B32" s="1" vm="91">
        <f ca="1"/>
        <v>45336</v>
      </c>
      <c r="C32" vm="92">
        <f ca="1"/>
        <v>183.57</v>
      </c>
      <c r="D32" vm="93">
        <f ca="1"/>
        <v>3173391</v>
      </c>
      <c r="E32">
        <f t="shared" ca="1" si="1"/>
        <v>184.73899999999998</v>
      </c>
      <c r="F32">
        <f t="shared" ca="1" si="2"/>
        <v>182.1465</v>
      </c>
      <c r="J32" s="1">
        <v>45334</v>
      </c>
      <c r="K32" vm="92">
        <v>183.57</v>
      </c>
    </row>
    <row r="33" spans="1:11" x14ac:dyDescent="0.25">
      <c r="A33" s="1">
        <f t="shared" ca="1" si="0"/>
        <v>45334</v>
      </c>
      <c r="B33" s="1" vm="94">
        <f ca="1"/>
        <v>45337</v>
      </c>
      <c r="C33" vm="95">
        <f ca="1"/>
        <v>186.87</v>
      </c>
      <c r="D33" vm="96">
        <f ca="1"/>
        <v>4714301</v>
      </c>
      <c r="E33">
        <f t="shared" ca="1" si="1"/>
        <v>184.73600000000002</v>
      </c>
      <c r="F33">
        <f t="shared" ca="1" si="2"/>
        <v>183.148</v>
      </c>
      <c r="J33" s="1">
        <v>45334</v>
      </c>
      <c r="K33" vm="95">
        <v>186.87</v>
      </c>
    </row>
    <row r="34" spans="1:11" x14ac:dyDescent="0.25">
      <c r="A34" s="1">
        <f t="shared" ca="1" si="0"/>
        <v>45334</v>
      </c>
      <c r="B34" s="1" vm="97">
        <f ca="1"/>
        <v>45338</v>
      </c>
      <c r="C34" vm="98">
        <f ca="1"/>
        <v>187.64</v>
      </c>
      <c r="D34" vm="99">
        <f ca="1"/>
        <v>4842840</v>
      </c>
      <c r="E34">
        <f t="shared" ca="1" si="1"/>
        <v>184.92099999999999</v>
      </c>
      <c r="F34">
        <f t="shared" ca="1" si="2"/>
        <v>183.95600000000002</v>
      </c>
      <c r="J34" s="1">
        <v>45334</v>
      </c>
      <c r="K34" vm="98">
        <v>187.64</v>
      </c>
    </row>
    <row r="35" spans="1:11" x14ac:dyDescent="0.25">
      <c r="A35" s="1">
        <f t="shared" ca="1" si="0"/>
        <v>45341</v>
      </c>
      <c r="B35" s="1" vm="100">
        <f ca="1"/>
        <v>45342</v>
      </c>
      <c r="C35" vm="101">
        <f ca="1"/>
        <v>183.44</v>
      </c>
      <c r="D35" vm="102">
        <f ca="1"/>
        <v>4247181</v>
      </c>
      <c r="E35">
        <f t="shared" ca="1" si="1"/>
        <v>184.923</v>
      </c>
      <c r="F35">
        <f t="shared" ca="1" si="2"/>
        <v>184.48650000000004</v>
      </c>
      <c r="J35" s="1">
        <v>45341</v>
      </c>
      <c r="K35" vm="101">
        <v>183.44</v>
      </c>
    </row>
    <row r="36" spans="1:11" x14ac:dyDescent="0.25">
      <c r="A36" s="1">
        <f t="shared" ca="1" si="0"/>
        <v>45341</v>
      </c>
      <c r="B36" s="1" vm="103">
        <f ca="1"/>
        <v>45343</v>
      </c>
      <c r="C36" vm="104">
        <f ca="1"/>
        <v>179.7</v>
      </c>
      <c r="D36" vm="105">
        <f ca="1"/>
        <v>4728473</v>
      </c>
      <c r="E36">
        <f t="shared" ca="1" si="1"/>
        <v>184.55199999999996</v>
      </c>
      <c r="F36">
        <f t="shared" ca="1" si="2"/>
        <v>184.77449999999999</v>
      </c>
      <c r="J36" s="1">
        <v>45341</v>
      </c>
      <c r="K36" vm="104">
        <v>179.7</v>
      </c>
    </row>
    <row r="37" spans="1:11" x14ac:dyDescent="0.25">
      <c r="A37" s="1">
        <f t="shared" ca="1" si="0"/>
        <v>45341</v>
      </c>
      <c r="B37" s="1" vm="106">
        <f ca="1"/>
        <v>45344</v>
      </c>
      <c r="C37" vm="107">
        <f ca="1"/>
        <v>184.21</v>
      </c>
      <c r="D37" vm="108">
        <f ca="1"/>
        <v>5078398</v>
      </c>
      <c r="E37">
        <f t="shared" ca="1" si="1"/>
        <v>184.59899999999999</v>
      </c>
      <c r="F37">
        <f t="shared" ca="1" si="2"/>
        <v>185.2885</v>
      </c>
      <c r="J37" s="1">
        <v>45341</v>
      </c>
      <c r="K37" vm="107">
        <v>184.21</v>
      </c>
    </row>
    <row r="38" spans="1:11" x14ac:dyDescent="0.25">
      <c r="A38" s="1">
        <f t="shared" ca="1" si="0"/>
        <v>45341</v>
      </c>
      <c r="B38" s="1" vm="109">
        <f ca="1"/>
        <v>45345</v>
      </c>
      <c r="C38" vm="110">
        <f ca="1"/>
        <v>185.72</v>
      </c>
      <c r="D38" vm="111">
        <f ca="1"/>
        <v>3433800</v>
      </c>
      <c r="E38">
        <f t="shared" ca="1" si="1"/>
        <v>184.73500000000001</v>
      </c>
      <c r="F38">
        <f t="shared" ca="1" si="2"/>
        <v>185.05299999999997</v>
      </c>
      <c r="J38" s="1">
        <v>45341</v>
      </c>
      <c r="K38" vm="110">
        <v>185.72</v>
      </c>
    </row>
    <row r="39" spans="1:11" x14ac:dyDescent="0.25">
      <c r="A39" s="1">
        <f t="shared" ca="1" si="0"/>
        <v>45348</v>
      </c>
      <c r="B39" s="1" vm="112">
        <f ca="1"/>
        <v>45348</v>
      </c>
      <c r="C39" vm="113">
        <f ca="1"/>
        <v>184.13</v>
      </c>
      <c r="D39" vm="114">
        <f ca="1"/>
        <v>4620815</v>
      </c>
      <c r="E39">
        <f t="shared" ca="1" si="1"/>
        <v>184.51400000000004</v>
      </c>
      <c r="F39">
        <f t="shared" ca="1" si="2"/>
        <v>184.88849999999996</v>
      </c>
      <c r="J39" s="1">
        <v>45348</v>
      </c>
      <c r="K39" vm="113">
        <v>184.13</v>
      </c>
    </row>
    <row r="40" spans="1:11" x14ac:dyDescent="0.25">
      <c r="A40" s="1">
        <f t="shared" ca="1" si="0"/>
        <v>45348</v>
      </c>
      <c r="B40" s="1" vm="115">
        <f ca="1"/>
        <v>45349</v>
      </c>
      <c r="C40" vm="116">
        <f ca="1"/>
        <v>184.87</v>
      </c>
      <c r="D40" vm="117">
        <f ca="1"/>
        <v>3641378</v>
      </c>
      <c r="E40">
        <f t="shared" ca="1" si="1"/>
        <v>184.38499999999999</v>
      </c>
      <c r="F40">
        <f t="shared" ca="1" si="2"/>
        <v>184.77499999999998</v>
      </c>
      <c r="J40" s="1">
        <v>45348</v>
      </c>
      <c r="K40" vm="116">
        <v>184.87</v>
      </c>
    </row>
    <row r="41" spans="1:11" x14ac:dyDescent="0.25">
      <c r="A41" s="1">
        <f t="shared" ca="1" si="0"/>
        <v>45348</v>
      </c>
      <c r="B41" s="1" vm="118">
        <f ca="1"/>
        <v>45350</v>
      </c>
      <c r="C41" vm="119">
        <f ca="1"/>
        <v>185.3</v>
      </c>
      <c r="D41" vm="120">
        <f ca="1"/>
        <v>3216345</v>
      </c>
      <c r="E41">
        <f t="shared" ca="1" si="1"/>
        <v>184.54500000000002</v>
      </c>
      <c r="F41">
        <f t="shared" ca="1" si="2"/>
        <v>184.6465</v>
      </c>
      <c r="J41" s="1">
        <v>45348</v>
      </c>
      <c r="K41" vm="119">
        <v>185.3</v>
      </c>
    </row>
    <row r="42" spans="1:11" x14ac:dyDescent="0.25">
      <c r="A42" s="1">
        <f t="shared" ca="1" si="0"/>
        <v>45348</v>
      </c>
      <c r="B42" s="1" vm="121">
        <f ca="1"/>
        <v>45351</v>
      </c>
      <c r="C42" vm="122">
        <f ca="1"/>
        <v>185.03</v>
      </c>
      <c r="D42" vm="123">
        <f ca="1"/>
        <v>6458487</v>
      </c>
      <c r="E42">
        <f t="shared" ca="1" si="1"/>
        <v>184.69099999999997</v>
      </c>
      <c r="F42">
        <f t="shared" ca="1" si="2"/>
        <v>184.71499999999997</v>
      </c>
      <c r="J42" s="1">
        <v>45348</v>
      </c>
      <c r="K42" vm="122">
        <v>185.03</v>
      </c>
    </row>
    <row r="43" spans="1:11" x14ac:dyDescent="0.25">
      <c r="A43" s="1">
        <f t="shared" ca="1" si="0"/>
        <v>45348</v>
      </c>
      <c r="B43" s="1" vm="124">
        <f ca="1"/>
        <v>45352</v>
      </c>
      <c r="C43" vm="125">
        <f ca="1"/>
        <v>188.2</v>
      </c>
      <c r="D43" vm="126">
        <f ca="1"/>
        <v>4018354</v>
      </c>
      <c r="E43">
        <f t="shared" ca="1" si="1"/>
        <v>184.82400000000001</v>
      </c>
      <c r="F43">
        <f t="shared" ca="1" si="2"/>
        <v>184.78</v>
      </c>
      <c r="J43" s="1">
        <v>45348</v>
      </c>
      <c r="K43" vm="125">
        <v>188.2</v>
      </c>
    </row>
    <row r="44" spans="1:11" x14ac:dyDescent="0.25">
      <c r="A44" s="1">
        <f t="shared" ca="1" si="0"/>
        <v>45355</v>
      </c>
      <c r="B44" s="1" vm="127">
        <f ca="1"/>
        <v>45355</v>
      </c>
      <c r="C44" vm="128">
        <f ca="1"/>
        <v>193.06</v>
      </c>
      <c r="D44" vm="129">
        <f ca="1"/>
        <v>7938266</v>
      </c>
      <c r="E44">
        <f t="shared" ca="1" si="1"/>
        <v>185.36600000000001</v>
      </c>
      <c r="F44">
        <f t="shared" ca="1" si="2"/>
        <v>185.14349999999999</v>
      </c>
      <c r="J44" s="1">
        <v>45355</v>
      </c>
      <c r="K44" vm="128">
        <v>193.06</v>
      </c>
    </row>
    <row r="45" spans="1:11" x14ac:dyDescent="0.25">
      <c r="A45" s="1">
        <f t="shared" ca="1" si="0"/>
        <v>45355</v>
      </c>
      <c r="B45" s="1" vm="130">
        <f ca="1"/>
        <v>45356</v>
      </c>
      <c r="C45" vm="131">
        <f ca="1"/>
        <v>191.95</v>
      </c>
      <c r="D45" vm="132">
        <f ca="1"/>
        <v>5653641</v>
      </c>
      <c r="E45">
        <f t="shared" ca="1" si="1"/>
        <v>186.21700000000001</v>
      </c>
      <c r="F45">
        <f t="shared" ca="1" si="2"/>
        <v>185.57</v>
      </c>
      <c r="J45" s="1">
        <v>45355</v>
      </c>
      <c r="K45" vm="131">
        <v>191.95</v>
      </c>
    </row>
    <row r="46" spans="1:11" x14ac:dyDescent="0.25">
      <c r="A46" s="1">
        <f t="shared" ca="1" si="0"/>
        <v>45355</v>
      </c>
      <c r="B46" s="1" vm="133">
        <f ca="1"/>
        <v>45357</v>
      </c>
      <c r="C46" vm="134">
        <f ca="1"/>
        <v>196.16</v>
      </c>
      <c r="D46" vm="135">
        <f ca="1"/>
        <v>6945818</v>
      </c>
      <c r="E46">
        <f t="shared" ca="1" si="1"/>
        <v>187.863</v>
      </c>
      <c r="F46">
        <f t="shared" ca="1" si="2"/>
        <v>186.20749999999998</v>
      </c>
      <c r="J46" s="1">
        <v>45355</v>
      </c>
      <c r="K46" vm="134">
        <v>196.16</v>
      </c>
    </row>
    <row r="47" spans="1:11" x14ac:dyDescent="0.25">
      <c r="A47" s="1">
        <f t="shared" ca="1" si="0"/>
        <v>45355</v>
      </c>
      <c r="B47" s="1" vm="136">
        <f ca="1"/>
        <v>45358</v>
      </c>
      <c r="C47" vm="137">
        <f ca="1"/>
        <v>196.54</v>
      </c>
      <c r="D47" vm="138">
        <f ca="1"/>
        <v>4604458</v>
      </c>
      <c r="E47">
        <f t="shared" ca="1" si="1"/>
        <v>189.096</v>
      </c>
      <c r="F47">
        <f t="shared" ca="1" si="2"/>
        <v>186.8475</v>
      </c>
      <c r="J47" s="1">
        <v>45355</v>
      </c>
      <c r="K47" vm="137">
        <v>196.54</v>
      </c>
    </row>
    <row r="48" spans="1:11" x14ac:dyDescent="0.25">
      <c r="A48" s="1">
        <f t="shared" ca="1" si="0"/>
        <v>45355</v>
      </c>
      <c r="B48" s="1" vm="139">
        <f ca="1"/>
        <v>45359</v>
      </c>
      <c r="C48" vm="140">
        <f ca="1"/>
        <v>195.95</v>
      </c>
      <c r="D48" vm="141">
        <f ca="1"/>
        <v>3943113</v>
      </c>
      <c r="E48">
        <f t="shared" ca="1" si="1"/>
        <v>190.119</v>
      </c>
      <c r="F48">
        <f t="shared" ca="1" si="2"/>
        <v>187.42699999999996</v>
      </c>
      <c r="J48" s="1">
        <v>45355</v>
      </c>
      <c r="K48" vm="140">
        <v>195.95</v>
      </c>
    </row>
    <row r="49" spans="1:11" x14ac:dyDescent="0.25">
      <c r="A49" s="1">
        <f t="shared" ca="1" si="0"/>
        <v>45362</v>
      </c>
      <c r="B49" s="1" vm="142">
        <f ca="1"/>
        <v>45362</v>
      </c>
      <c r="C49" vm="143">
        <f ca="1"/>
        <v>191.73</v>
      </c>
      <c r="D49" vm="144">
        <f ca="1"/>
        <v>4725057</v>
      </c>
      <c r="E49">
        <f t="shared" ca="1" si="1"/>
        <v>190.87900000000002</v>
      </c>
      <c r="F49">
        <f t="shared" ca="1" si="2"/>
        <v>187.69649999999999</v>
      </c>
      <c r="J49" s="1">
        <v>45362</v>
      </c>
      <c r="K49" vm="143">
        <v>191.73</v>
      </c>
    </row>
    <row r="50" spans="1:11" x14ac:dyDescent="0.25">
      <c r="A50" s="1">
        <f t="shared" ca="1" si="0"/>
        <v>45362</v>
      </c>
      <c r="B50" s="1" vm="145">
        <f ca="1"/>
        <v>45363</v>
      </c>
      <c r="C50" vm="146">
        <f ca="1"/>
        <v>197.78</v>
      </c>
      <c r="D50" vm="147">
        <f ca="1"/>
        <v>5880075</v>
      </c>
      <c r="E50">
        <f t="shared" ca="1" si="1"/>
        <v>192.17000000000002</v>
      </c>
      <c r="F50">
        <f t="shared" ca="1" si="2"/>
        <v>188.27749999999997</v>
      </c>
      <c r="J50" s="1">
        <v>45362</v>
      </c>
      <c r="K50" vm="146">
        <v>197.78</v>
      </c>
    </row>
    <row r="51" spans="1:11" x14ac:dyDescent="0.25">
      <c r="A51" s="1">
        <f t="shared" ca="1" si="0"/>
        <v>45362</v>
      </c>
      <c r="B51" s="1" vm="148">
        <f ca="1"/>
        <v>45364</v>
      </c>
      <c r="C51" vm="149">
        <f ca="1"/>
        <v>196.7</v>
      </c>
      <c r="D51" vm="150">
        <f ca="1"/>
        <v>3993258</v>
      </c>
      <c r="E51">
        <f t="shared" ca="1" si="1"/>
        <v>193.31</v>
      </c>
      <c r="F51">
        <f t="shared" ca="1" si="2"/>
        <v>188.92749999999995</v>
      </c>
      <c r="G51">
        <f ca="1">AVERAGE(C2:C51)</f>
        <v>180.45959999999999</v>
      </c>
      <c r="J51" s="1">
        <v>45362</v>
      </c>
      <c r="K51" vm="149">
        <v>196.7</v>
      </c>
    </row>
    <row r="52" spans="1:11" x14ac:dyDescent="0.25">
      <c r="A52" s="1">
        <f t="shared" ca="1" si="0"/>
        <v>45362</v>
      </c>
      <c r="B52" s="1" vm="151">
        <f ca="1"/>
        <v>45365</v>
      </c>
      <c r="C52" vm="152">
        <f ca="1"/>
        <v>193.43</v>
      </c>
      <c r="D52" vm="153">
        <f ca="1"/>
        <v>4109636</v>
      </c>
      <c r="E52">
        <f t="shared" ca="1" si="1"/>
        <v>194.15</v>
      </c>
      <c r="F52">
        <f t="shared" ca="1" si="2"/>
        <v>189.42049999999998</v>
      </c>
      <c r="G52">
        <f t="shared" ref="G52:G115" ca="1" si="3">AVERAGE(C3:C52)</f>
        <v>181.09819999999999</v>
      </c>
      <c r="J52" s="1">
        <v>45362</v>
      </c>
      <c r="K52" vm="152">
        <v>193.43</v>
      </c>
    </row>
    <row r="53" spans="1:11" x14ac:dyDescent="0.25">
      <c r="A53" s="1">
        <f t="shared" ca="1" si="0"/>
        <v>45362</v>
      </c>
      <c r="B53" s="1" vm="154">
        <f ca="1"/>
        <v>45366</v>
      </c>
      <c r="C53" vm="155">
        <f ca="1"/>
        <v>191.07</v>
      </c>
      <c r="D53" vm="156">
        <f ca="1"/>
        <v>8828184</v>
      </c>
      <c r="E53">
        <f t="shared" ca="1" si="1"/>
        <v>194.43699999999998</v>
      </c>
      <c r="F53">
        <f t="shared" ca="1" si="2"/>
        <v>189.63049999999998</v>
      </c>
      <c r="G53">
        <f t="shared" ca="1" si="3"/>
        <v>181.71759999999998</v>
      </c>
      <c r="J53" s="1">
        <v>45362</v>
      </c>
      <c r="K53" vm="155">
        <v>191.07</v>
      </c>
    </row>
    <row r="54" spans="1:11" x14ac:dyDescent="0.25">
      <c r="A54" s="1">
        <f t="shared" ca="1" si="0"/>
        <v>45369</v>
      </c>
      <c r="B54" s="1" vm="157">
        <f ca="1"/>
        <v>45369</v>
      </c>
      <c r="C54" vm="158">
        <f ca="1"/>
        <v>191.69</v>
      </c>
      <c r="D54" vm="159">
        <f ca="1"/>
        <v>5410562</v>
      </c>
      <c r="E54">
        <f t="shared" ca="1" si="1"/>
        <v>194.3</v>
      </c>
      <c r="F54">
        <f t="shared" ca="1" si="2"/>
        <v>189.833</v>
      </c>
      <c r="G54">
        <f t="shared" ca="1" si="3"/>
        <v>182.33419999999998</v>
      </c>
      <c r="J54" s="1">
        <v>45369</v>
      </c>
      <c r="K54" vm="158">
        <v>191.69</v>
      </c>
    </row>
    <row r="55" spans="1:11" x14ac:dyDescent="0.25">
      <c r="A55" s="1">
        <f t="shared" ca="1" si="0"/>
        <v>45369</v>
      </c>
      <c r="B55" s="1" vm="160">
        <f ca="1"/>
        <v>45370</v>
      </c>
      <c r="C55" vm="161">
        <f ca="1"/>
        <v>193.34</v>
      </c>
      <c r="D55" vm="162">
        <f ca="1"/>
        <v>5317341</v>
      </c>
      <c r="E55">
        <f t="shared" ca="1" si="1"/>
        <v>194.43899999999999</v>
      </c>
      <c r="F55">
        <f t="shared" ca="1" si="2"/>
        <v>190.328</v>
      </c>
      <c r="G55">
        <f t="shared" ca="1" si="3"/>
        <v>183.01779999999999</v>
      </c>
      <c r="J55" s="1">
        <v>45369</v>
      </c>
      <c r="K55" vm="161">
        <v>193.34</v>
      </c>
    </row>
    <row r="56" spans="1:11" x14ac:dyDescent="0.25">
      <c r="A56" s="1">
        <f t="shared" ca="1" si="0"/>
        <v>45369</v>
      </c>
      <c r="B56" s="1" vm="163">
        <f ca="1"/>
        <v>45371</v>
      </c>
      <c r="C56" vm="164">
        <f ca="1"/>
        <v>193.96</v>
      </c>
      <c r="D56" vm="165">
        <f ca="1"/>
        <v>3238643</v>
      </c>
      <c r="E56">
        <f t="shared" ca="1" si="1"/>
        <v>194.21899999999999</v>
      </c>
      <c r="F56">
        <f t="shared" ca="1" si="2"/>
        <v>191.041</v>
      </c>
      <c r="G56">
        <f t="shared" ca="1" si="3"/>
        <v>183.67419999999998</v>
      </c>
      <c r="J56" s="1">
        <v>45369</v>
      </c>
      <c r="K56" vm="164">
        <v>193.96</v>
      </c>
    </row>
    <row r="57" spans="1:11" x14ac:dyDescent="0.25">
      <c r="A57" s="1">
        <f t="shared" ca="1" si="0"/>
        <v>45369</v>
      </c>
      <c r="B57" s="1" vm="166">
        <f ca="1"/>
        <v>45372</v>
      </c>
      <c r="C57" vm="167">
        <f ca="1"/>
        <v>191.9</v>
      </c>
      <c r="D57" vm="168">
        <f ca="1"/>
        <v>6013561</v>
      </c>
      <c r="E57">
        <f t="shared" ca="1" si="1"/>
        <v>193.755</v>
      </c>
      <c r="F57">
        <f t="shared" ca="1" si="2"/>
        <v>191.4255</v>
      </c>
      <c r="G57">
        <f t="shared" ca="1" si="3"/>
        <v>184.31059999999994</v>
      </c>
      <c r="J57" s="1">
        <v>45369</v>
      </c>
      <c r="K57" vm="167">
        <v>191.9</v>
      </c>
    </row>
    <row r="58" spans="1:11" x14ac:dyDescent="0.25">
      <c r="A58" s="1">
        <f t="shared" ca="1" si="0"/>
        <v>45369</v>
      </c>
      <c r="B58" s="1" vm="169">
        <f ca="1"/>
        <v>45373</v>
      </c>
      <c r="C58" vm="170">
        <f ca="1"/>
        <v>190.84</v>
      </c>
      <c r="D58" vm="171">
        <f ca="1"/>
        <v>3988398</v>
      </c>
      <c r="E58">
        <f t="shared" ca="1" si="1"/>
        <v>193.244</v>
      </c>
      <c r="F58">
        <f t="shared" ca="1" si="2"/>
        <v>191.68150000000003</v>
      </c>
      <c r="G58">
        <f t="shared" ca="1" si="3"/>
        <v>184.90279999999998</v>
      </c>
      <c r="J58" s="1">
        <v>45369</v>
      </c>
      <c r="K58" vm="170">
        <v>190.84</v>
      </c>
    </row>
    <row r="59" spans="1:11" x14ac:dyDescent="0.25">
      <c r="A59" s="1">
        <f t="shared" ca="1" si="0"/>
        <v>45376</v>
      </c>
      <c r="B59" s="1" vm="172">
        <f ca="1"/>
        <v>45376</v>
      </c>
      <c r="C59" vm="173">
        <f ca="1"/>
        <v>188.79</v>
      </c>
      <c r="D59" vm="174">
        <f ca="1"/>
        <v>3718289</v>
      </c>
      <c r="E59">
        <f t="shared" ca="1" si="1"/>
        <v>192.95</v>
      </c>
      <c r="F59">
        <f t="shared" ca="1" si="2"/>
        <v>191.91450000000003</v>
      </c>
      <c r="G59">
        <f t="shared" ca="1" si="3"/>
        <v>185.43539999999996</v>
      </c>
      <c r="J59" s="1">
        <v>45376</v>
      </c>
      <c r="K59" vm="173">
        <v>188.79</v>
      </c>
    </row>
    <row r="60" spans="1:11" x14ac:dyDescent="0.25">
      <c r="A60" s="1">
        <f t="shared" ca="1" si="0"/>
        <v>45376</v>
      </c>
      <c r="B60" s="1" vm="175">
        <f ca="1"/>
        <v>45377</v>
      </c>
      <c r="C60" vm="176">
        <f ca="1"/>
        <v>188.5</v>
      </c>
      <c r="D60" vm="177">
        <f ca="1"/>
        <v>4229535</v>
      </c>
      <c r="E60">
        <f t="shared" ca="1" si="1"/>
        <v>192.02199999999999</v>
      </c>
      <c r="F60">
        <f t="shared" ca="1" si="2"/>
        <v>192.09600000000003</v>
      </c>
      <c r="G60">
        <f t="shared" ca="1" si="3"/>
        <v>185.88939999999994</v>
      </c>
      <c r="J60" s="1">
        <v>45376</v>
      </c>
      <c r="K60" vm="176">
        <v>188.5</v>
      </c>
    </row>
    <row r="61" spans="1:11" x14ac:dyDescent="0.25">
      <c r="A61" s="1">
        <f t="shared" ca="1" si="0"/>
        <v>45376</v>
      </c>
      <c r="B61" s="1" vm="178">
        <f ca="1"/>
        <v>45378</v>
      </c>
      <c r="C61" vm="179">
        <f ca="1"/>
        <v>190.8</v>
      </c>
      <c r="D61" vm="180">
        <f ca="1"/>
        <v>3693305</v>
      </c>
      <c r="E61">
        <f t="shared" ca="1" si="1"/>
        <v>191.43199999999999</v>
      </c>
      <c r="F61">
        <f t="shared" ca="1" si="2"/>
        <v>192.37100000000004</v>
      </c>
      <c r="G61">
        <f t="shared" ca="1" si="3"/>
        <v>186.36619999999996</v>
      </c>
      <c r="J61" s="1">
        <v>45376</v>
      </c>
      <c r="K61" vm="179">
        <v>190.8</v>
      </c>
    </row>
    <row r="62" spans="1:11" x14ac:dyDescent="0.25">
      <c r="A62" s="1">
        <f t="shared" ca="1" si="0"/>
        <v>45376</v>
      </c>
      <c r="B62" s="1" vm="181">
        <f ca="1"/>
        <v>45379</v>
      </c>
      <c r="C62" vm="182">
        <f ca="1"/>
        <v>190.96</v>
      </c>
      <c r="D62" vm="183">
        <f ca="1"/>
        <v>3742169</v>
      </c>
      <c r="E62">
        <f t="shared" ca="1" si="1"/>
        <v>191.185</v>
      </c>
      <c r="F62">
        <f t="shared" ca="1" si="2"/>
        <v>192.66750000000005</v>
      </c>
      <c r="G62">
        <f t="shared" ca="1" si="3"/>
        <v>186.86379999999994</v>
      </c>
      <c r="J62" s="1">
        <v>45376</v>
      </c>
      <c r="K62" vm="182">
        <v>190.96</v>
      </c>
    </row>
    <row r="63" spans="1:11" x14ac:dyDescent="0.25">
      <c r="A63" s="1">
        <f t="shared" ca="1" si="0"/>
        <v>45383</v>
      </c>
      <c r="B63" s="1" vm="184">
        <f ca="1"/>
        <v>45383</v>
      </c>
      <c r="C63" vm="185">
        <f ca="1"/>
        <v>189.83</v>
      </c>
      <c r="D63" vm="186">
        <f ca="1"/>
        <v>2364320</v>
      </c>
      <c r="E63">
        <f t="shared" ca="1" si="1"/>
        <v>191.06099999999998</v>
      </c>
      <c r="F63">
        <f t="shared" ca="1" si="2"/>
        <v>192.74900000000002</v>
      </c>
      <c r="G63">
        <f t="shared" ca="1" si="3"/>
        <v>187.32359999999997</v>
      </c>
      <c r="J63" s="1">
        <v>45383</v>
      </c>
      <c r="K63" vm="185">
        <v>189.83</v>
      </c>
    </row>
    <row r="64" spans="1:11" x14ac:dyDescent="0.25">
      <c r="A64" s="1">
        <f t="shared" ca="1" si="0"/>
        <v>45383</v>
      </c>
      <c r="B64" s="1" vm="187">
        <f ca="1"/>
        <v>45384</v>
      </c>
      <c r="C64" vm="188">
        <f ca="1"/>
        <v>188.88</v>
      </c>
      <c r="D64" vm="189">
        <f ca="1"/>
        <v>2693455</v>
      </c>
      <c r="E64">
        <f t="shared" ca="1" si="1"/>
        <v>190.77999999999997</v>
      </c>
      <c r="F64">
        <f t="shared" ca="1" si="2"/>
        <v>192.54000000000002</v>
      </c>
      <c r="G64">
        <f t="shared" ca="1" si="3"/>
        <v>187.67159999999993</v>
      </c>
      <c r="J64" s="1">
        <v>45383</v>
      </c>
      <c r="K64" vm="188">
        <v>188.88</v>
      </c>
    </row>
    <row r="65" spans="1:11" x14ac:dyDescent="0.25">
      <c r="A65" s="1">
        <f t="shared" ca="1" si="0"/>
        <v>45383</v>
      </c>
      <c r="B65" s="1" vm="190">
        <f ca="1"/>
        <v>45385</v>
      </c>
      <c r="C65" vm="191">
        <f ca="1"/>
        <v>190.9</v>
      </c>
      <c r="D65" vm="192">
        <f ca="1"/>
        <v>2826193</v>
      </c>
      <c r="E65">
        <f t="shared" ca="1" si="1"/>
        <v>190.536</v>
      </c>
      <c r="F65">
        <f t="shared" ca="1" si="2"/>
        <v>192.48750000000001</v>
      </c>
      <c r="G65">
        <f t="shared" ca="1" si="3"/>
        <v>188.03299999999993</v>
      </c>
      <c r="J65" s="1">
        <v>45383</v>
      </c>
      <c r="K65" vm="191">
        <v>190.9</v>
      </c>
    </row>
    <row r="66" spans="1:11" x14ac:dyDescent="0.25">
      <c r="A66" s="1">
        <f t="shared" ca="1" si="0"/>
        <v>45383</v>
      </c>
      <c r="B66" s="1" vm="193">
        <f ca="1"/>
        <v>45386</v>
      </c>
      <c r="C66" vm="194">
        <f ca="1"/>
        <v>187.94</v>
      </c>
      <c r="D66" vm="195">
        <f ca="1"/>
        <v>2983853</v>
      </c>
      <c r="E66">
        <f t="shared" ca="1" si="1"/>
        <v>189.93400000000003</v>
      </c>
      <c r="F66">
        <f t="shared" ca="1" si="2"/>
        <v>192.07650000000004</v>
      </c>
      <c r="G66">
        <f t="shared" ca="1" si="3"/>
        <v>188.31299999999987</v>
      </c>
      <c r="J66" s="1">
        <v>45383</v>
      </c>
      <c r="K66" vm="194">
        <v>187.94</v>
      </c>
    </row>
    <row r="67" spans="1:11" x14ac:dyDescent="0.25">
      <c r="A67" s="1">
        <f t="shared" ref="A67:A130" ca="1" si="4">B67 - WEEKDAY(B67, 2) + 1</f>
        <v>45383</v>
      </c>
      <c r="B67" s="1" vm="196">
        <f ca="1"/>
        <v>45387</v>
      </c>
      <c r="C67" vm="197">
        <f ca="1"/>
        <v>189.14</v>
      </c>
      <c r="D67" vm="198">
        <f ca="1"/>
        <v>2014264</v>
      </c>
      <c r="E67">
        <f t="shared" ca="1" si="1"/>
        <v>189.65799999999999</v>
      </c>
      <c r="F67">
        <f t="shared" ca="1" si="2"/>
        <v>191.70650000000001</v>
      </c>
      <c r="G67">
        <f t="shared" ca="1" si="3"/>
        <v>188.61719999999991</v>
      </c>
      <c r="J67" s="1">
        <v>45383</v>
      </c>
      <c r="K67" vm="197">
        <v>189.14</v>
      </c>
    </row>
    <row r="68" spans="1:11" x14ac:dyDescent="0.25">
      <c r="A68" s="1">
        <f t="shared" ca="1" si="4"/>
        <v>45390</v>
      </c>
      <c r="B68" s="1" vm="199">
        <f ca="1"/>
        <v>45390</v>
      </c>
      <c r="C68" vm="200">
        <f ca="1"/>
        <v>189.82</v>
      </c>
      <c r="D68" vm="201">
        <f ca="1"/>
        <v>2678284</v>
      </c>
      <c r="E68">
        <f t="shared" ca="1" si="1"/>
        <v>189.55600000000001</v>
      </c>
      <c r="F68">
        <f t="shared" ca="1" si="2"/>
        <v>191.40000000000003</v>
      </c>
      <c r="G68">
        <f t="shared" ca="1" si="3"/>
        <v>188.60499999999993</v>
      </c>
      <c r="J68" s="1">
        <v>45390</v>
      </c>
      <c r="K68" vm="200">
        <v>189.82</v>
      </c>
    </row>
    <row r="69" spans="1:11" x14ac:dyDescent="0.25">
      <c r="A69" s="1">
        <f t="shared" ca="1" si="4"/>
        <v>45390</v>
      </c>
      <c r="B69" s="1" vm="202">
        <f ca="1"/>
        <v>45391</v>
      </c>
      <c r="C69" vm="203">
        <f ca="1"/>
        <v>189.31</v>
      </c>
      <c r="D69" vm="204">
        <f ca="1"/>
        <v>2794381</v>
      </c>
      <c r="E69">
        <f t="shared" ca="1" si="1"/>
        <v>189.608</v>
      </c>
      <c r="F69">
        <f t="shared" ca="1" si="2"/>
        <v>191.27900000000002</v>
      </c>
      <c r="G69">
        <f t="shared" ca="1" si="3"/>
        <v>188.64279999999991</v>
      </c>
      <c r="J69" s="1">
        <v>45390</v>
      </c>
      <c r="K69" vm="203">
        <v>189.31</v>
      </c>
    </row>
    <row r="70" spans="1:11" x14ac:dyDescent="0.25">
      <c r="A70" s="1">
        <f t="shared" ca="1" si="4"/>
        <v>45390</v>
      </c>
      <c r="B70" s="1" vm="205">
        <f ca="1"/>
        <v>45392</v>
      </c>
      <c r="C70" vm="206">
        <f ca="1"/>
        <v>186.04</v>
      </c>
      <c r="D70" vm="207">
        <f ca="1"/>
        <v>3081915</v>
      </c>
      <c r="E70">
        <f t="shared" ca="1" si="1"/>
        <v>189.36199999999997</v>
      </c>
      <c r="F70">
        <f t="shared" ca="1" si="2"/>
        <v>190.69200000000001</v>
      </c>
      <c r="G70">
        <f t="shared" ca="1" si="3"/>
        <v>188.62079999999995</v>
      </c>
      <c r="J70" s="1">
        <v>45390</v>
      </c>
      <c r="K70" vm="206">
        <v>186.04</v>
      </c>
    </row>
    <row r="71" spans="1:11" x14ac:dyDescent="0.25">
      <c r="A71" s="1">
        <f t="shared" ca="1" si="4"/>
        <v>45390</v>
      </c>
      <c r="B71" s="1" vm="208">
        <f ca="1"/>
        <v>45393</v>
      </c>
      <c r="C71" vm="209">
        <f ca="1"/>
        <v>185.9</v>
      </c>
      <c r="D71" vm="210">
        <f ca="1"/>
        <v>2861736</v>
      </c>
      <c r="E71">
        <f t="shared" ca="1" si="1"/>
        <v>188.87200000000001</v>
      </c>
      <c r="F71">
        <f t="shared" ca="1" si="2"/>
        <v>190.15199999999999</v>
      </c>
      <c r="G71">
        <f t="shared" ca="1" si="3"/>
        <v>188.58139999999995</v>
      </c>
      <c r="J71" s="1">
        <v>45390</v>
      </c>
      <c r="K71" vm="209">
        <v>185.9</v>
      </c>
    </row>
    <row r="72" spans="1:11" x14ac:dyDescent="0.25">
      <c r="A72" s="1">
        <f t="shared" ca="1" si="4"/>
        <v>45390</v>
      </c>
      <c r="B72" s="1" vm="211">
        <f ca="1"/>
        <v>45394</v>
      </c>
      <c r="C72" vm="212">
        <f ca="1"/>
        <v>182.27</v>
      </c>
      <c r="D72" vm="213">
        <f ca="1"/>
        <v>3547378</v>
      </c>
      <c r="E72">
        <f t="shared" ca="1" si="1"/>
        <v>188.00299999999999</v>
      </c>
      <c r="F72">
        <f t="shared" ca="1" si="2"/>
        <v>189.59399999999999</v>
      </c>
      <c r="G72">
        <f t="shared" ca="1" si="3"/>
        <v>188.55359999999993</v>
      </c>
      <c r="J72" s="1">
        <v>45390</v>
      </c>
      <c r="K72" vm="212">
        <v>182.27</v>
      </c>
    </row>
    <row r="73" spans="1:11" x14ac:dyDescent="0.25">
      <c r="A73" s="1">
        <f t="shared" ca="1" si="4"/>
        <v>45397</v>
      </c>
      <c r="B73" s="1" vm="214">
        <f ca="1"/>
        <v>45397</v>
      </c>
      <c r="C73" vm="215">
        <f ca="1"/>
        <v>181.25</v>
      </c>
      <c r="D73" vm="216">
        <f ca="1"/>
        <v>3528140</v>
      </c>
      <c r="E73">
        <f t="shared" ca="1" si="1"/>
        <v>187.14500000000001</v>
      </c>
      <c r="F73">
        <f t="shared" ca="1" si="2"/>
        <v>189.10300000000001</v>
      </c>
      <c r="G73">
        <f t="shared" ca="1" si="3"/>
        <v>188.44059999999993</v>
      </c>
      <c r="J73" s="1">
        <v>45397</v>
      </c>
      <c r="K73" vm="215">
        <v>181.25</v>
      </c>
    </row>
    <row r="74" spans="1:11" x14ac:dyDescent="0.25">
      <c r="A74" s="1">
        <f t="shared" ca="1" si="4"/>
        <v>45397</v>
      </c>
      <c r="B74" s="1" vm="217">
        <f ca="1"/>
        <v>45398</v>
      </c>
      <c r="C74" vm="218">
        <f ca="1"/>
        <v>183.75</v>
      </c>
      <c r="D74" vm="219">
        <f ca="1"/>
        <v>4473654</v>
      </c>
      <c r="E74">
        <f t="shared" ca="1" si="1"/>
        <v>186.63200000000001</v>
      </c>
      <c r="F74">
        <f t="shared" ca="1" si="2"/>
        <v>188.70599999999999</v>
      </c>
      <c r="G74">
        <f t="shared" ca="1" si="3"/>
        <v>188.39979999999997</v>
      </c>
      <c r="J74" s="1">
        <v>45397</v>
      </c>
      <c r="K74" vm="218">
        <v>183.75</v>
      </c>
    </row>
    <row r="75" spans="1:11" x14ac:dyDescent="0.25">
      <c r="A75" s="1">
        <f t="shared" ca="1" si="4"/>
        <v>45397</v>
      </c>
      <c r="B75" s="1" vm="220">
        <f ca="1"/>
        <v>45399</v>
      </c>
      <c r="C75" vm="221">
        <f ca="1"/>
        <v>183.1</v>
      </c>
      <c r="D75" vm="222">
        <f ca="1"/>
        <v>3003033</v>
      </c>
      <c r="E75">
        <f t="shared" ca="1" si="1"/>
        <v>185.852</v>
      </c>
      <c r="F75">
        <f t="shared" ca="1" si="2"/>
        <v>188.19400000000002</v>
      </c>
      <c r="G75">
        <f t="shared" ca="1" si="3"/>
        <v>188.39339999999996</v>
      </c>
      <c r="J75" s="1">
        <v>45397</v>
      </c>
      <c r="K75" vm="221">
        <v>183.1</v>
      </c>
    </row>
    <row r="76" spans="1:11" x14ac:dyDescent="0.25">
      <c r="A76" s="1">
        <f t="shared" ca="1" si="4"/>
        <v>45397</v>
      </c>
      <c r="B76" s="1" vm="223">
        <f ca="1"/>
        <v>45400</v>
      </c>
      <c r="C76" vm="224">
        <f ca="1"/>
        <v>181.47</v>
      </c>
      <c r="D76" vm="225">
        <f ca="1"/>
        <v>2886733</v>
      </c>
      <c r="E76">
        <f t="shared" ref="E76:E139" ca="1" si="5">AVERAGE(C67:C76)</f>
        <v>185.20499999999998</v>
      </c>
      <c r="F76">
        <f t="shared" ca="1" si="2"/>
        <v>187.56950000000001</v>
      </c>
      <c r="G76">
        <f t="shared" ca="1" si="3"/>
        <v>188.35459999999995</v>
      </c>
      <c r="J76" s="1">
        <v>45397</v>
      </c>
      <c r="K76" vm="224">
        <v>181.47</v>
      </c>
    </row>
    <row r="77" spans="1:11" x14ac:dyDescent="0.25">
      <c r="A77" s="1">
        <f t="shared" ca="1" si="4"/>
        <v>45397</v>
      </c>
      <c r="B77" s="1" vm="226">
        <f ca="1"/>
        <v>45401</v>
      </c>
      <c r="C77" vm="227">
        <f ca="1"/>
        <v>181.58</v>
      </c>
      <c r="D77" vm="228">
        <f ca="1"/>
        <v>3037990</v>
      </c>
      <c r="E77">
        <f t="shared" ca="1" si="5"/>
        <v>184.44899999999998</v>
      </c>
      <c r="F77">
        <f t="shared" ca="1" si="2"/>
        <v>187.05349999999999</v>
      </c>
      <c r="G77">
        <f t="shared" ca="1" si="3"/>
        <v>188.31139999999996</v>
      </c>
      <c r="J77" s="1">
        <v>45397</v>
      </c>
      <c r="K77" vm="227">
        <v>181.58</v>
      </c>
    </row>
    <row r="78" spans="1:11" x14ac:dyDescent="0.25">
      <c r="A78" s="1">
        <f t="shared" ca="1" si="4"/>
        <v>45404</v>
      </c>
      <c r="B78" s="1" vm="229">
        <f ca="1"/>
        <v>45404</v>
      </c>
      <c r="C78" vm="230">
        <f ca="1"/>
        <v>181.9</v>
      </c>
      <c r="D78" vm="231">
        <f ca="1"/>
        <v>3076451</v>
      </c>
      <c r="E78">
        <f t="shared" ca="1" si="5"/>
        <v>183.65699999999998</v>
      </c>
      <c r="F78">
        <f t="shared" ca="1" si="2"/>
        <v>186.60650000000001</v>
      </c>
      <c r="G78">
        <f t="shared" ca="1" si="3"/>
        <v>188.26219999999995</v>
      </c>
      <c r="J78" s="1">
        <v>45404</v>
      </c>
      <c r="K78" vm="230">
        <v>181.9</v>
      </c>
    </row>
    <row r="79" spans="1:11" x14ac:dyDescent="0.25">
      <c r="A79" s="1">
        <f t="shared" ca="1" si="4"/>
        <v>45404</v>
      </c>
      <c r="B79" s="1" vm="232">
        <f ca="1"/>
        <v>45405</v>
      </c>
      <c r="C79" vm="233">
        <f ca="1"/>
        <v>182.19</v>
      </c>
      <c r="D79" vm="234">
        <f ca="1"/>
        <v>5950229</v>
      </c>
      <c r="E79">
        <f t="shared" ca="1" si="5"/>
        <v>182.94499999999999</v>
      </c>
      <c r="F79">
        <f t="shared" ca="1" si="2"/>
        <v>186.2765</v>
      </c>
      <c r="G79">
        <f t="shared" ca="1" si="3"/>
        <v>188.17919999999998</v>
      </c>
      <c r="J79" s="1">
        <v>45404</v>
      </c>
      <c r="K79" vm="233">
        <v>182.19</v>
      </c>
    </row>
    <row r="80" spans="1:11" x14ac:dyDescent="0.25">
      <c r="A80" s="1">
        <f t="shared" ca="1" si="4"/>
        <v>45404</v>
      </c>
      <c r="B80" s="1" vm="235">
        <f ca="1"/>
        <v>45406</v>
      </c>
      <c r="C80" vm="236">
        <f ca="1"/>
        <v>184.1</v>
      </c>
      <c r="D80" vm="237">
        <f ca="1"/>
        <v>7616643</v>
      </c>
      <c r="E80">
        <f t="shared" ca="1" si="5"/>
        <v>182.751</v>
      </c>
      <c r="F80">
        <f t="shared" ca="1" si="2"/>
        <v>186.05649999999997</v>
      </c>
      <c r="G80">
        <f t="shared" ca="1" si="3"/>
        <v>188.13799999999995</v>
      </c>
      <c r="J80" s="1">
        <v>45404</v>
      </c>
      <c r="K80" vm="236">
        <v>184.1</v>
      </c>
    </row>
    <row r="81" spans="1:11" x14ac:dyDescent="0.25">
      <c r="A81" s="1">
        <f t="shared" ca="1" si="4"/>
        <v>45404</v>
      </c>
      <c r="B81" s="1" vm="238">
        <f ca="1"/>
        <v>45407</v>
      </c>
      <c r="C81" vm="239">
        <f ca="1"/>
        <v>168.91</v>
      </c>
      <c r="D81" vm="240">
        <f ca="1"/>
        <v>16702150</v>
      </c>
      <c r="E81">
        <f t="shared" ca="1" si="5"/>
        <v>181.05200000000002</v>
      </c>
      <c r="F81">
        <f t="shared" ca="1" si="2"/>
        <v>184.96199999999999</v>
      </c>
      <c r="G81">
        <f t="shared" ca="1" si="3"/>
        <v>187.84219999999996</v>
      </c>
      <c r="J81" s="1">
        <v>45404</v>
      </c>
      <c r="K81" vm="239">
        <v>168.91</v>
      </c>
    </row>
    <row r="82" spans="1:11" x14ac:dyDescent="0.25">
      <c r="A82" s="1">
        <f t="shared" ca="1" si="4"/>
        <v>45404</v>
      </c>
      <c r="B82" s="1" vm="241">
        <f ca="1"/>
        <v>45408</v>
      </c>
      <c r="C82" vm="242">
        <f ca="1"/>
        <v>167.13</v>
      </c>
      <c r="D82" vm="243">
        <f ca="1"/>
        <v>8983796</v>
      </c>
      <c r="E82">
        <f t="shared" ca="1" si="5"/>
        <v>179.53800000000001</v>
      </c>
      <c r="F82">
        <f t="shared" ca="1" si="2"/>
        <v>183.77049999999997</v>
      </c>
      <c r="G82">
        <f t="shared" ca="1" si="3"/>
        <v>187.51339999999996</v>
      </c>
      <c r="J82" s="1">
        <v>45404</v>
      </c>
      <c r="K82" vm="242">
        <v>167.13</v>
      </c>
    </row>
    <row r="83" spans="1:11" x14ac:dyDescent="0.25">
      <c r="A83" s="1">
        <f t="shared" ca="1" si="4"/>
        <v>45411</v>
      </c>
      <c r="B83" s="1" vm="244">
        <f ca="1"/>
        <v>45411</v>
      </c>
      <c r="C83" vm="245">
        <f ca="1"/>
        <v>167.43</v>
      </c>
      <c r="D83" vm="246">
        <f ca="1"/>
        <v>5263342</v>
      </c>
      <c r="E83">
        <f t="shared" ca="1" si="5"/>
        <v>178.15600000000001</v>
      </c>
      <c r="F83">
        <f t="shared" ca="1" si="2"/>
        <v>182.65049999999997</v>
      </c>
      <c r="G83">
        <f t="shared" ca="1" si="3"/>
        <v>187.12459999999999</v>
      </c>
      <c r="J83" s="1">
        <v>45411</v>
      </c>
      <c r="K83" vm="245">
        <v>167.43</v>
      </c>
    </row>
    <row r="84" spans="1:11" x14ac:dyDescent="0.25">
      <c r="A84" s="1">
        <f t="shared" ca="1" si="4"/>
        <v>45411</v>
      </c>
      <c r="B84" s="1" vm="247">
        <f ca="1"/>
        <v>45412</v>
      </c>
      <c r="C84" vm="248">
        <f ca="1"/>
        <v>166.2</v>
      </c>
      <c r="D84" vm="249">
        <f ca="1"/>
        <v>6011634</v>
      </c>
      <c r="E84">
        <f t="shared" ca="1" si="5"/>
        <v>176.40100000000001</v>
      </c>
      <c r="F84">
        <f t="shared" ca="1" si="2"/>
        <v>181.51649999999998</v>
      </c>
      <c r="G84">
        <f t="shared" ca="1" si="3"/>
        <v>186.69580000000002</v>
      </c>
      <c r="J84" s="1">
        <v>45411</v>
      </c>
      <c r="K84" vm="248">
        <v>166.2</v>
      </c>
    </row>
    <row r="85" spans="1:11" x14ac:dyDescent="0.25">
      <c r="A85" s="1">
        <f t="shared" ca="1" si="4"/>
        <v>45411</v>
      </c>
      <c r="B85" s="1" vm="250">
        <f ca="1"/>
        <v>45413</v>
      </c>
      <c r="C85" vm="251">
        <f ca="1"/>
        <v>164.43</v>
      </c>
      <c r="D85" vm="252">
        <f ca="1"/>
        <v>4030960</v>
      </c>
      <c r="E85">
        <f t="shared" ca="1" si="5"/>
        <v>174.53400000000005</v>
      </c>
      <c r="F85">
        <f t="shared" ca="1" si="2"/>
        <v>180.19299999999998</v>
      </c>
      <c r="G85">
        <f t="shared" ca="1" si="3"/>
        <v>186.31560000000002</v>
      </c>
      <c r="J85" s="1">
        <v>45411</v>
      </c>
      <c r="K85" vm="251">
        <v>164.43</v>
      </c>
    </row>
    <row r="86" spans="1:11" x14ac:dyDescent="0.25">
      <c r="A86" s="1">
        <f t="shared" ca="1" si="4"/>
        <v>45411</v>
      </c>
      <c r="B86" s="1" vm="253">
        <f ca="1"/>
        <v>45414</v>
      </c>
      <c r="C86" vm="254">
        <f ca="1"/>
        <v>164.69</v>
      </c>
      <c r="D86" vm="255">
        <f ca="1"/>
        <v>3829853</v>
      </c>
      <c r="E86">
        <f t="shared" ca="1" si="5"/>
        <v>172.85600000000002</v>
      </c>
      <c r="F86">
        <f t="shared" ref="F86:F149" ca="1" si="6">AVERAGE(C67:C86)</f>
        <v>179.03049999999996</v>
      </c>
      <c r="G86">
        <f t="shared" ca="1" si="3"/>
        <v>186.0154</v>
      </c>
      <c r="J86" s="1">
        <v>45411</v>
      </c>
      <c r="K86" vm="254">
        <v>164.69</v>
      </c>
    </row>
    <row r="87" spans="1:11" x14ac:dyDescent="0.25">
      <c r="A87" s="1">
        <f t="shared" ca="1" si="4"/>
        <v>45411</v>
      </c>
      <c r="B87" s="1" vm="256">
        <f ca="1"/>
        <v>45415</v>
      </c>
      <c r="C87" vm="257">
        <f ca="1"/>
        <v>165.71</v>
      </c>
      <c r="D87" vm="258">
        <f ca="1"/>
        <v>3400405</v>
      </c>
      <c r="E87">
        <f t="shared" ca="1" si="5"/>
        <v>171.26900000000003</v>
      </c>
      <c r="F87">
        <f t="shared" ca="1" si="6"/>
        <v>177.85899999999998</v>
      </c>
      <c r="G87">
        <f t="shared" ca="1" si="3"/>
        <v>185.6454</v>
      </c>
      <c r="J87" s="1">
        <v>45411</v>
      </c>
      <c r="K87" vm="257">
        <v>165.71</v>
      </c>
    </row>
    <row r="88" spans="1:11" x14ac:dyDescent="0.25">
      <c r="A88" s="1">
        <f t="shared" ca="1" si="4"/>
        <v>45418</v>
      </c>
      <c r="B88" s="1" vm="259">
        <f ca="1"/>
        <v>45418</v>
      </c>
      <c r="C88" vm="260">
        <f ca="1"/>
        <v>168.61</v>
      </c>
      <c r="D88" vm="261">
        <f ca="1"/>
        <v>4222266</v>
      </c>
      <c r="E88">
        <f t="shared" ca="1" si="5"/>
        <v>169.94</v>
      </c>
      <c r="F88">
        <f t="shared" ca="1" si="6"/>
        <v>176.79849999999999</v>
      </c>
      <c r="G88">
        <f t="shared" ca="1" si="3"/>
        <v>185.30320000000003</v>
      </c>
      <c r="J88" s="1">
        <v>45418</v>
      </c>
      <c r="K88" vm="260">
        <v>168.61</v>
      </c>
    </row>
    <row r="89" spans="1:11" x14ac:dyDescent="0.25">
      <c r="A89" s="1">
        <f t="shared" ca="1" si="4"/>
        <v>45418</v>
      </c>
      <c r="B89" s="1" vm="262">
        <f ca="1"/>
        <v>45419</v>
      </c>
      <c r="C89" vm="263">
        <f ca="1"/>
        <v>168.38</v>
      </c>
      <c r="D89" vm="264">
        <f ca="1"/>
        <v>3155260</v>
      </c>
      <c r="E89">
        <f t="shared" ca="1" si="5"/>
        <v>168.55900000000003</v>
      </c>
      <c r="F89">
        <f t="shared" ca="1" si="6"/>
        <v>175.75200000000001</v>
      </c>
      <c r="G89">
        <f t="shared" ca="1" si="3"/>
        <v>184.98820000000001</v>
      </c>
      <c r="J89" s="1">
        <v>45418</v>
      </c>
      <c r="K89" vm="263">
        <v>168.38</v>
      </c>
    </row>
    <row r="90" spans="1:11" x14ac:dyDescent="0.25">
      <c r="A90" s="1">
        <f t="shared" ca="1" si="4"/>
        <v>45418</v>
      </c>
      <c r="B90" s="1" vm="265">
        <f ca="1"/>
        <v>45420</v>
      </c>
      <c r="C90" vm="266">
        <f ca="1"/>
        <v>169.9</v>
      </c>
      <c r="D90" vm="267">
        <f ca="1"/>
        <v>3522011</v>
      </c>
      <c r="E90">
        <f t="shared" ca="1" si="5"/>
        <v>167.13900000000004</v>
      </c>
      <c r="F90">
        <f t="shared" ca="1" si="6"/>
        <v>174.94499999999999</v>
      </c>
      <c r="G90">
        <f t="shared" ca="1" si="3"/>
        <v>184.68880000000001</v>
      </c>
      <c r="J90" s="1">
        <v>45418</v>
      </c>
      <c r="K90" vm="266">
        <v>169.9</v>
      </c>
    </row>
    <row r="91" spans="1:11" x14ac:dyDescent="0.25">
      <c r="A91" s="1">
        <f t="shared" ca="1" si="4"/>
        <v>45418</v>
      </c>
      <c r="B91" s="1" vm="268">
        <f ca="1"/>
        <v>45421</v>
      </c>
      <c r="C91" vm="269">
        <f ca="1"/>
        <v>166.27</v>
      </c>
      <c r="D91" vm="270">
        <f ca="1"/>
        <v>4266616</v>
      </c>
      <c r="E91">
        <f t="shared" ca="1" si="5"/>
        <v>166.87500000000006</v>
      </c>
      <c r="F91">
        <f t="shared" ca="1" si="6"/>
        <v>173.96350000000001</v>
      </c>
      <c r="G91">
        <f t="shared" ca="1" si="3"/>
        <v>184.3082</v>
      </c>
      <c r="J91" s="1">
        <v>45418</v>
      </c>
      <c r="K91" vm="269">
        <v>166.27</v>
      </c>
    </row>
    <row r="92" spans="1:11" x14ac:dyDescent="0.25">
      <c r="A92" s="1">
        <f t="shared" ca="1" si="4"/>
        <v>45418</v>
      </c>
      <c r="B92" s="1" vm="271">
        <f ca="1"/>
        <v>45422</v>
      </c>
      <c r="C92" vm="272">
        <f ca="1"/>
        <v>167.15</v>
      </c>
      <c r="D92" vm="273">
        <f ca="1"/>
        <v>2255370</v>
      </c>
      <c r="E92">
        <f t="shared" ca="1" si="5"/>
        <v>166.87700000000001</v>
      </c>
      <c r="F92">
        <f t="shared" ca="1" si="6"/>
        <v>173.20750000000004</v>
      </c>
      <c r="G92">
        <f t="shared" ca="1" si="3"/>
        <v>183.95059999999998</v>
      </c>
      <c r="J92" s="1">
        <v>45418</v>
      </c>
      <c r="K92" vm="272">
        <v>167.15</v>
      </c>
    </row>
    <row r="93" spans="1:11" x14ac:dyDescent="0.25">
      <c r="A93" s="1">
        <f t="shared" ca="1" si="4"/>
        <v>45425</v>
      </c>
      <c r="B93" s="1" vm="274">
        <f ca="1"/>
        <v>45425</v>
      </c>
      <c r="C93" vm="275">
        <f ca="1"/>
        <v>167.56</v>
      </c>
      <c r="D93" vm="276">
        <f ca="1"/>
        <v>2414859</v>
      </c>
      <c r="E93">
        <f t="shared" ca="1" si="5"/>
        <v>166.89000000000001</v>
      </c>
      <c r="F93">
        <f t="shared" ca="1" si="6"/>
        <v>172.52300000000002</v>
      </c>
      <c r="G93">
        <f t="shared" ca="1" si="3"/>
        <v>183.53779999999998</v>
      </c>
      <c r="J93" s="1">
        <v>45425</v>
      </c>
      <c r="K93" vm="275">
        <v>167.56</v>
      </c>
    </row>
    <row r="94" spans="1:11" x14ac:dyDescent="0.25">
      <c r="A94" s="1">
        <f t="shared" ca="1" si="4"/>
        <v>45425</v>
      </c>
      <c r="B94" s="1" vm="277">
        <f ca="1"/>
        <v>45426</v>
      </c>
      <c r="C94" vm="278">
        <f ca="1"/>
        <v>167.36</v>
      </c>
      <c r="D94" vm="279">
        <f ca="1"/>
        <v>2600967</v>
      </c>
      <c r="E94">
        <f t="shared" ca="1" si="5"/>
        <v>167.006</v>
      </c>
      <c r="F94">
        <f t="shared" ca="1" si="6"/>
        <v>171.70350000000002</v>
      </c>
      <c r="G94">
        <f t="shared" ca="1" si="3"/>
        <v>183.02380000000002</v>
      </c>
      <c r="J94" s="1">
        <v>45425</v>
      </c>
      <c r="K94" vm="278">
        <v>167.36</v>
      </c>
    </row>
    <row r="95" spans="1:11" x14ac:dyDescent="0.25">
      <c r="A95" s="1">
        <f t="shared" ca="1" si="4"/>
        <v>45425</v>
      </c>
      <c r="B95" s="1" vm="280">
        <f ca="1"/>
        <v>45427</v>
      </c>
      <c r="C95" vm="281">
        <f ca="1"/>
        <v>168.26</v>
      </c>
      <c r="D95" vm="282">
        <f ca="1"/>
        <v>4468823</v>
      </c>
      <c r="E95">
        <f t="shared" ca="1" si="5"/>
        <v>167.38900000000001</v>
      </c>
      <c r="F95">
        <f t="shared" ca="1" si="6"/>
        <v>170.96150000000003</v>
      </c>
      <c r="G95">
        <f t="shared" ca="1" si="3"/>
        <v>182.55000000000004</v>
      </c>
      <c r="J95" s="1">
        <v>45425</v>
      </c>
      <c r="K95" vm="281">
        <v>168.26</v>
      </c>
    </row>
    <row r="96" spans="1:11" x14ac:dyDescent="0.25">
      <c r="A96" s="1">
        <f t="shared" ca="1" si="4"/>
        <v>45425</v>
      </c>
      <c r="B96" s="1" vm="283">
        <f ca="1"/>
        <v>45428</v>
      </c>
      <c r="C96" vm="284">
        <f ca="1"/>
        <v>168.97</v>
      </c>
      <c r="D96" vm="285">
        <f ca="1"/>
        <v>3492267</v>
      </c>
      <c r="E96">
        <f t="shared" ca="1" si="5"/>
        <v>167.81700000000001</v>
      </c>
      <c r="F96">
        <f t="shared" ca="1" si="6"/>
        <v>170.3365</v>
      </c>
      <c r="G96">
        <f t="shared" ca="1" si="3"/>
        <v>182.00619999999998</v>
      </c>
      <c r="J96" s="1">
        <v>45425</v>
      </c>
      <c r="K96" vm="284">
        <v>168.97</v>
      </c>
    </row>
    <row r="97" spans="1:11" x14ac:dyDescent="0.25">
      <c r="A97" s="1">
        <f t="shared" ca="1" si="4"/>
        <v>45425</v>
      </c>
      <c r="B97" s="1" vm="286">
        <f ca="1"/>
        <v>45429</v>
      </c>
      <c r="C97" vm="287">
        <f ca="1"/>
        <v>169.03</v>
      </c>
      <c r="D97" vm="288">
        <f ca="1"/>
        <v>2956387</v>
      </c>
      <c r="E97">
        <f t="shared" ca="1" si="5"/>
        <v>168.149</v>
      </c>
      <c r="F97">
        <f t="shared" ca="1" si="6"/>
        <v>169.709</v>
      </c>
      <c r="G97">
        <f t="shared" ca="1" si="3"/>
        <v>181.45600000000002</v>
      </c>
      <c r="J97" s="1">
        <v>45425</v>
      </c>
      <c r="K97" vm="287">
        <v>169.03</v>
      </c>
    </row>
    <row r="98" spans="1:11" x14ac:dyDescent="0.25">
      <c r="A98" s="1">
        <f t="shared" ca="1" si="4"/>
        <v>45432</v>
      </c>
      <c r="B98" s="1" vm="289">
        <f ca="1"/>
        <v>45432</v>
      </c>
      <c r="C98" vm="290">
        <f ca="1"/>
        <v>169.92</v>
      </c>
      <c r="D98" vm="291">
        <f ca="1"/>
        <v>2726261</v>
      </c>
      <c r="E98">
        <f t="shared" ca="1" si="5"/>
        <v>168.28000000000003</v>
      </c>
      <c r="F98">
        <f t="shared" ca="1" si="6"/>
        <v>169.11000000000004</v>
      </c>
      <c r="G98">
        <f t="shared" ca="1" si="3"/>
        <v>180.93540000000002</v>
      </c>
      <c r="J98" s="1">
        <v>45432</v>
      </c>
      <c r="K98" vm="290">
        <v>169.92</v>
      </c>
    </row>
    <row r="99" spans="1:11" x14ac:dyDescent="0.25">
      <c r="A99" s="1">
        <f t="shared" ca="1" si="4"/>
        <v>45432</v>
      </c>
      <c r="B99" s="1" vm="292">
        <f ca="1"/>
        <v>45433</v>
      </c>
      <c r="C99" vm="293">
        <f ca="1"/>
        <v>173.47</v>
      </c>
      <c r="D99" vm="294">
        <f ca="1"/>
        <v>6459800</v>
      </c>
      <c r="E99">
        <f t="shared" ca="1" si="5"/>
        <v>168.78900000000002</v>
      </c>
      <c r="F99">
        <f t="shared" ca="1" si="6"/>
        <v>168.67400000000001</v>
      </c>
      <c r="G99">
        <f t="shared" ca="1" si="3"/>
        <v>180.5702</v>
      </c>
      <c r="J99" s="1">
        <v>45432</v>
      </c>
      <c r="K99" vm="293">
        <v>173.47</v>
      </c>
    </row>
    <row r="100" spans="1:11" x14ac:dyDescent="0.25">
      <c r="A100" s="1">
        <f t="shared" ca="1" si="4"/>
        <v>45432</v>
      </c>
      <c r="B100" s="1" vm="295">
        <f ca="1"/>
        <v>45434</v>
      </c>
      <c r="C100" vm="296">
        <f ca="1"/>
        <v>173.69</v>
      </c>
      <c r="D100" vm="297">
        <f ca="1"/>
        <v>3294900</v>
      </c>
      <c r="E100">
        <f t="shared" ca="1" si="5"/>
        <v>169.16800000000003</v>
      </c>
      <c r="F100">
        <f t="shared" ca="1" si="6"/>
        <v>168.15350000000004</v>
      </c>
      <c r="G100">
        <f t="shared" ca="1" si="3"/>
        <v>180.08840000000001</v>
      </c>
      <c r="J100" s="1">
        <v>45432</v>
      </c>
      <c r="K100" vm="296">
        <v>173.69</v>
      </c>
    </row>
    <row r="101" spans="1:11" x14ac:dyDescent="0.25">
      <c r="A101" s="1">
        <f t="shared" ca="1" si="4"/>
        <v>45432</v>
      </c>
      <c r="B101" s="1" vm="298">
        <f ca="1"/>
        <v>45435</v>
      </c>
      <c r="C101" vm="299">
        <f ca="1"/>
        <v>170.67</v>
      </c>
      <c r="D101" vm="300">
        <f ca="1"/>
        <v>3341335</v>
      </c>
      <c r="E101">
        <f t="shared" ca="1" si="5"/>
        <v>169.608</v>
      </c>
      <c r="F101">
        <f t="shared" ca="1" si="6"/>
        <v>168.24150000000003</v>
      </c>
      <c r="G101">
        <f t="shared" ca="1" si="3"/>
        <v>179.56779999999998</v>
      </c>
      <c r="H101">
        <f ca="1">AVERAGE(C2:C101)</f>
        <v>180.01369999999994</v>
      </c>
      <c r="J101" s="1">
        <v>45432</v>
      </c>
      <c r="K101" vm="299">
        <v>170.67</v>
      </c>
    </row>
    <row r="102" spans="1:11" x14ac:dyDescent="0.25">
      <c r="A102" s="1">
        <f t="shared" ca="1" si="4"/>
        <v>45432</v>
      </c>
      <c r="B102" s="1" vm="301">
        <f ca="1"/>
        <v>45436</v>
      </c>
      <c r="C102" vm="302">
        <f ca="1"/>
        <v>170.89</v>
      </c>
      <c r="D102" vm="303">
        <f ca="1"/>
        <v>2587829</v>
      </c>
      <c r="E102">
        <f t="shared" ca="1" si="5"/>
        <v>169.98200000000003</v>
      </c>
      <c r="F102">
        <f t="shared" ca="1" si="6"/>
        <v>168.42949999999999</v>
      </c>
      <c r="G102">
        <f t="shared" ca="1" si="3"/>
        <v>179.11699999999996</v>
      </c>
      <c r="H102">
        <f t="shared" ref="H102:H165" ca="1" si="7">AVERAGE(C3:C102)</f>
        <v>180.10759999999991</v>
      </c>
      <c r="J102" s="1">
        <v>45432</v>
      </c>
      <c r="K102" vm="302">
        <v>170.89</v>
      </c>
    </row>
    <row r="103" spans="1:11" x14ac:dyDescent="0.25">
      <c r="A103" s="1">
        <f t="shared" ca="1" si="4"/>
        <v>45439</v>
      </c>
      <c r="B103" s="1" vm="304">
        <f ca="1"/>
        <v>45440</v>
      </c>
      <c r="C103" vm="305">
        <f ca="1"/>
        <v>169.66</v>
      </c>
      <c r="D103" vm="306">
        <f ca="1"/>
        <v>2629645</v>
      </c>
      <c r="E103">
        <f t="shared" ca="1" si="5"/>
        <v>170.19200000000004</v>
      </c>
      <c r="F103">
        <f t="shared" ca="1" si="6"/>
        <v>168.541</v>
      </c>
      <c r="G103">
        <f t="shared" ca="1" si="3"/>
        <v>178.68879999999999</v>
      </c>
      <c r="H103">
        <f t="shared" ca="1" si="7"/>
        <v>180.2031999999999</v>
      </c>
      <c r="J103" s="1">
        <v>45439</v>
      </c>
      <c r="K103" vm="305">
        <v>169.66</v>
      </c>
    </row>
    <row r="104" spans="1:11" x14ac:dyDescent="0.25">
      <c r="A104" s="1">
        <f t="shared" ca="1" si="4"/>
        <v>45439</v>
      </c>
      <c r="B104" s="1" vm="307">
        <f ca="1"/>
        <v>45441</v>
      </c>
      <c r="C104" vm="308">
        <f ca="1"/>
        <v>167.05</v>
      </c>
      <c r="D104" vm="309">
        <f ca="1"/>
        <v>4206576</v>
      </c>
      <c r="E104">
        <f t="shared" ca="1" si="5"/>
        <v>170.161</v>
      </c>
      <c r="F104">
        <f t="shared" ca="1" si="6"/>
        <v>168.58350000000002</v>
      </c>
      <c r="G104">
        <f t="shared" ca="1" si="3"/>
        <v>178.19599999999994</v>
      </c>
      <c r="H104">
        <f t="shared" ca="1" si="7"/>
        <v>180.2650999999999</v>
      </c>
      <c r="J104" s="1">
        <v>45439</v>
      </c>
      <c r="K104" vm="308">
        <v>167.05</v>
      </c>
    </row>
    <row r="105" spans="1:11" x14ac:dyDescent="0.25">
      <c r="A105" s="1">
        <f t="shared" ca="1" si="4"/>
        <v>45439</v>
      </c>
      <c r="B105" s="1" vm="310">
        <f ca="1"/>
        <v>45442</v>
      </c>
      <c r="C105" vm="311">
        <f ca="1"/>
        <v>165.63</v>
      </c>
      <c r="D105" vm="312">
        <f ca="1"/>
        <v>3852963</v>
      </c>
      <c r="E105">
        <f t="shared" ca="1" si="5"/>
        <v>169.898</v>
      </c>
      <c r="F105">
        <f t="shared" ca="1" si="6"/>
        <v>168.64349999999999</v>
      </c>
      <c r="G105">
        <f t="shared" ca="1" si="3"/>
        <v>177.64179999999993</v>
      </c>
      <c r="H105">
        <f t="shared" ca="1" si="7"/>
        <v>180.32979999999992</v>
      </c>
      <c r="J105" s="1">
        <v>45439</v>
      </c>
      <c r="K105" vm="311">
        <v>165.63</v>
      </c>
    </row>
    <row r="106" spans="1:11" x14ac:dyDescent="0.25">
      <c r="A106" s="1">
        <f t="shared" ca="1" si="4"/>
        <v>45439</v>
      </c>
      <c r="B106" s="1" vm="313">
        <f ca="1"/>
        <v>45443</v>
      </c>
      <c r="C106" vm="314">
        <f ca="1"/>
        <v>166.85</v>
      </c>
      <c r="D106" vm="315">
        <f ca="1"/>
        <v>4905002</v>
      </c>
      <c r="E106">
        <f t="shared" ca="1" si="5"/>
        <v>169.68599999999998</v>
      </c>
      <c r="F106">
        <f t="shared" ca="1" si="6"/>
        <v>168.75150000000002</v>
      </c>
      <c r="G106">
        <f t="shared" ca="1" si="3"/>
        <v>177.09959999999998</v>
      </c>
      <c r="H106">
        <f t="shared" ca="1" si="7"/>
        <v>180.38689999999991</v>
      </c>
      <c r="J106" s="1">
        <v>45439</v>
      </c>
      <c r="K106" vm="314">
        <v>166.85</v>
      </c>
    </row>
    <row r="107" spans="1:11" x14ac:dyDescent="0.25">
      <c r="A107" s="1">
        <f t="shared" ca="1" si="4"/>
        <v>45446</v>
      </c>
      <c r="B107" s="1" vm="316">
        <f ca="1"/>
        <v>45446</v>
      </c>
      <c r="C107" vm="317">
        <f ca="1"/>
        <v>165.28</v>
      </c>
      <c r="D107" vm="318">
        <f ca="1"/>
        <v>2776058</v>
      </c>
      <c r="E107">
        <f t="shared" ca="1" si="5"/>
        <v>169.31099999999998</v>
      </c>
      <c r="F107">
        <f t="shared" ca="1" si="6"/>
        <v>168.73000000000002</v>
      </c>
      <c r="G107">
        <f t="shared" ca="1" si="3"/>
        <v>176.56720000000001</v>
      </c>
      <c r="H107">
        <f t="shared" ca="1" si="7"/>
        <v>180.43889999999988</v>
      </c>
      <c r="J107" s="1">
        <v>45446</v>
      </c>
      <c r="K107" vm="317">
        <v>165.28</v>
      </c>
    </row>
    <row r="108" spans="1:11" x14ac:dyDescent="0.25">
      <c r="A108" s="1">
        <f t="shared" ca="1" si="4"/>
        <v>45446</v>
      </c>
      <c r="B108" s="1" vm="319">
        <f ca="1"/>
        <v>45447</v>
      </c>
      <c r="C108" vm="320">
        <f ca="1"/>
        <v>165.81</v>
      </c>
      <c r="D108" vm="321">
        <f ca="1"/>
        <v>2594203</v>
      </c>
      <c r="E108">
        <f t="shared" ca="1" si="5"/>
        <v>168.89999999999998</v>
      </c>
      <c r="F108">
        <f t="shared" ca="1" si="6"/>
        <v>168.59</v>
      </c>
      <c r="G108">
        <f t="shared" ca="1" si="3"/>
        <v>176.06659999999999</v>
      </c>
      <c r="H108">
        <f t="shared" ca="1" si="7"/>
        <v>180.48469999999995</v>
      </c>
      <c r="J108" s="1">
        <v>45446</v>
      </c>
      <c r="K108" vm="320">
        <v>165.81</v>
      </c>
    </row>
    <row r="109" spans="1:11" x14ac:dyDescent="0.25">
      <c r="A109" s="1">
        <f t="shared" ca="1" si="4"/>
        <v>45446</v>
      </c>
      <c r="B109" s="1" vm="322">
        <f ca="1"/>
        <v>45448</v>
      </c>
      <c r="C109" vm="323">
        <f ca="1"/>
        <v>167.38</v>
      </c>
      <c r="D109" vm="324">
        <f ca="1"/>
        <v>3049377</v>
      </c>
      <c r="E109">
        <f t="shared" ca="1" si="5"/>
        <v>168.291</v>
      </c>
      <c r="F109">
        <f t="shared" ca="1" si="6"/>
        <v>168.54000000000002</v>
      </c>
      <c r="G109">
        <f t="shared" ca="1" si="3"/>
        <v>175.63839999999999</v>
      </c>
      <c r="H109">
        <f t="shared" ca="1" si="7"/>
        <v>180.53689999999992</v>
      </c>
      <c r="J109" s="1">
        <v>45446</v>
      </c>
      <c r="K109" vm="323">
        <v>167.38</v>
      </c>
    </row>
    <row r="110" spans="1:11" x14ac:dyDescent="0.25">
      <c r="A110" s="1">
        <f t="shared" ca="1" si="4"/>
        <v>45446</v>
      </c>
      <c r="B110" s="1" vm="325">
        <f ca="1"/>
        <v>45449</v>
      </c>
      <c r="C110" vm="326">
        <f ca="1"/>
        <v>168.2</v>
      </c>
      <c r="D110" vm="327">
        <f ca="1"/>
        <v>2207263</v>
      </c>
      <c r="E110">
        <f t="shared" ca="1" si="5"/>
        <v>167.74199999999999</v>
      </c>
      <c r="F110">
        <f t="shared" ca="1" si="6"/>
        <v>168.45500000000001</v>
      </c>
      <c r="G110">
        <f t="shared" ca="1" si="3"/>
        <v>175.23239999999998</v>
      </c>
      <c r="H110">
        <f t="shared" ca="1" si="7"/>
        <v>180.56089999999992</v>
      </c>
      <c r="J110" s="1">
        <v>45446</v>
      </c>
      <c r="K110" vm="326">
        <v>168.2</v>
      </c>
    </row>
    <row r="111" spans="1:11" x14ac:dyDescent="0.25">
      <c r="A111" s="1">
        <f t="shared" ca="1" si="4"/>
        <v>45446</v>
      </c>
      <c r="B111" s="1" vm="328">
        <f ca="1"/>
        <v>45450</v>
      </c>
      <c r="C111" vm="329">
        <f ca="1"/>
        <v>170.01</v>
      </c>
      <c r="D111" vm="330">
        <f ca="1"/>
        <v>3475495</v>
      </c>
      <c r="E111">
        <f t="shared" ca="1" si="5"/>
        <v>167.67600000000002</v>
      </c>
      <c r="F111">
        <f t="shared" ca="1" si="6"/>
        <v>168.642</v>
      </c>
      <c r="G111">
        <f t="shared" ca="1" si="3"/>
        <v>174.81659999999999</v>
      </c>
      <c r="H111">
        <f t="shared" ca="1" si="7"/>
        <v>180.59139999999996</v>
      </c>
      <c r="J111" s="1">
        <v>45446</v>
      </c>
      <c r="K111" vm="329">
        <v>170.01</v>
      </c>
    </row>
    <row r="112" spans="1:11" x14ac:dyDescent="0.25">
      <c r="A112" s="1">
        <f t="shared" ca="1" si="4"/>
        <v>45453</v>
      </c>
      <c r="B112" s="1" vm="331">
        <f ca="1"/>
        <v>45453</v>
      </c>
      <c r="C112" vm="332">
        <f ca="1"/>
        <v>170.38</v>
      </c>
      <c r="D112" vm="333">
        <f ca="1"/>
        <v>3444684</v>
      </c>
      <c r="E112">
        <f t="shared" ca="1" si="5"/>
        <v>167.625</v>
      </c>
      <c r="F112">
        <f t="shared" ca="1" si="6"/>
        <v>168.80350000000004</v>
      </c>
      <c r="G112">
        <f t="shared" ca="1" si="3"/>
        <v>174.405</v>
      </c>
      <c r="H112">
        <f t="shared" ca="1" si="7"/>
        <v>180.63439999999994</v>
      </c>
      <c r="J112" s="1">
        <v>45453</v>
      </c>
      <c r="K112" vm="332">
        <v>170.38</v>
      </c>
    </row>
    <row r="113" spans="1:11" x14ac:dyDescent="0.25">
      <c r="A113" s="1">
        <f t="shared" ca="1" si="4"/>
        <v>45453</v>
      </c>
      <c r="B113" s="1" vm="334">
        <f ca="1"/>
        <v>45454</v>
      </c>
      <c r="C113" vm="335">
        <f ca="1"/>
        <v>169.32</v>
      </c>
      <c r="D113" vm="336">
        <f ca="1"/>
        <v>2951251</v>
      </c>
      <c r="E113">
        <f t="shared" ca="1" si="5"/>
        <v>167.59099999999995</v>
      </c>
      <c r="F113">
        <f t="shared" ca="1" si="6"/>
        <v>168.89150000000001</v>
      </c>
      <c r="G113">
        <f t="shared" ca="1" si="3"/>
        <v>173.99479999999997</v>
      </c>
      <c r="H113">
        <f t="shared" ca="1" si="7"/>
        <v>180.65919999999997</v>
      </c>
      <c r="J113" s="1">
        <v>45453</v>
      </c>
      <c r="K113" vm="335">
        <v>169.32</v>
      </c>
    </row>
    <row r="114" spans="1:11" x14ac:dyDescent="0.25">
      <c r="A114" s="1">
        <f t="shared" ca="1" si="4"/>
        <v>45453</v>
      </c>
      <c r="B114" s="1" vm="337">
        <f ca="1"/>
        <v>45455</v>
      </c>
      <c r="C114" vm="338">
        <f ca="1"/>
        <v>169</v>
      </c>
      <c r="D114" vm="339">
        <f ca="1"/>
        <v>3522698</v>
      </c>
      <c r="E114">
        <f t="shared" ca="1" si="5"/>
        <v>167.786</v>
      </c>
      <c r="F114">
        <f t="shared" ca="1" si="6"/>
        <v>168.97350000000003</v>
      </c>
      <c r="G114">
        <f t="shared" ca="1" si="3"/>
        <v>173.59719999999999</v>
      </c>
      <c r="H114">
        <f t="shared" ca="1" si="7"/>
        <v>180.63439999999994</v>
      </c>
      <c r="J114" s="1">
        <v>45453</v>
      </c>
      <c r="K114" vm="338">
        <v>169</v>
      </c>
    </row>
    <row r="115" spans="1:11" x14ac:dyDescent="0.25">
      <c r="A115" s="1">
        <f t="shared" ca="1" si="4"/>
        <v>45453</v>
      </c>
      <c r="B115" s="1" vm="340">
        <f ca="1"/>
        <v>45456</v>
      </c>
      <c r="C115" vm="341">
        <f ca="1"/>
        <v>169.12</v>
      </c>
      <c r="D115" vm="342">
        <f ca="1"/>
        <v>3525717</v>
      </c>
      <c r="E115">
        <f t="shared" ca="1" si="5"/>
        <v>168.13499999999999</v>
      </c>
      <c r="F115">
        <f t="shared" ca="1" si="6"/>
        <v>169.01650000000001</v>
      </c>
      <c r="G115">
        <f t="shared" ca="1" si="3"/>
        <v>173.16160000000002</v>
      </c>
      <c r="H115">
        <f t="shared" ca="1" si="7"/>
        <v>180.59729999999993</v>
      </c>
      <c r="J115" s="1">
        <v>45453</v>
      </c>
      <c r="K115" vm="341">
        <v>169.12</v>
      </c>
    </row>
    <row r="116" spans="1:11" x14ac:dyDescent="0.25">
      <c r="A116" s="1">
        <f t="shared" ca="1" si="4"/>
        <v>45453</v>
      </c>
      <c r="B116" s="1" vm="343">
        <f ca="1"/>
        <v>45457</v>
      </c>
      <c r="C116" vm="344">
        <f ca="1"/>
        <v>169.21</v>
      </c>
      <c r="D116" vm="345">
        <f ca="1"/>
        <v>2777717</v>
      </c>
      <c r="E116">
        <f t="shared" ca="1" si="5"/>
        <v>168.37100000000001</v>
      </c>
      <c r="F116">
        <f t="shared" ca="1" si="6"/>
        <v>169.02849999999995</v>
      </c>
      <c r="G116">
        <f t="shared" ref="G116:G179" ca="1" si="8">AVERAGE(C67:C116)</f>
        <v>172.78700000000001</v>
      </c>
      <c r="H116">
        <f t="shared" ca="1" si="7"/>
        <v>180.54999999999993</v>
      </c>
      <c r="J116" s="1">
        <v>45453</v>
      </c>
      <c r="K116" vm="344">
        <v>169.21</v>
      </c>
    </row>
    <row r="117" spans="1:11" x14ac:dyDescent="0.25">
      <c r="A117" s="1">
        <f t="shared" ca="1" si="4"/>
        <v>45460</v>
      </c>
      <c r="B117" s="1" vm="346">
        <f ca="1"/>
        <v>45460</v>
      </c>
      <c r="C117" vm="347">
        <f ca="1"/>
        <v>169.5</v>
      </c>
      <c r="D117" vm="348">
        <f ca="1"/>
        <v>3239815</v>
      </c>
      <c r="E117">
        <f t="shared" ca="1" si="5"/>
        <v>168.79299999999998</v>
      </c>
      <c r="F117">
        <f t="shared" ca="1" si="6"/>
        <v>169.05199999999996</v>
      </c>
      <c r="G117">
        <f t="shared" ca="1" si="8"/>
        <v>172.39420000000001</v>
      </c>
      <c r="H117">
        <f t="shared" ca="1" si="7"/>
        <v>180.50569999999993</v>
      </c>
      <c r="J117" s="1">
        <v>45460</v>
      </c>
      <c r="K117" vm="347">
        <v>169.5</v>
      </c>
    </row>
    <row r="118" spans="1:11" x14ac:dyDescent="0.25">
      <c r="A118" s="1">
        <f t="shared" ca="1" si="4"/>
        <v>45460</v>
      </c>
      <c r="B118" s="1" vm="349">
        <f ca="1"/>
        <v>45461</v>
      </c>
      <c r="C118" vm="350">
        <f ca="1"/>
        <v>170.55</v>
      </c>
      <c r="D118" vm="351">
        <f ca="1"/>
        <v>3386442</v>
      </c>
      <c r="E118">
        <f t="shared" ca="1" si="5"/>
        <v>169.267</v>
      </c>
      <c r="F118">
        <f t="shared" ca="1" si="6"/>
        <v>169.08350000000002</v>
      </c>
      <c r="G118">
        <f t="shared" ca="1" si="8"/>
        <v>172.00880000000001</v>
      </c>
      <c r="H118">
        <f t="shared" ca="1" si="7"/>
        <v>180.30689999999993</v>
      </c>
      <c r="J118" s="1">
        <v>45460</v>
      </c>
      <c r="K118" vm="350">
        <v>170.55</v>
      </c>
    </row>
    <row r="119" spans="1:11" x14ac:dyDescent="0.25">
      <c r="A119" s="1">
        <f t="shared" ca="1" si="4"/>
        <v>45460</v>
      </c>
      <c r="B119" s="1" vm="352">
        <f ca="1"/>
        <v>45463</v>
      </c>
      <c r="C119" vm="353">
        <f ca="1"/>
        <v>173.92</v>
      </c>
      <c r="D119" vm="354">
        <f ca="1"/>
        <v>4723078</v>
      </c>
      <c r="E119">
        <f t="shared" ca="1" si="5"/>
        <v>169.92099999999999</v>
      </c>
      <c r="F119">
        <f t="shared" ca="1" si="6"/>
        <v>169.10600000000002</v>
      </c>
      <c r="G119">
        <f t="shared" ca="1" si="8"/>
        <v>171.70100000000002</v>
      </c>
      <c r="H119">
        <f t="shared" ca="1" si="7"/>
        <v>180.17189999999988</v>
      </c>
      <c r="J119" s="1">
        <v>45460</v>
      </c>
      <c r="K119" vm="353">
        <v>173.92</v>
      </c>
    </row>
    <row r="120" spans="1:11" x14ac:dyDescent="0.25">
      <c r="A120" s="1">
        <f t="shared" ca="1" si="4"/>
        <v>45460</v>
      </c>
      <c r="B120" s="1" vm="355">
        <f ca="1"/>
        <v>45464</v>
      </c>
      <c r="C120" vm="356">
        <f ca="1"/>
        <v>172.46</v>
      </c>
      <c r="D120" vm="357">
        <f ca="1"/>
        <v>10182025</v>
      </c>
      <c r="E120">
        <f t="shared" ca="1" si="5"/>
        <v>170.34700000000001</v>
      </c>
      <c r="F120">
        <f t="shared" ca="1" si="6"/>
        <v>169.04450000000003</v>
      </c>
      <c r="G120">
        <f t="shared" ca="1" si="8"/>
        <v>171.42939999999999</v>
      </c>
      <c r="H120">
        <f t="shared" ca="1" si="7"/>
        <v>180.02509999999992</v>
      </c>
      <c r="J120" s="1">
        <v>45460</v>
      </c>
      <c r="K120" vm="356">
        <v>172.46</v>
      </c>
    </row>
    <row r="121" spans="1:11" x14ac:dyDescent="0.25">
      <c r="A121" s="1">
        <f t="shared" ca="1" si="4"/>
        <v>45467</v>
      </c>
      <c r="B121" s="1" vm="358">
        <f ca="1"/>
        <v>45467</v>
      </c>
      <c r="C121" vm="359">
        <f ca="1"/>
        <v>175.01</v>
      </c>
      <c r="D121" vm="360">
        <f ca="1"/>
        <v>4864735</v>
      </c>
      <c r="E121">
        <f t="shared" ca="1" si="5"/>
        <v>170.84700000000001</v>
      </c>
      <c r="F121">
        <f t="shared" ca="1" si="6"/>
        <v>169.26150000000001</v>
      </c>
      <c r="G121">
        <f t="shared" ca="1" si="8"/>
        <v>171.2116</v>
      </c>
      <c r="H121">
        <f t="shared" ca="1" si="7"/>
        <v>179.89649999999992</v>
      </c>
      <c r="J121" s="1">
        <v>45467</v>
      </c>
      <c r="K121" vm="359">
        <v>175.01</v>
      </c>
    </row>
    <row r="122" spans="1:11" x14ac:dyDescent="0.25">
      <c r="A122" s="1">
        <f t="shared" ca="1" si="4"/>
        <v>45467</v>
      </c>
      <c r="B122" s="1" vm="361">
        <f ca="1"/>
        <v>45468</v>
      </c>
      <c r="C122" vm="362">
        <f ca="1"/>
        <v>172.6</v>
      </c>
      <c r="D122" vm="363">
        <f ca="1"/>
        <v>4119267</v>
      </c>
      <c r="E122">
        <f t="shared" ca="1" si="5"/>
        <v>171.06900000000002</v>
      </c>
      <c r="F122">
        <f t="shared" ca="1" si="6"/>
        <v>169.34700000000001</v>
      </c>
      <c r="G122">
        <f t="shared" ca="1" si="8"/>
        <v>171.01820000000004</v>
      </c>
      <c r="H122">
        <f t="shared" ca="1" si="7"/>
        <v>179.78589999999986</v>
      </c>
      <c r="J122" s="1">
        <v>45467</v>
      </c>
      <c r="K122" vm="362">
        <v>172.6</v>
      </c>
    </row>
    <row r="123" spans="1:11" x14ac:dyDescent="0.25">
      <c r="A123" s="1">
        <f t="shared" ca="1" si="4"/>
        <v>45467</v>
      </c>
      <c r="B123" s="1" vm="364">
        <f ca="1"/>
        <v>45469</v>
      </c>
      <c r="C123" vm="365">
        <f ca="1"/>
        <v>171.87</v>
      </c>
      <c r="D123" vm="366">
        <f ca="1"/>
        <v>2779016</v>
      </c>
      <c r="E123">
        <f t="shared" ca="1" si="5"/>
        <v>171.32399999999998</v>
      </c>
      <c r="F123">
        <f t="shared" ca="1" si="6"/>
        <v>169.45750000000001</v>
      </c>
      <c r="G123">
        <f t="shared" ca="1" si="8"/>
        <v>170.83060000000006</v>
      </c>
      <c r="H123">
        <f t="shared" ca="1" si="7"/>
        <v>179.63559999999984</v>
      </c>
      <c r="J123" s="1">
        <v>45467</v>
      </c>
      <c r="K123" vm="365">
        <v>171.87</v>
      </c>
    </row>
    <row r="124" spans="1:11" x14ac:dyDescent="0.25">
      <c r="A124" s="1">
        <f t="shared" ca="1" si="4"/>
        <v>45467</v>
      </c>
      <c r="B124" s="1" vm="367">
        <f ca="1"/>
        <v>45470</v>
      </c>
      <c r="C124" vm="368">
        <f ca="1"/>
        <v>170.85</v>
      </c>
      <c r="D124" vm="369">
        <f ca="1"/>
        <v>2894001</v>
      </c>
      <c r="E124">
        <f t="shared" ca="1" si="5"/>
        <v>171.50899999999996</v>
      </c>
      <c r="F124">
        <f t="shared" ca="1" si="6"/>
        <v>169.64749999999998</v>
      </c>
      <c r="G124">
        <f t="shared" ca="1" si="8"/>
        <v>170.57260000000005</v>
      </c>
      <c r="H124">
        <f t="shared" ca="1" si="7"/>
        <v>179.48619999999985</v>
      </c>
      <c r="J124" s="1">
        <v>45467</v>
      </c>
      <c r="K124" vm="368">
        <v>170.85</v>
      </c>
    </row>
    <row r="125" spans="1:11" x14ac:dyDescent="0.25">
      <c r="A125" s="1">
        <f t="shared" ca="1" si="4"/>
        <v>45467</v>
      </c>
      <c r="B125" s="1" vm="370">
        <f ca="1"/>
        <v>45471</v>
      </c>
      <c r="C125" vm="371">
        <f ca="1"/>
        <v>172.95</v>
      </c>
      <c r="D125" vm="372">
        <f ca="1"/>
        <v>4193459</v>
      </c>
      <c r="E125">
        <f t="shared" ca="1" si="5"/>
        <v>171.892</v>
      </c>
      <c r="F125">
        <f t="shared" ca="1" si="6"/>
        <v>170.01349999999996</v>
      </c>
      <c r="G125">
        <f t="shared" ca="1" si="8"/>
        <v>170.36960000000008</v>
      </c>
      <c r="H125">
        <f t="shared" ca="1" si="7"/>
        <v>179.38149999999987</v>
      </c>
      <c r="J125" s="1">
        <v>45467</v>
      </c>
      <c r="K125" vm="371">
        <v>172.95</v>
      </c>
    </row>
    <row r="126" spans="1:11" x14ac:dyDescent="0.25">
      <c r="A126" s="1">
        <f t="shared" ca="1" si="4"/>
        <v>45474</v>
      </c>
      <c r="B126" s="1" vm="373">
        <f ca="1"/>
        <v>45474</v>
      </c>
      <c r="C126" vm="374">
        <f ca="1"/>
        <v>175.1</v>
      </c>
      <c r="D126" vm="375">
        <f ca="1"/>
        <v>3320961</v>
      </c>
      <c r="E126">
        <f t="shared" ca="1" si="5"/>
        <v>172.48099999999997</v>
      </c>
      <c r="F126">
        <f t="shared" ca="1" si="6"/>
        <v>170.42599999999996</v>
      </c>
      <c r="G126">
        <f t="shared" ca="1" si="8"/>
        <v>170.24220000000005</v>
      </c>
      <c r="H126">
        <f t="shared" ca="1" si="7"/>
        <v>179.29839999999984</v>
      </c>
      <c r="J126" s="1">
        <v>45474</v>
      </c>
      <c r="K126" vm="374">
        <v>175.1</v>
      </c>
    </row>
    <row r="127" spans="1:11" x14ac:dyDescent="0.25">
      <c r="A127" s="1">
        <f t="shared" ca="1" si="4"/>
        <v>45474</v>
      </c>
      <c r="B127" s="1" vm="376">
        <f ca="1"/>
        <v>45475</v>
      </c>
      <c r="C127" vm="377">
        <f ca="1"/>
        <v>177.3</v>
      </c>
      <c r="D127" vm="378">
        <f ca="1"/>
        <v>2883275</v>
      </c>
      <c r="E127">
        <f t="shared" ca="1" si="5"/>
        <v>173.261</v>
      </c>
      <c r="F127">
        <f t="shared" ca="1" si="6"/>
        <v>171.02699999999999</v>
      </c>
      <c r="G127">
        <f t="shared" ca="1" si="8"/>
        <v>170.15660000000003</v>
      </c>
      <c r="H127">
        <f t="shared" ca="1" si="7"/>
        <v>179.23399999999987</v>
      </c>
      <c r="J127" s="1">
        <v>45474</v>
      </c>
      <c r="K127" vm="377">
        <v>177.3</v>
      </c>
    </row>
    <row r="128" spans="1:11" x14ac:dyDescent="0.25">
      <c r="A128" s="1">
        <f t="shared" ca="1" si="4"/>
        <v>45474</v>
      </c>
      <c r="B128" s="1" vm="379">
        <f ca="1"/>
        <v>45476</v>
      </c>
      <c r="C128" vm="380">
        <f ca="1"/>
        <v>175.73</v>
      </c>
      <c r="D128" vm="381">
        <f ca="1"/>
        <v>1649049</v>
      </c>
      <c r="E128">
        <f t="shared" ca="1" si="5"/>
        <v>173.779</v>
      </c>
      <c r="F128">
        <f t="shared" ca="1" si="6"/>
        <v>171.52299999999997</v>
      </c>
      <c r="G128">
        <f t="shared" ca="1" si="8"/>
        <v>170.03320000000002</v>
      </c>
      <c r="H128">
        <f t="shared" ca="1" si="7"/>
        <v>179.14769999999987</v>
      </c>
      <c r="J128" s="1">
        <v>45474</v>
      </c>
      <c r="K128" vm="380">
        <v>175.73</v>
      </c>
    </row>
    <row r="129" spans="1:11" x14ac:dyDescent="0.25">
      <c r="A129" s="1">
        <f t="shared" ca="1" si="4"/>
        <v>45474</v>
      </c>
      <c r="B129" s="1" vm="382">
        <f ca="1"/>
        <v>45478</v>
      </c>
      <c r="C129" vm="383">
        <f ca="1"/>
        <v>176.02</v>
      </c>
      <c r="D129" vm="384">
        <f ca="1"/>
        <v>2085970</v>
      </c>
      <c r="E129">
        <f t="shared" ca="1" si="5"/>
        <v>173.98899999999998</v>
      </c>
      <c r="F129">
        <f t="shared" ca="1" si="6"/>
        <v>171.95499999999998</v>
      </c>
      <c r="G129">
        <f t="shared" ca="1" si="8"/>
        <v>169.90980000000002</v>
      </c>
      <c r="H129">
        <f t="shared" ca="1" si="7"/>
        <v>179.04449999999989</v>
      </c>
      <c r="J129" s="1">
        <v>45474</v>
      </c>
      <c r="K129" vm="383">
        <v>176.02</v>
      </c>
    </row>
    <row r="130" spans="1:11" x14ac:dyDescent="0.25">
      <c r="A130" s="1">
        <f t="shared" ca="1" si="4"/>
        <v>45481</v>
      </c>
      <c r="B130" s="1" vm="385">
        <f ca="1"/>
        <v>45481</v>
      </c>
      <c r="C130" vm="386">
        <f ca="1"/>
        <v>177.64</v>
      </c>
      <c r="D130" vm="387">
        <f ca="1"/>
        <v>2503038</v>
      </c>
      <c r="E130">
        <f t="shared" ca="1" si="5"/>
        <v>174.50699999999998</v>
      </c>
      <c r="F130">
        <f t="shared" ca="1" si="6"/>
        <v>172.42699999999996</v>
      </c>
      <c r="G130">
        <f t="shared" ca="1" si="8"/>
        <v>169.78060000000002</v>
      </c>
      <c r="H130">
        <f t="shared" ca="1" si="7"/>
        <v>178.9592999999999</v>
      </c>
      <c r="J130" s="1">
        <v>45481</v>
      </c>
      <c r="K130" vm="386">
        <v>177.64</v>
      </c>
    </row>
    <row r="131" spans="1:11" x14ac:dyDescent="0.25">
      <c r="A131" s="1">
        <f t="shared" ref="A131:A194" ca="1" si="9">B131 - WEEKDAY(B131, 2) + 1</f>
        <v>45481</v>
      </c>
      <c r="B131" s="1" vm="388">
        <f ca="1"/>
        <v>45482</v>
      </c>
      <c r="C131" vm="389">
        <f ca="1"/>
        <v>176.48</v>
      </c>
      <c r="D131" vm="390">
        <f ca="1"/>
        <v>2513305</v>
      </c>
      <c r="E131">
        <f t="shared" ca="1" si="5"/>
        <v>174.654</v>
      </c>
      <c r="F131">
        <f t="shared" ca="1" si="6"/>
        <v>172.75049999999999</v>
      </c>
      <c r="G131">
        <f t="shared" ca="1" si="8"/>
        <v>169.93200000000004</v>
      </c>
      <c r="H131">
        <f t="shared" ca="1" si="7"/>
        <v>178.88709999999992</v>
      </c>
      <c r="J131" s="1">
        <v>45481</v>
      </c>
      <c r="K131" vm="389">
        <v>176.48</v>
      </c>
    </row>
    <row r="132" spans="1:11" x14ac:dyDescent="0.25">
      <c r="A132" s="1">
        <f t="shared" ca="1" si="9"/>
        <v>45481</v>
      </c>
      <c r="B132" s="1" vm="391">
        <f ca="1"/>
        <v>45483</v>
      </c>
      <c r="C132" vm="392">
        <f ca="1"/>
        <v>177.84</v>
      </c>
      <c r="D132" vm="393">
        <f ca="1"/>
        <v>3462182</v>
      </c>
      <c r="E132">
        <f t="shared" ca="1" si="5"/>
        <v>175.178</v>
      </c>
      <c r="F132">
        <f t="shared" ca="1" si="6"/>
        <v>173.12349999999998</v>
      </c>
      <c r="G132">
        <f t="shared" ca="1" si="8"/>
        <v>170.14620000000002</v>
      </c>
      <c r="H132">
        <f t="shared" ca="1" si="7"/>
        <v>178.82979999999992</v>
      </c>
      <c r="J132" s="1">
        <v>45481</v>
      </c>
      <c r="K132" vm="392">
        <v>177.84</v>
      </c>
    </row>
    <row r="133" spans="1:11" x14ac:dyDescent="0.25">
      <c r="A133" s="1">
        <f t="shared" ca="1" si="9"/>
        <v>45481</v>
      </c>
      <c r="B133" s="1" vm="394">
        <f ca="1"/>
        <v>45484</v>
      </c>
      <c r="C133" vm="395">
        <f ca="1"/>
        <v>178.31</v>
      </c>
      <c r="D133" vm="396">
        <f ca="1"/>
        <v>2807145</v>
      </c>
      <c r="E133">
        <f t="shared" ca="1" si="5"/>
        <v>175.822</v>
      </c>
      <c r="F133">
        <f t="shared" ca="1" si="6"/>
        <v>173.57299999999998</v>
      </c>
      <c r="G133">
        <f t="shared" ca="1" si="8"/>
        <v>170.3638</v>
      </c>
      <c r="H133">
        <f t="shared" ca="1" si="7"/>
        <v>178.74419999999995</v>
      </c>
      <c r="J133" s="1">
        <v>45481</v>
      </c>
      <c r="K133" vm="395">
        <v>178.31</v>
      </c>
    </row>
    <row r="134" spans="1:11" x14ac:dyDescent="0.25">
      <c r="A134" s="1">
        <f t="shared" ca="1" si="9"/>
        <v>45481</v>
      </c>
      <c r="B134" s="1" vm="397">
        <f ca="1"/>
        <v>45485</v>
      </c>
      <c r="C134" vm="398">
        <f ca="1"/>
        <v>182.83</v>
      </c>
      <c r="D134" vm="399">
        <f ca="1"/>
        <v>4785565</v>
      </c>
      <c r="E134">
        <f t="shared" ca="1" si="5"/>
        <v>177.01999999999995</v>
      </c>
      <c r="F134">
        <f t="shared" ca="1" si="6"/>
        <v>174.2645</v>
      </c>
      <c r="G134">
        <f t="shared" ca="1" si="8"/>
        <v>170.69640000000004</v>
      </c>
      <c r="H134">
        <f t="shared" ca="1" si="7"/>
        <v>178.6961</v>
      </c>
      <c r="J134" s="1">
        <v>45481</v>
      </c>
      <c r="K134" vm="398">
        <v>182.83</v>
      </c>
    </row>
    <row r="135" spans="1:11" x14ac:dyDescent="0.25">
      <c r="A135" s="1">
        <f t="shared" ca="1" si="9"/>
        <v>45488</v>
      </c>
      <c r="B135" s="1" vm="400">
        <f ca="1"/>
        <v>45488</v>
      </c>
      <c r="C135" vm="401">
        <f ca="1"/>
        <v>182.88</v>
      </c>
      <c r="D135" vm="402">
        <f ca="1"/>
        <v>2925794</v>
      </c>
      <c r="E135">
        <f t="shared" ca="1" si="5"/>
        <v>178.01299999999998</v>
      </c>
      <c r="F135">
        <f t="shared" ca="1" si="6"/>
        <v>174.95249999999999</v>
      </c>
      <c r="G135">
        <f t="shared" ca="1" si="8"/>
        <v>171.06540000000004</v>
      </c>
      <c r="H135">
        <f t="shared" ca="1" si="7"/>
        <v>178.69050000000004</v>
      </c>
      <c r="J135" s="1">
        <v>45488</v>
      </c>
      <c r="K135" vm="401">
        <v>182.88</v>
      </c>
    </row>
    <row r="136" spans="1:11" x14ac:dyDescent="0.25">
      <c r="A136" s="1">
        <f t="shared" ca="1" si="9"/>
        <v>45488</v>
      </c>
      <c r="B136" s="1" vm="403">
        <f ca="1"/>
        <v>45489</v>
      </c>
      <c r="C136" vm="404">
        <f ca="1"/>
        <v>185.81</v>
      </c>
      <c r="D136" vm="405">
        <f ca="1"/>
        <v>3374526</v>
      </c>
      <c r="E136">
        <f t="shared" ca="1" si="5"/>
        <v>179.08399999999997</v>
      </c>
      <c r="F136">
        <f t="shared" ca="1" si="6"/>
        <v>175.78249999999997</v>
      </c>
      <c r="G136">
        <f t="shared" ca="1" si="8"/>
        <v>171.48780000000002</v>
      </c>
      <c r="H136">
        <f t="shared" ca="1" si="7"/>
        <v>178.75160000000002</v>
      </c>
      <c r="J136" s="1">
        <v>45488</v>
      </c>
      <c r="K136" vm="404">
        <v>185.81</v>
      </c>
    </row>
    <row r="137" spans="1:11" x14ac:dyDescent="0.25">
      <c r="A137" s="1">
        <f t="shared" ca="1" si="9"/>
        <v>45488</v>
      </c>
      <c r="B137" s="1" vm="406">
        <f ca="1"/>
        <v>45490</v>
      </c>
      <c r="C137" vm="407">
        <f ca="1"/>
        <v>187.45</v>
      </c>
      <c r="D137" vm="408">
        <f ca="1"/>
        <v>4225302</v>
      </c>
      <c r="E137">
        <f t="shared" ca="1" si="5"/>
        <v>180.09899999999999</v>
      </c>
      <c r="F137">
        <f t="shared" ca="1" si="6"/>
        <v>176.68</v>
      </c>
      <c r="G137">
        <f t="shared" ca="1" si="8"/>
        <v>171.92260000000002</v>
      </c>
      <c r="H137">
        <f t="shared" ca="1" si="7"/>
        <v>178.78400000000002</v>
      </c>
      <c r="J137" s="1">
        <v>45488</v>
      </c>
      <c r="K137" vm="407">
        <v>187.45</v>
      </c>
    </row>
    <row r="138" spans="1:11" x14ac:dyDescent="0.25">
      <c r="A138" s="1">
        <f t="shared" ca="1" si="9"/>
        <v>45488</v>
      </c>
      <c r="B138" s="1" vm="409">
        <f ca="1"/>
        <v>45491</v>
      </c>
      <c r="C138" vm="410">
        <f ca="1"/>
        <v>185.22</v>
      </c>
      <c r="D138" vm="411">
        <f ca="1"/>
        <v>3487808</v>
      </c>
      <c r="E138">
        <f t="shared" ca="1" si="5"/>
        <v>181.048</v>
      </c>
      <c r="F138">
        <f t="shared" ca="1" si="6"/>
        <v>177.41349999999997</v>
      </c>
      <c r="G138">
        <f t="shared" ca="1" si="8"/>
        <v>172.25480000000005</v>
      </c>
      <c r="H138">
        <f t="shared" ca="1" si="7"/>
        <v>178.77900000000005</v>
      </c>
      <c r="J138" s="1">
        <v>45488</v>
      </c>
      <c r="K138" vm="410">
        <v>185.22</v>
      </c>
    </row>
    <row r="139" spans="1:11" x14ac:dyDescent="0.25">
      <c r="A139" s="1">
        <f t="shared" ca="1" si="9"/>
        <v>45488</v>
      </c>
      <c r="B139" s="1" vm="412">
        <f ca="1"/>
        <v>45492</v>
      </c>
      <c r="C139" vm="413">
        <f ca="1"/>
        <v>183.25</v>
      </c>
      <c r="D139" vm="414">
        <f ca="1"/>
        <v>3816039</v>
      </c>
      <c r="E139">
        <f t="shared" ca="1" si="5"/>
        <v>181.77100000000002</v>
      </c>
      <c r="F139">
        <f t="shared" ca="1" si="6"/>
        <v>177.87999999999997</v>
      </c>
      <c r="G139">
        <f t="shared" ca="1" si="8"/>
        <v>172.55220000000006</v>
      </c>
      <c r="H139">
        <f t="shared" ca="1" si="7"/>
        <v>178.77020000000005</v>
      </c>
      <c r="J139" s="1">
        <v>45488</v>
      </c>
      <c r="K139" vm="413">
        <v>183.25</v>
      </c>
    </row>
    <row r="140" spans="1:11" x14ac:dyDescent="0.25">
      <c r="A140" s="1">
        <f t="shared" ca="1" si="9"/>
        <v>45495</v>
      </c>
      <c r="B140" s="1" vm="415">
        <f ca="1"/>
        <v>45495</v>
      </c>
      <c r="C140" vm="416">
        <f ca="1"/>
        <v>184.15</v>
      </c>
      <c r="D140" vm="417">
        <f ca="1"/>
        <v>2488525</v>
      </c>
      <c r="E140">
        <f t="shared" ref="E140:E203" ca="1" si="10">AVERAGE(C131:C140)</f>
        <v>182.42200000000003</v>
      </c>
      <c r="F140">
        <f t="shared" ca="1" si="6"/>
        <v>178.46449999999999</v>
      </c>
      <c r="G140">
        <f t="shared" ca="1" si="8"/>
        <v>172.83720000000005</v>
      </c>
      <c r="H140">
        <f t="shared" ca="1" si="7"/>
        <v>178.76300000000006</v>
      </c>
      <c r="J140" s="1">
        <v>45495</v>
      </c>
      <c r="K140" vm="416">
        <v>184.15</v>
      </c>
    </row>
    <row r="141" spans="1:11" x14ac:dyDescent="0.25">
      <c r="A141" s="1">
        <f t="shared" ca="1" si="9"/>
        <v>45495</v>
      </c>
      <c r="B141" s="1" vm="418">
        <f ca="1"/>
        <v>45496</v>
      </c>
      <c r="C141" vm="236">
        <f ca="1"/>
        <v>184.1</v>
      </c>
      <c r="D141" vm="419">
        <f ca="1"/>
        <v>2180225</v>
      </c>
      <c r="E141">
        <f t="shared" ca="1" si="10"/>
        <v>183.18400000000003</v>
      </c>
      <c r="F141">
        <f t="shared" ca="1" si="6"/>
        <v>178.91899999999998</v>
      </c>
      <c r="G141">
        <f t="shared" ca="1" si="8"/>
        <v>173.19380000000004</v>
      </c>
      <c r="H141">
        <f t="shared" ca="1" si="7"/>
        <v>178.75100000000003</v>
      </c>
      <c r="J141" s="1">
        <v>45495</v>
      </c>
      <c r="K141" vm="236">
        <v>184.1</v>
      </c>
    </row>
    <row r="142" spans="1:11" x14ac:dyDescent="0.25">
      <c r="A142" s="1">
        <f t="shared" ca="1" si="9"/>
        <v>45495</v>
      </c>
      <c r="B142" s="1" vm="420">
        <f ca="1"/>
        <v>45497</v>
      </c>
      <c r="C142" vm="421">
        <f ca="1"/>
        <v>184.02</v>
      </c>
      <c r="D142" vm="422">
        <f ca="1"/>
        <v>6962071</v>
      </c>
      <c r="E142">
        <f t="shared" ca="1" si="10"/>
        <v>183.80199999999999</v>
      </c>
      <c r="F142">
        <f t="shared" ca="1" si="6"/>
        <v>179.48999999999998</v>
      </c>
      <c r="G142">
        <f t="shared" ca="1" si="8"/>
        <v>173.5312000000001</v>
      </c>
      <c r="H142">
        <f t="shared" ca="1" si="7"/>
        <v>178.74090000000001</v>
      </c>
      <c r="J142" s="1">
        <v>45495</v>
      </c>
      <c r="K142" vm="421">
        <v>184.02</v>
      </c>
    </row>
    <row r="143" spans="1:11" x14ac:dyDescent="0.25">
      <c r="A143" s="1">
        <f t="shared" ca="1" si="9"/>
        <v>45495</v>
      </c>
      <c r="B143" s="1" vm="423">
        <f ca="1"/>
        <v>45498</v>
      </c>
      <c r="C143" vm="424">
        <f ca="1"/>
        <v>191.98</v>
      </c>
      <c r="D143" vm="425">
        <f ca="1"/>
        <v>9532802</v>
      </c>
      <c r="E143">
        <f t="shared" ca="1" si="10"/>
        <v>185.16900000000001</v>
      </c>
      <c r="F143">
        <f t="shared" ca="1" si="6"/>
        <v>180.49549999999996</v>
      </c>
      <c r="G143">
        <f t="shared" ca="1" si="8"/>
        <v>174.01960000000003</v>
      </c>
      <c r="H143">
        <f t="shared" ca="1" si="7"/>
        <v>178.77869999999999</v>
      </c>
      <c r="J143" s="1">
        <v>45495</v>
      </c>
      <c r="K143" vm="424">
        <v>191.98</v>
      </c>
    </row>
    <row r="144" spans="1:11" x14ac:dyDescent="0.25">
      <c r="A144" s="1">
        <f t="shared" ca="1" si="9"/>
        <v>45495</v>
      </c>
      <c r="B144" s="1" vm="426">
        <f ca="1"/>
        <v>45499</v>
      </c>
      <c r="C144" vm="427">
        <f ca="1"/>
        <v>191.75</v>
      </c>
      <c r="D144" vm="428">
        <f ca="1"/>
        <v>4294875</v>
      </c>
      <c r="E144">
        <f t="shared" ca="1" si="10"/>
        <v>186.06099999999998</v>
      </c>
      <c r="F144">
        <f t="shared" ca="1" si="6"/>
        <v>181.54049999999995</v>
      </c>
      <c r="G144">
        <f t="shared" ca="1" si="8"/>
        <v>174.50740000000005</v>
      </c>
      <c r="H144">
        <f t="shared" ca="1" si="7"/>
        <v>178.76559999999998</v>
      </c>
      <c r="J144" s="1">
        <v>45495</v>
      </c>
      <c r="K144" vm="427">
        <v>191.75</v>
      </c>
    </row>
    <row r="145" spans="1:11" x14ac:dyDescent="0.25">
      <c r="A145" s="1">
        <f t="shared" ca="1" si="9"/>
        <v>45502</v>
      </c>
      <c r="B145" s="1" vm="429">
        <f ca="1"/>
        <v>45502</v>
      </c>
      <c r="C145" vm="430">
        <f ca="1"/>
        <v>191.5</v>
      </c>
      <c r="D145" vm="431">
        <f ca="1"/>
        <v>3336806</v>
      </c>
      <c r="E145">
        <f t="shared" ca="1" si="10"/>
        <v>186.923</v>
      </c>
      <c r="F145">
        <f t="shared" ca="1" si="6"/>
        <v>182.46799999999996</v>
      </c>
      <c r="G145">
        <f t="shared" ca="1" si="8"/>
        <v>174.97220000000004</v>
      </c>
      <c r="H145">
        <f t="shared" ca="1" si="7"/>
        <v>178.76109999999997</v>
      </c>
      <c r="J145" s="1">
        <v>45502</v>
      </c>
      <c r="K145" vm="430">
        <v>191.5</v>
      </c>
    </row>
    <row r="146" spans="1:11" x14ac:dyDescent="0.25">
      <c r="A146" s="1">
        <f t="shared" ca="1" si="9"/>
        <v>45502</v>
      </c>
      <c r="B146" s="1" vm="432">
        <f ca="1"/>
        <v>45503</v>
      </c>
      <c r="C146" vm="433">
        <f ca="1"/>
        <v>191.04</v>
      </c>
      <c r="D146" vm="434">
        <f ca="1"/>
        <v>3064978</v>
      </c>
      <c r="E146">
        <f t="shared" ca="1" si="10"/>
        <v>187.446</v>
      </c>
      <c r="F146">
        <f t="shared" ca="1" si="6"/>
        <v>183.26499999999999</v>
      </c>
      <c r="G146">
        <f t="shared" ca="1" si="8"/>
        <v>175.41360000000003</v>
      </c>
      <c r="H146">
        <f t="shared" ca="1" si="7"/>
        <v>178.70989999999998</v>
      </c>
      <c r="J146" s="1">
        <v>45502</v>
      </c>
      <c r="K146" vm="433">
        <v>191.04</v>
      </c>
    </row>
    <row r="147" spans="1:11" x14ac:dyDescent="0.25">
      <c r="A147" s="1">
        <f t="shared" ca="1" si="9"/>
        <v>45502</v>
      </c>
      <c r="B147" s="1" vm="435">
        <f ca="1"/>
        <v>45504</v>
      </c>
      <c r="C147" vm="436">
        <f ca="1"/>
        <v>192.14</v>
      </c>
      <c r="D147" vm="437">
        <f ca="1"/>
        <v>5558405</v>
      </c>
      <c r="E147">
        <f t="shared" ca="1" si="10"/>
        <v>187.91500000000002</v>
      </c>
      <c r="F147">
        <f t="shared" ca="1" si="6"/>
        <v>184.00700000000001</v>
      </c>
      <c r="G147">
        <f t="shared" ca="1" si="8"/>
        <v>175.87580000000003</v>
      </c>
      <c r="H147">
        <f t="shared" ca="1" si="7"/>
        <v>178.66589999999997</v>
      </c>
      <c r="J147" s="1">
        <v>45502</v>
      </c>
      <c r="K147" vm="436">
        <v>192.14</v>
      </c>
    </row>
    <row r="148" spans="1:11" x14ac:dyDescent="0.25">
      <c r="A148" s="1">
        <f t="shared" ca="1" si="9"/>
        <v>45502</v>
      </c>
      <c r="B148" s="1" vm="438">
        <f ca="1"/>
        <v>45505</v>
      </c>
      <c r="C148" vm="439">
        <f ca="1"/>
        <v>189.66</v>
      </c>
      <c r="D148" vm="440">
        <f ca="1"/>
        <v>4085354</v>
      </c>
      <c r="E148">
        <f t="shared" ca="1" si="10"/>
        <v>188.35899999999998</v>
      </c>
      <c r="F148">
        <f t="shared" ca="1" si="6"/>
        <v>184.70349999999999</v>
      </c>
      <c r="G148">
        <f t="shared" ca="1" si="8"/>
        <v>176.27060000000006</v>
      </c>
      <c r="H148">
        <f t="shared" ca="1" si="7"/>
        <v>178.60299999999995</v>
      </c>
      <c r="J148" s="1">
        <v>45502</v>
      </c>
      <c r="K148" vm="439">
        <v>189.66</v>
      </c>
    </row>
    <row r="149" spans="1:11" x14ac:dyDescent="0.25">
      <c r="A149" s="1">
        <f t="shared" ca="1" si="9"/>
        <v>45502</v>
      </c>
      <c r="B149" s="1" vm="441">
        <f ca="1"/>
        <v>45506</v>
      </c>
      <c r="C149" vm="442">
        <f ca="1"/>
        <v>189.12</v>
      </c>
      <c r="D149" vm="443">
        <f ca="1"/>
        <v>4548824</v>
      </c>
      <c r="E149">
        <f t="shared" ca="1" si="10"/>
        <v>188.946</v>
      </c>
      <c r="F149">
        <f t="shared" ca="1" si="6"/>
        <v>185.35849999999999</v>
      </c>
      <c r="G149">
        <f t="shared" ca="1" si="8"/>
        <v>176.58360000000005</v>
      </c>
      <c r="H149">
        <f t="shared" ca="1" si="7"/>
        <v>178.57689999999994</v>
      </c>
      <c r="J149" s="1">
        <v>45502</v>
      </c>
      <c r="K149" vm="442">
        <v>189.12</v>
      </c>
    </row>
    <row r="150" spans="1:11" x14ac:dyDescent="0.25">
      <c r="A150" s="1">
        <f t="shared" ca="1" si="9"/>
        <v>45509</v>
      </c>
      <c r="B150" s="1" vm="444">
        <f ca="1"/>
        <v>45509</v>
      </c>
      <c r="C150" vm="445">
        <f ca="1"/>
        <v>183.31</v>
      </c>
      <c r="D150" vm="446">
        <f ca="1"/>
        <v>4975002</v>
      </c>
      <c r="E150">
        <f t="shared" ca="1" si="10"/>
        <v>188.86200000000002</v>
      </c>
      <c r="F150">
        <f t="shared" ref="F150:F213" ca="1" si="11">AVERAGE(C131:C150)</f>
        <v>185.642</v>
      </c>
      <c r="G150">
        <f t="shared" ca="1" si="8"/>
        <v>176.77600000000001</v>
      </c>
      <c r="H150">
        <f t="shared" ca="1" si="7"/>
        <v>178.43219999999997</v>
      </c>
      <c r="J150" s="1">
        <v>45509</v>
      </c>
      <c r="K150" vm="445">
        <v>183.31</v>
      </c>
    </row>
    <row r="151" spans="1:11" x14ac:dyDescent="0.25">
      <c r="A151" s="1">
        <f t="shared" ca="1" si="9"/>
        <v>45509</v>
      </c>
      <c r="B151" s="1" vm="447">
        <f ca="1"/>
        <v>45510</v>
      </c>
      <c r="C151" vm="448">
        <f ca="1"/>
        <v>186.8</v>
      </c>
      <c r="D151" vm="449">
        <f ca="1"/>
        <v>3632517</v>
      </c>
      <c r="E151">
        <f t="shared" ca="1" si="10"/>
        <v>189.13200000000001</v>
      </c>
      <c r="F151">
        <f t="shared" ca="1" si="11"/>
        <v>186.15799999999999</v>
      </c>
      <c r="G151">
        <f t="shared" ca="1" si="8"/>
        <v>177.09860000000003</v>
      </c>
      <c r="H151">
        <f t="shared" ca="1" si="7"/>
        <v>178.33319999999992</v>
      </c>
      <c r="J151" s="1">
        <v>45509</v>
      </c>
      <c r="K151" vm="448">
        <v>186.8</v>
      </c>
    </row>
    <row r="152" spans="1:11" x14ac:dyDescent="0.25">
      <c r="A152" s="1">
        <f t="shared" ca="1" si="9"/>
        <v>45509</v>
      </c>
      <c r="B152" s="1" vm="450">
        <f ca="1"/>
        <v>45511</v>
      </c>
      <c r="C152" vm="448">
        <f ca="1"/>
        <v>186.8</v>
      </c>
      <c r="D152" vm="451">
        <f ca="1"/>
        <v>3801942</v>
      </c>
      <c r="E152">
        <f t="shared" ca="1" si="10"/>
        <v>189.41</v>
      </c>
      <c r="F152">
        <f t="shared" ca="1" si="11"/>
        <v>186.60599999999999</v>
      </c>
      <c r="G152">
        <f t="shared" ca="1" si="8"/>
        <v>177.41679999999997</v>
      </c>
      <c r="H152">
        <f t="shared" ca="1" si="7"/>
        <v>178.26689999999991</v>
      </c>
      <c r="J152" s="1">
        <v>45509</v>
      </c>
      <c r="K152" vm="448">
        <v>186.8</v>
      </c>
    </row>
    <row r="153" spans="1:11" x14ac:dyDescent="0.25">
      <c r="A153" s="1">
        <f t="shared" ca="1" si="9"/>
        <v>45509</v>
      </c>
      <c r="B153" s="1" vm="452">
        <f ca="1"/>
        <v>45512</v>
      </c>
      <c r="C153" vm="453">
        <f ca="1"/>
        <v>192.61</v>
      </c>
      <c r="D153" vm="454">
        <f ca="1"/>
        <v>3712698</v>
      </c>
      <c r="E153">
        <f t="shared" ca="1" si="10"/>
        <v>189.47300000000001</v>
      </c>
      <c r="F153">
        <f t="shared" ca="1" si="11"/>
        <v>187.321</v>
      </c>
      <c r="G153">
        <f t="shared" ca="1" si="8"/>
        <v>177.87580000000003</v>
      </c>
      <c r="H153">
        <f t="shared" ca="1" si="7"/>
        <v>178.28229999999994</v>
      </c>
      <c r="J153" s="1">
        <v>45509</v>
      </c>
      <c r="K153" vm="453">
        <v>192.61</v>
      </c>
    </row>
    <row r="154" spans="1:11" x14ac:dyDescent="0.25">
      <c r="A154" s="1">
        <f t="shared" ca="1" si="9"/>
        <v>45509</v>
      </c>
      <c r="B154" s="1" vm="455">
        <f ca="1"/>
        <v>45513</v>
      </c>
      <c r="C154" vm="456">
        <f ca="1"/>
        <v>191.45</v>
      </c>
      <c r="D154" vm="457">
        <f ca="1"/>
        <v>2773706</v>
      </c>
      <c r="E154">
        <f t="shared" ca="1" si="10"/>
        <v>189.44300000000001</v>
      </c>
      <c r="F154">
        <f t="shared" ca="1" si="11"/>
        <v>187.75199999999998</v>
      </c>
      <c r="G154">
        <f t="shared" ca="1" si="8"/>
        <v>178.36380000000005</v>
      </c>
      <c r="H154">
        <f t="shared" ca="1" si="7"/>
        <v>178.27989999999994</v>
      </c>
      <c r="J154" s="1">
        <v>45509</v>
      </c>
      <c r="K154" vm="456">
        <v>191.45</v>
      </c>
    </row>
    <row r="155" spans="1:11" x14ac:dyDescent="0.25">
      <c r="A155" s="1">
        <f t="shared" ca="1" si="9"/>
        <v>45516</v>
      </c>
      <c r="B155" s="1" vm="458">
        <f ca="1"/>
        <v>45516</v>
      </c>
      <c r="C155" vm="459">
        <f ca="1"/>
        <v>189.48</v>
      </c>
      <c r="D155" vm="460">
        <f ca="1"/>
        <v>2290421</v>
      </c>
      <c r="E155">
        <f t="shared" ca="1" si="10"/>
        <v>189.24100000000001</v>
      </c>
      <c r="F155">
        <f t="shared" ca="1" si="11"/>
        <v>188.08199999999999</v>
      </c>
      <c r="G155">
        <f t="shared" ca="1" si="8"/>
        <v>178.84080000000006</v>
      </c>
      <c r="H155">
        <f t="shared" ca="1" si="7"/>
        <v>178.24129999999994</v>
      </c>
      <c r="J155" s="1">
        <v>45516</v>
      </c>
      <c r="K155" vm="459">
        <v>189.48</v>
      </c>
    </row>
    <row r="156" spans="1:11" x14ac:dyDescent="0.25">
      <c r="A156" s="1">
        <f t="shared" ca="1" si="9"/>
        <v>45516</v>
      </c>
      <c r="B156" s="1" vm="461">
        <f ca="1"/>
        <v>45517</v>
      </c>
      <c r="C156" vm="462">
        <f ca="1"/>
        <v>190.99</v>
      </c>
      <c r="D156" vm="463">
        <f ca="1"/>
        <v>2178862</v>
      </c>
      <c r="E156">
        <f t="shared" ca="1" si="10"/>
        <v>189.23600000000002</v>
      </c>
      <c r="F156">
        <f t="shared" ca="1" si="11"/>
        <v>188.34099999999998</v>
      </c>
      <c r="G156">
        <f t="shared" ca="1" si="8"/>
        <v>179.3236</v>
      </c>
      <c r="H156">
        <f t="shared" ca="1" si="7"/>
        <v>178.2116</v>
      </c>
      <c r="J156" s="1">
        <v>45516</v>
      </c>
      <c r="K156" vm="462">
        <v>190.99</v>
      </c>
    </row>
    <row r="157" spans="1:11" x14ac:dyDescent="0.25">
      <c r="A157" s="1">
        <f t="shared" ca="1" si="9"/>
        <v>45516</v>
      </c>
      <c r="B157" s="1" vm="464">
        <f ca="1"/>
        <v>45518</v>
      </c>
      <c r="C157" vm="465">
        <f ca="1"/>
        <v>192.32</v>
      </c>
      <c r="D157" vm="466">
        <f ca="1"/>
        <v>1895114</v>
      </c>
      <c r="E157">
        <f t="shared" ca="1" si="10"/>
        <v>189.25399999999996</v>
      </c>
      <c r="F157">
        <f t="shared" ca="1" si="11"/>
        <v>188.58449999999999</v>
      </c>
      <c r="G157">
        <f t="shared" ca="1" si="8"/>
        <v>179.86440000000002</v>
      </c>
      <c r="H157">
        <f t="shared" ca="1" si="7"/>
        <v>178.21579999999997</v>
      </c>
      <c r="J157" s="1">
        <v>45516</v>
      </c>
      <c r="K157" vm="465">
        <v>192.32</v>
      </c>
    </row>
    <row r="158" spans="1:11" x14ac:dyDescent="0.25">
      <c r="A158" s="1">
        <f t="shared" ca="1" si="9"/>
        <v>45516</v>
      </c>
      <c r="B158" s="1" vm="467">
        <f ca="1"/>
        <v>45519</v>
      </c>
      <c r="C158" vm="468">
        <f ca="1"/>
        <v>193.95</v>
      </c>
      <c r="D158" vm="469">
        <f ca="1"/>
        <v>2471985</v>
      </c>
      <c r="E158">
        <f t="shared" ca="1" si="10"/>
        <v>189.68299999999999</v>
      </c>
      <c r="F158">
        <f t="shared" ca="1" si="11"/>
        <v>189.02100000000002</v>
      </c>
      <c r="G158">
        <f t="shared" ca="1" si="8"/>
        <v>180.4272</v>
      </c>
      <c r="H158">
        <f t="shared" ca="1" si="7"/>
        <v>178.24689999999998</v>
      </c>
      <c r="J158" s="1">
        <v>45516</v>
      </c>
      <c r="K158" vm="468">
        <v>193.95</v>
      </c>
    </row>
    <row r="159" spans="1:11" x14ac:dyDescent="0.25">
      <c r="A159" s="1">
        <f t="shared" ca="1" si="9"/>
        <v>45516</v>
      </c>
      <c r="B159" s="1" vm="470">
        <f ca="1"/>
        <v>45520</v>
      </c>
      <c r="C159" vm="471">
        <f ca="1"/>
        <v>193.78</v>
      </c>
      <c r="D159" vm="472">
        <f ca="1"/>
        <v>2494472</v>
      </c>
      <c r="E159">
        <f t="shared" ca="1" si="10"/>
        <v>190.149</v>
      </c>
      <c r="F159">
        <f t="shared" ca="1" si="11"/>
        <v>189.54750000000004</v>
      </c>
      <c r="G159">
        <f t="shared" ca="1" si="8"/>
        <v>180.95520000000005</v>
      </c>
      <c r="H159">
        <f t="shared" ca="1" si="7"/>
        <v>178.29679999999999</v>
      </c>
      <c r="J159" s="1">
        <v>45516</v>
      </c>
      <c r="K159" vm="471">
        <v>193.78</v>
      </c>
    </row>
    <row r="160" spans="1:11" x14ac:dyDescent="0.25">
      <c r="A160" s="1">
        <f t="shared" ca="1" si="9"/>
        <v>45523</v>
      </c>
      <c r="B160" s="1" vm="473">
        <f ca="1"/>
        <v>45523</v>
      </c>
      <c r="C160" vm="474">
        <f ca="1"/>
        <v>194.73</v>
      </c>
      <c r="D160" vm="475">
        <f ca="1"/>
        <v>2361378</v>
      </c>
      <c r="E160">
        <f t="shared" ca="1" si="10"/>
        <v>191.291</v>
      </c>
      <c r="F160">
        <f t="shared" ca="1" si="11"/>
        <v>190.07650000000007</v>
      </c>
      <c r="G160">
        <f t="shared" ca="1" si="8"/>
        <v>181.48580000000001</v>
      </c>
      <c r="H160">
        <f t="shared" ca="1" si="7"/>
        <v>178.35909999999996</v>
      </c>
      <c r="J160" s="1">
        <v>45523</v>
      </c>
      <c r="K160" vm="474">
        <v>194.73</v>
      </c>
    </row>
    <row r="161" spans="1:11" x14ac:dyDescent="0.25">
      <c r="A161" s="1">
        <f t="shared" ca="1" si="9"/>
        <v>45523</v>
      </c>
      <c r="B161" s="1" vm="476">
        <f ca="1"/>
        <v>45524</v>
      </c>
      <c r="C161" vm="477">
        <f ca="1"/>
        <v>196.03</v>
      </c>
      <c r="D161" vm="478">
        <f ca="1"/>
        <v>1790371</v>
      </c>
      <c r="E161">
        <f t="shared" ca="1" si="10"/>
        <v>192.214</v>
      </c>
      <c r="F161">
        <f t="shared" ca="1" si="11"/>
        <v>190.673</v>
      </c>
      <c r="G161">
        <f t="shared" ca="1" si="8"/>
        <v>182.00620000000004</v>
      </c>
      <c r="H161">
        <f t="shared" ca="1" si="7"/>
        <v>178.41139999999996</v>
      </c>
      <c r="J161" s="1">
        <v>45523</v>
      </c>
      <c r="K161" vm="477">
        <v>196.03</v>
      </c>
    </row>
    <row r="162" spans="1:11" x14ac:dyDescent="0.25">
      <c r="A162" s="1">
        <f t="shared" ca="1" si="9"/>
        <v>45523</v>
      </c>
      <c r="B162" s="1" vm="479">
        <f ca="1"/>
        <v>45525</v>
      </c>
      <c r="C162" vm="480">
        <f ca="1"/>
        <v>197.21</v>
      </c>
      <c r="D162" vm="481">
        <f ca="1"/>
        <v>2579343</v>
      </c>
      <c r="E162">
        <f t="shared" ca="1" si="10"/>
        <v>193.255</v>
      </c>
      <c r="F162">
        <f t="shared" ca="1" si="11"/>
        <v>191.33250000000004</v>
      </c>
      <c r="G162">
        <f t="shared" ca="1" si="8"/>
        <v>182.5428</v>
      </c>
      <c r="H162">
        <f t="shared" ca="1" si="7"/>
        <v>178.47389999999996</v>
      </c>
      <c r="J162" s="1">
        <v>45523</v>
      </c>
      <c r="K162" vm="480">
        <v>197.21</v>
      </c>
    </row>
    <row r="163" spans="1:11" x14ac:dyDescent="0.25">
      <c r="A163" s="1">
        <f t="shared" ca="1" si="9"/>
        <v>45523</v>
      </c>
      <c r="B163" s="1" vm="482">
        <f ca="1"/>
        <v>45526</v>
      </c>
      <c r="C163" vm="483">
        <f ca="1"/>
        <v>195.96</v>
      </c>
      <c r="D163" vm="484">
        <f ca="1"/>
        <v>1969496</v>
      </c>
      <c r="E163">
        <f t="shared" ca="1" si="10"/>
        <v>193.59</v>
      </c>
      <c r="F163">
        <f t="shared" ca="1" si="11"/>
        <v>191.53149999999999</v>
      </c>
      <c r="G163">
        <f t="shared" ca="1" si="8"/>
        <v>183.07559999999995</v>
      </c>
      <c r="H163">
        <f t="shared" ca="1" si="7"/>
        <v>178.53519999999992</v>
      </c>
      <c r="J163" s="1">
        <v>45523</v>
      </c>
      <c r="K163" vm="483">
        <v>195.96</v>
      </c>
    </row>
    <row r="164" spans="1:11" x14ac:dyDescent="0.25">
      <c r="A164" s="1">
        <f t="shared" ca="1" si="9"/>
        <v>45523</v>
      </c>
      <c r="B164" s="1" vm="485">
        <f ca="1"/>
        <v>45527</v>
      </c>
      <c r="C164" vm="486">
        <f ca="1"/>
        <v>196.1</v>
      </c>
      <c r="D164" vm="487">
        <f ca="1"/>
        <v>2321961</v>
      </c>
      <c r="E164">
        <f t="shared" ca="1" si="10"/>
        <v>194.05500000000001</v>
      </c>
      <c r="F164">
        <f t="shared" ca="1" si="11"/>
        <v>191.749</v>
      </c>
      <c r="G164">
        <f t="shared" ca="1" si="8"/>
        <v>183.61759999999995</v>
      </c>
      <c r="H164">
        <f t="shared" ca="1" si="7"/>
        <v>178.6073999999999</v>
      </c>
      <c r="J164" s="1">
        <v>45523</v>
      </c>
      <c r="K164" vm="486">
        <v>196.1</v>
      </c>
    </row>
    <row r="165" spans="1:11" x14ac:dyDescent="0.25">
      <c r="A165" s="1">
        <f t="shared" ca="1" si="9"/>
        <v>45530</v>
      </c>
      <c r="B165" s="1" vm="488">
        <f ca="1"/>
        <v>45530</v>
      </c>
      <c r="C165" vm="489">
        <f ca="1"/>
        <v>197.98</v>
      </c>
      <c r="D165" vm="490">
        <f ca="1"/>
        <v>2567217</v>
      </c>
      <c r="E165">
        <f t="shared" ca="1" si="10"/>
        <v>194.905</v>
      </c>
      <c r="F165">
        <f t="shared" ca="1" si="11"/>
        <v>192.07300000000004</v>
      </c>
      <c r="G165">
        <f t="shared" ca="1" si="8"/>
        <v>184.19479999999993</v>
      </c>
      <c r="H165">
        <f t="shared" ca="1" si="7"/>
        <v>178.67819999999992</v>
      </c>
      <c r="J165" s="1">
        <v>45530</v>
      </c>
      <c r="K165" vm="489">
        <v>197.98</v>
      </c>
    </row>
    <row r="166" spans="1:11" x14ac:dyDescent="0.25">
      <c r="A166" s="1">
        <f t="shared" ca="1" si="9"/>
        <v>45530</v>
      </c>
      <c r="B166" s="1" vm="491">
        <f ca="1"/>
        <v>45531</v>
      </c>
      <c r="C166" vm="492">
        <f ca="1"/>
        <v>198.73</v>
      </c>
      <c r="D166" vm="493">
        <f ca="1"/>
        <v>2617229</v>
      </c>
      <c r="E166">
        <f t="shared" ca="1" si="10"/>
        <v>195.679</v>
      </c>
      <c r="F166">
        <f t="shared" ca="1" si="11"/>
        <v>192.45750000000004</v>
      </c>
      <c r="G166">
        <f t="shared" ca="1" si="8"/>
        <v>184.78519999999992</v>
      </c>
      <c r="H166">
        <f t="shared" ref="H166:H229" ca="1" si="12">AVERAGE(C67:C166)</f>
        <v>178.78609999999992</v>
      </c>
      <c r="J166" s="1">
        <v>45530</v>
      </c>
      <c r="K166" vm="492">
        <v>198.73</v>
      </c>
    </row>
    <row r="167" spans="1:11" x14ac:dyDescent="0.25">
      <c r="A167" s="1">
        <f t="shared" ca="1" si="9"/>
        <v>45530</v>
      </c>
      <c r="B167" s="1" vm="494">
        <f ca="1"/>
        <v>45532</v>
      </c>
      <c r="C167" vm="495">
        <f ca="1"/>
        <v>198.46</v>
      </c>
      <c r="D167" vm="496">
        <f ca="1"/>
        <v>2645244</v>
      </c>
      <c r="E167">
        <f t="shared" ca="1" si="10"/>
        <v>196.29300000000001</v>
      </c>
      <c r="F167">
        <f t="shared" ca="1" si="11"/>
        <v>192.77350000000001</v>
      </c>
      <c r="G167">
        <f t="shared" ca="1" si="8"/>
        <v>185.3643999999999</v>
      </c>
      <c r="H167">
        <f t="shared" ca="1" si="12"/>
        <v>178.87929999999994</v>
      </c>
      <c r="J167" s="1">
        <v>45530</v>
      </c>
      <c r="K167" vm="495">
        <v>198.46</v>
      </c>
    </row>
    <row r="168" spans="1:11" x14ac:dyDescent="0.25">
      <c r="A168" s="1">
        <f t="shared" ca="1" si="9"/>
        <v>45530</v>
      </c>
      <c r="B168" s="1" vm="497">
        <f ca="1"/>
        <v>45533</v>
      </c>
      <c r="C168" vm="498">
        <f ca="1"/>
        <v>198.9</v>
      </c>
      <c r="D168" vm="499">
        <f ca="1"/>
        <v>2989594</v>
      </c>
      <c r="E168">
        <f t="shared" ca="1" si="10"/>
        <v>196.78800000000001</v>
      </c>
      <c r="F168">
        <f t="shared" ca="1" si="11"/>
        <v>193.23550000000003</v>
      </c>
      <c r="G168">
        <f t="shared" ca="1" si="8"/>
        <v>185.93139999999991</v>
      </c>
      <c r="H168">
        <f t="shared" ca="1" si="12"/>
        <v>178.97009999999995</v>
      </c>
      <c r="J168" s="1">
        <v>45530</v>
      </c>
      <c r="K168" vm="498">
        <v>198.9</v>
      </c>
    </row>
    <row r="169" spans="1:11" x14ac:dyDescent="0.25">
      <c r="A169" s="1">
        <f t="shared" ca="1" si="9"/>
        <v>45530</v>
      </c>
      <c r="B169" s="1" vm="500">
        <f ca="1"/>
        <v>45534</v>
      </c>
      <c r="C169" vm="501">
        <f ca="1"/>
        <v>202.13</v>
      </c>
      <c r="D169" vm="502">
        <f ca="1"/>
        <v>4750999</v>
      </c>
      <c r="E169">
        <f t="shared" ca="1" si="10"/>
        <v>197.62299999999999</v>
      </c>
      <c r="F169">
        <f t="shared" ca="1" si="11"/>
        <v>193.88600000000002</v>
      </c>
      <c r="G169">
        <f t="shared" ca="1" si="8"/>
        <v>186.49559999999991</v>
      </c>
      <c r="H169">
        <f t="shared" ca="1" si="12"/>
        <v>179.09829999999999</v>
      </c>
      <c r="J169" s="1">
        <v>45530</v>
      </c>
      <c r="K169" vm="501">
        <v>202.13</v>
      </c>
    </row>
    <row r="170" spans="1:11" x14ac:dyDescent="0.25">
      <c r="A170" s="1">
        <f t="shared" ca="1" si="9"/>
        <v>45537</v>
      </c>
      <c r="B170" s="1" vm="503">
        <f ca="1"/>
        <v>45538</v>
      </c>
      <c r="C170" vm="504">
        <f ca="1"/>
        <v>201.28</v>
      </c>
      <c r="D170" vm="505">
        <f ca="1"/>
        <v>3874697</v>
      </c>
      <c r="E170">
        <f t="shared" ca="1" si="10"/>
        <v>198.27799999999999</v>
      </c>
      <c r="F170">
        <f t="shared" ca="1" si="11"/>
        <v>194.78450000000004</v>
      </c>
      <c r="G170">
        <f t="shared" ca="1" si="8"/>
        <v>187.07199999999995</v>
      </c>
      <c r="H170">
        <f t="shared" ca="1" si="12"/>
        <v>179.25069999999997</v>
      </c>
      <c r="J170" s="1">
        <v>45537</v>
      </c>
      <c r="K170" vm="504">
        <v>201.28</v>
      </c>
    </row>
    <row r="171" spans="1:11" x14ac:dyDescent="0.25">
      <c r="A171" s="1">
        <f t="shared" ca="1" si="9"/>
        <v>45537</v>
      </c>
      <c r="B171" s="1" vm="506">
        <f ca="1"/>
        <v>45539</v>
      </c>
      <c r="C171" vm="507">
        <f ca="1"/>
        <v>204.11</v>
      </c>
      <c r="D171" vm="508">
        <f ca="1"/>
        <v>3142476</v>
      </c>
      <c r="E171">
        <f t="shared" ca="1" si="10"/>
        <v>199.08600000000001</v>
      </c>
      <c r="F171">
        <f t="shared" ca="1" si="11"/>
        <v>195.65000000000003</v>
      </c>
      <c r="G171">
        <f t="shared" ca="1" si="8"/>
        <v>187.65399999999994</v>
      </c>
      <c r="H171">
        <f t="shared" ca="1" si="12"/>
        <v>179.43279999999999</v>
      </c>
      <c r="J171" s="1">
        <v>45537</v>
      </c>
      <c r="K171" vm="507">
        <v>204.11</v>
      </c>
    </row>
    <row r="172" spans="1:11" x14ac:dyDescent="0.25">
      <c r="A172" s="1">
        <f t="shared" ca="1" si="9"/>
        <v>45537</v>
      </c>
      <c r="B172" s="1" vm="509">
        <f ca="1"/>
        <v>45540</v>
      </c>
      <c r="C172" vm="510">
        <f ca="1"/>
        <v>202.59</v>
      </c>
      <c r="D172" vm="511">
        <f ca="1"/>
        <v>3229345</v>
      </c>
      <c r="E172">
        <f t="shared" ca="1" si="10"/>
        <v>199.624</v>
      </c>
      <c r="F172">
        <f t="shared" ca="1" si="11"/>
        <v>196.43950000000001</v>
      </c>
      <c r="G172">
        <f t="shared" ca="1" si="8"/>
        <v>188.25379999999993</v>
      </c>
      <c r="H172">
        <f t="shared" ca="1" si="12"/>
        <v>179.63600000000002</v>
      </c>
      <c r="J172" s="1">
        <v>45537</v>
      </c>
      <c r="K172" vm="510">
        <v>202.59</v>
      </c>
    </row>
    <row r="173" spans="1:11" x14ac:dyDescent="0.25">
      <c r="A173" s="1">
        <f t="shared" ca="1" si="9"/>
        <v>45537</v>
      </c>
      <c r="B173" s="1" vm="512">
        <f ca="1"/>
        <v>45541</v>
      </c>
      <c r="C173" vm="513">
        <f ca="1"/>
        <v>200.74</v>
      </c>
      <c r="D173" vm="514">
        <f ca="1"/>
        <v>3304491</v>
      </c>
      <c r="E173">
        <f t="shared" ca="1" si="10"/>
        <v>200.102</v>
      </c>
      <c r="F173">
        <f t="shared" ca="1" si="11"/>
        <v>196.84600000000006</v>
      </c>
      <c r="G173">
        <f t="shared" ca="1" si="8"/>
        <v>188.83119999999997</v>
      </c>
      <c r="H173">
        <f t="shared" ca="1" si="12"/>
        <v>179.83090000000004</v>
      </c>
      <c r="J173" s="1">
        <v>45537</v>
      </c>
      <c r="K173" vm="513">
        <v>200.74</v>
      </c>
    </row>
    <row r="174" spans="1:11" x14ac:dyDescent="0.25">
      <c r="A174" s="1">
        <f t="shared" ca="1" si="9"/>
        <v>45544</v>
      </c>
      <c r="B174" s="1" vm="515">
        <f ca="1"/>
        <v>45544</v>
      </c>
      <c r="C174" vm="516">
        <f ca="1"/>
        <v>203.53</v>
      </c>
      <c r="D174" vm="517">
        <f ca="1"/>
        <v>3705004</v>
      </c>
      <c r="E174">
        <f t="shared" ca="1" si="10"/>
        <v>200.845</v>
      </c>
      <c r="F174">
        <f t="shared" ca="1" si="11"/>
        <v>197.45000000000002</v>
      </c>
      <c r="G174">
        <f t="shared" ca="1" si="8"/>
        <v>189.48479999999995</v>
      </c>
      <c r="H174">
        <f t="shared" ca="1" si="12"/>
        <v>180.02870000000001</v>
      </c>
      <c r="J174" s="1">
        <v>45544</v>
      </c>
      <c r="K174" vm="516">
        <v>203.53</v>
      </c>
    </row>
    <row r="175" spans="1:11" x14ac:dyDescent="0.25">
      <c r="A175" s="1">
        <f t="shared" ca="1" si="9"/>
        <v>45544</v>
      </c>
      <c r="B175" s="1" vm="518">
        <f ca="1"/>
        <v>45545</v>
      </c>
      <c r="C175" vm="519">
        <f ca="1"/>
        <v>205.32</v>
      </c>
      <c r="D175" vm="520">
        <f ca="1"/>
        <v>3070644</v>
      </c>
      <c r="E175">
        <f t="shared" ca="1" si="10"/>
        <v>201.57900000000001</v>
      </c>
      <c r="F175">
        <f t="shared" ca="1" si="11"/>
        <v>198.24200000000005</v>
      </c>
      <c r="G175">
        <f t="shared" ca="1" si="8"/>
        <v>190.13219999999993</v>
      </c>
      <c r="H175">
        <f t="shared" ca="1" si="12"/>
        <v>180.2509</v>
      </c>
      <c r="J175" s="1">
        <v>45544</v>
      </c>
      <c r="K175" vm="519">
        <v>205.32</v>
      </c>
    </row>
    <row r="176" spans="1:11" x14ac:dyDescent="0.25">
      <c r="A176" s="1">
        <f t="shared" ca="1" si="9"/>
        <v>45544</v>
      </c>
      <c r="B176" s="1" vm="521">
        <f ca="1"/>
        <v>45546</v>
      </c>
      <c r="C176" vm="522">
        <f ca="1"/>
        <v>209.89</v>
      </c>
      <c r="D176" vm="523">
        <f ca="1"/>
        <v>5554309</v>
      </c>
      <c r="E176">
        <f t="shared" ca="1" si="10"/>
        <v>202.69499999999999</v>
      </c>
      <c r="F176">
        <f t="shared" ca="1" si="11"/>
        <v>199.18700000000007</v>
      </c>
      <c r="G176">
        <f t="shared" ca="1" si="8"/>
        <v>190.82799999999995</v>
      </c>
      <c r="H176">
        <f t="shared" ca="1" si="12"/>
        <v>180.53509999999997</v>
      </c>
      <c r="J176" s="1">
        <v>45544</v>
      </c>
      <c r="K176" vm="522">
        <v>209.89</v>
      </c>
    </row>
    <row r="177" spans="1:11" x14ac:dyDescent="0.25">
      <c r="A177" s="1">
        <f t="shared" ca="1" si="9"/>
        <v>45544</v>
      </c>
      <c r="B177" s="1" vm="524">
        <f ca="1"/>
        <v>45547</v>
      </c>
      <c r="C177" vm="525">
        <f ca="1"/>
        <v>211.61</v>
      </c>
      <c r="D177" vm="526">
        <f ca="1"/>
        <v>4616446</v>
      </c>
      <c r="E177">
        <f t="shared" ca="1" si="10"/>
        <v>204.01</v>
      </c>
      <c r="F177">
        <f t="shared" ca="1" si="11"/>
        <v>200.15150000000003</v>
      </c>
      <c r="G177">
        <f t="shared" ca="1" si="8"/>
        <v>191.51419999999996</v>
      </c>
      <c r="H177">
        <f t="shared" ca="1" si="12"/>
        <v>180.83539999999996</v>
      </c>
      <c r="J177" s="1">
        <v>45544</v>
      </c>
      <c r="K177" vm="525">
        <v>211.61</v>
      </c>
    </row>
    <row r="178" spans="1:11" x14ac:dyDescent="0.25">
      <c r="A178" s="1">
        <f t="shared" ca="1" si="9"/>
        <v>45544</v>
      </c>
      <c r="B178" s="1" vm="527">
        <f ca="1"/>
        <v>45548</v>
      </c>
      <c r="C178" vm="528">
        <f ca="1"/>
        <v>214.79</v>
      </c>
      <c r="D178" vm="529">
        <f ca="1"/>
        <v>4572344</v>
      </c>
      <c r="E178">
        <f t="shared" ca="1" si="10"/>
        <v>205.59900000000002</v>
      </c>
      <c r="F178">
        <f t="shared" ca="1" si="11"/>
        <v>201.19350000000003</v>
      </c>
      <c r="G178">
        <f t="shared" ca="1" si="8"/>
        <v>192.29539999999994</v>
      </c>
      <c r="H178">
        <f t="shared" ca="1" si="12"/>
        <v>181.16429999999997</v>
      </c>
      <c r="J178" s="1">
        <v>45544</v>
      </c>
      <c r="K178" vm="528">
        <v>214.79</v>
      </c>
    </row>
    <row r="179" spans="1:11" x14ac:dyDescent="0.25">
      <c r="A179" s="1">
        <f t="shared" ca="1" si="9"/>
        <v>45551</v>
      </c>
      <c r="B179" s="1" vm="530">
        <f ca="1"/>
        <v>45551</v>
      </c>
      <c r="C179" vm="531">
        <f ca="1"/>
        <v>217.16</v>
      </c>
      <c r="D179" vm="532">
        <f ca="1"/>
        <v>4176257</v>
      </c>
      <c r="E179">
        <f t="shared" ca="1" si="10"/>
        <v>207.102</v>
      </c>
      <c r="F179">
        <f t="shared" ca="1" si="11"/>
        <v>202.36250000000004</v>
      </c>
      <c r="G179">
        <f t="shared" ca="1" si="8"/>
        <v>193.11819999999992</v>
      </c>
      <c r="H179">
        <f t="shared" ca="1" si="12"/>
        <v>181.51399999999998</v>
      </c>
      <c r="J179" s="1">
        <v>45551</v>
      </c>
      <c r="K179" vm="531">
        <v>217.16</v>
      </c>
    </row>
    <row r="180" spans="1:11" x14ac:dyDescent="0.25">
      <c r="A180" s="1">
        <f t="shared" ca="1" si="9"/>
        <v>45551</v>
      </c>
      <c r="B180" s="1" vm="533">
        <f ca="1"/>
        <v>45552</v>
      </c>
      <c r="C180" vm="534">
        <f ca="1"/>
        <v>214.13</v>
      </c>
      <c r="D180" vm="535">
        <f ca="1"/>
        <v>5635210</v>
      </c>
      <c r="E180">
        <f t="shared" ca="1" si="10"/>
        <v>208.387</v>
      </c>
      <c r="F180">
        <f t="shared" ca="1" si="11"/>
        <v>203.33250000000004</v>
      </c>
      <c r="G180">
        <f t="shared" ref="G180:G243" ca="1" si="13">AVERAGE(C131:C180)</f>
        <v>193.84799999999996</v>
      </c>
      <c r="H180">
        <f t="shared" ca="1" si="12"/>
        <v>181.81429999999997</v>
      </c>
      <c r="J180" s="1">
        <v>45551</v>
      </c>
      <c r="K180" vm="534">
        <v>214.13</v>
      </c>
    </row>
    <row r="181" spans="1:11" x14ac:dyDescent="0.25">
      <c r="A181" s="1">
        <f t="shared" ca="1" si="9"/>
        <v>45551</v>
      </c>
      <c r="B181" s="1" vm="536">
        <f ca="1"/>
        <v>45553</v>
      </c>
      <c r="C181" vm="537">
        <f ca="1"/>
        <v>214.94</v>
      </c>
      <c r="D181" vm="538">
        <f ca="1"/>
        <v>3482764</v>
      </c>
      <c r="E181">
        <f t="shared" ca="1" si="10"/>
        <v>209.47000000000003</v>
      </c>
      <c r="F181">
        <f t="shared" ca="1" si="11"/>
        <v>204.27800000000005</v>
      </c>
      <c r="G181">
        <f t="shared" ca="1" si="13"/>
        <v>194.61719999999994</v>
      </c>
      <c r="H181">
        <f t="shared" ca="1" si="12"/>
        <v>182.27459999999999</v>
      </c>
      <c r="J181" s="1">
        <v>45551</v>
      </c>
      <c r="K181" vm="537">
        <v>214.94</v>
      </c>
    </row>
    <row r="182" spans="1:11" x14ac:dyDescent="0.25">
      <c r="A182" s="1">
        <f t="shared" ca="1" si="9"/>
        <v>45551</v>
      </c>
      <c r="B182" s="1" vm="539">
        <f ca="1"/>
        <v>45554</v>
      </c>
      <c r="C182" vm="540">
        <f ca="1"/>
        <v>213.89</v>
      </c>
      <c r="D182" vm="541">
        <f ca="1"/>
        <v>5279559</v>
      </c>
      <c r="E182">
        <f t="shared" ca="1" si="10"/>
        <v>210.6</v>
      </c>
      <c r="F182">
        <f t="shared" ca="1" si="11"/>
        <v>205.11200000000002</v>
      </c>
      <c r="G182">
        <f t="shared" ca="1" si="13"/>
        <v>195.33819999999992</v>
      </c>
      <c r="H182">
        <f t="shared" ca="1" si="12"/>
        <v>182.74219999999997</v>
      </c>
      <c r="J182" s="1">
        <v>45551</v>
      </c>
      <c r="K182" vm="540">
        <v>213.89</v>
      </c>
    </row>
    <row r="183" spans="1:11" x14ac:dyDescent="0.25">
      <c r="A183" s="1">
        <f t="shared" ca="1" si="9"/>
        <v>45551</v>
      </c>
      <c r="B183" s="1" vm="542">
        <f ca="1"/>
        <v>45555</v>
      </c>
      <c r="C183" vm="543">
        <f ca="1"/>
        <v>217.7</v>
      </c>
      <c r="D183" vm="544">
        <f ca="1"/>
        <v>9958980</v>
      </c>
      <c r="E183">
        <f t="shared" ca="1" si="10"/>
        <v>212.29599999999999</v>
      </c>
      <c r="F183">
        <f t="shared" ca="1" si="11"/>
        <v>206.19900000000001</v>
      </c>
      <c r="G183">
        <f t="shared" ca="1" si="13"/>
        <v>196.12599999999995</v>
      </c>
      <c r="H183">
        <f t="shared" ca="1" si="12"/>
        <v>183.24489999999997</v>
      </c>
      <c r="J183" s="1">
        <v>45551</v>
      </c>
      <c r="K183" vm="543">
        <v>217.7</v>
      </c>
    </row>
    <row r="184" spans="1:11" x14ac:dyDescent="0.25">
      <c r="A184" s="1">
        <f t="shared" ca="1" si="9"/>
        <v>45558</v>
      </c>
      <c r="B184" s="1" vm="545">
        <f ca="1"/>
        <v>45558</v>
      </c>
      <c r="C184" vm="546">
        <f ca="1"/>
        <v>220.5</v>
      </c>
      <c r="D184" vm="547">
        <f ca="1"/>
        <v>4074755</v>
      </c>
      <c r="E184">
        <f t="shared" ca="1" si="10"/>
        <v>213.99300000000002</v>
      </c>
      <c r="F184">
        <f t="shared" ca="1" si="11"/>
        <v>207.41899999999995</v>
      </c>
      <c r="G184">
        <f t="shared" ca="1" si="13"/>
        <v>196.87939999999995</v>
      </c>
      <c r="H184">
        <f t="shared" ca="1" si="12"/>
        <v>183.78790000000001</v>
      </c>
      <c r="J184" s="1">
        <v>45558</v>
      </c>
      <c r="K184" vm="546">
        <v>220.5</v>
      </c>
    </row>
    <row r="185" spans="1:11" x14ac:dyDescent="0.25">
      <c r="A185" s="1">
        <f t="shared" ca="1" si="9"/>
        <v>45558</v>
      </c>
      <c r="B185" s="1" vm="548">
        <f ca="1"/>
        <v>45559</v>
      </c>
      <c r="C185" vm="549">
        <f ca="1"/>
        <v>220.97</v>
      </c>
      <c r="D185" vm="550">
        <f ca="1"/>
        <v>3184114</v>
      </c>
      <c r="E185">
        <f t="shared" ca="1" si="10"/>
        <v>215.55799999999999</v>
      </c>
      <c r="F185">
        <f t="shared" ca="1" si="11"/>
        <v>208.5685</v>
      </c>
      <c r="G185">
        <f t="shared" ca="1" si="13"/>
        <v>197.64119999999991</v>
      </c>
      <c r="H185">
        <f t="shared" ca="1" si="12"/>
        <v>184.35330000000002</v>
      </c>
      <c r="J185" s="1">
        <v>45558</v>
      </c>
      <c r="K185" vm="549">
        <v>220.97</v>
      </c>
    </row>
    <row r="186" spans="1:11" x14ac:dyDescent="0.25">
      <c r="A186" s="1">
        <f t="shared" ca="1" si="9"/>
        <v>45558</v>
      </c>
      <c r="B186" s="1" vm="551">
        <f ca="1"/>
        <v>45560</v>
      </c>
      <c r="C186" vm="552">
        <f ca="1"/>
        <v>221.23</v>
      </c>
      <c r="D186" vm="553">
        <f ca="1"/>
        <v>2537751</v>
      </c>
      <c r="E186">
        <f t="shared" ca="1" si="10"/>
        <v>216.69200000000001</v>
      </c>
      <c r="F186">
        <f t="shared" ca="1" si="11"/>
        <v>209.69349999999994</v>
      </c>
      <c r="G186">
        <f t="shared" ca="1" si="13"/>
        <v>198.34959999999992</v>
      </c>
      <c r="H186">
        <f t="shared" ca="1" si="12"/>
        <v>184.9187</v>
      </c>
      <c r="J186" s="1">
        <v>45558</v>
      </c>
      <c r="K186" vm="552">
        <v>221.23</v>
      </c>
    </row>
    <row r="187" spans="1:11" x14ac:dyDescent="0.25">
      <c r="A187" s="1">
        <f t="shared" ca="1" si="9"/>
        <v>45558</v>
      </c>
      <c r="B187" s="1" vm="554">
        <f ca="1"/>
        <v>45561</v>
      </c>
      <c r="C187" vm="555">
        <f ca="1"/>
        <v>223.43</v>
      </c>
      <c r="D187" vm="556">
        <f ca="1"/>
        <v>2673210</v>
      </c>
      <c r="E187">
        <f t="shared" ca="1" si="10"/>
        <v>217.87399999999997</v>
      </c>
      <c r="F187">
        <f t="shared" ca="1" si="11"/>
        <v>210.94199999999995</v>
      </c>
      <c r="G187">
        <f t="shared" ca="1" si="13"/>
        <v>199.06919999999994</v>
      </c>
      <c r="H187">
        <f t="shared" ca="1" si="12"/>
        <v>185.49590000000001</v>
      </c>
      <c r="J187" s="1">
        <v>45558</v>
      </c>
      <c r="K187" vm="555">
        <v>223.43</v>
      </c>
    </row>
    <row r="188" spans="1:11" x14ac:dyDescent="0.25">
      <c r="A188" s="1">
        <f t="shared" ca="1" si="9"/>
        <v>45558</v>
      </c>
      <c r="B188" s="1" vm="557">
        <f ca="1"/>
        <v>45562</v>
      </c>
      <c r="C188" vm="558">
        <f ca="1"/>
        <v>220.84</v>
      </c>
      <c r="D188" vm="559">
        <f ca="1"/>
        <v>3830335</v>
      </c>
      <c r="E188">
        <f t="shared" ca="1" si="10"/>
        <v>218.47899999999998</v>
      </c>
      <c r="F188">
        <f t="shared" ca="1" si="11"/>
        <v>212.03899999999999</v>
      </c>
      <c r="G188">
        <f t="shared" ca="1" si="13"/>
        <v>199.78159999999997</v>
      </c>
      <c r="H188">
        <f t="shared" ca="1" si="12"/>
        <v>186.01820000000001</v>
      </c>
      <c r="J188" s="1">
        <v>45558</v>
      </c>
      <c r="K188" vm="558">
        <v>220.84</v>
      </c>
    </row>
    <row r="189" spans="1:11" x14ac:dyDescent="0.25">
      <c r="A189" s="1">
        <f t="shared" ca="1" si="9"/>
        <v>45565</v>
      </c>
      <c r="B189" s="1" vm="560">
        <f ca="1"/>
        <v>45565</v>
      </c>
      <c r="C189" vm="561">
        <f ca="1"/>
        <v>221.08</v>
      </c>
      <c r="D189" vm="562">
        <f ca="1"/>
        <v>3544264</v>
      </c>
      <c r="E189">
        <f t="shared" ca="1" si="10"/>
        <v>218.87100000000001</v>
      </c>
      <c r="F189">
        <f t="shared" ca="1" si="11"/>
        <v>212.98649999999998</v>
      </c>
      <c r="G189">
        <f t="shared" ca="1" si="13"/>
        <v>200.53819999999996</v>
      </c>
      <c r="H189">
        <f t="shared" ca="1" si="12"/>
        <v>186.54520000000005</v>
      </c>
      <c r="J189" s="1">
        <v>45565</v>
      </c>
      <c r="K189" vm="561">
        <v>221.08</v>
      </c>
    </row>
    <row r="190" spans="1:11" x14ac:dyDescent="0.25">
      <c r="A190" s="1">
        <f t="shared" ca="1" si="9"/>
        <v>45565</v>
      </c>
      <c r="B190" s="1" vm="563">
        <f ca="1"/>
        <v>45566</v>
      </c>
      <c r="C190" vm="564">
        <f ca="1"/>
        <v>219.35</v>
      </c>
      <c r="D190" vm="565">
        <f ca="1"/>
        <v>3548374</v>
      </c>
      <c r="E190">
        <f t="shared" ca="1" si="10"/>
        <v>219.39299999999997</v>
      </c>
      <c r="F190">
        <f t="shared" ca="1" si="11"/>
        <v>213.88999999999996</v>
      </c>
      <c r="G190">
        <f t="shared" ca="1" si="13"/>
        <v>201.24219999999997</v>
      </c>
      <c r="H190">
        <f t="shared" ca="1" si="12"/>
        <v>187.03970000000001</v>
      </c>
      <c r="J190" s="1">
        <v>45565</v>
      </c>
      <c r="K190" vm="564">
        <v>219.35</v>
      </c>
    </row>
    <row r="191" spans="1:11" x14ac:dyDescent="0.25">
      <c r="A191" s="1">
        <f t="shared" ca="1" si="9"/>
        <v>45565</v>
      </c>
      <c r="B191" s="1" vm="566">
        <f ca="1"/>
        <v>45567</v>
      </c>
      <c r="C191" vm="567">
        <f ca="1"/>
        <v>219.73</v>
      </c>
      <c r="D191" vm="568">
        <f ca="1"/>
        <v>3343399</v>
      </c>
      <c r="E191">
        <f t="shared" ca="1" si="10"/>
        <v>219.87199999999999</v>
      </c>
      <c r="F191">
        <f t="shared" ca="1" si="11"/>
        <v>214.67099999999996</v>
      </c>
      <c r="G191">
        <f t="shared" ca="1" si="13"/>
        <v>201.95479999999995</v>
      </c>
      <c r="H191">
        <f t="shared" ca="1" si="12"/>
        <v>187.57429999999999</v>
      </c>
      <c r="J191" s="1">
        <v>45565</v>
      </c>
      <c r="K191" vm="567">
        <v>219.73</v>
      </c>
    </row>
    <row r="192" spans="1:11" x14ac:dyDescent="0.25">
      <c r="A192" s="1">
        <f t="shared" ca="1" si="9"/>
        <v>45565</v>
      </c>
      <c r="B192" s="1" vm="569">
        <f ca="1"/>
        <v>45568</v>
      </c>
      <c r="C192" vm="570">
        <f ca="1"/>
        <v>222.72</v>
      </c>
      <c r="D192" vm="571">
        <f ca="1"/>
        <v>3788265</v>
      </c>
      <c r="E192">
        <f t="shared" ca="1" si="10"/>
        <v>220.75499999999997</v>
      </c>
      <c r="F192">
        <f t="shared" ca="1" si="11"/>
        <v>215.67749999999995</v>
      </c>
      <c r="G192">
        <f t="shared" ca="1" si="13"/>
        <v>202.72879999999995</v>
      </c>
      <c r="H192">
        <f t="shared" ca="1" si="12"/>
        <v>188.13000000000002</v>
      </c>
      <c r="J192" s="1">
        <v>45565</v>
      </c>
      <c r="K192" vm="570">
        <v>222.72</v>
      </c>
    </row>
    <row r="193" spans="1:11" x14ac:dyDescent="0.25">
      <c r="A193" s="1">
        <f t="shared" ca="1" si="9"/>
        <v>45565</v>
      </c>
      <c r="B193" s="1" vm="572">
        <f ca="1"/>
        <v>45569</v>
      </c>
      <c r="C193" vm="573">
        <f ca="1"/>
        <v>226</v>
      </c>
      <c r="D193" vm="574">
        <f ca="1"/>
        <v>3554328</v>
      </c>
      <c r="E193">
        <f t="shared" ca="1" si="10"/>
        <v>221.58499999999998</v>
      </c>
      <c r="F193">
        <f t="shared" ca="1" si="11"/>
        <v>216.94049999999999</v>
      </c>
      <c r="G193">
        <f t="shared" ca="1" si="13"/>
        <v>203.40919999999994</v>
      </c>
      <c r="H193">
        <f t="shared" ca="1" si="12"/>
        <v>188.71440000000001</v>
      </c>
      <c r="J193" s="1">
        <v>45565</v>
      </c>
      <c r="K193" vm="573">
        <v>226</v>
      </c>
    </row>
    <row r="194" spans="1:11" x14ac:dyDescent="0.25">
      <c r="A194" s="1">
        <f t="shared" ca="1" si="9"/>
        <v>45572</v>
      </c>
      <c r="B194" s="1" vm="575">
        <f ca="1"/>
        <v>45572</v>
      </c>
      <c r="C194" vm="576">
        <f ca="1"/>
        <v>227.12</v>
      </c>
      <c r="D194" vm="577">
        <f ca="1"/>
        <v>3457952</v>
      </c>
      <c r="E194">
        <f t="shared" ca="1" si="10"/>
        <v>222.24699999999999</v>
      </c>
      <c r="F194">
        <f t="shared" ca="1" si="11"/>
        <v>218.11999999999998</v>
      </c>
      <c r="G194">
        <f t="shared" ca="1" si="13"/>
        <v>204.11659999999995</v>
      </c>
      <c r="H194">
        <f t="shared" ca="1" si="12"/>
        <v>189.31200000000001</v>
      </c>
      <c r="J194" s="1">
        <v>45572</v>
      </c>
      <c r="K194" vm="576">
        <v>227.12</v>
      </c>
    </row>
    <row r="195" spans="1:11" x14ac:dyDescent="0.25">
      <c r="A195" s="1">
        <f t="shared" ref="A195:A258" ca="1" si="14">B195 - WEEKDAY(B195, 2) + 1</f>
        <v>45572</v>
      </c>
      <c r="B195" s="1" vm="578">
        <f ca="1"/>
        <v>45573</v>
      </c>
      <c r="C195" vm="579">
        <f ca="1"/>
        <v>228.62</v>
      </c>
      <c r="D195" vm="580">
        <f ca="1"/>
        <v>3245342</v>
      </c>
      <c r="E195">
        <f t="shared" ca="1" si="10"/>
        <v>223.012</v>
      </c>
      <c r="F195">
        <f t="shared" ca="1" si="11"/>
        <v>219.285</v>
      </c>
      <c r="G195">
        <f t="shared" ca="1" si="13"/>
        <v>204.85900000000001</v>
      </c>
      <c r="H195">
        <f t="shared" ca="1" si="12"/>
        <v>189.91560000000001</v>
      </c>
      <c r="J195" s="1">
        <v>45572</v>
      </c>
      <c r="K195" vm="579">
        <v>228.62</v>
      </c>
    </row>
    <row r="196" spans="1:11" x14ac:dyDescent="0.25">
      <c r="A196" s="1">
        <f t="shared" ca="1" si="14"/>
        <v>45572</v>
      </c>
      <c r="B196" s="1" vm="581">
        <f ca="1"/>
        <v>45574</v>
      </c>
      <c r="C196" vm="582">
        <f ca="1"/>
        <v>234.3</v>
      </c>
      <c r="D196" vm="583">
        <f ca="1"/>
        <v>5083566</v>
      </c>
      <c r="E196">
        <f t="shared" ca="1" si="10"/>
        <v>224.31900000000002</v>
      </c>
      <c r="F196">
        <f t="shared" ca="1" si="11"/>
        <v>220.50549999999998</v>
      </c>
      <c r="G196">
        <f t="shared" ca="1" si="13"/>
        <v>205.7242</v>
      </c>
      <c r="H196">
        <f t="shared" ca="1" si="12"/>
        <v>190.56889999999999</v>
      </c>
      <c r="J196" s="1">
        <v>45572</v>
      </c>
      <c r="K196" vm="582">
        <v>234.3</v>
      </c>
    </row>
    <row r="197" spans="1:11" x14ac:dyDescent="0.25">
      <c r="A197" s="1">
        <f t="shared" ca="1" si="14"/>
        <v>45572</v>
      </c>
      <c r="B197" s="1" vm="584">
        <f ca="1"/>
        <v>45575</v>
      </c>
      <c r="C197" vm="585">
        <f ca="1"/>
        <v>233.02</v>
      </c>
      <c r="D197" vm="586">
        <f ca="1"/>
        <v>3142031</v>
      </c>
      <c r="E197">
        <f t="shared" ca="1" si="10"/>
        <v>225.27800000000002</v>
      </c>
      <c r="F197">
        <f t="shared" ca="1" si="11"/>
        <v>221.57599999999996</v>
      </c>
      <c r="G197">
        <f t="shared" ca="1" si="13"/>
        <v>206.54179999999997</v>
      </c>
      <c r="H197">
        <f t="shared" ca="1" si="12"/>
        <v>191.20879999999997</v>
      </c>
      <c r="J197" s="1">
        <v>45572</v>
      </c>
      <c r="K197" vm="585">
        <v>233.02</v>
      </c>
    </row>
    <row r="198" spans="1:11" x14ac:dyDescent="0.25">
      <c r="A198" s="1">
        <f t="shared" ca="1" si="14"/>
        <v>45572</v>
      </c>
      <c r="B198" s="1" vm="587">
        <f ca="1"/>
        <v>45576</v>
      </c>
      <c r="C198" vm="588">
        <f ca="1"/>
        <v>233.26</v>
      </c>
      <c r="D198" vm="589">
        <f ca="1"/>
        <v>3469322</v>
      </c>
      <c r="E198">
        <f t="shared" ca="1" si="10"/>
        <v>226.51999999999998</v>
      </c>
      <c r="F198">
        <f t="shared" ca="1" si="11"/>
        <v>222.49949999999998</v>
      </c>
      <c r="G198">
        <f t="shared" ca="1" si="13"/>
        <v>207.41380000000001</v>
      </c>
      <c r="H198">
        <f t="shared" ca="1" si="12"/>
        <v>191.84219999999996</v>
      </c>
      <c r="J198" s="1">
        <v>45572</v>
      </c>
      <c r="K198" vm="588">
        <v>233.26</v>
      </c>
    </row>
    <row r="199" spans="1:11" x14ac:dyDescent="0.25">
      <c r="A199" s="1">
        <f t="shared" ca="1" si="14"/>
        <v>45579</v>
      </c>
      <c r="B199" s="1" vm="590">
        <f ca="1"/>
        <v>45579</v>
      </c>
      <c r="C199" vm="591">
        <f ca="1"/>
        <v>235.26</v>
      </c>
      <c r="D199" vm="592">
        <f ca="1"/>
        <v>2524389</v>
      </c>
      <c r="E199">
        <f t="shared" ca="1" si="10"/>
        <v>227.93800000000002</v>
      </c>
      <c r="F199">
        <f t="shared" ca="1" si="11"/>
        <v>223.40450000000001</v>
      </c>
      <c r="G199">
        <f t="shared" ca="1" si="13"/>
        <v>208.3366</v>
      </c>
      <c r="H199">
        <f t="shared" ca="1" si="12"/>
        <v>192.46009999999995</v>
      </c>
      <c r="J199" s="1">
        <v>45579</v>
      </c>
      <c r="K199" vm="591">
        <v>235.26</v>
      </c>
    </row>
    <row r="200" spans="1:11" x14ac:dyDescent="0.25">
      <c r="A200" s="1">
        <f t="shared" ca="1" si="14"/>
        <v>45579</v>
      </c>
      <c r="B200" s="1" vm="593">
        <f ca="1"/>
        <v>45580</v>
      </c>
      <c r="C200" vm="594">
        <f ca="1"/>
        <v>232.96</v>
      </c>
      <c r="D200" vm="595">
        <f ca="1"/>
        <v>3350556</v>
      </c>
      <c r="E200">
        <f t="shared" ca="1" si="10"/>
        <v>229.29899999999998</v>
      </c>
      <c r="F200">
        <f t="shared" ca="1" si="11"/>
        <v>224.346</v>
      </c>
      <c r="G200">
        <f t="shared" ca="1" si="13"/>
        <v>209.3296</v>
      </c>
      <c r="H200">
        <f t="shared" ca="1" si="12"/>
        <v>193.05279999999991</v>
      </c>
      <c r="J200" s="1">
        <v>45579</v>
      </c>
      <c r="K200" vm="594">
        <v>232.96</v>
      </c>
    </row>
    <row r="201" spans="1:11" x14ac:dyDescent="0.25">
      <c r="A201" s="1">
        <f t="shared" ca="1" si="14"/>
        <v>45579</v>
      </c>
      <c r="B201" s="1" vm="596">
        <f ca="1"/>
        <v>45581</v>
      </c>
      <c r="C201" vm="597">
        <f ca="1"/>
        <v>233.67</v>
      </c>
      <c r="D201" vm="598">
        <f ca="1"/>
        <v>2846669</v>
      </c>
      <c r="E201">
        <f t="shared" ca="1" si="10"/>
        <v>230.69299999999998</v>
      </c>
      <c r="F201">
        <f t="shared" ca="1" si="11"/>
        <v>225.28249999999997</v>
      </c>
      <c r="G201">
        <f t="shared" ca="1" si="13"/>
        <v>210.267</v>
      </c>
      <c r="H201">
        <f t="shared" ca="1" si="12"/>
        <v>193.68279999999993</v>
      </c>
      <c r="J201" s="1">
        <v>45579</v>
      </c>
      <c r="K201" vm="597">
        <v>233.67</v>
      </c>
    </row>
    <row r="202" spans="1:11" x14ac:dyDescent="0.25">
      <c r="A202" s="1">
        <f t="shared" ca="1" si="14"/>
        <v>45579</v>
      </c>
      <c r="B202" s="1" vm="599">
        <f ca="1"/>
        <v>45582</v>
      </c>
      <c r="C202" vm="600">
        <f ca="1"/>
        <v>232.88</v>
      </c>
      <c r="D202" vm="601">
        <f ca="1"/>
        <v>5040092</v>
      </c>
      <c r="E202">
        <f t="shared" ca="1" si="10"/>
        <v>231.709</v>
      </c>
      <c r="F202">
        <f t="shared" ca="1" si="11"/>
        <v>226.23200000000003</v>
      </c>
      <c r="G202">
        <f t="shared" ca="1" si="13"/>
        <v>211.18860000000001</v>
      </c>
      <c r="H202">
        <f t="shared" ca="1" si="12"/>
        <v>194.3026999999999</v>
      </c>
      <c r="J202" s="1">
        <v>45579</v>
      </c>
      <c r="K202" vm="600">
        <v>232.88</v>
      </c>
    </row>
    <row r="203" spans="1:11" x14ac:dyDescent="0.25">
      <c r="A203" s="1">
        <f t="shared" ca="1" si="14"/>
        <v>45579</v>
      </c>
      <c r="B203" s="1" vm="602">
        <f ca="1"/>
        <v>45583</v>
      </c>
      <c r="C203" vm="603">
        <f ca="1"/>
        <v>232.2</v>
      </c>
      <c r="D203" vm="604">
        <f ca="1"/>
        <v>4715688</v>
      </c>
      <c r="E203">
        <f t="shared" ca="1" si="10"/>
        <v>232.32900000000001</v>
      </c>
      <c r="F203">
        <f t="shared" ca="1" si="11"/>
        <v>226.95700000000002</v>
      </c>
      <c r="G203">
        <f t="shared" ca="1" si="13"/>
        <v>211.9804</v>
      </c>
      <c r="H203">
        <f t="shared" ca="1" si="12"/>
        <v>194.92809999999994</v>
      </c>
      <c r="J203" s="1">
        <v>45579</v>
      </c>
      <c r="K203" vm="603">
        <v>232.2</v>
      </c>
    </row>
    <row r="204" spans="1:11" x14ac:dyDescent="0.25">
      <c r="A204" s="1">
        <f t="shared" ca="1" si="14"/>
        <v>45586</v>
      </c>
      <c r="B204" s="1" vm="605">
        <f ca="1"/>
        <v>45586</v>
      </c>
      <c r="C204" vm="606">
        <f ca="1"/>
        <v>231.75</v>
      </c>
      <c r="D204" vm="607">
        <f ca="1"/>
        <v>2733336</v>
      </c>
      <c r="E204">
        <f t="shared" ref="E204:E267" ca="1" si="15">AVERAGE(C195:C204)</f>
        <v>232.792</v>
      </c>
      <c r="F204">
        <f t="shared" ca="1" si="11"/>
        <v>227.51950000000002</v>
      </c>
      <c r="G204">
        <f t="shared" ca="1" si="13"/>
        <v>212.78640000000004</v>
      </c>
      <c r="H204">
        <f t="shared" ca="1" si="12"/>
        <v>195.57509999999994</v>
      </c>
      <c r="J204" s="1">
        <v>45586</v>
      </c>
      <c r="K204" vm="606">
        <v>231.75</v>
      </c>
    </row>
    <row r="205" spans="1:11" x14ac:dyDescent="0.25">
      <c r="A205" s="1">
        <f t="shared" ca="1" si="14"/>
        <v>45586</v>
      </c>
      <c r="B205" s="1" vm="608">
        <f ca="1"/>
        <v>45587</v>
      </c>
      <c r="C205" vm="609">
        <f ca="1"/>
        <v>232.25</v>
      </c>
      <c r="D205" vm="610">
        <f ca="1"/>
        <v>3180807</v>
      </c>
      <c r="E205">
        <f t="shared" ca="1" si="15"/>
        <v>233.15500000000003</v>
      </c>
      <c r="F205">
        <f t="shared" ca="1" si="11"/>
        <v>228.08350000000002</v>
      </c>
      <c r="G205">
        <f t="shared" ca="1" si="13"/>
        <v>213.64179999999999</v>
      </c>
      <c r="H205">
        <f t="shared" ca="1" si="12"/>
        <v>196.24129999999997</v>
      </c>
      <c r="J205" s="1">
        <v>45586</v>
      </c>
      <c r="K205" vm="609">
        <v>232.25</v>
      </c>
    </row>
    <row r="206" spans="1:11" x14ac:dyDescent="0.25">
      <c r="A206" s="1">
        <f t="shared" ca="1" si="14"/>
        <v>45586</v>
      </c>
      <c r="B206" s="1" vm="611">
        <f ca="1"/>
        <v>45588</v>
      </c>
      <c r="C206" vm="612">
        <f ca="1"/>
        <v>232.75</v>
      </c>
      <c r="D206" vm="613">
        <f ca="1"/>
        <v>5791002</v>
      </c>
      <c r="E206">
        <f t="shared" ca="1" si="15"/>
        <v>233</v>
      </c>
      <c r="F206">
        <f t="shared" ca="1" si="11"/>
        <v>228.65950000000004</v>
      </c>
      <c r="G206">
        <f t="shared" ca="1" si="13"/>
        <v>214.477</v>
      </c>
      <c r="H206">
        <f t="shared" ca="1" si="12"/>
        <v>196.9002999999999</v>
      </c>
      <c r="J206" s="1">
        <v>45586</v>
      </c>
      <c r="K206" vm="612">
        <v>232.75</v>
      </c>
    </row>
    <row r="207" spans="1:11" x14ac:dyDescent="0.25">
      <c r="A207" s="1">
        <f t="shared" ca="1" si="14"/>
        <v>45586</v>
      </c>
      <c r="B207" s="1" vm="614">
        <f ca="1"/>
        <v>45589</v>
      </c>
      <c r="C207" vm="615">
        <f ca="1"/>
        <v>218.39</v>
      </c>
      <c r="D207" vm="616">
        <f ca="1"/>
        <v>11193440</v>
      </c>
      <c r="E207">
        <f t="shared" ca="1" si="15"/>
        <v>231.53699999999998</v>
      </c>
      <c r="F207">
        <f t="shared" ca="1" si="11"/>
        <v>228.40750000000003</v>
      </c>
      <c r="G207">
        <f t="shared" ca="1" si="13"/>
        <v>214.9984</v>
      </c>
      <c r="H207">
        <f t="shared" ca="1" si="12"/>
        <v>197.43139999999991</v>
      </c>
      <c r="J207" s="1">
        <v>45586</v>
      </c>
      <c r="K207" vm="615">
        <v>218.39</v>
      </c>
    </row>
    <row r="208" spans="1:11" x14ac:dyDescent="0.25">
      <c r="A208" s="1">
        <f t="shared" ca="1" si="14"/>
        <v>45586</v>
      </c>
      <c r="B208" s="1" vm="617">
        <f ca="1"/>
        <v>45590</v>
      </c>
      <c r="C208" vm="618">
        <f ca="1"/>
        <v>214.67</v>
      </c>
      <c r="D208" vm="619">
        <f ca="1"/>
        <v>8482235</v>
      </c>
      <c r="E208">
        <f t="shared" ca="1" si="15"/>
        <v>229.67800000000003</v>
      </c>
      <c r="F208">
        <f t="shared" ca="1" si="11"/>
        <v>228.09900000000002</v>
      </c>
      <c r="G208">
        <f t="shared" ca="1" si="13"/>
        <v>215.41279999999998</v>
      </c>
      <c r="H208">
        <f t="shared" ca="1" si="12"/>
        <v>197.9199999999999</v>
      </c>
      <c r="J208" s="1">
        <v>45586</v>
      </c>
      <c r="K208" vm="618">
        <v>214.67</v>
      </c>
    </row>
    <row r="209" spans="1:11" x14ac:dyDescent="0.25">
      <c r="A209" s="1">
        <f t="shared" ca="1" si="14"/>
        <v>45593</v>
      </c>
      <c r="B209" s="1" vm="620">
        <f ca="1"/>
        <v>45593</v>
      </c>
      <c r="C209" vm="621">
        <f ca="1"/>
        <v>212.91</v>
      </c>
      <c r="D209" vm="622">
        <f ca="1"/>
        <v>4993343</v>
      </c>
      <c r="E209">
        <f t="shared" ca="1" si="15"/>
        <v>227.44299999999998</v>
      </c>
      <c r="F209">
        <f t="shared" ca="1" si="11"/>
        <v>227.69050000000001</v>
      </c>
      <c r="G209">
        <f t="shared" ca="1" si="13"/>
        <v>215.7954</v>
      </c>
      <c r="H209">
        <f t="shared" ca="1" si="12"/>
        <v>198.37529999999992</v>
      </c>
      <c r="J209" s="1">
        <v>45593</v>
      </c>
      <c r="K209" vm="621">
        <v>212.91</v>
      </c>
    </row>
    <row r="210" spans="1:11" x14ac:dyDescent="0.25">
      <c r="A210" s="1">
        <f t="shared" ca="1" si="14"/>
        <v>45593</v>
      </c>
      <c r="B210" s="1" vm="623">
        <f ca="1"/>
        <v>45594</v>
      </c>
      <c r="C210" vm="624">
        <f ca="1"/>
        <v>210.43</v>
      </c>
      <c r="D210" vm="625">
        <f ca="1"/>
        <v>5258366</v>
      </c>
      <c r="E210">
        <f t="shared" ca="1" si="15"/>
        <v>225.19</v>
      </c>
      <c r="F210">
        <f t="shared" ca="1" si="11"/>
        <v>227.24449999999996</v>
      </c>
      <c r="G210">
        <f t="shared" ca="1" si="13"/>
        <v>216.10939999999999</v>
      </c>
      <c r="H210">
        <f t="shared" ca="1" si="12"/>
        <v>198.7975999999999</v>
      </c>
      <c r="J210" s="1">
        <v>45593</v>
      </c>
      <c r="K210" vm="624">
        <v>210.43</v>
      </c>
    </row>
    <row r="211" spans="1:11" x14ac:dyDescent="0.25">
      <c r="A211" s="1">
        <f t="shared" ca="1" si="14"/>
        <v>45593</v>
      </c>
      <c r="B211" s="1" vm="626">
        <f ca="1"/>
        <v>45595</v>
      </c>
      <c r="C211" vm="627">
        <f ca="1"/>
        <v>204.9</v>
      </c>
      <c r="D211" vm="628">
        <f ca="1"/>
        <v>6956624</v>
      </c>
      <c r="E211">
        <f t="shared" ca="1" si="15"/>
        <v>222.31300000000002</v>
      </c>
      <c r="F211">
        <f t="shared" ca="1" si="11"/>
        <v>226.50299999999999</v>
      </c>
      <c r="G211">
        <f t="shared" ca="1" si="13"/>
        <v>216.2868</v>
      </c>
      <c r="H211">
        <f t="shared" ca="1" si="12"/>
        <v>199.14649999999995</v>
      </c>
      <c r="J211" s="1">
        <v>45593</v>
      </c>
      <c r="K211" vm="627">
        <v>204.9</v>
      </c>
    </row>
    <row r="212" spans="1:11" x14ac:dyDescent="0.25">
      <c r="A212" s="1">
        <f t="shared" ca="1" si="14"/>
        <v>45593</v>
      </c>
      <c r="B212" s="1" vm="629">
        <f ca="1"/>
        <v>45596</v>
      </c>
      <c r="C212" vm="630">
        <f ca="1"/>
        <v>206.72</v>
      </c>
      <c r="D212" vm="631">
        <f ca="1"/>
        <v>5925250</v>
      </c>
      <c r="E212">
        <f t="shared" ca="1" si="15"/>
        <v>219.69700000000003</v>
      </c>
      <c r="F212">
        <f t="shared" ca="1" si="11"/>
        <v>225.70299999999997</v>
      </c>
      <c r="G212">
        <f t="shared" ca="1" si="13"/>
        <v>216.477</v>
      </c>
      <c r="H212">
        <f t="shared" ca="1" si="12"/>
        <v>199.50989999999993</v>
      </c>
      <c r="J212" s="1">
        <v>45593</v>
      </c>
      <c r="K212" vm="630">
        <v>206.72</v>
      </c>
    </row>
    <row r="213" spans="1:11" x14ac:dyDescent="0.25">
      <c r="A213" s="1">
        <f t="shared" ca="1" si="14"/>
        <v>45593</v>
      </c>
      <c r="B213" s="1" vm="632">
        <f ca="1"/>
        <v>45597</v>
      </c>
      <c r="C213" vm="633">
        <f ca="1"/>
        <v>208.25</v>
      </c>
      <c r="D213" vm="634">
        <f ca="1"/>
        <v>3334308</v>
      </c>
      <c r="E213">
        <f t="shared" ca="1" si="15"/>
        <v>217.30200000000005</v>
      </c>
      <c r="F213">
        <f t="shared" ca="1" si="11"/>
        <v>224.81549999999999</v>
      </c>
      <c r="G213">
        <f t="shared" ca="1" si="13"/>
        <v>216.72279999999998</v>
      </c>
      <c r="H213">
        <f t="shared" ca="1" si="12"/>
        <v>199.89919999999992</v>
      </c>
      <c r="J213" s="1">
        <v>45593</v>
      </c>
      <c r="K213" vm="633">
        <v>208.25</v>
      </c>
    </row>
    <row r="214" spans="1:11" x14ac:dyDescent="0.25">
      <c r="A214" s="1">
        <f t="shared" ca="1" si="14"/>
        <v>45600</v>
      </c>
      <c r="B214" s="1" vm="635">
        <f ca="1"/>
        <v>45600</v>
      </c>
      <c r="C214" vm="636">
        <f ca="1"/>
        <v>206.32</v>
      </c>
      <c r="D214" vm="637">
        <f ca="1"/>
        <v>2594119</v>
      </c>
      <c r="E214">
        <f t="shared" ca="1" si="15"/>
        <v>214.75900000000001</v>
      </c>
      <c r="F214">
        <f t="shared" ref="F214:F277" ca="1" si="16">AVERAGE(C195:C214)</f>
        <v>223.77549999999997</v>
      </c>
      <c r="G214">
        <f t="shared" ca="1" si="13"/>
        <v>216.92719999999997</v>
      </c>
      <c r="H214">
        <f t="shared" ca="1" si="12"/>
        <v>200.27239999999995</v>
      </c>
      <c r="J214" s="1">
        <v>45600</v>
      </c>
      <c r="K214" vm="636">
        <v>206.32</v>
      </c>
    </row>
    <row r="215" spans="1:11" x14ac:dyDescent="0.25">
      <c r="A215" s="1">
        <f t="shared" ca="1" si="14"/>
        <v>45600</v>
      </c>
      <c r="B215" s="1" vm="638">
        <f ca="1"/>
        <v>45601</v>
      </c>
      <c r="C215" vm="639">
        <f ca="1"/>
        <v>207.57</v>
      </c>
      <c r="D215" vm="640">
        <f ca="1"/>
        <v>2441535</v>
      </c>
      <c r="E215">
        <f t="shared" ca="1" si="15"/>
        <v>212.291</v>
      </c>
      <c r="F215">
        <f t="shared" ca="1" si="16"/>
        <v>222.72299999999996</v>
      </c>
      <c r="G215">
        <f t="shared" ca="1" si="13"/>
        <v>217.11899999999997</v>
      </c>
      <c r="H215">
        <f t="shared" ca="1" si="12"/>
        <v>200.65689999999995</v>
      </c>
      <c r="J215" s="1">
        <v>45600</v>
      </c>
      <c r="K215" vm="639">
        <v>207.57</v>
      </c>
    </row>
    <row r="216" spans="1:11" x14ac:dyDescent="0.25">
      <c r="A216" s="1">
        <f t="shared" ca="1" si="14"/>
        <v>45600</v>
      </c>
      <c r="B216" s="1" vm="641">
        <f ca="1"/>
        <v>45602</v>
      </c>
      <c r="C216" vm="642">
        <f ca="1"/>
        <v>213.6</v>
      </c>
      <c r="D216" vm="643">
        <f ca="1"/>
        <v>3934386</v>
      </c>
      <c r="E216">
        <f t="shared" ca="1" si="15"/>
        <v>210.37599999999998</v>
      </c>
      <c r="F216">
        <f t="shared" ca="1" si="16"/>
        <v>221.68800000000002</v>
      </c>
      <c r="G216">
        <f t="shared" ca="1" si="13"/>
        <v>217.41639999999998</v>
      </c>
      <c r="H216">
        <f t="shared" ca="1" si="12"/>
        <v>201.10079999999994</v>
      </c>
      <c r="J216" s="1">
        <v>45600</v>
      </c>
      <c r="K216" vm="642">
        <v>213.6</v>
      </c>
    </row>
    <row r="217" spans="1:11" x14ac:dyDescent="0.25">
      <c r="A217" s="1">
        <f t="shared" ca="1" si="14"/>
        <v>45600</v>
      </c>
      <c r="B217" s="1" vm="644">
        <f ca="1"/>
        <v>45603</v>
      </c>
      <c r="C217" vm="645">
        <f ca="1"/>
        <v>213.69</v>
      </c>
      <c r="D217" vm="646">
        <f ca="1"/>
        <v>3675812</v>
      </c>
      <c r="E217">
        <f t="shared" ca="1" si="15"/>
        <v>209.90599999999995</v>
      </c>
      <c r="F217">
        <f t="shared" ca="1" si="16"/>
        <v>220.72149999999996</v>
      </c>
      <c r="G217">
        <f t="shared" ca="1" si="13"/>
        <v>217.72099999999998</v>
      </c>
      <c r="H217">
        <f t="shared" ca="1" si="12"/>
        <v>201.54269999999994</v>
      </c>
      <c r="J217" s="1">
        <v>45600</v>
      </c>
      <c r="K217" vm="645">
        <v>213.69</v>
      </c>
    </row>
    <row r="218" spans="1:11" x14ac:dyDescent="0.25">
      <c r="A218" s="1">
        <f t="shared" ca="1" si="14"/>
        <v>45600</v>
      </c>
      <c r="B218" s="1" vm="647">
        <f ca="1"/>
        <v>45604</v>
      </c>
      <c r="C218" vm="648">
        <f ca="1"/>
        <v>213.72</v>
      </c>
      <c r="D218" vm="649">
        <f ca="1"/>
        <v>3201038</v>
      </c>
      <c r="E218">
        <f t="shared" ca="1" si="15"/>
        <v>209.81099999999998</v>
      </c>
      <c r="F218">
        <f t="shared" ca="1" si="16"/>
        <v>219.74450000000002</v>
      </c>
      <c r="G218">
        <f t="shared" ca="1" si="13"/>
        <v>218.01739999999998</v>
      </c>
      <c r="H218">
        <f t="shared" ca="1" si="12"/>
        <v>201.97439999999995</v>
      </c>
      <c r="J218" s="1">
        <v>45600</v>
      </c>
      <c r="K218" vm="648">
        <v>213.72</v>
      </c>
    </row>
    <row r="219" spans="1:11" x14ac:dyDescent="0.25">
      <c r="A219" s="1">
        <f t="shared" ca="1" si="14"/>
        <v>45607</v>
      </c>
      <c r="B219" s="1" vm="650">
        <f ca="1"/>
        <v>45607</v>
      </c>
      <c r="C219" vm="651">
        <f ca="1"/>
        <v>213.57</v>
      </c>
      <c r="D219" vm="652">
        <f ca="1"/>
        <v>3012987</v>
      </c>
      <c r="E219">
        <f t="shared" ca="1" si="15"/>
        <v>209.87700000000001</v>
      </c>
      <c r="F219">
        <f t="shared" ca="1" si="16"/>
        <v>218.66</v>
      </c>
      <c r="G219">
        <f t="shared" ca="1" si="13"/>
        <v>218.24619999999999</v>
      </c>
      <c r="H219">
        <f t="shared" ca="1" si="12"/>
        <v>202.37089999999998</v>
      </c>
      <c r="J219" s="1">
        <v>45607</v>
      </c>
      <c r="K219" vm="651">
        <v>213.57</v>
      </c>
    </row>
    <row r="220" spans="1:11" x14ac:dyDescent="0.25">
      <c r="A220" s="1">
        <f t="shared" ca="1" si="14"/>
        <v>45607</v>
      </c>
      <c r="B220" s="1" vm="653">
        <f ca="1"/>
        <v>45608</v>
      </c>
      <c r="C220" vm="654">
        <f ca="1"/>
        <v>210.86</v>
      </c>
      <c r="D220" vm="655">
        <f ca="1"/>
        <v>2818216</v>
      </c>
      <c r="E220">
        <f t="shared" ca="1" si="15"/>
        <v>209.92</v>
      </c>
      <c r="F220">
        <f t="shared" ca="1" si="16"/>
        <v>217.55499999999998</v>
      </c>
      <c r="G220">
        <f t="shared" ca="1" si="13"/>
        <v>218.43779999999998</v>
      </c>
      <c r="H220">
        <f t="shared" ca="1" si="12"/>
        <v>202.75489999999999</v>
      </c>
      <c r="J220" s="1">
        <v>45607</v>
      </c>
      <c r="K220" vm="654">
        <v>210.86</v>
      </c>
    </row>
    <row r="221" spans="1:11" x14ac:dyDescent="0.25">
      <c r="A221" s="1">
        <f t="shared" ca="1" si="14"/>
        <v>45607</v>
      </c>
      <c r="B221" s="1" vm="656">
        <f ca="1"/>
        <v>45609</v>
      </c>
      <c r="C221" vm="657">
        <f ca="1"/>
        <v>210.92</v>
      </c>
      <c r="D221" vm="658">
        <f ca="1"/>
        <v>3247830</v>
      </c>
      <c r="E221">
        <f t="shared" ca="1" si="15"/>
        <v>210.52199999999999</v>
      </c>
      <c r="F221">
        <f t="shared" ca="1" si="16"/>
        <v>216.41750000000002</v>
      </c>
      <c r="G221">
        <f t="shared" ca="1" si="13"/>
        <v>218.57399999999998</v>
      </c>
      <c r="H221">
        <f t="shared" ca="1" si="12"/>
        <v>203.11399999999995</v>
      </c>
      <c r="J221" s="1">
        <v>45607</v>
      </c>
      <c r="K221" vm="657">
        <v>210.92</v>
      </c>
    </row>
    <row r="222" spans="1:11" x14ac:dyDescent="0.25">
      <c r="A222" s="1">
        <f t="shared" ca="1" si="14"/>
        <v>45607</v>
      </c>
      <c r="B222" s="1" vm="659">
        <f ca="1"/>
        <v>45610</v>
      </c>
      <c r="C222" vm="660">
        <f ca="1"/>
        <v>208.99</v>
      </c>
      <c r="D222" vm="661">
        <f ca="1"/>
        <v>6372853</v>
      </c>
      <c r="E222">
        <f t="shared" ca="1" si="15"/>
        <v>210.74899999999997</v>
      </c>
      <c r="F222">
        <f t="shared" ca="1" si="16"/>
        <v>215.22300000000004</v>
      </c>
      <c r="G222">
        <f t="shared" ca="1" si="13"/>
        <v>218.702</v>
      </c>
      <c r="H222">
        <f t="shared" ca="1" si="12"/>
        <v>203.47789999999998</v>
      </c>
      <c r="J222" s="1">
        <v>45607</v>
      </c>
      <c r="K222" vm="660">
        <v>208.99</v>
      </c>
    </row>
    <row r="223" spans="1:11" x14ac:dyDescent="0.25">
      <c r="A223" s="1">
        <f t="shared" ca="1" si="14"/>
        <v>45607</v>
      </c>
      <c r="B223" s="1" vm="662">
        <f ca="1"/>
        <v>45611</v>
      </c>
      <c r="C223" vm="663">
        <f ca="1"/>
        <v>204.99</v>
      </c>
      <c r="D223" vm="664">
        <f ca="1"/>
        <v>3986460</v>
      </c>
      <c r="E223">
        <f t="shared" ca="1" si="15"/>
        <v>210.423</v>
      </c>
      <c r="F223">
        <f t="shared" ca="1" si="16"/>
        <v>213.86250000000004</v>
      </c>
      <c r="G223">
        <f t="shared" ca="1" si="13"/>
        <v>218.78699999999998</v>
      </c>
      <c r="H223">
        <f t="shared" ca="1" si="12"/>
        <v>203.80909999999997</v>
      </c>
      <c r="J223" s="1">
        <v>45607</v>
      </c>
      <c r="K223" vm="663">
        <v>204.99</v>
      </c>
    </row>
    <row r="224" spans="1:11" x14ac:dyDescent="0.25">
      <c r="A224" s="1">
        <f t="shared" ca="1" si="14"/>
        <v>45614</v>
      </c>
      <c r="B224" s="1" vm="665">
        <f ca="1"/>
        <v>45614</v>
      </c>
      <c r="C224" vm="666">
        <f ca="1"/>
        <v>208.09</v>
      </c>
      <c r="D224" vm="667">
        <f ca="1"/>
        <v>3406045</v>
      </c>
      <c r="E224">
        <f t="shared" ca="1" si="15"/>
        <v>210.6</v>
      </c>
      <c r="F224">
        <f t="shared" ca="1" si="16"/>
        <v>212.67950000000002</v>
      </c>
      <c r="G224">
        <f t="shared" ca="1" si="13"/>
        <v>218.87819999999999</v>
      </c>
      <c r="H224">
        <f t="shared" ca="1" si="12"/>
        <v>204.18149999999997</v>
      </c>
      <c r="J224" s="1">
        <v>45614</v>
      </c>
      <c r="K224" vm="666">
        <v>208.09</v>
      </c>
    </row>
    <row r="225" spans="1:11" x14ac:dyDescent="0.25">
      <c r="A225" s="1">
        <f t="shared" ca="1" si="14"/>
        <v>45614</v>
      </c>
      <c r="B225" s="1" vm="668">
        <f ca="1"/>
        <v>45615</v>
      </c>
      <c r="C225" vm="669">
        <f ca="1"/>
        <v>210.25</v>
      </c>
      <c r="D225" vm="670">
        <f ca="1"/>
        <v>2860746</v>
      </c>
      <c r="E225">
        <f t="shared" ca="1" si="15"/>
        <v>210.86800000000002</v>
      </c>
      <c r="F225">
        <f t="shared" ca="1" si="16"/>
        <v>211.5795</v>
      </c>
      <c r="G225">
        <f t="shared" ca="1" si="13"/>
        <v>218.9768</v>
      </c>
      <c r="H225">
        <f t="shared" ca="1" si="12"/>
        <v>204.55449999999996</v>
      </c>
      <c r="J225" s="1">
        <v>45614</v>
      </c>
      <c r="K225" vm="669">
        <v>210.25</v>
      </c>
    </row>
    <row r="226" spans="1:11" x14ac:dyDescent="0.25">
      <c r="A226" s="1">
        <f t="shared" ca="1" si="14"/>
        <v>45614</v>
      </c>
      <c r="B226" s="1" vm="671">
        <f ca="1"/>
        <v>45616</v>
      </c>
      <c r="C226" vm="672">
        <f ca="1"/>
        <v>214.6</v>
      </c>
      <c r="D226" vm="673">
        <f ca="1"/>
        <v>4562901</v>
      </c>
      <c r="E226">
        <f t="shared" ca="1" si="15"/>
        <v>210.96799999999999</v>
      </c>
      <c r="F226">
        <f t="shared" ca="1" si="16"/>
        <v>210.67200000000003</v>
      </c>
      <c r="G226">
        <f t="shared" ca="1" si="13"/>
        <v>219.07100000000003</v>
      </c>
      <c r="H226">
        <f t="shared" ca="1" si="12"/>
        <v>204.94949999999997</v>
      </c>
      <c r="J226" s="1">
        <v>45614</v>
      </c>
      <c r="K226" vm="672">
        <v>214.6</v>
      </c>
    </row>
    <row r="227" spans="1:11" x14ac:dyDescent="0.25">
      <c r="A227" s="1">
        <f t="shared" ca="1" si="14"/>
        <v>45614</v>
      </c>
      <c r="B227" s="1" vm="674">
        <f ca="1"/>
        <v>45617</v>
      </c>
      <c r="C227" vm="675">
        <f ca="1"/>
        <v>222.4</v>
      </c>
      <c r="D227" vm="676">
        <f ca="1"/>
        <v>5236434</v>
      </c>
      <c r="E227">
        <f t="shared" ca="1" si="15"/>
        <v>211.839</v>
      </c>
      <c r="F227">
        <f t="shared" ca="1" si="16"/>
        <v>210.8725</v>
      </c>
      <c r="G227">
        <f t="shared" ca="1" si="13"/>
        <v>219.2868</v>
      </c>
      <c r="H227">
        <f t="shared" ca="1" si="12"/>
        <v>205.40049999999999</v>
      </c>
      <c r="J227" s="1">
        <v>45614</v>
      </c>
      <c r="K227" vm="675">
        <v>222.4</v>
      </c>
    </row>
    <row r="228" spans="1:11" x14ac:dyDescent="0.25">
      <c r="A228" s="1">
        <f t="shared" ca="1" si="14"/>
        <v>45614</v>
      </c>
      <c r="B228" s="1" vm="677">
        <f ca="1"/>
        <v>45618</v>
      </c>
      <c r="C228" vm="678">
        <f ca="1"/>
        <v>222.97</v>
      </c>
      <c r="D228" vm="679">
        <f ca="1"/>
        <v>5320740</v>
      </c>
      <c r="E228">
        <f t="shared" ca="1" si="15"/>
        <v>212.76399999999998</v>
      </c>
      <c r="F228">
        <f t="shared" ca="1" si="16"/>
        <v>211.28749999999999</v>
      </c>
      <c r="G228">
        <f t="shared" ca="1" si="13"/>
        <v>219.4504</v>
      </c>
      <c r="H228">
        <f t="shared" ca="1" si="12"/>
        <v>205.87290000000002</v>
      </c>
      <c r="J228" s="1">
        <v>45614</v>
      </c>
      <c r="K228" vm="678">
        <v>222.97</v>
      </c>
    </row>
    <row r="229" spans="1:11" x14ac:dyDescent="0.25">
      <c r="A229" s="1">
        <f t="shared" ca="1" si="14"/>
        <v>45621</v>
      </c>
      <c r="B229" s="1" vm="680">
        <f ca="1"/>
        <v>45621</v>
      </c>
      <c r="C229" vm="681">
        <f ca="1"/>
        <v>226.13</v>
      </c>
      <c r="D229" vm="682">
        <f ca="1"/>
        <v>7189260</v>
      </c>
      <c r="E229">
        <f t="shared" ca="1" si="15"/>
        <v>214.01999999999998</v>
      </c>
      <c r="F229">
        <f t="shared" ca="1" si="16"/>
        <v>211.94849999999997</v>
      </c>
      <c r="G229">
        <f t="shared" ca="1" si="13"/>
        <v>219.62979999999996</v>
      </c>
      <c r="H229">
        <f t="shared" ca="1" si="12"/>
        <v>206.37400000000002</v>
      </c>
      <c r="J229" s="1">
        <v>45621</v>
      </c>
      <c r="K229" vm="681">
        <v>226.13</v>
      </c>
    </row>
    <row r="230" spans="1:11" x14ac:dyDescent="0.25">
      <c r="A230" s="1">
        <f t="shared" ca="1" si="14"/>
        <v>45621</v>
      </c>
      <c r="B230" s="1" vm="683">
        <f ca="1"/>
        <v>45622</v>
      </c>
      <c r="C230" vm="684">
        <f ca="1"/>
        <v>228.83</v>
      </c>
      <c r="D230" vm="685">
        <f ca="1"/>
        <v>4449543</v>
      </c>
      <c r="E230">
        <f t="shared" ca="1" si="15"/>
        <v>215.81700000000001</v>
      </c>
      <c r="F230">
        <f t="shared" ca="1" si="16"/>
        <v>212.86849999999998</v>
      </c>
      <c r="G230">
        <f t="shared" ca="1" si="13"/>
        <v>219.92379999999997</v>
      </c>
      <c r="H230">
        <f t="shared" ref="H230:H293" ca="1" si="17">AVERAGE(C131:C230)</f>
        <v>206.88590000000005</v>
      </c>
      <c r="J230" s="1">
        <v>45621</v>
      </c>
      <c r="K230" vm="684">
        <v>228.83</v>
      </c>
    </row>
    <row r="231" spans="1:11" x14ac:dyDescent="0.25">
      <c r="A231" s="1">
        <f t="shared" ca="1" si="14"/>
        <v>45621</v>
      </c>
      <c r="B231" s="1" vm="686">
        <f ca="1"/>
        <v>45623</v>
      </c>
      <c r="C231" vm="687">
        <f ca="1"/>
        <v>226.92</v>
      </c>
      <c r="D231" vm="688">
        <f ca="1"/>
        <v>2995121</v>
      </c>
      <c r="E231">
        <f t="shared" ca="1" si="15"/>
        <v>217.417</v>
      </c>
      <c r="F231">
        <f t="shared" ca="1" si="16"/>
        <v>213.96949999999998</v>
      </c>
      <c r="G231">
        <f t="shared" ca="1" si="13"/>
        <v>220.16339999999997</v>
      </c>
      <c r="H231">
        <f t="shared" ca="1" si="17"/>
        <v>207.3903</v>
      </c>
      <c r="J231" s="1">
        <v>45621</v>
      </c>
      <c r="K231" vm="687">
        <v>226.92</v>
      </c>
    </row>
    <row r="232" spans="1:11" x14ac:dyDescent="0.25">
      <c r="A232" s="1">
        <f t="shared" ca="1" si="14"/>
        <v>45621</v>
      </c>
      <c r="B232" s="1" vm="689">
        <f ca="1"/>
        <v>45625</v>
      </c>
      <c r="C232" vm="690">
        <f ca="1"/>
        <v>227.41</v>
      </c>
      <c r="D232" vm="691">
        <f ca="1"/>
        <v>2640253</v>
      </c>
      <c r="E232">
        <f t="shared" ca="1" si="15"/>
        <v>219.25900000000001</v>
      </c>
      <c r="F232">
        <f t="shared" ca="1" si="16"/>
        <v>215.00399999999999</v>
      </c>
      <c r="G232">
        <f t="shared" ca="1" si="13"/>
        <v>220.43379999999996</v>
      </c>
      <c r="H232">
        <f t="shared" ca="1" si="17"/>
        <v>207.886</v>
      </c>
      <c r="J232" s="1">
        <v>45621</v>
      </c>
      <c r="K232" vm="690">
        <v>227.41</v>
      </c>
    </row>
    <row r="233" spans="1:11" x14ac:dyDescent="0.25">
      <c r="A233" s="1">
        <f t="shared" ca="1" si="14"/>
        <v>45628</v>
      </c>
      <c r="B233" s="1" vm="692">
        <f ca="1"/>
        <v>45628</v>
      </c>
      <c r="C233" vm="693">
        <f ca="1"/>
        <v>227.39</v>
      </c>
      <c r="D233" vm="694">
        <f ca="1"/>
        <v>2656181</v>
      </c>
      <c r="E233">
        <f t="shared" ca="1" si="15"/>
        <v>221.49900000000002</v>
      </c>
      <c r="F233">
        <f t="shared" ca="1" si="16"/>
        <v>215.96100000000001</v>
      </c>
      <c r="G233">
        <f t="shared" ca="1" si="13"/>
        <v>220.62759999999994</v>
      </c>
      <c r="H233">
        <f t="shared" ca="1" si="17"/>
        <v>208.37679999999997</v>
      </c>
      <c r="J233" s="1">
        <v>45628</v>
      </c>
      <c r="K233" vm="693">
        <v>227.39</v>
      </c>
    </row>
    <row r="234" spans="1:11" x14ac:dyDescent="0.25">
      <c r="A234" s="1">
        <f t="shared" ca="1" si="14"/>
        <v>45628</v>
      </c>
      <c r="B234" s="1" vm="695">
        <f ca="1"/>
        <v>45629</v>
      </c>
      <c r="C234" vm="696">
        <f ca="1"/>
        <v>229</v>
      </c>
      <c r="D234" vm="697">
        <f ca="1"/>
        <v>3163815</v>
      </c>
      <c r="E234">
        <f t="shared" ca="1" si="15"/>
        <v>223.59</v>
      </c>
      <c r="F234">
        <f t="shared" ca="1" si="16"/>
        <v>217.09499999999997</v>
      </c>
      <c r="G234">
        <f t="shared" ca="1" si="13"/>
        <v>220.79759999999996</v>
      </c>
      <c r="H234">
        <f t="shared" ca="1" si="17"/>
        <v>208.83849999999998</v>
      </c>
      <c r="J234" s="1">
        <v>45628</v>
      </c>
      <c r="K234" vm="696">
        <v>229</v>
      </c>
    </row>
    <row r="235" spans="1:11" x14ac:dyDescent="0.25">
      <c r="A235" s="1">
        <f t="shared" ca="1" si="14"/>
        <v>45628</v>
      </c>
      <c r="B235" s="1" vm="698">
        <f ca="1"/>
        <v>45630</v>
      </c>
      <c r="C235" vm="699">
        <f ca="1"/>
        <v>233.49</v>
      </c>
      <c r="D235" vm="700">
        <f ca="1"/>
        <v>4104195</v>
      </c>
      <c r="E235">
        <f t="shared" ca="1" si="15"/>
        <v>225.91400000000004</v>
      </c>
      <c r="F235">
        <f t="shared" ca="1" si="16"/>
        <v>218.39099999999999</v>
      </c>
      <c r="G235">
        <f t="shared" ca="1" si="13"/>
        <v>221.04799999999994</v>
      </c>
      <c r="H235">
        <f t="shared" ca="1" si="17"/>
        <v>209.34459999999999</v>
      </c>
      <c r="J235" s="1">
        <v>45628</v>
      </c>
      <c r="K235" vm="699">
        <v>233.49</v>
      </c>
    </row>
    <row r="236" spans="1:11" x14ac:dyDescent="0.25">
      <c r="A236" s="1">
        <f t="shared" ca="1" si="14"/>
        <v>45628</v>
      </c>
      <c r="B236" s="1" vm="701">
        <f ca="1"/>
        <v>45631</v>
      </c>
      <c r="C236" vm="702">
        <f ca="1"/>
        <v>234.75</v>
      </c>
      <c r="D236" vm="703">
        <f ca="1"/>
        <v>4791116</v>
      </c>
      <c r="E236">
        <f t="shared" ca="1" si="15"/>
        <v>227.929</v>
      </c>
      <c r="F236">
        <f t="shared" ca="1" si="16"/>
        <v>219.44849999999997</v>
      </c>
      <c r="G236">
        <f t="shared" ca="1" si="13"/>
        <v>221.31839999999994</v>
      </c>
      <c r="H236">
        <f t="shared" ca="1" si="17"/>
        <v>209.83399999999997</v>
      </c>
      <c r="J236" s="1">
        <v>45628</v>
      </c>
      <c r="K236" vm="702">
        <v>234.75</v>
      </c>
    </row>
    <row r="237" spans="1:11" x14ac:dyDescent="0.25">
      <c r="A237" s="1">
        <f t="shared" ca="1" si="14"/>
        <v>45628</v>
      </c>
      <c r="B237" s="1" vm="704">
        <f ca="1"/>
        <v>45632</v>
      </c>
      <c r="C237" vm="705">
        <f ca="1"/>
        <v>238.04</v>
      </c>
      <c r="D237" vm="706">
        <f ca="1"/>
        <v>4028430</v>
      </c>
      <c r="E237">
        <f t="shared" ca="1" si="15"/>
        <v>229.49300000000002</v>
      </c>
      <c r="F237">
        <f t="shared" ca="1" si="16"/>
        <v>220.666</v>
      </c>
      <c r="G237">
        <f t="shared" ca="1" si="13"/>
        <v>221.61059999999995</v>
      </c>
      <c r="H237">
        <f t="shared" ca="1" si="17"/>
        <v>210.33990000000003</v>
      </c>
      <c r="J237" s="1">
        <v>45628</v>
      </c>
      <c r="K237" vm="705">
        <v>238.04</v>
      </c>
    </row>
    <row r="238" spans="1:11" x14ac:dyDescent="0.25">
      <c r="A238" s="1">
        <f t="shared" ca="1" si="14"/>
        <v>45635</v>
      </c>
      <c r="B238" s="1" vm="707">
        <f ca="1"/>
        <v>45635</v>
      </c>
      <c r="C238" vm="708">
        <f ca="1"/>
        <v>230</v>
      </c>
      <c r="D238" vm="709">
        <f ca="1"/>
        <v>4970449</v>
      </c>
      <c r="E238">
        <f t="shared" ca="1" si="15"/>
        <v>230.196</v>
      </c>
      <c r="F238">
        <f t="shared" ca="1" si="16"/>
        <v>221.47999999999996</v>
      </c>
      <c r="G238">
        <f t="shared" ca="1" si="13"/>
        <v>221.79379999999995</v>
      </c>
      <c r="H238">
        <f t="shared" ca="1" si="17"/>
        <v>210.78770000000003</v>
      </c>
      <c r="J238" s="1">
        <v>45635</v>
      </c>
      <c r="K238" vm="708">
        <v>230</v>
      </c>
    </row>
    <row r="239" spans="1:11" x14ac:dyDescent="0.25">
      <c r="A239" s="1">
        <f t="shared" ca="1" si="14"/>
        <v>45635</v>
      </c>
      <c r="B239" s="1" vm="710">
        <f ca="1"/>
        <v>45636</v>
      </c>
      <c r="C239" vm="711">
        <f ca="1"/>
        <v>231.72</v>
      </c>
      <c r="D239" vm="712">
        <f ca="1"/>
        <v>4769531</v>
      </c>
      <c r="E239">
        <f t="shared" ca="1" si="15"/>
        <v>230.75499999999997</v>
      </c>
      <c r="F239">
        <f t="shared" ca="1" si="16"/>
        <v>222.38749999999999</v>
      </c>
      <c r="G239">
        <f t="shared" ca="1" si="13"/>
        <v>222.00659999999996</v>
      </c>
      <c r="H239">
        <f t="shared" ca="1" si="17"/>
        <v>211.27240000000006</v>
      </c>
      <c r="J239" s="1">
        <v>45635</v>
      </c>
      <c r="K239" vm="711">
        <v>231.72</v>
      </c>
    </row>
    <row r="240" spans="1:11" x14ac:dyDescent="0.25">
      <c r="A240" s="1">
        <f t="shared" ca="1" si="14"/>
        <v>45635</v>
      </c>
      <c r="B240" s="1" vm="713">
        <f ca="1"/>
        <v>45637</v>
      </c>
      <c r="C240" vm="714">
        <f ca="1"/>
        <v>230.12</v>
      </c>
      <c r="D240" vm="715">
        <f ca="1"/>
        <v>3872680</v>
      </c>
      <c r="E240">
        <f t="shared" ca="1" si="15"/>
        <v>230.88399999999996</v>
      </c>
      <c r="F240">
        <f t="shared" ca="1" si="16"/>
        <v>223.35050000000001</v>
      </c>
      <c r="G240">
        <f t="shared" ca="1" si="13"/>
        <v>222.22199999999992</v>
      </c>
      <c r="H240">
        <f t="shared" ca="1" si="17"/>
        <v>211.73210000000003</v>
      </c>
      <c r="J240" s="1">
        <v>45635</v>
      </c>
      <c r="K240" vm="714">
        <v>230.12</v>
      </c>
    </row>
    <row r="241" spans="1:11" x14ac:dyDescent="0.25">
      <c r="A241" s="1">
        <f t="shared" ca="1" si="14"/>
        <v>45635</v>
      </c>
      <c r="B241" s="1" vm="716">
        <f ca="1"/>
        <v>45638</v>
      </c>
      <c r="C241" vm="717">
        <f ca="1"/>
        <v>232.26</v>
      </c>
      <c r="D241" vm="718">
        <f ca="1"/>
        <v>4515741</v>
      </c>
      <c r="E241">
        <f t="shared" ca="1" si="15"/>
        <v>231.41800000000003</v>
      </c>
      <c r="F241">
        <f t="shared" ca="1" si="16"/>
        <v>224.41750000000002</v>
      </c>
      <c r="G241">
        <f t="shared" ca="1" si="13"/>
        <v>222.47259999999997</v>
      </c>
      <c r="H241">
        <f t="shared" ca="1" si="17"/>
        <v>212.21369999999999</v>
      </c>
      <c r="J241" s="1">
        <v>45635</v>
      </c>
      <c r="K241" vm="717">
        <v>232.26</v>
      </c>
    </row>
    <row r="242" spans="1:11" x14ac:dyDescent="0.25">
      <c r="A242" s="1">
        <f t="shared" ca="1" si="14"/>
        <v>45635</v>
      </c>
      <c r="B242" s="1" vm="719">
        <f ca="1"/>
        <v>45639</v>
      </c>
      <c r="C242" vm="720">
        <f ca="1"/>
        <v>230.82</v>
      </c>
      <c r="D242" vm="721">
        <f ca="1"/>
        <v>2757683</v>
      </c>
      <c r="E242">
        <f t="shared" ca="1" si="15"/>
        <v>231.75900000000007</v>
      </c>
      <c r="F242">
        <f t="shared" ca="1" si="16"/>
        <v>225.50899999999996</v>
      </c>
      <c r="G242">
        <f t="shared" ca="1" si="13"/>
        <v>222.63459999999998</v>
      </c>
      <c r="H242">
        <f t="shared" ca="1" si="17"/>
        <v>212.68170000000001</v>
      </c>
      <c r="J242" s="1">
        <v>45635</v>
      </c>
      <c r="K242" vm="720">
        <v>230.82</v>
      </c>
    </row>
    <row r="243" spans="1:11" x14ac:dyDescent="0.25">
      <c r="A243" s="1">
        <f t="shared" ca="1" si="14"/>
        <v>45642</v>
      </c>
      <c r="B243" s="1" vm="722">
        <f ca="1"/>
        <v>45642</v>
      </c>
      <c r="C243" vm="723">
        <f ca="1"/>
        <v>229.33</v>
      </c>
      <c r="D243" vm="724">
        <f ca="1"/>
        <v>3610257</v>
      </c>
      <c r="E243">
        <f t="shared" ca="1" si="15"/>
        <v>231.95299999999997</v>
      </c>
      <c r="F243">
        <f t="shared" ca="1" si="16"/>
        <v>226.72599999999997</v>
      </c>
      <c r="G243">
        <f t="shared" ca="1" si="13"/>
        <v>222.70119999999994</v>
      </c>
      <c r="H243">
        <f t="shared" ca="1" si="17"/>
        <v>213.05520000000004</v>
      </c>
      <c r="J243" s="1">
        <v>45642</v>
      </c>
      <c r="K243" vm="723">
        <v>229.33</v>
      </c>
    </row>
    <row r="244" spans="1:11" x14ac:dyDescent="0.25">
      <c r="A244" s="1">
        <f t="shared" ca="1" si="14"/>
        <v>45642</v>
      </c>
      <c r="B244" s="1" vm="725">
        <f ca="1"/>
        <v>45643</v>
      </c>
      <c r="C244" vm="726">
        <f ca="1"/>
        <v>228.97</v>
      </c>
      <c r="D244" vm="727">
        <f ca="1"/>
        <v>3651346</v>
      </c>
      <c r="E244">
        <f t="shared" ca="1" si="15"/>
        <v>231.94999999999996</v>
      </c>
      <c r="F244">
        <f t="shared" ca="1" si="16"/>
        <v>227.76999999999998</v>
      </c>
      <c r="G244">
        <f t="shared" ref="G244:G307" ca="1" si="18">AVERAGE(C195:C244)</f>
        <v>222.73819999999995</v>
      </c>
      <c r="H244">
        <f t="shared" ca="1" si="17"/>
        <v>213.42740000000001</v>
      </c>
      <c r="J244" s="1">
        <v>45642</v>
      </c>
      <c r="K244" vm="726">
        <v>228.97</v>
      </c>
    </row>
    <row r="245" spans="1:11" x14ac:dyDescent="0.25">
      <c r="A245" s="1">
        <f t="shared" ca="1" si="14"/>
        <v>45642</v>
      </c>
      <c r="B245" s="1" vm="728">
        <f ca="1"/>
        <v>45644</v>
      </c>
      <c r="C245" vm="729">
        <f ca="1"/>
        <v>220.17</v>
      </c>
      <c r="D245" vm="730">
        <f ca="1"/>
        <v>4152517</v>
      </c>
      <c r="E245">
        <f t="shared" ca="1" si="15"/>
        <v>230.61799999999999</v>
      </c>
      <c r="F245">
        <f t="shared" ca="1" si="16"/>
        <v>228.26600000000002</v>
      </c>
      <c r="G245">
        <f t="shared" ca="1" si="18"/>
        <v>222.5692</v>
      </c>
      <c r="H245">
        <f t="shared" ca="1" si="17"/>
        <v>213.71410000000003</v>
      </c>
      <c r="J245" s="1">
        <v>45642</v>
      </c>
      <c r="K245" vm="729">
        <v>220.17</v>
      </c>
    </row>
    <row r="246" spans="1:11" x14ac:dyDescent="0.25">
      <c r="A246" s="1">
        <f t="shared" ca="1" si="14"/>
        <v>45642</v>
      </c>
      <c r="B246" s="1" vm="731">
        <f ca="1"/>
        <v>45645</v>
      </c>
      <c r="C246" vm="732">
        <f ca="1"/>
        <v>223.92</v>
      </c>
      <c r="D246" vm="733">
        <f ca="1"/>
        <v>4430120</v>
      </c>
      <c r="E246">
        <f t="shared" ca="1" si="15"/>
        <v>229.535</v>
      </c>
      <c r="F246">
        <f t="shared" ca="1" si="16"/>
        <v>228.73199999999997</v>
      </c>
      <c r="G246">
        <f t="shared" ca="1" si="18"/>
        <v>222.36160000000001</v>
      </c>
      <c r="H246">
        <f t="shared" ca="1" si="17"/>
        <v>214.04289999999997</v>
      </c>
      <c r="J246" s="1">
        <v>45642</v>
      </c>
      <c r="K246" vm="732">
        <v>223.92</v>
      </c>
    </row>
    <row r="247" spans="1:11" x14ac:dyDescent="0.25">
      <c r="A247" s="1">
        <f t="shared" ca="1" si="14"/>
        <v>45642</v>
      </c>
      <c r="B247" s="1" vm="734">
        <f ca="1"/>
        <v>45646</v>
      </c>
      <c r="C247" vm="735">
        <f ca="1"/>
        <v>223.36</v>
      </c>
      <c r="D247" vm="736">
        <f ca="1"/>
        <v>12423200</v>
      </c>
      <c r="E247">
        <f t="shared" ca="1" si="15"/>
        <v>228.06700000000001</v>
      </c>
      <c r="F247">
        <f t="shared" ca="1" si="16"/>
        <v>228.77999999999997</v>
      </c>
      <c r="G247">
        <f t="shared" ca="1" si="18"/>
        <v>222.16839999999999</v>
      </c>
      <c r="H247">
        <f t="shared" ca="1" si="17"/>
        <v>214.35509999999999</v>
      </c>
      <c r="J247" s="1">
        <v>45642</v>
      </c>
      <c r="K247" vm="735">
        <v>223.36</v>
      </c>
    </row>
    <row r="248" spans="1:11" x14ac:dyDescent="0.25">
      <c r="A248" s="1">
        <f t="shared" ca="1" si="14"/>
        <v>45649</v>
      </c>
      <c r="B248" s="1" vm="737">
        <f ca="1"/>
        <v>45649</v>
      </c>
      <c r="C248" vm="738">
        <f ca="1"/>
        <v>221.93</v>
      </c>
      <c r="D248" vm="739">
        <f ca="1"/>
        <v>2988137</v>
      </c>
      <c r="E248">
        <f t="shared" ca="1" si="15"/>
        <v>227.26</v>
      </c>
      <c r="F248">
        <f t="shared" ca="1" si="16"/>
        <v>228.72799999999998</v>
      </c>
      <c r="G248">
        <f t="shared" ca="1" si="18"/>
        <v>221.94180000000003</v>
      </c>
      <c r="H248">
        <f t="shared" ca="1" si="17"/>
        <v>214.67780000000002</v>
      </c>
      <c r="J248" s="1">
        <v>45649</v>
      </c>
      <c r="K248" vm="738">
        <v>221.93</v>
      </c>
    </row>
    <row r="249" spans="1:11" x14ac:dyDescent="0.25">
      <c r="A249" s="1">
        <f t="shared" ca="1" si="14"/>
        <v>45649</v>
      </c>
      <c r="B249" s="1" vm="740">
        <f ca="1"/>
        <v>45650</v>
      </c>
      <c r="C249" vm="741">
        <f ca="1"/>
        <v>224.41</v>
      </c>
      <c r="D249" vm="742">
        <f ca="1"/>
        <v>1186216</v>
      </c>
      <c r="E249">
        <f t="shared" ca="1" si="15"/>
        <v>226.52900000000005</v>
      </c>
      <c r="F249">
        <f t="shared" ca="1" si="16"/>
        <v>228.64199999999997</v>
      </c>
      <c r="G249">
        <f t="shared" ca="1" si="18"/>
        <v>221.72479999999999</v>
      </c>
      <c r="H249">
        <f t="shared" ca="1" si="17"/>
        <v>215.0307</v>
      </c>
      <c r="J249" s="1">
        <v>45649</v>
      </c>
      <c r="K249" vm="741">
        <v>224.41</v>
      </c>
    </row>
    <row r="250" spans="1:11" x14ac:dyDescent="0.25">
      <c r="A250" s="1">
        <f t="shared" ca="1" si="14"/>
        <v>45649</v>
      </c>
      <c r="B250" s="1" vm="743">
        <f ca="1"/>
        <v>45652</v>
      </c>
      <c r="C250" vm="744">
        <f ca="1"/>
        <v>224.89</v>
      </c>
      <c r="D250" vm="745">
        <f ca="1"/>
        <v>3287238</v>
      </c>
      <c r="E250">
        <f t="shared" ca="1" si="15"/>
        <v>226.006</v>
      </c>
      <c r="F250">
        <f t="shared" ca="1" si="16"/>
        <v>228.44499999999999</v>
      </c>
      <c r="G250">
        <f t="shared" ca="1" si="18"/>
        <v>221.5634</v>
      </c>
      <c r="H250">
        <f t="shared" ca="1" si="17"/>
        <v>215.44649999999999</v>
      </c>
      <c r="J250" s="1">
        <v>45649</v>
      </c>
      <c r="K250" vm="744">
        <v>224.89</v>
      </c>
    </row>
    <row r="251" spans="1:11" x14ac:dyDescent="0.25">
      <c r="A251" s="1">
        <f t="shared" ca="1" si="14"/>
        <v>45649</v>
      </c>
      <c r="B251" s="1" vm="746">
        <f ca="1"/>
        <v>45653</v>
      </c>
      <c r="C251" vm="747">
        <f ca="1"/>
        <v>222.78</v>
      </c>
      <c r="D251" vm="748">
        <f ca="1"/>
        <v>1810760</v>
      </c>
      <c r="E251">
        <f t="shared" ca="1" si="15"/>
        <v>225.05800000000005</v>
      </c>
      <c r="F251">
        <f t="shared" ca="1" si="16"/>
        <v>228.238</v>
      </c>
      <c r="G251">
        <f t="shared" ca="1" si="18"/>
        <v>221.34560000000002</v>
      </c>
      <c r="H251">
        <f t="shared" ca="1" si="17"/>
        <v>215.80629999999996</v>
      </c>
      <c r="J251" s="1">
        <v>45649</v>
      </c>
      <c r="K251" vm="747">
        <v>222.78</v>
      </c>
    </row>
    <row r="252" spans="1:11" x14ac:dyDescent="0.25">
      <c r="A252" s="1">
        <f t="shared" ca="1" si="14"/>
        <v>45656</v>
      </c>
      <c r="B252" s="1" vm="749">
        <f ca="1"/>
        <v>45656</v>
      </c>
      <c r="C252" vm="750">
        <f ca="1"/>
        <v>220.25</v>
      </c>
      <c r="D252" vm="751">
        <f ca="1"/>
        <v>2095565</v>
      </c>
      <c r="E252">
        <f t="shared" ca="1" si="15"/>
        <v>224.00100000000003</v>
      </c>
      <c r="F252">
        <f t="shared" ca="1" si="16"/>
        <v>227.88000000000002</v>
      </c>
      <c r="G252">
        <f t="shared" ca="1" si="18"/>
        <v>221.09300000000002</v>
      </c>
      <c r="H252">
        <f t="shared" ca="1" si="17"/>
        <v>216.14079999999996</v>
      </c>
      <c r="J252" s="1">
        <v>45656</v>
      </c>
      <c r="K252" vm="750">
        <v>220.25</v>
      </c>
    </row>
    <row r="253" spans="1:11" x14ac:dyDescent="0.25">
      <c r="A253" s="1">
        <f t="shared" ca="1" si="14"/>
        <v>45656</v>
      </c>
      <c r="B253" s="1" vm="752">
        <f ca="1"/>
        <v>45657</v>
      </c>
      <c r="C253" vm="753">
        <f ca="1"/>
        <v>219.83</v>
      </c>
      <c r="D253" vm="754">
        <f ca="1"/>
        <v>2270512</v>
      </c>
      <c r="E253">
        <f t="shared" ca="1" si="15"/>
        <v>223.05100000000002</v>
      </c>
      <c r="F253">
        <f t="shared" ca="1" si="16"/>
        <v>227.50199999999995</v>
      </c>
      <c r="G253">
        <f t="shared" ca="1" si="18"/>
        <v>220.84560000000002</v>
      </c>
      <c r="H253">
        <f t="shared" ca="1" si="17"/>
        <v>216.41299999999995</v>
      </c>
      <c r="J253" s="1">
        <v>45656</v>
      </c>
      <c r="K253" vm="753">
        <v>219.83</v>
      </c>
    </row>
    <row r="254" spans="1:11" x14ac:dyDescent="0.25">
      <c r="A254" s="1">
        <f t="shared" ca="1" si="14"/>
        <v>45656</v>
      </c>
      <c r="B254" s="1" vm="755">
        <f ca="1"/>
        <v>45659</v>
      </c>
      <c r="C254" vm="756">
        <f ca="1"/>
        <v>219.94</v>
      </c>
      <c r="D254" vm="757">
        <f ca="1"/>
        <v>2579498</v>
      </c>
      <c r="E254">
        <f t="shared" ca="1" si="15"/>
        <v>222.148</v>
      </c>
      <c r="F254">
        <f t="shared" ca="1" si="16"/>
        <v>227.04899999999992</v>
      </c>
      <c r="G254">
        <f t="shared" ca="1" si="18"/>
        <v>220.60940000000002</v>
      </c>
      <c r="H254">
        <f t="shared" ca="1" si="17"/>
        <v>216.69789999999998</v>
      </c>
      <c r="J254" s="1">
        <v>45656</v>
      </c>
      <c r="K254" vm="756">
        <v>219.94</v>
      </c>
    </row>
    <row r="255" spans="1:11" x14ac:dyDescent="0.25">
      <c r="A255" s="1">
        <f t="shared" ca="1" si="14"/>
        <v>45656</v>
      </c>
      <c r="B255" s="1" vm="758">
        <f ca="1"/>
        <v>45660</v>
      </c>
      <c r="C255" vm="759">
        <f ca="1"/>
        <v>222.65</v>
      </c>
      <c r="D255" vm="760">
        <f ca="1"/>
        <v>3873578</v>
      </c>
      <c r="E255">
        <f t="shared" ca="1" si="15"/>
        <v>222.39600000000002</v>
      </c>
      <c r="F255">
        <f t="shared" ca="1" si="16"/>
        <v>226.50699999999998</v>
      </c>
      <c r="G255">
        <f t="shared" ca="1" si="18"/>
        <v>220.41740000000001</v>
      </c>
      <c r="H255">
        <f t="shared" ca="1" si="17"/>
        <v>217.02959999999999</v>
      </c>
      <c r="J255" s="1">
        <v>45656</v>
      </c>
      <c r="K255" vm="759">
        <v>222.65</v>
      </c>
    </row>
    <row r="256" spans="1:11" x14ac:dyDescent="0.25">
      <c r="A256" s="1">
        <f t="shared" ca="1" si="14"/>
        <v>45663</v>
      </c>
      <c r="B256" s="1" vm="761">
        <f ca="1"/>
        <v>45663</v>
      </c>
      <c r="C256" vm="762">
        <f ca="1"/>
        <v>222.67</v>
      </c>
      <c r="D256" vm="763">
        <f ca="1"/>
        <v>2847128</v>
      </c>
      <c r="E256">
        <f t="shared" ca="1" si="15"/>
        <v>222.27100000000002</v>
      </c>
      <c r="F256">
        <f t="shared" ca="1" si="16"/>
        <v>225.90299999999996</v>
      </c>
      <c r="G256">
        <f t="shared" ca="1" si="18"/>
        <v>220.21580000000003</v>
      </c>
      <c r="H256">
        <f t="shared" ca="1" si="17"/>
        <v>217.34639999999996</v>
      </c>
      <c r="J256" s="1">
        <v>45663</v>
      </c>
      <c r="K256" vm="762">
        <v>222.67</v>
      </c>
    </row>
    <row r="257" spans="1:11" x14ac:dyDescent="0.25">
      <c r="A257" s="1">
        <f t="shared" ca="1" si="14"/>
        <v>45663</v>
      </c>
      <c r="B257" s="1" vm="764">
        <f ca="1"/>
        <v>45664</v>
      </c>
      <c r="C257" vm="765">
        <f ca="1"/>
        <v>223.96</v>
      </c>
      <c r="D257" vm="766">
        <f ca="1"/>
        <v>3299701</v>
      </c>
      <c r="E257">
        <f t="shared" ca="1" si="15"/>
        <v>222.33099999999999</v>
      </c>
      <c r="F257">
        <f t="shared" ca="1" si="16"/>
        <v>225.19899999999998</v>
      </c>
      <c r="G257">
        <f t="shared" ca="1" si="18"/>
        <v>220.3272</v>
      </c>
      <c r="H257">
        <f t="shared" ca="1" si="17"/>
        <v>217.66279999999995</v>
      </c>
      <c r="J257" s="1">
        <v>45663</v>
      </c>
      <c r="K257" vm="765">
        <v>223.96</v>
      </c>
    </row>
    <row r="258" spans="1:11" x14ac:dyDescent="0.25">
      <c r="A258" s="1">
        <f t="shared" ca="1" si="14"/>
        <v>45663</v>
      </c>
      <c r="B258" s="1" vm="767">
        <f ca="1"/>
        <v>45665</v>
      </c>
      <c r="C258" vm="768">
        <f ca="1"/>
        <v>223.18</v>
      </c>
      <c r="D258" vm="769">
        <f ca="1"/>
        <v>2619768</v>
      </c>
      <c r="E258">
        <f t="shared" ca="1" si="15"/>
        <v>222.45599999999999</v>
      </c>
      <c r="F258">
        <f t="shared" ca="1" si="16"/>
        <v>224.858</v>
      </c>
      <c r="G258">
        <f t="shared" ca="1" si="18"/>
        <v>220.49740000000003</v>
      </c>
      <c r="H258">
        <f t="shared" ca="1" si="17"/>
        <v>217.95509999999996</v>
      </c>
      <c r="J258" s="1">
        <v>45663</v>
      </c>
      <c r="K258" vm="768">
        <v>223.18</v>
      </c>
    </row>
    <row r="259" spans="1:11" x14ac:dyDescent="0.25">
      <c r="A259" s="1">
        <f t="shared" ref="A259:A322" ca="1" si="19">B259 - WEEKDAY(B259, 2) + 1</f>
        <v>45663</v>
      </c>
      <c r="B259" s="1" vm="770">
        <f ca="1"/>
        <v>45667</v>
      </c>
      <c r="C259" vm="771">
        <f ca="1"/>
        <v>219.75</v>
      </c>
      <c r="D259" vm="772">
        <f ca="1"/>
        <v>3570497</v>
      </c>
      <c r="E259">
        <f t="shared" ca="1" si="15"/>
        <v>221.99000000000007</v>
      </c>
      <c r="F259">
        <f t="shared" ca="1" si="16"/>
        <v>224.25950000000003</v>
      </c>
      <c r="G259">
        <f t="shared" ca="1" si="18"/>
        <v>220.63419999999999</v>
      </c>
      <c r="H259">
        <f t="shared" ca="1" si="17"/>
        <v>218.21479999999997</v>
      </c>
      <c r="J259" s="1">
        <v>45663</v>
      </c>
      <c r="K259" vm="771">
        <v>219.75</v>
      </c>
    </row>
    <row r="260" spans="1:11" x14ac:dyDescent="0.25">
      <c r="A260" s="1">
        <f t="shared" ca="1" si="19"/>
        <v>45670</v>
      </c>
      <c r="B260" s="1" vm="773">
        <f ca="1"/>
        <v>45670</v>
      </c>
      <c r="C260" vm="774">
        <f ca="1"/>
        <v>217.4</v>
      </c>
      <c r="D260" vm="775">
        <f ca="1"/>
        <v>3716816</v>
      </c>
      <c r="E260">
        <f t="shared" ca="1" si="15"/>
        <v>221.24100000000004</v>
      </c>
      <c r="F260">
        <f t="shared" ca="1" si="16"/>
        <v>223.62349999999998</v>
      </c>
      <c r="G260">
        <f t="shared" ca="1" si="18"/>
        <v>220.77359999999996</v>
      </c>
      <c r="H260">
        <f t="shared" ca="1" si="17"/>
        <v>218.44149999999993</v>
      </c>
      <c r="J260" s="1">
        <v>45670</v>
      </c>
      <c r="K260" vm="774">
        <v>217.4</v>
      </c>
    </row>
    <row r="261" spans="1:11" x14ac:dyDescent="0.25">
      <c r="A261" s="1">
        <f t="shared" ca="1" si="19"/>
        <v>45670</v>
      </c>
      <c r="B261" s="1" vm="776">
        <f ca="1"/>
        <v>45671</v>
      </c>
      <c r="C261" vm="777">
        <f ca="1"/>
        <v>217.75</v>
      </c>
      <c r="D261" vm="778">
        <f ca="1"/>
        <v>3485829</v>
      </c>
      <c r="E261">
        <f t="shared" ca="1" si="15"/>
        <v>220.738</v>
      </c>
      <c r="F261">
        <f t="shared" ca="1" si="16"/>
        <v>222.898</v>
      </c>
      <c r="G261">
        <f t="shared" ca="1" si="18"/>
        <v>221.03059999999996</v>
      </c>
      <c r="H261">
        <f t="shared" ca="1" si="17"/>
        <v>218.65869999999995</v>
      </c>
      <c r="J261" s="1">
        <v>45670</v>
      </c>
      <c r="K261" vm="777">
        <v>217.75</v>
      </c>
    </row>
    <row r="262" spans="1:11" x14ac:dyDescent="0.25">
      <c r="A262" s="1">
        <f t="shared" ca="1" si="19"/>
        <v>45670</v>
      </c>
      <c r="B262" s="1" vm="779">
        <f ca="1"/>
        <v>45672</v>
      </c>
      <c r="C262" vm="780">
        <f ca="1"/>
        <v>220.03</v>
      </c>
      <c r="D262" vm="781">
        <f ca="1"/>
        <v>2951825</v>
      </c>
      <c r="E262">
        <f t="shared" ca="1" si="15"/>
        <v>220.71600000000004</v>
      </c>
      <c r="F262">
        <f t="shared" ca="1" si="16"/>
        <v>222.35849999999999</v>
      </c>
      <c r="G262">
        <f t="shared" ca="1" si="18"/>
        <v>221.29679999999999</v>
      </c>
      <c r="H262">
        <f t="shared" ca="1" si="17"/>
        <v>218.88689999999994</v>
      </c>
      <c r="J262" s="1">
        <v>45670</v>
      </c>
      <c r="K262" vm="780">
        <v>220.03</v>
      </c>
    </row>
    <row r="263" spans="1:11" x14ac:dyDescent="0.25">
      <c r="A263" s="1">
        <f t="shared" ca="1" si="19"/>
        <v>45670</v>
      </c>
      <c r="B263" s="1" vm="782">
        <f ca="1"/>
        <v>45673</v>
      </c>
      <c r="C263" vm="783">
        <f ca="1"/>
        <v>222.66</v>
      </c>
      <c r="D263" vm="784">
        <f ca="1"/>
        <v>3329060</v>
      </c>
      <c r="E263">
        <f t="shared" ca="1" si="15"/>
        <v>220.99900000000002</v>
      </c>
      <c r="F263">
        <f t="shared" ca="1" si="16"/>
        <v>222.02500000000001</v>
      </c>
      <c r="G263">
        <f t="shared" ca="1" si="18"/>
        <v>221.58500000000001</v>
      </c>
      <c r="H263">
        <f t="shared" ca="1" si="17"/>
        <v>219.15389999999991</v>
      </c>
      <c r="J263" s="1">
        <v>45670</v>
      </c>
      <c r="K263" vm="783">
        <v>222.66</v>
      </c>
    </row>
    <row r="264" spans="1:11" x14ac:dyDescent="0.25">
      <c r="A264" s="1">
        <f t="shared" ca="1" si="19"/>
        <v>45670</v>
      </c>
      <c r="B264" s="1" vm="785">
        <f ca="1"/>
        <v>45674</v>
      </c>
      <c r="C264" vm="786">
        <f ca="1"/>
        <v>224.79</v>
      </c>
      <c r="D264" vm="787">
        <f ca="1"/>
        <v>5506837</v>
      </c>
      <c r="E264">
        <f t="shared" ca="1" si="15"/>
        <v>221.48400000000001</v>
      </c>
      <c r="F264">
        <f t="shared" ca="1" si="16"/>
        <v>221.81600000000003</v>
      </c>
      <c r="G264">
        <f t="shared" ca="1" si="18"/>
        <v>221.95440000000002</v>
      </c>
      <c r="H264">
        <f t="shared" ca="1" si="17"/>
        <v>219.44079999999994</v>
      </c>
      <c r="J264" s="1">
        <v>45670</v>
      </c>
      <c r="K264" vm="786">
        <v>224.79</v>
      </c>
    </row>
    <row r="265" spans="1:11" x14ac:dyDescent="0.25">
      <c r="A265" s="1">
        <f t="shared" ca="1" si="19"/>
        <v>45677</v>
      </c>
      <c r="B265" s="1" vm="788">
        <f ca="1"/>
        <v>45678</v>
      </c>
      <c r="C265" vm="789">
        <f ca="1"/>
        <v>224.26</v>
      </c>
      <c r="D265" vm="790">
        <f ca="1"/>
        <v>3982203</v>
      </c>
      <c r="E265">
        <f t="shared" ca="1" si="15"/>
        <v>221.64499999999998</v>
      </c>
      <c r="F265">
        <f t="shared" ca="1" si="16"/>
        <v>222.02050000000003</v>
      </c>
      <c r="G265">
        <f t="shared" ca="1" si="18"/>
        <v>222.28820000000005</v>
      </c>
      <c r="H265">
        <f t="shared" ca="1" si="17"/>
        <v>219.70359999999994</v>
      </c>
      <c r="J265" s="1">
        <v>45677</v>
      </c>
      <c r="K265" vm="789">
        <v>224.26</v>
      </c>
    </row>
    <row r="266" spans="1:11" x14ac:dyDescent="0.25">
      <c r="A266" s="1">
        <f t="shared" ca="1" si="19"/>
        <v>45677</v>
      </c>
      <c r="B266" s="1" vm="791">
        <f ca="1"/>
        <v>45679</v>
      </c>
      <c r="C266" vm="792">
        <f ca="1"/>
        <v>223.26</v>
      </c>
      <c r="D266" vm="793">
        <f ca="1"/>
        <v>4759490</v>
      </c>
      <c r="E266">
        <f t="shared" ca="1" si="15"/>
        <v>221.70400000000001</v>
      </c>
      <c r="F266">
        <f t="shared" ca="1" si="16"/>
        <v>221.98750000000001</v>
      </c>
      <c r="G266">
        <f t="shared" ca="1" si="18"/>
        <v>222.48140000000004</v>
      </c>
      <c r="H266">
        <f t="shared" ca="1" si="17"/>
        <v>219.94889999999992</v>
      </c>
      <c r="J266" s="1">
        <v>45677</v>
      </c>
      <c r="K266" vm="792">
        <v>223.26</v>
      </c>
    </row>
    <row r="267" spans="1:11" x14ac:dyDescent="0.25">
      <c r="A267" s="1">
        <f t="shared" ca="1" si="19"/>
        <v>45677</v>
      </c>
      <c r="B267" s="1" vm="794">
        <f ca="1"/>
        <v>45680</v>
      </c>
      <c r="C267" vm="795">
        <f ca="1"/>
        <v>226.04</v>
      </c>
      <c r="D267" vm="796">
        <f ca="1"/>
        <v>3619651</v>
      </c>
      <c r="E267">
        <f t="shared" ca="1" si="15"/>
        <v>221.91200000000003</v>
      </c>
      <c r="F267">
        <f t="shared" ca="1" si="16"/>
        <v>222.12150000000003</v>
      </c>
      <c r="G267">
        <f t="shared" ca="1" si="18"/>
        <v>222.72840000000005</v>
      </c>
      <c r="H267">
        <f t="shared" ca="1" si="17"/>
        <v>220.22469999999993</v>
      </c>
      <c r="J267" s="1">
        <v>45677</v>
      </c>
      <c r="K267" vm="795">
        <v>226.04</v>
      </c>
    </row>
    <row r="268" spans="1:11" x14ac:dyDescent="0.25">
      <c r="A268" s="1">
        <f t="shared" ca="1" si="19"/>
        <v>45677</v>
      </c>
      <c r="B268" s="1" vm="797">
        <f ca="1"/>
        <v>45681</v>
      </c>
      <c r="C268" vm="798">
        <f ca="1"/>
        <v>224.8</v>
      </c>
      <c r="D268" vm="799">
        <f ca="1"/>
        <v>3233293</v>
      </c>
      <c r="E268">
        <f t="shared" ref="E268:E331" ca="1" si="20">AVERAGE(C259:C268)</f>
        <v>222.07399999999998</v>
      </c>
      <c r="F268">
        <f t="shared" ca="1" si="16"/>
        <v>222.26500000000001</v>
      </c>
      <c r="G268">
        <f t="shared" ca="1" si="18"/>
        <v>222.95</v>
      </c>
      <c r="H268">
        <f t="shared" ca="1" si="17"/>
        <v>220.48369999999991</v>
      </c>
      <c r="J268" s="1">
        <v>45677</v>
      </c>
      <c r="K268" vm="798">
        <v>224.8</v>
      </c>
    </row>
    <row r="269" spans="1:11" x14ac:dyDescent="0.25">
      <c r="A269" s="1">
        <f t="shared" ca="1" si="19"/>
        <v>45684</v>
      </c>
      <c r="B269" s="1" vm="800">
        <f ca="1"/>
        <v>45684</v>
      </c>
      <c r="C269" vm="801">
        <f ca="1"/>
        <v>224.13</v>
      </c>
      <c r="D269" vm="802">
        <f ca="1"/>
        <v>4898355</v>
      </c>
      <c r="E269">
        <f t="shared" ca="1" si="20"/>
        <v>222.512</v>
      </c>
      <c r="F269">
        <f t="shared" ca="1" si="16"/>
        <v>222.25100000000006</v>
      </c>
      <c r="G269">
        <f t="shared" ca="1" si="18"/>
        <v>223.16119999999998</v>
      </c>
      <c r="H269">
        <f t="shared" ca="1" si="17"/>
        <v>220.70369999999991</v>
      </c>
      <c r="J269" s="1">
        <v>45684</v>
      </c>
      <c r="K269" vm="801">
        <v>224.13</v>
      </c>
    </row>
    <row r="270" spans="1:11" x14ac:dyDescent="0.25">
      <c r="A270" s="1">
        <f t="shared" ca="1" si="19"/>
        <v>45684</v>
      </c>
      <c r="B270" s="1" vm="803">
        <f ca="1"/>
        <v>45685</v>
      </c>
      <c r="C270" vm="804">
        <f ca="1"/>
        <v>225.66</v>
      </c>
      <c r="D270" vm="805">
        <f ca="1"/>
        <v>4485429</v>
      </c>
      <c r="E270">
        <f t="shared" ca="1" si="20"/>
        <v>223.33799999999997</v>
      </c>
      <c r="F270">
        <f t="shared" ca="1" si="16"/>
        <v>222.28950000000003</v>
      </c>
      <c r="G270">
        <f t="shared" ca="1" si="18"/>
        <v>223.4572</v>
      </c>
      <c r="H270">
        <f t="shared" ca="1" si="17"/>
        <v>220.94749999999993</v>
      </c>
      <c r="J270" s="1">
        <v>45684</v>
      </c>
      <c r="K270" vm="804">
        <v>225.66</v>
      </c>
    </row>
    <row r="271" spans="1:11" x14ac:dyDescent="0.25">
      <c r="A271" s="1">
        <f t="shared" ca="1" si="19"/>
        <v>45684</v>
      </c>
      <c r="B271" s="1" vm="806">
        <f ca="1"/>
        <v>45686</v>
      </c>
      <c r="C271" vm="807">
        <f ca="1"/>
        <v>228.63</v>
      </c>
      <c r="D271" vm="808">
        <f ca="1"/>
        <v>7079804</v>
      </c>
      <c r="E271">
        <f t="shared" ca="1" si="20"/>
        <v>224.42599999999999</v>
      </c>
      <c r="F271">
        <f t="shared" ca="1" si="16"/>
        <v>222.58200000000002</v>
      </c>
      <c r="G271">
        <f t="shared" ca="1" si="18"/>
        <v>223.81139999999999</v>
      </c>
      <c r="H271">
        <f t="shared" ca="1" si="17"/>
        <v>221.19269999999995</v>
      </c>
      <c r="J271" s="1">
        <v>45684</v>
      </c>
      <c r="K271" vm="807">
        <v>228.63</v>
      </c>
    </row>
    <row r="272" spans="1:11" x14ac:dyDescent="0.25">
      <c r="A272" s="1">
        <f t="shared" ca="1" si="19"/>
        <v>45684</v>
      </c>
      <c r="B272" s="1" vm="809">
        <f ca="1"/>
        <v>45687</v>
      </c>
      <c r="C272" vm="810">
        <f ca="1"/>
        <v>258.27</v>
      </c>
      <c r="D272" vm="811">
        <f ca="1"/>
        <v>15381890</v>
      </c>
      <c r="E272">
        <f t="shared" ca="1" si="20"/>
        <v>228.25</v>
      </c>
      <c r="F272">
        <f t="shared" ca="1" si="16"/>
        <v>224.483</v>
      </c>
      <c r="G272">
        <f t="shared" ca="1" si="18"/>
        <v>224.79699999999997</v>
      </c>
      <c r="H272">
        <f t="shared" ca="1" si="17"/>
        <v>221.74949999999998</v>
      </c>
      <c r="J272" s="1">
        <v>45684</v>
      </c>
      <c r="K272" vm="810">
        <v>258.27</v>
      </c>
    </row>
    <row r="273" spans="1:11" x14ac:dyDescent="0.25">
      <c r="A273" s="1">
        <f t="shared" ca="1" si="19"/>
        <v>45684</v>
      </c>
      <c r="B273" s="1" vm="812">
        <f ca="1"/>
        <v>45688</v>
      </c>
      <c r="C273" vm="813">
        <f ca="1"/>
        <v>255.7</v>
      </c>
      <c r="D273" vm="814">
        <f ca="1"/>
        <v>7203519</v>
      </c>
      <c r="E273">
        <f t="shared" ca="1" si="20"/>
        <v>231.55399999999995</v>
      </c>
      <c r="F273">
        <f t="shared" ca="1" si="16"/>
        <v>226.2765</v>
      </c>
      <c r="G273">
        <f t="shared" ca="1" si="18"/>
        <v>225.81120000000001</v>
      </c>
      <c r="H273">
        <f t="shared" ca="1" si="17"/>
        <v>222.29909999999995</v>
      </c>
      <c r="J273" s="1">
        <v>45684</v>
      </c>
      <c r="K273" vm="813">
        <v>255.7</v>
      </c>
    </row>
    <row r="274" spans="1:11" x14ac:dyDescent="0.25">
      <c r="A274" s="1">
        <f t="shared" ca="1" si="19"/>
        <v>45691</v>
      </c>
      <c r="B274" s="1" vm="815">
        <f ca="1"/>
        <v>45691</v>
      </c>
      <c r="C274" vm="816">
        <f ca="1"/>
        <v>260.73</v>
      </c>
      <c r="D274" vm="817">
        <f ca="1"/>
        <v>8408523</v>
      </c>
      <c r="E274">
        <f t="shared" ca="1" si="20"/>
        <v>235.14799999999997</v>
      </c>
      <c r="F274">
        <f t="shared" ca="1" si="16"/>
        <v>228.31600000000009</v>
      </c>
      <c r="G274">
        <f t="shared" ca="1" si="18"/>
        <v>226.86399999999998</v>
      </c>
      <c r="H274">
        <f t="shared" ca="1" si="17"/>
        <v>222.87109999999996</v>
      </c>
      <c r="J274" s="1">
        <v>45691</v>
      </c>
      <c r="K274" vm="816">
        <v>260.73</v>
      </c>
    </row>
    <row r="275" spans="1:11" x14ac:dyDescent="0.25">
      <c r="A275" s="1">
        <f t="shared" ca="1" si="19"/>
        <v>45691</v>
      </c>
      <c r="B275" s="1" vm="818">
        <f ca="1"/>
        <v>45692</v>
      </c>
      <c r="C275" vm="819">
        <f ca="1"/>
        <v>264.45999999999998</v>
      </c>
      <c r="D275" vm="820">
        <f ca="1"/>
        <v>6077652</v>
      </c>
      <c r="E275">
        <f t="shared" ca="1" si="20"/>
        <v>239.16800000000003</v>
      </c>
      <c r="F275">
        <f t="shared" ca="1" si="16"/>
        <v>230.40649999999999</v>
      </c>
      <c r="G275">
        <f t="shared" ca="1" si="18"/>
        <v>227.94819999999999</v>
      </c>
      <c r="H275">
        <f t="shared" ca="1" si="17"/>
        <v>223.46249999999998</v>
      </c>
      <c r="J275" s="1">
        <v>45691</v>
      </c>
      <c r="K275" vm="819">
        <v>264.45999999999998</v>
      </c>
    </row>
    <row r="276" spans="1:11" x14ac:dyDescent="0.25">
      <c r="A276" s="1">
        <f t="shared" ca="1" si="19"/>
        <v>45691</v>
      </c>
      <c r="B276" s="1" vm="821">
        <f ca="1"/>
        <v>45693</v>
      </c>
      <c r="C276" vm="822">
        <f ca="1"/>
        <v>263.3</v>
      </c>
      <c r="D276" vm="823">
        <f ca="1"/>
        <v>6165096</v>
      </c>
      <c r="E276">
        <f t="shared" ca="1" si="20"/>
        <v>243.17200000000003</v>
      </c>
      <c r="F276">
        <f t="shared" ca="1" si="16"/>
        <v>232.43800000000002</v>
      </c>
      <c r="G276">
        <f t="shared" ca="1" si="18"/>
        <v>228.92219999999995</v>
      </c>
      <c r="H276">
        <f t="shared" ca="1" si="17"/>
        <v>223.99659999999997</v>
      </c>
      <c r="J276" s="1">
        <v>45691</v>
      </c>
      <c r="K276" vm="822">
        <v>263.3</v>
      </c>
    </row>
    <row r="277" spans="1:11" x14ac:dyDescent="0.25">
      <c r="A277" s="1">
        <f t="shared" ca="1" si="19"/>
        <v>45691</v>
      </c>
      <c r="B277" s="1" vm="824">
        <f ca="1"/>
        <v>45694</v>
      </c>
      <c r="C277" vm="825">
        <f ca="1"/>
        <v>253.44</v>
      </c>
      <c r="D277" vm="826">
        <f ca="1"/>
        <v>6128293</v>
      </c>
      <c r="E277">
        <f t="shared" ca="1" si="20"/>
        <v>245.91200000000003</v>
      </c>
      <c r="F277">
        <f t="shared" ca="1" si="16"/>
        <v>233.91199999999998</v>
      </c>
      <c r="G277">
        <f t="shared" ca="1" si="18"/>
        <v>229.54299999999995</v>
      </c>
      <c r="H277">
        <f t="shared" ca="1" si="17"/>
        <v>224.41489999999993</v>
      </c>
      <c r="J277" s="1">
        <v>45691</v>
      </c>
      <c r="K277" vm="825">
        <v>253.44</v>
      </c>
    </row>
    <row r="278" spans="1:11" x14ac:dyDescent="0.25">
      <c r="A278" s="1">
        <f t="shared" ca="1" si="19"/>
        <v>45691</v>
      </c>
      <c r="B278" s="1" vm="827">
        <f ca="1"/>
        <v>45695</v>
      </c>
      <c r="C278" vm="828">
        <f ca="1"/>
        <v>252.34</v>
      </c>
      <c r="D278" vm="829">
        <f ca="1"/>
        <v>3370284</v>
      </c>
      <c r="E278">
        <f t="shared" ca="1" si="20"/>
        <v>248.666</v>
      </c>
      <c r="F278">
        <f t="shared" ref="F278:F341" ca="1" si="21">AVERAGE(C259:C278)</f>
        <v>235.36999999999998</v>
      </c>
      <c r="G278">
        <f t="shared" ca="1" si="18"/>
        <v>230.13039999999992</v>
      </c>
      <c r="H278">
        <f t="shared" ca="1" si="17"/>
        <v>224.79039999999998</v>
      </c>
      <c r="J278" s="1">
        <v>45691</v>
      </c>
      <c r="K278" vm="828">
        <v>252.34</v>
      </c>
    </row>
    <row r="279" spans="1:11" x14ac:dyDescent="0.25">
      <c r="A279" s="1">
        <f t="shared" ca="1" si="19"/>
        <v>45698</v>
      </c>
      <c r="B279" s="1" vm="830">
        <f ca="1"/>
        <v>45698</v>
      </c>
      <c r="C279" vm="831">
        <f ca="1"/>
        <v>249.27</v>
      </c>
      <c r="D279" vm="832">
        <f ca="1"/>
        <v>3564400</v>
      </c>
      <c r="E279">
        <f t="shared" ca="1" si="20"/>
        <v>251.18</v>
      </c>
      <c r="F279">
        <f t="shared" ca="1" si="21"/>
        <v>236.846</v>
      </c>
      <c r="G279">
        <f t="shared" ca="1" si="18"/>
        <v>230.59319999999991</v>
      </c>
      <c r="H279">
        <f t="shared" ca="1" si="17"/>
        <v>225.11149999999995</v>
      </c>
      <c r="J279" s="1">
        <v>45698</v>
      </c>
      <c r="K279" vm="831">
        <v>249.27</v>
      </c>
    </row>
    <row r="280" spans="1:11" x14ac:dyDescent="0.25">
      <c r="A280" s="1">
        <f t="shared" ca="1" si="19"/>
        <v>45698</v>
      </c>
      <c r="B280" s="1" vm="833">
        <f ca="1"/>
        <v>45699</v>
      </c>
      <c r="C280" vm="834">
        <f ca="1"/>
        <v>254.7</v>
      </c>
      <c r="D280" vm="835">
        <f ca="1"/>
        <v>4801550</v>
      </c>
      <c r="E280">
        <f t="shared" ca="1" si="20"/>
        <v>254.08399999999997</v>
      </c>
      <c r="F280">
        <f t="shared" ca="1" si="21"/>
        <v>238.71100000000001</v>
      </c>
      <c r="G280">
        <f t="shared" ca="1" si="18"/>
        <v>231.11059999999995</v>
      </c>
      <c r="H280">
        <f t="shared" ca="1" si="17"/>
        <v>225.51719999999997</v>
      </c>
      <c r="J280" s="1">
        <v>45698</v>
      </c>
      <c r="K280" vm="834">
        <v>254.7</v>
      </c>
    </row>
    <row r="281" spans="1:11" x14ac:dyDescent="0.25">
      <c r="A281" s="1">
        <f t="shared" ca="1" si="19"/>
        <v>45698</v>
      </c>
      <c r="B281" s="1" vm="836">
        <f ca="1"/>
        <v>45700</v>
      </c>
      <c r="C281" vm="837">
        <f ca="1"/>
        <v>255.81</v>
      </c>
      <c r="D281" vm="838">
        <f ca="1"/>
        <v>3075308</v>
      </c>
      <c r="E281">
        <f t="shared" ca="1" si="20"/>
        <v>256.80200000000002</v>
      </c>
      <c r="F281">
        <f t="shared" ca="1" si="21"/>
        <v>240.61400000000003</v>
      </c>
      <c r="G281">
        <f t="shared" ca="1" si="18"/>
        <v>231.68839999999997</v>
      </c>
      <c r="H281">
        <f t="shared" ca="1" si="17"/>
        <v>225.92589999999996</v>
      </c>
      <c r="J281" s="1">
        <v>45698</v>
      </c>
      <c r="K281" vm="837">
        <v>255.81</v>
      </c>
    </row>
    <row r="282" spans="1:11" x14ac:dyDescent="0.25">
      <c r="A282" s="1">
        <f t="shared" ca="1" si="19"/>
        <v>45698</v>
      </c>
      <c r="B282" s="1" vm="839">
        <f ca="1"/>
        <v>45701</v>
      </c>
      <c r="C282" vm="840">
        <f ca="1"/>
        <v>259.19</v>
      </c>
      <c r="D282" vm="841">
        <f ca="1"/>
        <v>4531538</v>
      </c>
      <c r="E282">
        <f t="shared" ca="1" si="20"/>
        <v>256.89400000000001</v>
      </c>
      <c r="F282">
        <f t="shared" ca="1" si="21"/>
        <v>242.57200000000003</v>
      </c>
      <c r="G282">
        <f t="shared" ca="1" si="18"/>
        <v>232.32399999999998</v>
      </c>
      <c r="H282">
        <f t="shared" ca="1" si="17"/>
        <v>226.37889999999996</v>
      </c>
      <c r="J282" s="1">
        <v>45698</v>
      </c>
      <c r="K282" vm="840">
        <v>259.19</v>
      </c>
    </row>
    <row r="283" spans="1:11" x14ac:dyDescent="0.25">
      <c r="A283" s="1">
        <f t="shared" ca="1" si="19"/>
        <v>45698</v>
      </c>
      <c r="B283" s="1" vm="842">
        <f ca="1"/>
        <v>45702</v>
      </c>
      <c r="C283" vm="843">
        <f ca="1"/>
        <v>261.27999999999997</v>
      </c>
      <c r="D283" vm="844">
        <f ca="1"/>
        <v>3925277</v>
      </c>
      <c r="E283">
        <f t="shared" ca="1" si="20"/>
        <v>257.45200000000006</v>
      </c>
      <c r="F283">
        <f t="shared" ca="1" si="21"/>
        <v>244.50299999999999</v>
      </c>
      <c r="G283">
        <f t="shared" ca="1" si="18"/>
        <v>233.0018</v>
      </c>
      <c r="H283">
        <f t="shared" ca="1" si="17"/>
        <v>226.81469999999999</v>
      </c>
      <c r="J283" s="1">
        <v>45698</v>
      </c>
      <c r="K283" vm="843">
        <v>261.27999999999997</v>
      </c>
    </row>
    <row r="284" spans="1:11" x14ac:dyDescent="0.25">
      <c r="A284" s="1">
        <f t="shared" ca="1" si="19"/>
        <v>45705</v>
      </c>
      <c r="B284" s="1" vm="845">
        <f ca="1"/>
        <v>45706</v>
      </c>
      <c r="C284" vm="846">
        <f ca="1"/>
        <v>263.07</v>
      </c>
      <c r="D284" vm="847">
        <f ca="1"/>
        <v>4262812</v>
      </c>
      <c r="E284">
        <f t="shared" ca="1" si="20"/>
        <v>257.68600000000004</v>
      </c>
      <c r="F284">
        <f t="shared" ca="1" si="21"/>
        <v>246.41699999999997</v>
      </c>
      <c r="G284">
        <f t="shared" ca="1" si="18"/>
        <v>233.6832</v>
      </c>
      <c r="H284">
        <f t="shared" ca="1" si="17"/>
        <v>227.24039999999994</v>
      </c>
      <c r="J284" s="1">
        <v>45705</v>
      </c>
      <c r="K284" vm="846">
        <v>263.07</v>
      </c>
    </row>
    <row r="285" spans="1:11" x14ac:dyDescent="0.25">
      <c r="A285" s="1">
        <f t="shared" ca="1" si="19"/>
        <v>45705</v>
      </c>
      <c r="B285" s="1" vm="848">
        <f ca="1"/>
        <v>45707</v>
      </c>
      <c r="C285" vm="849">
        <f ca="1"/>
        <v>264.32</v>
      </c>
      <c r="D285" vm="850">
        <f ca="1"/>
        <v>3718678</v>
      </c>
      <c r="E285">
        <f t="shared" ca="1" si="20"/>
        <v>257.67200000000003</v>
      </c>
      <c r="F285">
        <f t="shared" ca="1" si="21"/>
        <v>248.42</v>
      </c>
      <c r="G285">
        <f t="shared" ca="1" si="18"/>
        <v>234.2998</v>
      </c>
      <c r="H285">
        <f t="shared" ca="1" si="17"/>
        <v>227.67389999999995</v>
      </c>
      <c r="J285" s="1">
        <v>45705</v>
      </c>
      <c r="K285" vm="849">
        <v>264.32</v>
      </c>
    </row>
    <row r="286" spans="1:11" x14ac:dyDescent="0.25">
      <c r="A286" s="1">
        <f t="shared" ca="1" si="19"/>
        <v>45705</v>
      </c>
      <c r="B286" s="1" vm="851">
        <f ca="1"/>
        <v>45708</v>
      </c>
      <c r="C286" vm="852">
        <f ca="1"/>
        <v>264.74</v>
      </c>
      <c r="D286" vm="853">
        <f ca="1"/>
        <v>4884805</v>
      </c>
      <c r="E286">
        <f t="shared" ca="1" si="20"/>
        <v>257.81599999999997</v>
      </c>
      <c r="F286">
        <f t="shared" ca="1" si="21"/>
        <v>250.49399999999997</v>
      </c>
      <c r="G286">
        <f t="shared" ca="1" si="18"/>
        <v>234.89959999999999</v>
      </c>
      <c r="H286">
        <f t="shared" ca="1" si="17"/>
        <v>228.10899999999995</v>
      </c>
      <c r="J286" s="1">
        <v>45705</v>
      </c>
      <c r="K286" vm="852">
        <v>264.74</v>
      </c>
    </row>
    <row r="287" spans="1:11" x14ac:dyDescent="0.25">
      <c r="A287" s="1">
        <f t="shared" ca="1" si="19"/>
        <v>45705</v>
      </c>
      <c r="B287" s="1" vm="854">
        <f ca="1"/>
        <v>45709</v>
      </c>
      <c r="C287" vm="855">
        <f ca="1"/>
        <v>261.48</v>
      </c>
      <c r="D287" vm="856">
        <f ca="1"/>
        <v>5667874</v>
      </c>
      <c r="E287">
        <f t="shared" ca="1" si="20"/>
        <v>258.62</v>
      </c>
      <c r="F287">
        <f t="shared" ca="1" si="21"/>
        <v>252.26599999999999</v>
      </c>
      <c r="G287">
        <f t="shared" ca="1" si="18"/>
        <v>235.36840000000001</v>
      </c>
      <c r="H287">
        <f t="shared" ca="1" si="17"/>
        <v>228.48949999999994</v>
      </c>
      <c r="J287" s="1">
        <v>45705</v>
      </c>
      <c r="K287" vm="855">
        <v>261.48</v>
      </c>
    </row>
    <row r="288" spans="1:11" x14ac:dyDescent="0.25">
      <c r="A288" s="1">
        <f t="shared" ca="1" si="19"/>
        <v>45712</v>
      </c>
      <c r="B288" s="1" vm="857">
        <f ca="1"/>
        <v>45712</v>
      </c>
      <c r="C288" vm="858">
        <f ca="1"/>
        <v>261.87</v>
      </c>
      <c r="D288" vm="859">
        <f ca="1"/>
        <v>4398107</v>
      </c>
      <c r="E288">
        <f t="shared" ca="1" si="20"/>
        <v>259.57299999999998</v>
      </c>
      <c r="F288">
        <f t="shared" ca="1" si="21"/>
        <v>254.11950000000002</v>
      </c>
      <c r="G288">
        <f t="shared" ca="1" si="18"/>
        <v>236.00580000000002</v>
      </c>
      <c r="H288">
        <f t="shared" ca="1" si="17"/>
        <v>228.89979999999991</v>
      </c>
      <c r="J288" s="1">
        <v>45712</v>
      </c>
      <c r="K288" vm="858">
        <v>261.87</v>
      </c>
    </row>
    <row r="289" spans="1:11" x14ac:dyDescent="0.25">
      <c r="A289" s="1">
        <f t="shared" ca="1" si="19"/>
        <v>45712</v>
      </c>
      <c r="B289" s="1" vm="860">
        <f ca="1"/>
        <v>45713</v>
      </c>
      <c r="C289" vm="861">
        <f ca="1"/>
        <v>257.75</v>
      </c>
      <c r="D289" vm="862">
        <f ca="1"/>
        <v>6292487</v>
      </c>
      <c r="E289">
        <f t="shared" ca="1" si="20"/>
        <v>260.42099999999999</v>
      </c>
      <c r="F289">
        <f t="shared" ca="1" si="21"/>
        <v>255.80049999999997</v>
      </c>
      <c r="G289">
        <f t="shared" ca="1" si="18"/>
        <v>236.52640000000002</v>
      </c>
      <c r="H289">
        <f t="shared" ca="1" si="17"/>
        <v>229.26649999999998</v>
      </c>
      <c r="J289" s="1">
        <v>45712</v>
      </c>
      <c r="K289" vm="861">
        <v>257.75</v>
      </c>
    </row>
    <row r="290" spans="1:11" x14ac:dyDescent="0.25">
      <c r="A290" s="1">
        <f t="shared" ca="1" si="19"/>
        <v>45712</v>
      </c>
      <c r="B290" s="1" vm="863">
        <f ca="1"/>
        <v>45714</v>
      </c>
      <c r="C290" vm="864">
        <f ca="1"/>
        <v>255.84</v>
      </c>
      <c r="D290" vm="865">
        <f ca="1"/>
        <v>3460124</v>
      </c>
      <c r="E290">
        <f t="shared" ca="1" si="20"/>
        <v>260.53499999999997</v>
      </c>
      <c r="F290">
        <f t="shared" ca="1" si="21"/>
        <v>257.30949999999996</v>
      </c>
      <c r="G290">
        <f t="shared" ca="1" si="18"/>
        <v>237.04080000000005</v>
      </c>
      <c r="H290">
        <f t="shared" ca="1" si="17"/>
        <v>229.63139999999993</v>
      </c>
      <c r="J290" s="1">
        <v>45712</v>
      </c>
      <c r="K290" vm="864">
        <v>255.84</v>
      </c>
    </row>
    <row r="291" spans="1:11" x14ac:dyDescent="0.25">
      <c r="A291" s="1">
        <f t="shared" ca="1" si="19"/>
        <v>45712</v>
      </c>
      <c r="B291" s="1" vm="866">
        <f ca="1"/>
        <v>45715</v>
      </c>
      <c r="C291" vm="867">
        <f ca="1"/>
        <v>253.23</v>
      </c>
      <c r="D291" vm="868">
        <f ca="1"/>
        <v>3402234</v>
      </c>
      <c r="E291">
        <f t="shared" ca="1" si="20"/>
        <v>260.27699999999999</v>
      </c>
      <c r="F291">
        <f t="shared" ca="1" si="21"/>
        <v>258.53949999999998</v>
      </c>
      <c r="G291">
        <f t="shared" ca="1" si="18"/>
        <v>237.46020000000004</v>
      </c>
      <c r="H291">
        <f t="shared" ca="1" si="17"/>
        <v>229.96639999999996</v>
      </c>
      <c r="J291" s="1">
        <v>45712</v>
      </c>
      <c r="K291" vm="867">
        <v>253.23</v>
      </c>
    </row>
    <row r="292" spans="1:11" x14ac:dyDescent="0.25">
      <c r="A292" s="1">
        <f t="shared" ca="1" si="19"/>
        <v>45712</v>
      </c>
      <c r="B292" s="1" vm="869">
        <f ca="1"/>
        <v>45716</v>
      </c>
      <c r="C292" vm="870">
        <f ca="1"/>
        <v>252.44</v>
      </c>
      <c r="D292" vm="871">
        <f ca="1"/>
        <v>7988809</v>
      </c>
      <c r="E292">
        <f t="shared" ca="1" si="20"/>
        <v>259.60199999999998</v>
      </c>
      <c r="F292">
        <f t="shared" ca="1" si="21"/>
        <v>258.24799999999999</v>
      </c>
      <c r="G292">
        <f t="shared" ca="1" si="18"/>
        <v>237.89260000000002</v>
      </c>
      <c r="H292">
        <f t="shared" ca="1" si="17"/>
        <v>230.26359999999997</v>
      </c>
      <c r="J292" s="1">
        <v>45712</v>
      </c>
      <c r="K292" vm="870">
        <v>252.44</v>
      </c>
    </row>
    <row r="293" spans="1:11" x14ac:dyDescent="0.25">
      <c r="A293" s="1">
        <f t="shared" ca="1" si="19"/>
        <v>45719</v>
      </c>
      <c r="B293" s="1" vm="872">
        <f ca="1"/>
        <v>45719</v>
      </c>
      <c r="C293" vm="873">
        <f ca="1"/>
        <v>250.19</v>
      </c>
      <c r="D293" vm="874">
        <f ca="1"/>
        <v>2977699</v>
      </c>
      <c r="E293">
        <f t="shared" ca="1" si="20"/>
        <v>258.49299999999999</v>
      </c>
      <c r="F293">
        <f t="shared" ca="1" si="21"/>
        <v>257.97249999999997</v>
      </c>
      <c r="G293">
        <f t="shared" ca="1" si="18"/>
        <v>238.30980000000002</v>
      </c>
      <c r="H293">
        <f t="shared" ca="1" si="17"/>
        <v>230.50549999999996</v>
      </c>
      <c r="J293" s="1">
        <v>45719</v>
      </c>
      <c r="K293" vm="873">
        <v>250.19</v>
      </c>
    </row>
    <row r="294" spans="1:11" x14ac:dyDescent="0.25">
      <c r="A294" s="1">
        <f t="shared" ca="1" si="19"/>
        <v>45719</v>
      </c>
      <c r="B294" s="1" vm="875">
        <f ca="1"/>
        <v>45720</v>
      </c>
      <c r="C294" vm="876">
        <f ca="1"/>
        <v>253.21</v>
      </c>
      <c r="D294" vm="877">
        <f ca="1"/>
        <v>5342106</v>
      </c>
      <c r="E294">
        <f t="shared" ca="1" si="20"/>
        <v>257.50699999999995</v>
      </c>
      <c r="F294">
        <f t="shared" ca="1" si="21"/>
        <v>257.59649999999993</v>
      </c>
      <c r="G294">
        <f t="shared" ca="1" si="18"/>
        <v>238.79460000000003</v>
      </c>
      <c r="H294">
        <f t="shared" ref="H294:H357" ca="1" si="22">AVERAGE(C195:C294)</f>
        <v>230.76639999999995</v>
      </c>
      <c r="J294" s="1">
        <v>45719</v>
      </c>
      <c r="K294" vm="876">
        <v>253.21</v>
      </c>
    </row>
    <row r="295" spans="1:11" x14ac:dyDescent="0.25">
      <c r="A295" s="1">
        <f t="shared" ca="1" si="19"/>
        <v>45719</v>
      </c>
      <c r="B295" s="1" vm="878">
        <f ca="1"/>
        <v>45721</v>
      </c>
      <c r="C295" vm="879">
        <f ca="1"/>
        <v>251.35</v>
      </c>
      <c r="D295" vm="880">
        <f ca="1"/>
        <v>4009813</v>
      </c>
      <c r="E295">
        <f t="shared" ca="1" si="20"/>
        <v>256.20999999999998</v>
      </c>
      <c r="F295">
        <f t="shared" ca="1" si="21"/>
        <v>256.94099999999997</v>
      </c>
      <c r="G295">
        <f t="shared" ca="1" si="18"/>
        <v>239.41820000000004</v>
      </c>
      <c r="H295">
        <f t="shared" ca="1" si="22"/>
        <v>230.99369999999996</v>
      </c>
      <c r="J295" s="1">
        <v>45719</v>
      </c>
      <c r="K295" vm="879">
        <v>251.35</v>
      </c>
    </row>
    <row r="296" spans="1:11" x14ac:dyDescent="0.25">
      <c r="A296" s="1">
        <f t="shared" ca="1" si="19"/>
        <v>45719</v>
      </c>
      <c r="B296" s="1" vm="881">
        <f ca="1"/>
        <v>45722</v>
      </c>
      <c r="C296" vm="882">
        <f ca="1"/>
        <v>248.69</v>
      </c>
      <c r="D296" vm="883">
        <f ca="1"/>
        <v>3254358</v>
      </c>
      <c r="E296">
        <f t="shared" ca="1" si="20"/>
        <v>254.60500000000002</v>
      </c>
      <c r="F296">
        <f t="shared" ca="1" si="21"/>
        <v>256.21049999999997</v>
      </c>
      <c r="G296">
        <f t="shared" ca="1" si="18"/>
        <v>239.91360000000003</v>
      </c>
      <c r="H296">
        <f t="shared" ca="1" si="22"/>
        <v>231.13759999999994</v>
      </c>
      <c r="J296" s="1">
        <v>45719</v>
      </c>
      <c r="K296" vm="882">
        <v>248.69</v>
      </c>
    </row>
    <row r="297" spans="1:11" x14ac:dyDescent="0.25">
      <c r="A297" s="1">
        <f t="shared" ca="1" si="19"/>
        <v>45719</v>
      </c>
      <c r="B297" s="1" vm="884">
        <f ca="1"/>
        <v>45723</v>
      </c>
      <c r="C297" vm="885">
        <f ca="1"/>
        <v>261.54000000000002</v>
      </c>
      <c r="D297" vm="886">
        <f ca="1"/>
        <v>6700184</v>
      </c>
      <c r="E297">
        <f t="shared" ca="1" si="20"/>
        <v>254.61100000000002</v>
      </c>
      <c r="F297">
        <f t="shared" ca="1" si="21"/>
        <v>256.6155</v>
      </c>
      <c r="G297">
        <f t="shared" ca="1" si="18"/>
        <v>240.67720000000006</v>
      </c>
      <c r="H297">
        <f t="shared" ca="1" si="22"/>
        <v>231.42279999999991</v>
      </c>
      <c r="J297" s="1">
        <v>45719</v>
      </c>
      <c r="K297" vm="885">
        <v>261.54000000000002</v>
      </c>
    </row>
    <row r="298" spans="1:11" x14ac:dyDescent="0.25">
      <c r="A298" s="1">
        <f t="shared" ca="1" si="19"/>
        <v>45726</v>
      </c>
      <c r="B298" s="1" vm="887">
        <f ca="1"/>
        <v>45726</v>
      </c>
      <c r="C298" vm="888">
        <f ca="1"/>
        <v>256.89999999999998</v>
      </c>
      <c r="D298" vm="889">
        <f ca="1"/>
        <v>8165503</v>
      </c>
      <c r="E298">
        <f t="shared" ca="1" si="20"/>
        <v>254.11400000000003</v>
      </c>
      <c r="F298">
        <f t="shared" ca="1" si="21"/>
        <v>256.84350000000001</v>
      </c>
      <c r="G298">
        <f t="shared" ca="1" si="18"/>
        <v>241.37660000000002</v>
      </c>
      <c r="H298">
        <f t="shared" ca="1" si="22"/>
        <v>231.65919999999994</v>
      </c>
      <c r="J298" s="1">
        <v>45726</v>
      </c>
      <c r="K298" vm="888">
        <v>256.89999999999998</v>
      </c>
    </row>
    <row r="299" spans="1:11" x14ac:dyDescent="0.25">
      <c r="A299" s="1">
        <f t="shared" ca="1" si="19"/>
        <v>45726</v>
      </c>
      <c r="B299" s="1" vm="890">
        <f ca="1"/>
        <v>45727</v>
      </c>
      <c r="C299" vm="891">
        <f ca="1"/>
        <v>248.95</v>
      </c>
      <c r="D299" vm="892">
        <f ca="1"/>
        <v>5630570</v>
      </c>
      <c r="E299">
        <f t="shared" ca="1" si="20"/>
        <v>253.23399999999998</v>
      </c>
      <c r="F299">
        <f t="shared" ca="1" si="21"/>
        <v>256.82749999999999</v>
      </c>
      <c r="G299">
        <f t="shared" ca="1" si="18"/>
        <v>241.86740000000009</v>
      </c>
      <c r="H299">
        <f t="shared" ca="1" si="22"/>
        <v>231.79609999999994</v>
      </c>
      <c r="J299" s="1">
        <v>45726</v>
      </c>
      <c r="K299" vm="891">
        <v>248.95</v>
      </c>
    </row>
    <row r="300" spans="1:11" x14ac:dyDescent="0.25">
      <c r="A300" s="1">
        <f t="shared" ca="1" si="19"/>
        <v>45726</v>
      </c>
      <c r="B300" s="1" vm="893">
        <f ca="1"/>
        <v>45728</v>
      </c>
      <c r="C300" vm="894">
        <f ca="1"/>
        <v>249.63</v>
      </c>
      <c r="D300" vm="895">
        <f ca="1"/>
        <v>3849206</v>
      </c>
      <c r="E300">
        <f t="shared" ca="1" si="20"/>
        <v>252.61299999999997</v>
      </c>
      <c r="F300">
        <f t="shared" ca="1" si="21"/>
        <v>256.57399999999996</v>
      </c>
      <c r="G300">
        <f t="shared" ca="1" si="18"/>
        <v>242.36220000000006</v>
      </c>
      <c r="H300">
        <f t="shared" ca="1" si="22"/>
        <v>231.96279999999996</v>
      </c>
      <c r="J300" s="1">
        <v>45726</v>
      </c>
      <c r="K300" vm="894">
        <v>249.63</v>
      </c>
    </row>
    <row r="301" spans="1:11" x14ac:dyDescent="0.25">
      <c r="A301" s="1">
        <f t="shared" ca="1" si="19"/>
        <v>45726</v>
      </c>
      <c r="B301" s="1" vm="896">
        <f ca="1"/>
        <v>45729</v>
      </c>
      <c r="C301" vm="897">
        <f ca="1"/>
        <v>245.8</v>
      </c>
      <c r="D301" vm="898">
        <f ca="1"/>
        <v>3862416</v>
      </c>
      <c r="E301">
        <f t="shared" ca="1" si="20"/>
        <v>251.87000000000003</v>
      </c>
      <c r="F301">
        <f t="shared" ca="1" si="21"/>
        <v>256.07350000000002</v>
      </c>
      <c r="G301">
        <f t="shared" ca="1" si="18"/>
        <v>242.82260000000002</v>
      </c>
      <c r="H301">
        <f t="shared" ca="1" si="22"/>
        <v>232.08409999999995</v>
      </c>
      <c r="J301" s="1">
        <v>45726</v>
      </c>
      <c r="K301" vm="897">
        <v>245.8</v>
      </c>
    </row>
    <row r="302" spans="1:11" x14ac:dyDescent="0.25">
      <c r="A302" s="1">
        <f t="shared" ca="1" si="19"/>
        <v>45726</v>
      </c>
      <c r="B302" s="1" vm="899">
        <f ca="1"/>
        <v>45730</v>
      </c>
      <c r="C302" vm="900">
        <f ca="1"/>
        <v>248.35</v>
      </c>
      <c r="D302" vm="901">
        <f ca="1"/>
        <v>4045284</v>
      </c>
      <c r="E302">
        <f t="shared" ca="1" si="20"/>
        <v>251.46100000000001</v>
      </c>
      <c r="F302">
        <f t="shared" ca="1" si="21"/>
        <v>255.53149999999999</v>
      </c>
      <c r="G302">
        <f t="shared" ca="1" si="18"/>
        <v>243.38460000000003</v>
      </c>
      <c r="H302">
        <f t="shared" ca="1" si="22"/>
        <v>232.23879999999994</v>
      </c>
      <c r="J302" s="1">
        <v>45726</v>
      </c>
      <c r="K302" vm="900">
        <v>248.35</v>
      </c>
    </row>
    <row r="303" spans="1:11" x14ac:dyDescent="0.25">
      <c r="A303" s="1">
        <f t="shared" ca="1" si="19"/>
        <v>45733</v>
      </c>
      <c r="B303" s="1" vm="902">
        <f ca="1"/>
        <v>45733</v>
      </c>
      <c r="C303" vm="903">
        <f ca="1"/>
        <v>252.97</v>
      </c>
      <c r="D303" vm="904">
        <f ca="1"/>
        <v>3234149</v>
      </c>
      <c r="E303">
        <f t="shared" ca="1" si="20"/>
        <v>251.73899999999998</v>
      </c>
      <c r="F303">
        <f t="shared" ca="1" si="21"/>
        <v>255.11600000000004</v>
      </c>
      <c r="G303">
        <f t="shared" ca="1" si="18"/>
        <v>244.04740000000001</v>
      </c>
      <c r="H303">
        <f t="shared" ca="1" si="22"/>
        <v>232.44649999999993</v>
      </c>
      <c r="J303" s="1">
        <v>45733</v>
      </c>
      <c r="K303" vm="903">
        <v>252.97</v>
      </c>
    </row>
    <row r="304" spans="1:11" x14ac:dyDescent="0.25">
      <c r="A304" s="1">
        <f t="shared" ca="1" si="19"/>
        <v>45733</v>
      </c>
      <c r="B304" s="1" vm="905">
        <f ca="1"/>
        <v>45734</v>
      </c>
      <c r="C304" vm="906">
        <f ca="1"/>
        <v>246.95</v>
      </c>
      <c r="D304" vm="907">
        <f ca="1"/>
        <v>4172239</v>
      </c>
      <c r="E304">
        <f t="shared" ca="1" si="20"/>
        <v>251.11299999999997</v>
      </c>
      <c r="F304">
        <f t="shared" ca="1" si="21"/>
        <v>254.31</v>
      </c>
      <c r="G304">
        <f t="shared" ca="1" si="18"/>
        <v>244.58760000000007</v>
      </c>
      <c r="H304">
        <f t="shared" ca="1" si="22"/>
        <v>232.59849999999994</v>
      </c>
      <c r="J304" s="1">
        <v>45733</v>
      </c>
      <c r="K304" vm="906">
        <v>246.95</v>
      </c>
    </row>
    <row r="305" spans="1:11" x14ac:dyDescent="0.25">
      <c r="A305" s="1">
        <f t="shared" ca="1" si="19"/>
        <v>45733</v>
      </c>
      <c r="B305" s="1" vm="908">
        <f ca="1"/>
        <v>45735</v>
      </c>
      <c r="C305" vm="909">
        <f ca="1"/>
        <v>252.29</v>
      </c>
      <c r="D305" vm="910">
        <f ca="1"/>
        <v>3853598</v>
      </c>
      <c r="E305">
        <f t="shared" ca="1" si="20"/>
        <v>251.20699999999997</v>
      </c>
      <c r="F305">
        <f t="shared" ca="1" si="21"/>
        <v>253.70850000000002</v>
      </c>
      <c r="G305">
        <f t="shared" ca="1" si="18"/>
        <v>245.18040000000002</v>
      </c>
      <c r="H305">
        <f t="shared" ca="1" si="22"/>
        <v>232.79889999999995</v>
      </c>
      <c r="J305" s="1">
        <v>45733</v>
      </c>
      <c r="K305" vm="909">
        <v>252.29</v>
      </c>
    </row>
    <row r="306" spans="1:11" x14ac:dyDescent="0.25">
      <c r="A306" s="1">
        <f t="shared" ca="1" si="19"/>
        <v>45733</v>
      </c>
      <c r="B306" s="1" vm="911">
        <f ca="1"/>
        <v>45736</v>
      </c>
      <c r="C306" vm="912">
        <f ca="1"/>
        <v>243.32</v>
      </c>
      <c r="D306" vm="913">
        <f ca="1"/>
        <v>7026796</v>
      </c>
      <c r="E306">
        <f t="shared" ca="1" si="20"/>
        <v>250.67000000000002</v>
      </c>
      <c r="F306">
        <f t="shared" ca="1" si="21"/>
        <v>252.63749999999999</v>
      </c>
      <c r="G306">
        <f t="shared" ca="1" si="18"/>
        <v>245.5934</v>
      </c>
      <c r="H306">
        <f t="shared" ca="1" si="22"/>
        <v>232.90459999999996</v>
      </c>
      <c r="J306" s="1">
        <v>45733</v>
      </c>
      <c r="K306" vm="912">
        <v>243.32</v>
      </c>
    </row>
    <row r="307" spans="1:11" x14ac:dyDescent="0.25">
      <c r="A307" s="1">
        <f t="shared" ca="1" si="19"/>
        <v>45733</v>
      </c>
      <c r="B307" s="1" vm="914">
        <f ca="1"/>
        <v>45737</v>
      </c>
      <c r="C307" vm="915">
        <f ca="1"/>
        <v>243.87</v>
      </c>
      <c r="D307" vm="916">
        <f ca="1"/>
        <v>9580084</v>
      </c>
      <c r="E307">
        <f t="shared" ca="1" si="20"/>
        <v>248.90299999999996</v>
      </c>
      <c r="F307">
        <f t="shared" ca="1" si="21"/>
        <v>251.75699999999998</v>
      </c>
      <c r="G307">
        <f t="shared" ca="1" si="18"/>
        <v>245.99160000000003</v>
      </c>
      <c r="H307">
        <f t="shared" ca="1" si="22"/>
        <v>233.15939999999995</v>
      </c>
      <c r="J307" s="1">
        <v>45733</v>
      </c>
      <c r="K307" vm="915">
        <v>243.87</v>
      </c>
    </row>
    <row r="308" spans="1:11" x14ac:dyDescent="0.25">
      <c r="A308" s="1">
        <f t="shared" ca="1" si="19"/>
        <v>45740</v>
      </c>
      <c r="B308" s="1" vm="917">
        <f ca="1"/>
        <v>45740</v>
      </c>
      <c r="C308" vm="918">
        <f ca="1"/>
        <v>248.45</v>
      </c>
      <c r="D308" vm="919">
        <f ca="1"/>
        <v>4753331</v>
      </c>
      <c r="E308">
        <f t="shared" ca="1" si="20"/>
        <v>248.05799999999999</v>
      </c>
      <c r="F308">
        <f t="shared" ca="1" si="21"/>
        <v>251.08599999999996</v>
      </c>
      <c r="G308">
        <f t="shared" ref="G308:G371" ca="1" si="23">AVERAGE(C259:C308)</f>
        <v>246.49700000000001</v>
      </c>
      <c r="H308">
        <f t="shared" ca="1" si="22"/>
        <v>233.49719999999996</v>
      </c>
      <c r="J308" s="1">
        <v>45740</v>
      </c>
      <c r="K308" vm="918">
        <v>248.45</v>
      </c>
    </row>
    <row r="309" spans="1:11" x14ac:dyDescent="0.25">
      <c r="A309" s="1">
        <f t="shared" ca="1" si="19"/>
        <v>45740</v>
      </c>
      <c r="B309" s="1" vm="920">
        <f ca="1"/>
        <v>45741</v>
      </c>
      <c r="C309" vm="921">
        <f ca="1"/>
        <v>249.9</v>
      </c>
      <c r="D309" vm="922">
        <f ca="1"/>
        <v>3133809</v>
      </c>
      <c r="E309">
        <f t="shared" ca="1" si="20"/>
        <v>248.15299999999996</v>
      </c>
      <c r="F309">
        <f t="shared" ca="1" si="21"/>
        <v>250.69349999999994</v>
      </c>
      <c r="G309">
        <f t="shared" ca="1" si="23"/>
        <v>247.1</v>
      </c>
      <c r="H309">
        <f t="shared" ca="1" si="22"/>
        <v>233.86709999999997</v>
      </c>
      <c r="J309" s="1">
        <v>45740</v>
      </c>
      <c r="K309" vm="921">
        <v>249.9</v>
      </c>
    </row>
    <row r="310" spans="1:11" x14ac:dyDescent="0.25">
      <c r="A310" s="1">
        <f t="shared" ca="1" si="19"/>
        <v>45740</v>
      </c>
      <c r="B310" s="1" vm="923">
        <f ca="1"/>
        <v>45742</v>
      </c>
      <c r="C310" vm="924">
        <f ca="1"/>
        <v>250.34</v>
      </c>
      <c r="D310" vm="925">
        <f ca="1"/>
        <v>4452220</v>
      </c>
      <c r="E310">
        <f t="shared" ca="1" si="20"/>
        <v>248.22399999999999</v>
      </c>
      <c r="F310">
        <f t="shared" ca="1" si="21"/>
        <v>250.41849999999994</v>
      </c>
      <c r="G310">
        <f t="shared" ca="1" si="23"/>
        <v>247.75880000000001</v>
      </c>
      <c r="H310">
        <f t="shared" ca="1" si="22"/>
        <v>234.2662</v>
      </c>
      <c r="J310" s="1">
        <v>45740</v>
      </c>
      <c r="K310" vm="924">
        <v>250.34</v>
      </c>
    </row>
    <row r="311" spans="1:11" x14ac:dyDescent="0.25">
      <c r="A311" s="1">
        <f t="shared" ca="1" si="19"/>
        <v>45740</v>
      </c>
      <c r="B311" s="1" vm="926">
        <f ca="1"/>
        <v>45743</v>
      </c>
      <c r="C311" vm="927">
        <f ca="1"/>
        <v>246.21</v>
      </c>
      <c r="D311" vm="928">
        <f ca="1"/>
        <v>2889328</v>
      </c>
      <c r="E311">
        <f t="shared" ca="1" si="20"/>
        <v>248.26500000000001</v>
      </c>
      <c r="F311">
        <f t="shared" ca="1" si="21"/>
        <v>250.06749999999997</v>
      </c>
      <c r="G311">
        <f t="shared" ca="1" si="23"/>
        <v>248.328</v>
      </c>
      <c r="H311">
        <f t="shared" ca="1" si="22"/>
        <v>234.67929999999996</v>
      </c>
      <c r="J311" s="1">
        <v>45740</v>
      </c>
      <c r="K311" vm="927">
        <v>246.21</v>
      </c>
    </row>
    <row r="312" spans="1:11" x14ac:dyDescent="0.25">
      <c r="A312" s="1">
        <f t="shared" ca="1" si="19"/>
        <v>45740</v>
      </c>
      <c r="B312" s="1" vm="929">
        <f ca="1"/>
        <v>45744</v>
      </c>
      <c r="C312" vm="930">
        <f ca="1"/>
        <v>244</v>
      </c>
      <c r="D312" vm="931">
        <f ca="1"/>
        <v>3125594</v>
      </c>
      <c r="E312">
        <f t="shared" ca="1" si="20"/>
        <v>247.83</v>
      </c>
      <c r="F312">
        <f t="shared" ca="1" si="21"/>
        <v>249.6455</v>
      </c>
      <c r="G312">
        <f t="shared" ca="1" si="23"/>
        <v>248.80740000000003</v>
      </c>
      <c r="H312">
        <f t="shared" ca="1" si="22"/>
        <v>235.0521</v>
      </c>
      <c r="J312" s="1">
        <v>45740</v>
      </c>
      <c r="K312" vm="930">
        <v>244</v>
      </c>
    </row>
    <row r="313" spans="1:11" x14ac:dyDescent="0.25">
      <c r="A313" s="1">
        <f t="shared" ca="1" si="19"/>
        <v>45747</v>
      </c>
      <c r="B313" s="1" vm="932">
        <f ca="1"/>
        <v>45747</v>
      </c>
      <c r="C313" vm="933">
        <f ca="1"/>
        <v>248.66</v>
      </c>
      <c r="D313" vm="934">
        <f ca="1"/>
        <v>6794972</v>
      </c>
      <c r="E313">
        <f t="shared" ca="1" si="20"/>
        <v>247.39899999999997</v>
      </c>
      <c r="F313">
        <f t="shared" ca="1" si="21"/>
        <v>249.56899999999996</v>
      </c>
      <c r="G313">
        <f t="shared" ca="1" si="23"/>
        <v>249.32739999999998</v>
      </c>
      <c r="H313">
        <f t="shared" ca="1" si="22"/>
        <v>235.4562</v>
      </c>
      <c r="J313" s="1">
        <v>45747</v>
      </c>
      <c r="K313" vm="933">
        <v>248.66</v>
      </c>
    </row>
    <row r="314" spans="1:11" x14ac:dyDescent="0.25">
      <c r="A314" s="1">
        <f t="shared" ca="1" si="19"/>
        <v>45747</v>
      </c>
      <c r="B314" s="1" vm="935">
        <f ca="1"/>
        <v>45748</v>
      </c>
      <c r="C314" vm="924">
        <f ca="1"/>
        <v>250.34</v>
      </c>
      <c r="D314" vm="936">
        <f ca="1"/>
        <v>4413139</v>
      </c>
      <c r="E314">
        <f t="shared" ca="1" si="20"/>
        <v>247.738</v>
      </c>
      <c r="F314">
        <f t="shared" ca="1" si="21"/>
        <v>249.42549999999997</v>
      </c>
      <c r="G314">
        <f t="shared" ca="1" si="23"/>
        <v>249.83839999999998</v>
      </c>
      <c r="H314">
        <f t="shared" ca="1" si="22"/>
        <v>235.8964</v>
      </c>
      <c r="J314" s="1">
        <v>45747</v>
      </c>
      <c r="K314" vm="924">
        <v>250.34</v>
      </c>
    </row>
    <row r="315" spans="1:11" x14ac:dyDescent="0.25">
      <c r="A315" s="1">
        <f t="shared" ca="1" si="19"/>
        <v>45747</v>
      </c>
      <c r="B315" s="1" vm="937">
        <f ca="1"/>
        <v>45749</v>
      </c>
      <c r="C315" vm="938">
        <f ca="1"/>
        <v>249.98</v>
      </c>
      <c r="D315" vm="939">
        <f ca="1"/>
        <v>4080832</v>
      </c>
      <c r="E315">
        <f t="shared" ca="1" si="20"/>
        <v>247.50700000000001</v>
      </c>
      <c r="F315">
        <f t="shared" ca="1" si="21"/>
        <v>249.35699999999997</v>
      </c>
      <c r="G315">
        <f t="shared" ca="1" si="23"/>
        <v>250.35279999999995</v>
      </c>
      <c r="H315">
        <f t="shared" ca="1" si="22"/>
        <v>236.32049999999998</v>
      </c>
      <c r="J315" s="1">
        <v>45747</v>
      </c>
      <c r="K315" vm="938">
        <v>249.98</v>
      </c>
    </row>
    <row r="316" spans="1:11" x14ac:dyDescent="0.25">
      <c r="A316" s="1">
        <f t="shared" ca="1" si="19"/>
        <v>45747</v>
      </c>
      <c r="B316" s="1" vm="940">
        <f ca="1"/>
        <v>45750</v>
      </c>
      <c r="C316" vm="941">
        <f ca="1"/>
        <v>243.49</v>
      </c>
      <c r="D316" vm="942">
        <f ca="1"/>
        <v>5309626</v>
      </c>
      <c r="E316">
        <f t="shared" ca="1" si="20"/>
        <v>247.52399999999997</v>
      </c>
      <c r="F316">
        <f t="shared" ca="1" si="21"/>
        <v>249.09699999999998</v>
      </c>
      <c r="G316">
        <f t="shared" ca="1" si="23"/>
        <v>250.75739999999993</v>
      </c>
      <c r="H316">
        <f t="shared" ca="1" si="22"/>
        <v>236.61939999999998</v>
      </c>
      <c r="J316" s="1">
        <v>45747</v>
      </c>
      <c r="K316" vm="941">
        <v>243.49</v>
      </c>
    </row>
    <row r="317" spans="1:11" x14ac:dyDescent="0.25">
      <c r="A317" s="1">
        <f t="shared" ca="1" si="19"/>
        <v>45747</v>
      </c>
      <c r="B317" s="1" vm="943">
        <f ca="1"/>
        <v>45751</v>
      </c>
      <c r="C317" vm="944">
        <f ca="1"/>
        <v>227.48</v>
      </c>
      <c r="D317" vm="945">
        <f ca="1"/>
        <v>7407096</v>
      </c>
      <c r="E317">
        <f t="shared" ca="1" si="20"/>
        <v>245.88499999999999</v>
      </c>
      <c r="F317">
        <f t="shared" ca="1" si="21"/>
        <v>247.39399999999992</v>
      </c>
      <c r="G317">
        <f t="shared" ca="1" si="23"/>
        <v>250.78619999999995</v>
      </c>
      <c r="H317">
        <f t="shared" ca="1" si="22"/>
        <v>236.75729999999999</v>
      </c>
      <c r="J317" s="1">
        <v>45747</v>
      </c>
      <c r="K317" vm="944">
        <v>227.48</v>
      </c>
    </row>
    <row r="318" spans="1:11" x14ac:dyDescent="0.25">
      <c r="A318" s="1">
        <f t="shared" ca="1" si="19"/>
        <v>45754</v>
      </c>
      <c r="B318" s="1" vm="946">
        <f ca="1"/>
        <v>45754</v>
      </c>
      <c r="C318" vm="947">
        <f ca="1"/>
        <v>225.78</v>
      </c>
      <c r="D318" vm="948">
        <f ca="1"/>
        <v>7797889</v>
      </c>
      <c r="E318">
        <f t="shared" ca="1" si="20"/>
        <v>243.61800000000002</v>
      </c>
      <c r="F318">
        <f t="shared" ca="1" si="21"/>
        <v>245.83799999999997</v>
      </c>
      <c r="G318">
        <f t="shared" ca="1" si="23"/>
        <v>250.80579999999998</v>
      </c>
      <c r="H318">
        <f t="shared" ca="1" si="22"/>
        <v>236.87789999999998</v>
      </c>
      <c r="J318" s="1">
        <v>45754</v>
      </c>
      <c r="K318" vm="947">
        <v>225.78</v>
      </c>
    </row>
    <row r="319" spans="1:11" x14ac:dyDescent="0.25">
      <c r="A319" s="1">
        <f t="shared" ca="1" si="19"/>
        <v>45754</v>
      </c>
      <c r="B319" s="1" vm="949">
        <f ca="1"/>
        <v>45755</v>
      </c>
      <c r="C319" vm="950">
        <f ca="1"/>
        <v>221.03</v>
      </c>
      <c r="D319" vm="951">
        <f ca="1"/>
        <v>6849996</v>
      </c>
      <c r="E319">
        <f t="shared" ca="1" si="20"/>
        <v>240.73100000000005</v>
      </c>
      <c r="F319">
        <f t="shared" ca="1" si="21"/>
        <v>244.44199999999995</v>
      </c>
      <c r="G319">
        <f t="shared" ca="1" si="23"/>
        <v>250.74379999999996</v>
      </c>
      <c r="H319">
        <f t="shared" ca="1" si="22"/>
        <v>236.95249999999996</v>
      </c>
      <c r="J319" s="1">
        <v>45754</v>
      </c>
      <c r="K319" vm="950">
        <v>221.03</v>
      </c>
    </row>
    <row r="320" spans="1:11" x14ac:dyDescent="0.25">
      <c r="A320" s="1">
        <f t="shared" ca="1" si="19"/>
        <v>45754</v>
      </c>
      <c r="B320" s="1" vm="952">
        <f ca="1"/>
        <v>45756</v>
      </c>
      <c r="C320" vm="953">
        <f ca="1"/>
        <v>235.31</v>
      </c>
      <c r="D320" vm="954">
        <f ca="1"/>
        <v>7302808</v>
      </c>
      <c r="E320">
        <f t="shared" ca="1" si="20"/>
        <v>239.22800000000001</v>
      </c>
      <c r="F320">
        <f t="shared" ca="1" si="21"/>
        <v>243.72599999999997</v>
      </c>
      <c r="G320">
        <f t="shared" ca="1" si="23"/>
        <v>250.93680000000001</v>
      </c>
      <c r="H320">
        <f t="shared" ca="1" si="22"/>
        <v>237.197</v>
      </c>
      <c r="J320" s="1">
        <v>45754</v>
      </c>
      <c r="K320" vm="953">
        <v>235.31</v>
      </c>
    </row>
    <row r="321" spans="1:11" x14ac:dyDescent="0.25">
      <c r="A321" s="1">
        <f t="shared" ca="1" si="19"/>
        <v>45754</v>
      </c>
      <c r="B321" s="1" vm="955">
        <f ca="1"/>
        <v>45757</v>
      </c>
      <c r="C321" vm="956">
        <f ca="1"/>
        <v>229.55</v>
      </c>
      <c r="D321" vm="957">
        <f ca="1"/>
        <v>5656108</v>
      </c>
      <c r="E321">
        <f t="shared" ca="1" si="20"/>
        <v>237.56200000000004</v>
      </c>
      <c r="F321">
        <f t="shared" ca="1" si="21"/>
        <v>242.91350000000003</v>
      </c>
      <c r="G321">
        <f t="shared" ca="1" si="23"/>
        <v>250.95519999999999</v>
      </c>
      <c r="H321">
        <f t="shared" ca="1" si="22"/>
        <v>237.38329999999999</v>
      </c>
      <c r="J321" s="1">
        <v>45754</v>
      </c>
      <c r="K321" vm="956">
        <v>229.55</v>
      </c>
    </row>
    <row r="322" spans="1:11" x14ac:dyDescent="0.25">
      <c r="A322" s="1">
        <f t="shared" ca="1" si="19"/>
        <v>45754</v>
      </c>
      <c r="B322" s="1" vm="958">
        <f ca="1"/>
        <v>45758</v>
      </c>
      <c r="C322" vm="959">
        <f ca="1"/>
        <v>235.48</v>
      </c>
      <c r="D322" vm="960">
        <f ca="1"/>
        <v>4325895</v>
      </c>
      <c r="E322">
        <f t="shared" ca="1" si="20"/>
        <v>236.70999999999998</v>
      </c>
      <c r="F322">
        <f t="shared" ca="1" si="21"/>
        <v>242.27000000000004</v>
      </c>
      <c r="G322">
        <f t="shared" ca="1" si="23"/>
        <v>250.49939999999998</v>
      </c>
      <c r="H322">
        <f t="shared" ca="1" si="22"/>
        <v>237.64819999999997</v>
      </c>
      <c r="J322" s="1">
        <v>45754</v>
      </c>
      <c r="K322" vm="959">
        <v>235.48</v>
      </c>
    </row>
    <row r="323" spans="1:11" x14ac:dyDescent="0.25">
      <c r="A323" s="1">
        <f t="shared" ref="A323:A386" ca="1" si="24">B323 - WEEKDAY(B323, 2) + 1</f>
        <v>45761</v>
      </c>
      <c r="B323" s="1" vm="961">
        <f ca="1"/>
        <v>45761</v>
      </c>
      <c r="C323" vm="962">
        <f ca="1"/>
        <v>239.06</v>
      </c>
      <c r="D323" vm="963">
        <f ca="1"/>
        <v>3321717</v>
      </c>
      <c r="E323">
        <f t="shared" ca="1" si="20"/>
        <v>235.74999999999994</v>
      </c>
      <c r="F323">
        <f t="shared" ca="1" si="21"/>
        <v>241.57450000000003</v>
      </c>
      <c r="G323">
        <f t="shared" ca="1" si="23"/>
        <v>250.16659999999996</v>
      </c>
      <c r="H323">
        <f t="shared" ca="1" si="22"/>
        <v>237.98890000000003</v>
      </c>
      <c r="J323" s="1">
        <v>45761</v>
      </c>
      <c r="K323" vm="962">
        <v>239.06</v>
      </c>
    </row>
    <row r="324" spans="1:11" x14ac:dyDescent="0.25">
      <c r="A324" s="1">
        <f t="shared" ca="1" si="24"/>
        <v>45761</v>
      </c>
      <c r="B324" s="1" vm="964">
        <f ca="1"/>
        <v>45762</v>
      </c>
      <c r="C324" vm="965">
        <f ca="1"/>
        <v>240.7</v>
      </c>
      <c r="D324" vm="966">
        <f ca="1"/>
        <v>3363708</v>
      </c>
      <c r="E324">
        <f t="shared" ca="1" si="20"/>
        <v>234.78599999999997</v>
      </c>
      <c r="F324">
        <f t="shared" ca="1" si="21"/>
        <v>241.26200000000003</v>
      </c>
      <c r="G324">
        <f t="shared" ca="1" si="23"/>
        <v>249.76599999999996</v>
      </c>
      <c r="H324">
        <f t="shared" ca="1" si="22"/>
        <v>238.31500000000003</v>
      </c>
      <c r="J324" s="1">
        <v>45761</v>
      </c>
      <c r="K324" vm="965">
        <v>240.7</v>
      </c>
    </row>
    <row r="325" spans="1:11" x14ac:dyDescent="0.25">
      <c r="A325" s="1">
        <f t="shared" ca="1" si="24"/>
        <v>45761</v>
      </c>
      <c r="B325" s="1" vm="967">
        <f ca="1"/>
        <v>45763</v>
      </c>
      <c r="C325" vm="968">
        <f ca="1"/>
        <v>238.57</v>
      </c>
      <c r="D325" vm="969">
        <f ca="1"/>
        <v>4870299</v>
      </c>
      <c r="E325">
        <f t="shared" ca="1" si="20"/>
        <v>233.64499999999998</v>
      </c>
      <c r="F325">
        <f t="shared" ca="1" si="21"/>
        <v>240.57600000000002</v>
      </c>
      <c r="G325">
        <f t="shared" ca="1" si="23"/>
        <v>249.24819999999991</v>
      </c>
      <c r="H325">
        <f t="shared" ca="1" si="22"/>
        <v>238.59820000000002</v>
      </c>
      <c r="J325" s="1">
        <v>45761</v>
      </c>
      <c r="K325" vm="968">
        <v>238.57</v>
      </c>
    </row>
    <row r="326" spans="1:11" x14ac:dyDescent="0.25">
      <c r="A326" s="1">
        <f t="shared" ca="1" si="24"/>
        <v>45761</v>
      </c>
      <c r="B326" s="1" vm="970">
        <f ca="1"/>
        <v>45764</v>
      </c>
      <c r="C326" vm="971">
        <f ca="1"/>
        <v>238.81</v>
      </c>
      <c r="D326" vm="972">
        <f ca="1"/>
        <v>4635204</v>
      </c>
      <c r="E326">
        <f t="shared" ca="1" si="20"/>
        <v>233.17699999999999</v>
      </c>
      <c r="F326">
        <f t="shared" ca="1" si="21"/>
        <v>240.35050000000001</v>
      </c>
      <c r="G326">
        <f t="shared" ca="1" si="23"/>
        <v>248.75839999999994</v>
      </c>
      <c r="H326">
        <f t="shared" ca="1" si="22"/>
        <v>238.84030000000007</v>
      </c>
      <c r="J326" s="1">
        <v>45761</v>
      </c>
      <c r="K326" vm="971">
        <v>238.81</v>
      </c>
    </row>
    <row r="327" spans="1:11" x14ac:dyDescent="0.25">
      <c r="A327" s="1">
        <f t="shared" ca="1" si="24"/>
        <v>45768</v>
      </c>
      <c r="B327" s="1" vm="973">
        <f ca="1"/>
        <v>45768</v>
      </c>
      <c r="C327" vm="974">
        <f ca="1"/>
        <v>236.22</v>
      </c>
      <c r="D327" vm="975">
        <f ca="1"/>
        <v>4908923</v>
      </c>
      <c r="E327">
        <f t="shared" ca="1" si="20"/>
        <v>234.05099999999999</v>
      </c>
      <c r="F327">
        <f t="shared" ca="1" si="21"/>
        <v>239.96800000000002</v>
      </c>
      <c r="G327">
        <f t="shared" ca="1" si="23"/>
        <v>248.4139999999999</v>
      </c>
      <c r="H327">
        <f t="shared" ca="1" si="22"/>
        <v>238.97850000000005</v>
      </c>
      <c r="J327" s="1">
        <v>45768</v>
      </c>
      <c r="K327" vm="974">
        <v>236.22</v>
      </c>
    </row>
    <row r="328" spans="1:11" x14ac:dyDescent="0.25">
      <c r="A328" s="1">
        <f t="shared" ca="1" si="24"/>
        <v>45768</v>
      </c>
      <c r="B328" s="1" vm="976">
        <f ca="1"/>
        <v>45769</v>
      </c>
      <c r="C328" vm="977">
        <f ca="1"/>
        <v>240.9</v>
      </c>
      <c r="D328" vm="978">
        <f ca="1"/>
        <v>4232658</v>
      </c>
      <c r="E328">
        <f t="shared" ca="1" si="20"/>
        <v>235.56300000000002</v>
      </c>
      <c r="F328">
        <f t="shared" ca="1" si="21"/>
        <v>239.59050000000002</v>
      </c>
      <c r="G328">
        <f t="shared" ca="1" si="23"/>
        <v>248.18519999999992</v>
      </c>
      <c r="H328">
        <f t="shared" ca="1" si="22"/>
        <v>239.15780000000007</v>
      </c>
      <c r="J328" s="1">
        <v>45768</v>
      </c>
      <c r="K328" vm="977">
        <v>240.9</v>
      </c>
    </row>
    <row r="329" spans="1:11" x14ac:dyDescent="0.25">
      <c r="A329" s="1">
        <f t="shared" ca="1" si="24"/>
        <v>45768</v>
      </c>
      <c r="B329" s="1" vm="979">
        <f ca="1"/>
        <v>45770</v>
      </c>
      <c r="C329" vm="980">
        <f ca="1"/>
        <v>245.48</v>
      </c>
      <c r="D329" vm="981">
        <f ca="1"/>
        <v>7948259</v>
      </c>
      <c r="E329">
        <f t="shared" ca="1" si="20"/>
        <v>238.00799999999998</v>
      </c>
      <c r="F329">
        <f t="shared" ca="1" si="21"/>
        <v>239.36949999999996</v>
      </c>
      <c r="G329">
        <f t="shared" ca="1" si="23"/>
        <v>248.10939999999991</v>
      </c>
      <c r="H329">
        <f t="shared" ca="1" si="22"/>
        <v>239.35130000000004</v>
      </c>
      <c r="J329" s="1">
        <v>45768</v>
      </c>
      <c r="K329" vm="980">
        <v>245.48</v>
      </c>
    </row>
    <row r="330" spans="1:11" x14ac:dyDescent="0.25">
      <c r="A330" s="1">
        <f t="shared" ca="1" si="24"/>
        <v>45768</v>
      </c>
      <c r="B330" s="1" vm="982">
        <f ca="1"/>
        <v>45771</v>
      </c>
      <c r="C330" vm="723">
        <f ca="1"/>
        <v>229.33</v>
      </c>
      <c r="D330" vm="983">
        <f ca="1"/>
        <v>15428144</v>
      </c>
      <c r="E330">
        <f t="shared" ca="1" si="20"/>
        <v>237.41</v>
      </c>
      <c r="F330">
        <f t="shared" ca="1" si="21"/>
        <v>238.31899999999996</v>
      </c>
      <c r="G330">
        <f t="shared" ca="1" si="23"/>
        <v>247.60199999999995</v>
      </c>
      <c r="H330">
        <f t="shared" ca="1" si="22"/>
        <v>239.35630000000003</v>
      </c>
      <c r="J330" s="1">
        <v>45768</v>
      </c>
      <c r="K330" vm="723">
        <v>229.33</v>
      </c>
    </row>
    <row r="331" spans="1:11" x14ac:dyDescent="0.25">
      <c r="A331" s="1">
        <f t="shared" ca="1" si="24"/>
        <v>45768</v>
      </c>
      <c r="B331" s="1" vm="984">
        <f ca="1"/>
        <v>45772</v>
      </c>
      <c r="C331" vm="985">
        <f ca="1"/>
        <v>232.41</v>
      </c>
      <c r="D331" vm="986">
        <f ca="1"/>
        <v>6700068</v>
      </c>
      <c r="E331">
        <f t="shared" ca="1" si="20"/>
        <v>237.696</v>
      </c>
      <c r="F331">
        <f t="shared" ca="1" si="21"/>
        <v>237.62899999999999</v>
      </c>
      <c r="G331">
        <f t="shared" ca="1" si="23"/>
        <v>247.1339999999999</v>
      </c>
      <c r="H331">
        <f t="shared" ca="1" si="22"/>
        <v>239.41120000000006</v>
      </c>
      <c r="J331" s="1">
        <v>45768</v>
      </c>
      <c r="K331" vm="985">
        <v>232.41</v>
      </c>
    </row>
    <row r="332" spans="1:11" x14ac:dyDescent="0.25">
      <c r="A332" s="1">
        <f t="shared" ca="1" si="24"/>
        <v>45775</v>
      </c>
      <c r="B332" s="1" vm="987">
        <f ca="1"/>
        <v>45775</v>
      </c>
      <c r="C332" vm="988">
        <f ca="1"/>
        <v>236.16</v>
      </c>
      <c r="D332" vm="989">
        <f ca="1"/>
        <v>3653461</v>
      </c>
      <c r="E332">
        <f t="shared" ref="E332:E395" ca="1" si="25">AVERAGE(C323:C332)</f>
        <v>237.76399999999998</v>
      </c>
      <c r="F332">
        <f t="shared" ca="1" si="21"/>
        <v>237.23699999999999</v>
      </c>
      <c r="G332">
        <f t="shared" ca="1" si="23"/>
        <v>246.67339999999993</v>
      </c>
      <c r="H332">
        <f t="shared" ca="1" si="22"/>
        <v>239.49870000000007</v>
      </c>
      <c r="J332" s="1">
        <v>45775</v>
      </c>
      <c r="K332" vm="988">
        <v>236.16</v>
      </c>
    </row>
    <row r="333" spans="1:11" x14ac:dyDescent="0.25">
      <c r="A333" s="1">
        <f t="shared" ca="1" si="24"/>
        <v>45775</v>
      </c>
      <c r="B333" s="1" vm="990">
        <f ca="1"/>
        <v>45776</v>
      </c>
      <c r="C333" vm="991">
        <f ca="1"/>
        <v>239.39</v>
      </c>
      <c r="D333" vm="992">
        <f ca="1"/>
        <v>3426508</v>
      </c>
      <c r="E333">
        <f t="shared" ca="1" si="25"/>
        <v>237.79699999999997</v>
      </c>
      <c r="F333">
        <f t="shared" ca="1" si="21"/>
        <v>236.77349999999996</v>
      </c>
      <c r="G333">
        <f t="shared" ca="1" si="23"/>
        <v>246.23559999999989</v>
      </c>
      <c r="H333">
        <f t="shared" ca="1" si="22"/>
        <v>239.61870000000008</v>
      </c>
      <c r="J333" s="1">
        <v>45775</v>
      </c>
      <c r="K333" vm="991">
        <v>239.39</v>
      </c>
    </row>
    <row r="334" spans="1:11" x14ac:dyDescent="0.25">
      <c r="A334" s="1">
        <f t="shared" ca="1" si="24"/>
        <v>45775</v>
      </c>
      <c r="B334" s="1" vm="993">
        <f ca="1"/>
        <v>45777</v>
      </c>
      <c r="C334" vm="994">
        <f ca="1"/>
        <v>241.82</v>
      </c>
      <c r="D334" vm="995">
        <f ca="1"/>
        <v>5142993</v>
      </c>
      <c r="E334">
        <f t="shared" ca="1" si="25"/>
        <v>237.90900000000002</v>
      </c>
      <c r="F334">
        <f t="shared" ca="1" si="21"/>
        <v>236.3475</v>
      </c>
      <c r="G334">
        <f t="shared" ca="1" si="23"/>
        <v>245.81059999999991</v>
      </c>
      <c r="H334">
        <f t="shared" ca="1" si="22"/>
        <v>239.74690000000007</v>
      </c>
      <c r="J334" s="1">
        <v>45775</v>
      </c>
      <c r="K334" vm="994">
        <v>241.82</v>
      </c>
    </row>
    <row r="335" spans="1:11" x14ac:dyDescent="0.25">
      <c r="A335" s="1">
        <f t="shared" ca="1" si="24"/>
        <v>45775</v>
      </c>
      <c r="B335" s="1" vm="996">
        <f ca="1"/>
        <v>45778</v>
      </c>
      <c r="C335" vm="997">
        <f ca="1"/>
        <v>239.66</v>
      </c>
      <c r="D335" vm="998">
        <f ca="1"/>
        <v>4243294</v>
      </c>
      <c r="E335">
        <f t="shared" ca="1" si="25"/>
        <v>238.01800000000003</v>
      </c>
      <c r="F335">
        <f t="shared" ca="1" si="21"/>
        <v>235.83149999999995</v>
      </c>
      <c r="G335">
        <f t="shared" ca="1" si="23"/>
        <v>245.31739999999988</v>
      </c>
      <c r="H335">
        <f t="shared" ca="1" si="22"/>
        <v>239.80860000000004</v>
      </c>
      <c r="J335" s="1">
        <v>45775</v>
      </c>
      <c r="K335" vm="997">
        <v>239.66</v>
      </c>
    </row>
    <row r="336" spans="1:11" x14ac:dyDescent="0.25">
      <c r="A336" s="1">
        <f t="shared" ca="1" si="24"/>
        <v>45775</v>
      </c>
      <c r="B336" s="1" vm="999">
        <f ca="1"/>
        <v>45779</v>
      </c>
      <c r="C336" vm="1000">
        <f ca="1"/>
        <v>245.55</v>
      </c>
      <c r="D336" vm="1001">
        <f ca="1"/>
        <v>3731946</v>
      </c>
      <c r="E336">
        <f t="shared" ca="1" si="25"/>
        <v>238.69200000000006</v>
      </c>
      <c r="F336">
        <f t="shared" ca="1" si="21"/>
        <v>235.93449999999999</v>
      </c>
      <c r="G336">
        <f t="shared" ca="1" si="23"/>
        <v>244.93359999999987</v>
      </c>
      <c r="H336">
        <f t="shared" ca="1" si="22"/>
        <v>239.91660000000005</v>
      </c>
      <c r="J336" s="1">
        <v>45775</v>
      </c>
      <c r="K336" vm="1000">
        <v>245.55</v>
      </c>
    </row>
    <row r="337" spans="1:11" x14ac:dyDescent="0.25">
      <c r="A337" s="1">
        <f t="shared" ca="1" si="24"/>
        <v>45782</v>
      </c>
      <c r="B337" s="1" vm="1002">
        <f ca="1"/>
        <v>45782</v>
      </c>
      <c r="C337" vm="1003">
        <f ca="1"/>
        <v>249.18</v>
      </c>
      <c r="D337" vm="1004">
        <f ca="1"/>
        <v>4138168</v>
      </c>
      <c r="E337">
        <f t="shared" ca="1" si="25"/>
        <v>239.988</v>
      </c>
      <c r="F337">
        <f t="shared" ca="1" si="21"/>
        <v>237.01950000000002</v>
      </c>
      <c r="G337">
        <f t="shared" ca="1" si="23"/>
        <v>244.68759999999986</v>
      </c>
      <c r="H337">
        <f t="shared" ca="1" si="22"/>
        <v>240.02800000000008</v>
      </c>
      <c r="J337" s="1">
        <v>45782</v>
      </c>
      <c r="K337" vm="1003">
        <v>249.18</v>
      </c>
    </row>
    <row r="338" spans="1:11" x14ac:dyDescent="0.25">
      <c r="A338" s="1">
        <f t="shared" ca="1" si="24"/>
        <v>45782</v>
      </c>
      <c r="B338" s="1" vm="1005">
        <f ca="1"/>
        <v>45783</v>
      </c>
      <c r="C338" vm="1006">
        <f ca="1"/>
        <v>249.12</v>
      </c>
      <c r="D338" vm="1007">
        <f ca="1"/>
        <v>2900556</v>
      </c>
      <c r="E338">
        <f t="shared" ca="1" si="25"/>
        <v>240.81</v>
      </c>
      <c r="F338">
        <f t="shared" ca="1" si="21"/>
        <v>238.18649999999997</v>
      </c>
      <c r="G338">
        <f t="shared" ca="1" si="23"/>
        <v>244.43259999999992</v>
      </c>
      <c r="H338">
        <f t="shared" ca="1" si="22"/>
        <v>240.21920000000006</v>
      </c>
      <c r="J338" s="1">
        <v>45782</v>
      </c>
      <c r="K338" vm="1006">
        <v>249.12</v>
      </c>
    </row>
    <row r="339" spans="1:11" x14ac:dyDescent="0.25">
      <c r="A339" s="1">
        <f t="shared" ca="1" si="24"/>
        <v>45782</v>
      </c>
      <c r="B339" s="1" vm="1008">
        <f ca="1"/>
        <v>45784</v>
      </c>
      <c r="C339" vm="1009">
        <f ca="1"/>
        <v>253.37</v>
      </c>
      <c r="D339" vm="1010">
        <f ca="1"/>
        <v>3400001</v>
      </c>
      <c r="E339">
        <f t="shared" ca="1" si="25"/>
        <v>241.59899999999999</v>
      </c>
      <c r="F339">
        <f t="shared" ca="1" si="21"/>
        <v>239.80349999999999</v>
      </c>
      <c r="G339">
        <f t="shared" ca="1" si="23"/>
        <v>244.34499999999991</v>
      </c>
      <c r="H339">
        <f t="shared" ca="1" si="22"/>
        <v>240.43570000000008</v>
      </c>
      <c r="J339" s="1">
        <v>45782</v>
      </c>
      <c r="K339" vm="1009">
        <v>253.37</v>
      </c>
    </row>
    <row r="340" spans="1:11" x14ac:dyDescent="0.25">
      <c r="A340" s="1">
        <f t="shared" ca="1" si="24"/>
        <v>45782</v>
      </c>
      <c r="B340" s="1" vm="1011">
        <f ca="1"/>
        <v>45785</v>
      </c>
      <c r="C340" vm="1012">
        <f ca="1"/>
        <v>254.14</v>
      </c>
      <c r="D340" vm="1013">
        <f ca="1"/>
        <v>3637012</v>
      </c>
      <c r="E340">
        <f t="shared" ca="1" si="25"/>
        <v>244.07999999999998</v>
      </c>
      <c r="F340">
        <f t="shared" ca="1" si="21"/>
        <v>240.74499999999998</v>
      </c>
      <c r="G340">
        <f t="shared" ca="1" si="23"/>
        <v>244.31099999999992</v>
      </c>
      <c r="H340">
        <f t="shared" ca="1" si="22"/>
        <v>240.67590000000007</v>
      </c>
      <c r="J340" s="1">
        <v>45782</v>
      </c>
      <c r="K340" vm="1012">
        <v>254.14</v>
      </c>
    </row>
    <row r="341" spans="1:11" x14ac:dyDescent="0.25">
      <c r="A341" s="1">
        <f t="shared" ca="1" si="24"/>
        <v>45782</v>
      </c>
      <c r="B341" s="1" vm="1014">
        <f ca="1"/>
        <v>45786</v>
      </c>
      <c r="C341" vm="1015">
        <f ca="1"/>
        <v>249.2</v>
      </c>
      <c r="D341" vm="1016">
        <f ca="1"/>
        <v>2901346</v>
      </c>
      <c r="E341">
        <f t="shared" ca="1" si="25"/>
        <v>245.75899999999996</v>
      </c>
      <c r="F341">
        <f t="shared" ca="1" si="21"/>
        <v>241.72750000000002</v>
      </c>
      <c r="G341">
        <f t="shared" ca="1" si="23"/>
        <v>244.23039999999995</v>
      </c>
      <c r="H341">
        <f t="shared" ca="1" si="22"/>
        <v>240.84530000000007</v>
      </c>
      <c r="J341" s="1">
        <v>45782</v>
      </c>
      <c r="K341" vm="1015">
        <v>249.2</v>
      </c>
    </row>
    <row r="342" spans="1:11" x14ac:dyDescent="0.25">
      <c r="A342" s="1">
        <f t="shared" ca="1" si="24"/>
        <v>45789</v>
      </c>
      <c r="B342" s="1" vm="1017">
        <f ca="1"/>
        <v>45789</v>
      </c>
      <c r="C342" vm="1018">
        <f ca="1"/>
        <v>253.69</v>
      </c>
      <c r="D342" vm="1019">
        <f ca="1"/>
        <v>4609520</v>
      </c>
      <c r="E342">
        <f t="shared" ca="1" si="25"/>
        <v>247.512</v>
      </c>
      <c r="F342">
        <f t="shared" ref="F342:F405" ca="1" si="26">AVERAGE(C323:C342)</f>
        <v>242.63799999999998</v>
      </c>
      <c r="G342">
        <f t="shared" ca="1" si="23"/>
        <v>244.25539999999992</v>
      </c>
      <c r="H342">
        <f t="shared" ca="1" si="22"/>
        <v>241.07400000000001</v>
      </c>
      <c r="J342" s="1">
        <v>45789</v>
      </c>
      <c r="K342" vm="1018">
        <v>253.69</v>
      </c>
    </row>
    <row r="343" spans="1:11" x14ac:dyDescent="0.25">
      <c r="A343" s="1">
        <f t="shared" ca="1" si="24"/>
        <v>45789</v>
      </c>
      <c r="B343" s="1" vm="1020">
        <f ca="1"/>
        <v>45790</v>
      </c>
      <c r="C343" vm="1021">
        <f ca="1"/>
        <v>258.58999999999997</v>
      </c>
      <c r="D343" vm="1022">
        <f ca="1"/>
        <v>3521389</v>
      </c>
      <c r="E343">
        <f t="shared" ca="1" si="25"/>
        <v>249.43199999999996</v>
      </c>
      <c r="F343">
        <f t="shared" ca="1" si="26"/>
        <v>243.61449999999996</v>
      </c>
      <c r="G343">
        <f t="shared" ca="1" si="23"/>
        <v>244.42339999999996</v>
      </c>
      <c r="H343">
        <f t="shared" ca="1" si="22"/>
        <v>241.36660000000003</v>
      </c>
      <c r="J343" s="1">
        <v>45789</v>
      </c>
      <c r="K343" vm="1021">
        <v>258.58999999999997</v>
      </c>
    </row>
    <row r="344" spans="1:11" x14ac:dyDescent="0.25">
      <c r="A344" s="1">
        <f t="shared" ca="1" si="24"/>
        <v>45789</v>
      </c>
      <c r="B344" s="1" vm="1023">
        <f ca="1"/>
        <v>45791</v>
      </c>
      <c r="C344" vm="1024">
        <f ca="1"/>
        <v>257.82</v>
      </c>
      <c r="D344" vm="1025">
        <f ca="1"/>
        <v>3635124</v>
      </c>
      <c r="E344">
        <f t="shared" ca="1" si="25"/>
        <v>251.03200000000001</v>
      </c>
      <c r="F344">
        <f t="shared" ca="1" si="26"/>
        <v>244.47049999999996</v>
      </c>
      <c r="G344">
        <f t="shared" ca="1" si="23"/>
        <v>244.51559999999998</v>
      </c>
      <c r="H344">
        <f t="shared" ca="1" si="22"/>
        <v>241.65510000000006</v>
      </c>
      <c r="J344" s="1">
        <v>45789</v>
      </c>
      <c r="K344" vm="1024">
        <v>257.82</v>
      </c>
    </row>
    <row r="345" spans="1:11" x14ac:dyDescent="0.25">
      <c r="A345" s="1">
        <f t="shared" ca="1" si="24"/>
        <v>45789</v>
      </c>
      <c r="B345" s="1" vm="1026">
        <f ca="1"/>
        <v>45792</v>
      </c>
      <c r="C345" vm="1027">
        <f ca="1"/>
        <v>266.68</v>
      </c>
      <c r="D345" vm="1028">
        <f ca="1"/>
        <v>4856276</v>
      </c>
      <c r="E345">
        <f t="shared" ca="1" si="25"/>
        <v>253.73400000000001</v>
      </c>
      <c r="F345">
        <f t="shared" ca="1" si="26"/>
        <v>245.87599999999998</v>
      </c>
      <c r="G345">
        <f t="shared" ca="1" si="23"/>
        <v>244.82219999999998</v>
      </c>
      <c r="H345">
        <f t="shared" ca="1" si="22"/>
        <v>242.12020000000004</v>
      </c>
      <c r="J345" s="1">
        <v>45789</v>
      </c>
      <c r="K345" vm="1027">
        <v>266.68</v>
      </c>
    </row>
    <row r="346" spans="1:11" x14ac:dyDescent="0.25">
      <c r="A346" s="1">
        <f t="shared" ca="1" si="24"/>
        <v>45789</v>
      </c>
      <c r="B346" s="1" vm="1029">
        <f ca="1"/>
        <v>45793</v>
      </c>
      <c r="C346" vm="1030">
        <f ca="1"/>
        <v>266.76</v>
      </c>
      <c r="D346" vm="1031">
        <f ca="1"/>
        <v>3817937</v>
      </c>
      <c r="E346">
        <f t="shared" ca="1" si="25"/>
        <v>255.85500000000002</v>
      </c>
      <c r="F346">
        <f t="shared" ca="1" si="26"/>
        <v>247.27350000000001</v>
      </c>
      <c r="G346">
        <f t="shared" ca="1" si="23"/>
        <v>245.18360000000001</v>
      </c>
      <c r="H346">
        <f t="shared" ca="1" si="22"/>
        <v>242.54859999999999</v>
      </c>
      <c r="J346" s="1">
        <v>45789</v>
      </c>
      <c r="K346" vm="1030">
        <v>266.76</v>
      </c>
    </row>
    <row r="347" spans="1:11" x14ac:dyDescent="0.25">
      <c r="A347" s="1">
        <f t="shared" ca="1" si="24"/>
        <v>45796</v>
      </c>
      <c r="B347" s="1" vm="1032">
        <f ca="1"/>
        <v>45796</v>
      </c>
      <c r="C347" vm="1033">
        <f ca="1"/>
        <v>268.41000000000003</v>
      </c>
      <c r="D347" vm="1034">
        <f ca="1"/>
        <v>3198903</v>
      </c>
      <c r="E347">
        <f t="shared" ca="1" si="25"/>
        <v>257.77799999999996</v>
      </c>
      <c r="F347">
        <f t="shared" ca="1" si="26"/>
        <v>248.88299999999998</v>
      </c>
      <c r="G347">
        <f t="shared" ca="1" si="23"/>
        <v>245.321</v>
      </c>
      <c r="H347">
        <f t="shared" ca="1" si="22"/>
        <v>242.99910000000003</v>
      </c>
      <c r="J347" s="1">
        <v>45796</v>
      </c>
      <c r="K347" vm="1033">
        <v>268.41000000000003</v>
      </c>
    </row>
    <row r="348" spans="1:11" x14ac:dyDescent="0.25">
      <c r="A348" s="1">
        <f t="shared" ca="1" si="24"/>
        <v>45796</v>
      </c>
      <c r="B348" s="1" vm="1035">
        <f ca="1"/>
        <v>45797</v>
      </c>
      <c r="C348" vm="1036">
        <f ca="1"/>
        <v>266.95</v>
      </c>
      <c r="D348" vm="1037">
        <f ca="1"/>
        <v>2437860</v>
      </c>
      <c r="E348">
        <f t="shared" ca="1" si="25"/>
        <v>259.56099999999998</v>
      </c>
      <c r="F348">
        <f t="shared" ca="1" si="26"/>
        <v>250.18549999999999</v>
      </c>
      <c r="G348">
        <f t="shared" ca="1" si="23"/>
        <v>245.52200000000002</v>
      </c>
      <c r="H348">
        <f t="shared" ca="1" si="22"/>
        <v>243.44929999999999</v>
      </c>
      <c r="J348" s="1">
        <v>45796</v>
      </c>
      <c r="K348" vm="1036">
        <v>266.95</v>
      </c>
    </row>
    <row r="349" spans="1:11" x14ac:dyDescent="0.25">
      <c r="A349" s="1">
        <f t="shared" ca="1" si="24"/>
        <v>45796</v>
      </c>
      <c r="B349" s="1" vm="1038">
        <f ca="1"/>
        <v>45798</v>
      </c>
      <c r="C349" vm="1039">
        <f ca="1"/>
        <v>260.87</v>
      </c>
      <c r="D349" vm="1040">
        <f ca="1"/>
        <v>3753904</v>
      </c>
      <c r="E349">
        <f t="shared" ca="1" si="25"/>
        <v>260.31099999999998</v>
      </c>
      <c r="F349">
        <f t="shared" ca="1" si="26"/>
        <v>250.95499999999998</v>
      </c>
      <c r="G349">
        <f t="shared" ca="1" si="23"/>
        <v>245.76040000000003</v>
      </c>
      <c r="H349">
        <f t="shared" ca="1" si="22"/>
        <v>243.81390000000002</v>
      </c>
      <c r="J349" s="1">
        <v>45796</v>
      </c>
      <c r="K349" vm="1039">
        <v>260.87</v>
      </c>
    </row>
    <row r="350" spans="1:11" x14ac:dyDescent="0.25">
      <c r="A350" s="1">
        <f t="shared" ca="1" si="24"/>
        <v>45796</v>
      </c>
      <c r="B350" s="1" vm="1041">
        <f ca="1"/>
        <v>45799</v>
      </c>
      <c r="C350" vm="1042">
        <f ca="1"/>
        <v>258.37</v>
      </c>
      <c r="D350" vm="1043">
        <f ca="1"/>
        <v>3091253</v>
      </c>
      <c r="E350">
        <f t="shared" ca="1" si="25"/>
        <v>260.73399999999998</v>
      </c>
      <c r="F350">
        <f t="shared" ca="1" si="26"/>
        <v>252.40699999999998</v>
      </c>
      <c r="G350">
        <f t="shared" ca="1" si="23"/>
        <v>245.93520000000007</v>
      </c>
      <c r="H350">
        <f t="shared" ca="1" si="22"/>
        <v>244.14869999999999</v>
      </c>
      <c r="J350" s="1">
        <v>45796</v>
      </c>
      <c r="K350" vm="1042">
        <v>258.37</v>
      </c>
    </row>
    <row r="351" spans="1:11" x14ac:dyDescent="0.25">
      <c r="A351" s="1">
        <f t="shared" ca="1" si="24"/>
        <v>45796</v>
      </c>
      <c r="B351" s="1" vm="1044">
        <f ca="1"/>
        <v>45800</v>
      </c>
      <c r="C351" vm="1045">
        <f ca="1"/>
        <v>258.63</v>
      </c>
      <c r="D351" vm="1046">
        <f ca="1"/>
        <v>2722721</v>
      </c>
      <c r="E351">
        <f t="shared" ca="1" si="25"/>
        <v>261.67700000000002</v>
      </c>
      <c r="F351">
        <f t="shared" ca="1" si="26"/>
        <v>253.71799999999999</v>
      </c>
      <c r="G351">
        <f t="shared" ca="1" si="23"/>
        <v>246.19180000000009</v>
      </c>
      <c r="H351">
        <f t="shared" ca="1" si="22"/>
        <v>244.50720000000001</v>
      </c>
      <c r="J351" s="1">
        <v>45796</v>
      </c>
      <c r="K351" vm="1045">
        <v>258.63</v>
      </c>
    </row>
    <row r="352" spans="1:11" x14ac:dyDescent="0.25">
      <c r="A352" s="1">
        <f t="shared" ca="1" si="24"/>
        <v>45803</v>
      </c>
      <c r="B352" s="1" vm="1047">
        <f ca="1"/>
        <v>45804</v>
      </c>
      <c r="C352" vm="1048">
        <f ca="1"/>
        <v>263.23</v>
      </c>
      <c r="D352" vm="1049">
        <f ca="1"/>
        <v>3284216</v>
      </c>
      <c r="E352">
        <f t="shared" ca="1" si="25"/>
        <v>262.63099999999997</v>
      </c>
      <c r="F352">
        <f t="shared" ca="1" si="26"/>
        <v>255.07150000000001</v>
      </c>
      <c r="G352">
        <f t="shared" ca="1" si="23"/>
        <v>246.48940000000005</v>
      </c>
      <c r="H352">
        <f t="shared" ca="1" si="22"/>
        <v>244.93700000000001</v>
      </c>
      <c r="J352" s="1">
        <v>45803</v>
      </c>
      <c r="K352" vm="1048">
        <v>263.23</v>
      </c>
    </row>
    <row r="353" spans="1:11" x14ac:dyDescent="0.25">
      <c r="A353" s="1">
        <f t="shared" ca="1" si="24"/>
        <v>45803</v>
      </c>
      <c r="B353" s="1" vm="1050">
        <f ca="1"/>
        <v>45805</v>
      </c>
      <c r="C353" vm="1051">
        <f ca="1"/>
        <v>260.24</v>
      </c>
      <c r="D353" vm="1052">
        <f ca="1"/>
        <v>2318437</v>
      </c>
      <c r="E353">
        <f t="shared" ca="1" si="25"/>
        <v>262.79599999999999</v>
      </c>
      <c r="F353">
        <f t="shared" ca="1" si="26"/>
        <v>256.11399999999992</v>
      </c>
      <c r="G353">
        <f t="shared" ca="1" si="23"/>
        <v>246.63480000000007</v>
      </c>
      <c r="H353">
        <f t="shared" ca="1" si="22"/>
        <v>245.34110000000004</v>
      </c>
      <c r="J353" s="1">
        <v>45803</v>
      </c>
      <c r="K353" vm="1051">
        <v>260.24</v>
      </c>
    </row>
    <row r="354" spans="1:11" x14ac:dyDescent="0.25">
      <c r="A354" s="1">
        <f t="shared" ca="1" si="24"/>
        <v>45803</v>
      </c>
      <c r="B354" s="1" vm="1053">
        <f ca="1"/>
        <v>45806</v>
      </c>
      <c r="C354" vm="1054">
        <f ca="1"/>
        <v>258.69</v>
      </c>
      <c r="D354" vm="1055">
        <f ca="1"/>
        <v>2295228</v>
      </c>
      <c r="E354">
        <f t="shared" ca="1" si="25"/>
        <v>262.88300000000004</v>
      </c>
      <c r="F354">
        <f t="shared" ca="1" si="26"/>
        <v>256.95749999999992</v>
      </c>
      <c r="G354">
        <f t="shared" ca="1" si="23"/>
        <v>246.86960000000008</v>
      </c>
      <c r="H354">
        <f t="shared" ca="1" si="22"/>
        <v>245.72860000000003</v>
      </c>
      <c r="J354" s="1">
        <v>45803</v>
      </c>
      <c r="K354" vm="1054">
        <v>258.69</v>
      </c>
    </row>
    <row r="355" spans="1:11" x14ac:dyDescent="0.25">
      <c r="A355" s="1">
        <f t="shared" ca="1" si="24"/>
        <v>45803</v>
      </c>
      <c r="B355" s="1" vm="1056">
        <f ca="1"/>
        <v>45807</v>
      </c>
      <c r="C355" vm="1057">
        <f ca="1"/>
        <v>259.06</v>
      </c>
      <c r="D355" vm="1058">
        <f ca="1"/>
        <v>9668923</v>
      </c>
      <c r="E355">
        <f t="shared" ca="1" si="25"/>
        <v>262.12099999999998</v>
      </c>
      <c r="F355">
        <f t="shared" ca="1" si="26"/>
        <v>257.92749999999995</v>
      </c>
      <c r="G355">
        <f t="shared" ca="1" si="23"/>
        <v>247.00500000000002</v>
      </c>
      <c r="H355">
        <f t="shared" ca="1" si="22"/>
        <v>246.09270000000001</v>
      </c>
      <c r="J355" s="1">
        <v>45803</v>
      </c>
      <c r="K355" vm="1057">
        <v>259.06</v>
      </c>
    </row>
    <row r="356" spans="1:11" x14ac:dyDescent="0.25">
      <c r="A356" s="1">
        <f t="shared" ca="1" si="24"/>
        <v>45810</v>
      </c>
      <c r="B356" s="1" vm="1059">
        <f ca="1"/>
        <v>45810</v>
      </c>
      <c r="C356" vm="1060">
        <f ca="1"/>
        <v>263.89999999999998</v>
      </c>
      <c r="D356" vm="1061">
        <f ca="1"/>
        <v>2831881</v>
      </c>
      <c r="E356">
        <f t="shared" ca="1" si="25"/>
        <v>261.83499999999998</v>
      </c>
      <c r="F356">
        <f t="shared" ca="1" si="26"/>
        <v>258.84499999999997</v>
      </c>
      <c r="G356">
        <f t="shared" ca="1" si="23"/>
        <v>247.41660000000005</v>
      </c>
      <c r="H356">
        <f t="shared" ca="1" si="22"/>
        <v>246.505</v>
      </c>
      <c r="J356" s="1">
        <v>45810</v>
      </c>
      <c r="K356" vm="1060">
        <v>263.89999999999998</v>
      </c>
    </row>
    <row r="357" spans="1:11" x14ac:dyDescent="0.25">
      <c r="A357" s="1">
        <f t="shared" ca="1" si="24"/>
        <v>45810</v>
      </c>
      <c r="B357" s="1" vm="1062">
        <f ca="1"/>
        <v>45811</v>
      </c>
      <c r="C357" vm="1063">
        <f ca="1"/>
        <v>265.2</v>
      </c>
      <c r="D357" vm="1064">
        <f ca="1"/>
        <v>2494922</v>
      </c>
      <c r="E357">
        <f t="shared" ca="1" si="25"/>
        <v>261.51400000000001</v>
      </c>
      <c r="F357">
        <f t="shared" ca="1" si="26"/>
        <v>259.64599999999996</v>
      </c>
      <c r="G357">
        <f t="shared" ca="1" si="23"/>
        <v>247.84320000000002</v>
      </c>
      <c r="H357">
        <f t="shared" ca="1" si="22"/>
        <v>246.91740000000001</v>
      </c>
      <c r="J357" s="1">
        <v>45810</v>
      </c>
      <c r="K357" vm="1063">
        <v>265.2</v>
      </c>
    </row>
    <row r="358" spans="1:11" x14ac:dyDescent="0.25">
      <c r="A358" s="1">
        <f t="shared" ca="1" si="24"/>
        <v>45810</v>
      </c>
      <c r="B358" s="1" vm="1065">
        <f ca="1"/>
        <v>45812</v>
      </c>
      <c r="C358" vm="1066">
        <f ca="1"/>
        <v>265.52</v>
      </c>
      <c r="D358" vm="1067">
        <f ca="1"/>
        <v>2588741</v>
      </c>
      <c r="E358">
        <f t="shared" ca="1" si="25"/>
        <v>261.37099999999998</v>
      </c>
      <c r="F358">
        <f t="shared" ca="1" si="26"/>
        <v>260.46600000000001</v>
      </c>
      <c r="G358">
        <f t="shared" ca="1" si="23"/>
        <v>248.18460000000002</v>
      </c>
      <c r="H358">
        <f t="shared" ref="H358:H421" ca="1" si="27">AVERAGE(C259:C358)</f>
        <v>247.34080000000003</v>
      </c>
      <c r="J358" s="1">
        <v>45810</v>
      </c>
      <c r="K358" vm="1066">
        <v>265.52</v>
      </c>
    </row>
    <row r="359" spans="1:11" x14ac:dyDescent="0.25">
      <c r="A359" s="1">
        <f t="shared" ca="1" si="24"/>
        <v>45810</v>
      </c>
      <c r="B359" s="1" vm="1068">
        <f ca="1"/>
        <v>45813</v>
      </c>
      <c r="C359" vm="1069">
        <f ca="1"/>
        <v>266.86</v>
      </c>
      <c r="D359" vm="1070">
        <f ca="1"/>
        <v>2659478</v>
      </c>
      <c r="E359">
        <f t="shared" ca="1" si="25"/>
        <v>261.96999999999997</v>
      </c>
      <c r="F359">
        <f t="shared" ca="1" si="26"/>
        <v>261.14049999999992</v>
      </c>
      <c r="G359">
        <f t="shared" ca="1" si="23"/>
        <v>248.52380000000002</v>
      </c>
      <c r="H359">
        <f t="shared" ca="1" si="27"/>
        <v>247.81189999999998</v>
      </c>
      <c r="J359" s="1">
        <v>45810</v>
      </c>
      <c r="K359" vm="1069">
        <v>266.86</v>
      </c>
    </row>
    <row r="360" spans="1:11" x14ac:dyDescent="0.25">
      <c r="A360" s="1">
        <f t="shared" ca="1" si="24"/>
        <v>45810</v>
      </c>
      <c r="B360" s="1" vm="1071">
        <f ca="1"/>
        <v>45814</v>
      </c>
      <c r="C360" vm="1072">
        <f ca="1"/>
        <v>268.87</v>
      </c>
      <c r="D360" vm="1073">
        <f ca="1"/>
        <v>2495543</v>
      </c>
      <c r="E360">
        <f t="shared" ca="1" si="25"/>
        <v>263.02000000000004</v>
      </c>
      <c r="F360">
        <f t="shared" ca="1" si="26"/>
        <v>261.87699999999995</v>
      </c>
      <c r="G360">
        <f t="shared" ca="1" si="23"/>
        <v>248.89440000000005</v>
      </c>
      <c r="H360">
        <f t="shared" ca="1" si="27"/>
        <v>248.32659999999996</v>
      </c>
      <c r="J360" s="1">
        <v>45810</v>
      </c>
      <c r="K360" vm="1072">
        <v>268.87</v>
      </c>
    </row>
    <row r="361" spans="1:11" x14ac:dyDescent="0.25">
      <c r="A361" s="1">
        <f t="shared" ca="1" si="24"/>
        <v>45817</v>
      </c>
      <c r="B361" s="1" vm="1074">
        <f ca="1"/>
        <v>45817</v>
      </c>
      <c r="C361" vm="1075">
        <f ca="1"/>
        <v>272.08</v>
      </c>
      <c r="D361" vm="1076">
        <f ca="1"/>
        <v>4331464</v>
      </c>
      <c r="E361">
        <f t="shared" ca="1" si="25"/>
        <v>264.36499999999995</v>
      </c>
      <c r="F361">
        <f t="shared" ca="1" si="26"/>
        <v>263.02100000000002</v>
      </c>
      <c r="G361">
        <f t="shared" ca="1" si="23"/>
        <v>249.41180000000003</v>
      </c>
      <c r="H361">
        <f t="shared" ca="1" si="27"/>
        <v>248.86989999999997</v>
      </c>
      <c r="J361" s="1">
        <v>45817</v>
      </c>
      <c r="K361" vm="1075">
        <v>272.08</v>
      </c>
    </row>
    <row r="362" spans="1:11" x14ac:dyDescent="0.25">
      <c r="A362" s="1">
        <f t="shared" ca="1" si="24"/>
        <v>45817</v>
      </c>
      <c r="B362" s="1" vm="1077">
        <f ca="1"/>
        <v>45818</v>
      </c>
      <c r="C362" vm="1078">
        <f ca="1"/>
        <v>276.24</v>
      </c>
      <c r="D362" vm="1079">
        <f ca="1"/>
        <v>5163507</v>
      </c>
      <c r="E362">
        <f t="shared" ca="1" si="25"/>
        <v>265.666</v>
      </c>
      <c r="F362">
        <f t="shared" ca="1" si="26"/>
        <v>264.14849999999996</v>
      </c>
      <c r="G362">
        <f t="shared" ca="1" si="23"/>
        <v>250.05660000000003</v>
      </c>
      <c r="H362">
        <f t="shared" ca="1" si="27"/>
        <v>249.43200000000002</v>
      </c>
      <c r="J362" s="1">
        <v>45817</v>
      </c>
      <c r="K362" vm="1078">
        <v>276.24</v>
      </c>
    </row>
    <row r="363" spans="1:11" x14ac:dyDescent="0.25">
      <c r="A363" s="1">
        <f t="shared" ca="1" si="24"/>
        <v>45817</v>
      </c>
      <c r="B363" s="1" vm="1080">
        <f ca="1"/>
        <v>45819</v>
      </c>
      <c r="C363" vm="1081">
        <f ca="1"/>
        <v>281.52</v>
      </c>
      <c r="D363" vm="1082">
        <f ca="1"/>
        <v>4656034</v>
      </c>
      <c r="E363">
        <f t="shared" ca="1" si="25"/>
        <v>267.79399999999998</v>
      </c>
      <c r="F363">
        <f t="shared" ca="1" si="26"/>
        <v>265.29499999999996</v>
      </c>
      <c r="G363">
        <f t="shared" ca="1" si="23"/>
        <v>250.71380000000005</v>
      </c>
      <c r="H363">
        <f t="shared" ca="1" si="27"/>
        <v>250.02059999999997</v>
      </c>
      <c r="J363" s="1">
        <v>45817</v>
      </c>
      <c r="K363" vm="1081">
        <v>281.52</v>
      </c>
    </row>
    <row r="364" spans="1:11" x14ac:dyDescent="0.25">
      <c r="A364" s="1">
        <f t="shared" ca="1" si="24"/>
        <v>45817</v>
      </c>
      <c r="B364" s="1" vm="1083">
        <f ca="1"/>
        <v>45820</v>
      </c>
      <c r="C364" vm="1084">
        <f ca="1"/>
        <v>281.02999999999997</v>
      </c>
      <c r="D364" vm="1085">
        <f ca="1"/>
        <v>3418007</v>
      </c>
      <c r="E364">
        <f t="shared" ca="1" si="25"/>
        <v>270.02799999999996</v>
      </c>
      <c r="F364">
        <f t="shared" ca="1" si="26"/>
        <v>266.45549999999997</v>
      </c>
      <c r="G364">
        <f t="shared" ca="1" si="23"/>
        <v>251.32760000000005</v>
      </c>
      <c r="H364">
        <f t="shared" ca="1" si="27"/>
        <v>250.58299999999997</v>
      </c>
      <c r="J364" s="1">
        <v>45817</v>
      </c>
      <c r="K364" vm="1084">
        <v>281.02999999999997</v>
      </c>
    </row>
    <row r="365" spans="1:11" x14ac:dyDescent="0.25">
      <c r="A365" s="1">
        <f t="shared" ca="1" si="24"/>
        <v>45817</v>
      </c>
      <c r="B365" s="1" vm="1086">
        <f ca="1"/>
        <v>45821</v>
      </c>
      <c r="C365" vm="1087">
        <f ca="1"/>
        <v>277.22000000000003</v>
      </c>
      <c r="D365" vm="1088">
        <f ca="1"/>
        <v>3243824</v>
      </c>
      <c r="E365">
        <f t="shared" ca="1" si="25"/>
        <v>271.84399999999994</v>
      </c>
      <c r="F365">
        <f t="shared" ca="1" si="26"/>
        <v>266.98249999999996</v>
      </c>
      <c r="G365">
        <f t="shared" ca="1" si="23"/>
        <v>251.87240000000003</v>
      </c>
      <c r="H365">
        <f t="shared" ca="1" si="27"/>
        <v>251.11259999999996</v>
      </c>
      <c r="J365" s="1">
        <v>45817</v>
      </c>
      <c r="K365" vm="1087">
        <v>277.22000000000003</v>
      </c>
    </row>
    <row r="366" spans="1:11" x14ac:dyDescent="0.25">
      <c r="A366" s="1">
        <f t="shared" ca="1" si="24"/>
        <v>45824</v>
      </c>
      <c r="B366" s="1" vm="1089">
        <f ca="1"/>
        <v>45824</v>
      </c>
      <c r="C366" vm="1090">
        <f ca="1"/>
        <v>281.83</v>
      </c>
      <c r="D366" vm="1091">
        <f ca="1"/>
        <v>3685321</v>
      </c>
      <c r="E366">
        <f t="shared" ca="1" si="25"/>
        <v>273.637</v>
      </c>
      <c r="F366">
        <f t="shared" ca="1" si="26"/>
        <v>267.73599999999999</v>
      </c>
      <c r="G366">
        <f t="shared" ca="1" si="23"/>
        <v>252.63920000000002</v>
      </c>
      <c r="H366">
        <f t="shared" ca="1" si="27"/>
        <v>251.69829999999999</v>
      </c>
      <c r="J366" s="1">
        <v>45824</v>
      </c>
      <c r="K366" vm="1090">
        <v>281.83</v>
      </c>
    </row>
    <row r="367" spans="1:11" x14ac:dyDescent="0.25">
      <c r="A367" s="1">
        <f t="shared" ca="1" si="24"/>
        <v>45824</v>
      </c>
      <c r="B367" s="1" vm="1092">
        <f ca="1"/>
        <v>45825</v>
      </c>
      <c r="C367" vm="1093">
        <f ca="1"/>
        <v>283.05</v>
      </c>
      <c r="D367" vm="1094">
        <f ca="1"/>
        <v>3069556</v>
      </c>
      <c r="E367">
        <f t="shared" ca="1" si="25"/>
        <v>275.42200000000003</v>
      </c>
      <c r="F367">
        <f t="shared" ca="1" si="26"/>
        <v>268.46799999999996</v>
      </c>
      <c r="G367">
        <f t="shared" ca="1" si="23"/>
        <v>253.75060000000002</v>
      </c>
      <c r="H367">
        <f t="shared" ca="1" si="27"/>
        <v>252.26839999999996</v>
      </c>
      <c r="J367" s="1">
        <v>45824</v>
      </c>
      <c r="K367" vm="1093">
        <v>283.05</v>
      </c>
    </row>
    <row r="368" spans="1:11" x14ac:dyDescent="0.25">
      <c r="A368" s="1">
        <f t="shared" ca="1" si="24"/>
        <v>45824</v>
      </c>
      <c r="B368" s="1" vm="1095">
        <f ca="1"/>
        <v>45826</v>
      </c>
      <c r="C368" vm="1096">
        <f ca="1"/>
        <v>283.20999999999998</v>
      </c>
      <c r="D368" vm="1097">
        <f ca="1"/>
        <v>3534110</v>
      </c>
      <c r="E368">
        <f t="shared" ca="1" si="25"/>
        <v>277.19100000000003</v>
      </c>
      <c r="F368">
        <f t="shared" ca="1" si="26"/>
        <v>269.28100000000001</v>
      </c>
      <c r="G368">
        <f t="shared" ca="1" si="23"/>
        <v>254.89919999999998</v>
      </c>
      <c r="H368">
        <f t="shared" ca="1" si="27"/>
        <v>252.85249999999996</v>
      </c>
      <c r="J368" s="1">
        <v>45824</v>
      </c>
      <c r="K368" vm="1096">
        <v>283.20999999999998</v>
      </c>
    </row>
    <row r="369" spans="1:11" x14ac:dyDescent="0.25">
      <c r="A369" s="1">
        <f t="shared" ca="1" si="24"/>
        <v>45824</v>
      </c>
      <c r="B369" s="1" vm="1098">
        <f ca="1"/>
        <v>45828</v>
      </c>
      <c r="C369" vm="1099">
        <f ca="1"/>
        <v>280.97000000000003</v>
      </c>
      <c r="D369" vm="1100">
        <f ca="1"/>
        <v>7676962</v>
      </c>
      <c r="E369">
        <f t="shared" ca="1" si="25"/>
        <v>278.60200000000003</v>
      </c>
      <c r="F369">
        <f t="shared" ca="1" si="26"/>
        <v>270.286</v>
      </c>
      <c r="G369">
        <f t="shared" ca="1" si="23"/>
        <v>256.09800000000001</v>
      </c>
      <c r="H369">
        <f t="shared" ca="1" si="27"/>
        <v>253.42089999999996</v>
      </c>
      <c r="J369" s="1">
        <v>45824</v>
      </c>
      <c r="K369" vm="1099">
        <v>280.97000000000003</v>
      </c>
    </row>
    <row r="370" spans="1:11" x14ac:dyDescent="0.25">
      <c r="A370" s="1">
        <f t="shared" ca="1" si="24"/>
        <v>45831</v>
      </c>
      <c r="B370" s="1" vm="1101">
        <f ca="1"/>
        <v>45831</v>
      </c>
      <c r="C370" vm="1102">
        <f ca="1"/>
        <v>289.18</v>
      </c>
      <c r="D370" vm="1103">
        <f ca="1"/>
        <v>3786159</v>
      </c>
      <c r="E370">
        <f t="shared" ca="1" si="25"/>
        <v>280.63299999999992</v>
      </c>
      <c r="F370">
        <f t="shared" ca="1" si="26"/>
        <v>271.82650000000007</v>
      </c>
      <c r="G370">
        <f t="shared" ca="1" si="23"/>
        <v>257.17539999999997</v>
      </c>
      <c r="H370">
        <f t="shared" ca="1" si="27"/>
        <v>254.05609999999996</v>
      </c>
      <c r="J370" s="1">
        <v>45831</v>
      </c>
      <c r="K370" vm="1102">
        <v>289.18</v>
      </c>
    </row>
    <row r="371" spans="1:11" x14ac:dyDescent="0.25">
      <c r="A371" s="1">
        <f t="shared" ca="1" si="24"/>
        <v>45831</v>
      </c>
      <c r="B371" s="1" vm="1104">
        <f ca="1"/>
        <v>45832</v>
      </c>
      <c r="C371" vm="1105">
        <f ca="1"/>
        <v>293.79000000000002</v>
      </c>
      <c r="D371" vm="1106">
        <f ca="1"/>
        <v>4219120</v>
      </c>
      <c r="E371">
        <f t="shared" ca="1" si="25"/>
        <v>282.80399999999997</v>
      </c>
      <c r="F371">
        <f t="shared" ca="1" si="26"/>
        <v>273.58450000000005</v>
      </c>
      <c r="G371">
        <f t="shared" ca="1" si="23"/>
        <v>258.46019999999999</v>
      </c>
      <c r="H371">
        <f t="shared" ca="1" si="27"/>
        <v>254.70770000000002</v>
      </c>
      <c r="J371" s="1">
        <v>45831</v>
      </c>
      <c r="K371" vm="1105">
        <v>293.79000000000002</v>
      </c>
    </row>
    <row r="372" spans="1:11" x14ac:dyDescent="0.25">
      <c r="A372" s="1">
        <f t="shared" ca="1" si="24"/>
        <v>45831</v>
      </c>
      <c r="B372" s="1" vm="1107">
        <f ca="1"/>
        <v>45833</v>
      </c>
      <c r="C372" vm="1108">
        <f ca="1"/>
        <v>291.06</v>
      </c>
      <c r="D372" vm="1109">
        <f ca="1"/>
        <v>3862309</v>
      </c>
      <c r="E372">
        <f t="shared" ca="1" si="25"/>
        <v>284.28599999999994</v>
      </c>
      <c r="F372">
        <f t="shared" ca="1" si="26"/>
        <v>274.97600000000006</v>
      </c>
      <c r="G372">
        <f t="shared" ref="G372:G435" ca="1" si="28">AVERAGE(C323:C372)</f>
        <v>259.5718</v>
      </c>
      <c r="H372">
        <f t="shared" ca="1" si="27"/>
        <v>255.03560000000004</v>
      </c>
      <c r="J372" s="1">
        <v>45831</v>
      </c>
      <c r="K372" vm="1108">
        <v>291.06</v>
      </c>
    </row>
    <row r="373" spans="1:11" x14ac:dyDescent="0.25">
      <c r="A373" s="1">
        <f t="shared" ca="1" si="24"/>
        <v>45831</v>
      </c>
      <c r="B373" s="1" vm="1110">
        <f ca="1"/>
        <v>45834</v>
      </c>
      <c r="C373" vm="1111">
        <f ca="1"/>
        <v>291.93</v>
      </c>
      <c r="D373" vm="1112">
        <f ca="1"/>
        <v>3621110</v>
      </c>
      <c r="E373">
        <f t="shared" ca="1" si="25"/>
        <v>285.327</v>
      </c>
      <c r="F373">
        <f t="shared" ca="1" si="26"/>
        <v>276.5605000000001</v>
      </c>
      <c r="G373">
        <f t="shared" ca="1" si="28"/>
        <v>260.62919999999997</v>
      </c>
      <c r="H373">
        <f t="shared" ca="1" si="27"/>
        <v>255.39790000000005</v>
      </c>
      <c r="J373" s="1">
        <v>45831</v>
      </c>
      <c r="K373" vm="1111">
        <v>291.93</v>
      </c>
    </row>
    <row r="374" spans="1:11" x14ac:dyDescent="0.25">
      <c r="A374" s="1">
        <f t="shared" ca="1" si="24"/>
        <v>45831</v>
      </c>
      <c r="B374" s="1" vm="1113">
        <f ca="1"/>
        <v>45835</v>
      </c>
      <c r="C374" vm="1114">
        <f ca="1"/>
        <v>289.7</v>
      </c>
      <c r="D374" vm="1115">
        <f ca="1"/>
        <v>3562501</v>
      </c>
      <c r="E374">
        <f t="shared" ca="1" si="25"/>
        <v>286.19399999999996</v>
      </c>
      <c r="F374">
        <f t="shared" ca="1" si="26"/>
        <v>278.11100000000005</v>
      </c>
      <c r="G374">
        <f t="shared" ca="1" si="28"/>
        <v>261.60920000000004</v>
      </c>
      <c r="H374">
        <f t="shared" ca="1" si="27"/>
        <v>255.68760000000003</v>
      </c>
      <c r="J374" s="1">
        <v>45831</v>
      </c>
      <c r="K374" vm="1114">
        <v>289.7</v>
      </c>
    </row>
    <row r="375" spans="1:11" x14ac:dyDescent="0.25">
      <c r="A375" s="1">
        <f t="shared" ca="1" si="24"/>
        <v>45838</v>
      </c>
      <c r="B375" s="1" vm="1116">
        <f ca="1"/>
        <v>45838</v>
      </c>
      <c r="C375" vm="1117">
        <f ca="1"/>
        <v>294.77999999999997</v>
      </c>
      <c r="D375" vm="1118">
        <f ca="1"/>
        <v>3495386</v>
      </c>
      <c r="E375">
        <f t="shared" ca="1" si="25"/>
        <v>287.95</v>
      </c>
      <c r="F375">
        <f t="shared" ca="1" si="26"/>
        <v>279.89700000000005</v>
      </c>
      <c r="G375">
        <f t="shared" ca="1" si="28"/>
        <v>262.73340000000002</v>
      </c>
      <c r="H375">
        <f t="shared" ca="1" si="27"/>
        <v>255.99080000000001</v>
      </c>
      <c r="J375" s="1">
        <v>45838</v>
      </c>
      <c r="K375" vm="1117">
        <v>294.77999999999997</v>
      </c>
    </row>
    <row r="376" spans="1:11" x14ac:dyDescent="0.25">
      <c r="A376" s="1">
        <f t="shared" ca="1" si="24"/>
        <v>45838</v>
      </c>
      <c r="B376" s="1" vm="1119">
        <f ca="1"/>
        <v>45839</v>
      </c>
      <c r="C376" vm="1120">
        <f ca="1"/>
        <v>291.2</v>
      </c>
      <c r="D376" vm="1121">
        <f ca="1"/>
        <v>3272797</v>
      </c>
      <c r="E376">
        <f t="shared" ca="1" si="25"/>
        <v>288.887</v>
      </c>
      <c r="F376">
        <f t="shared" ca="1" si="26"/>
        <v>281.26200000000006</v>
      </c>
      <c r="G376">
        <f t="shared" ca="1" si="28"/>
        <v>263.78120000000001</v>
      </c>
      <c r="H376">
        <f t="shared" ca="1" si="27"/>
        <v>256.26980000000003</v>
      </c>
      <c r="J376" s="1">
        <v>45838</v>
      </c>
      <c r="K376" vm="1120">
        <v>291.2</v>
      </c>
    </row>
    <row r="377" spans="1:11" x14ac:dyDescent="0.25">
      <c r="A377" s="1">
        <f t="shared" ca="1" si="24"/>
        <v>45838</v>
      </c>
      <c r="B377" s="1" vm="1122">
        <f ca="1"/>
        <v>45840</v>
      </c>
      <c r="C377" vm="1123">
        <f ca="1"/>
        <v>287.64999999999998</v>
      </c>
      <c r="D377" vm="1124">
        <f ca="1"/>
        <v>3257515</v>
      </c>
      <c r="E377">
        <f t="shared" ca="1" si="25"/>
        <v>289.34699999999998</v>
      </c>
      <c r="F377">
        <f t="shared" ca="1" si="26"/>
        <v>282.3845</v>
      </c>
      <c r="G377">
        <f t="shared" ca="1" si="28"/>
        <v>264.80979999999994</v>
      </c>
      <c r="H377">
        <f t="shared" ca="1" si="27"/>
        <v>256.61190000000005</v>
      </c>
      <c r="J377" s="1">
        <v>45838</v>
      </c>
      <c r="K377" vm="1123">
        <v>287.64999999999998</v>
      </c>
    </row>
    <row r="378" spans="1:11" x14ac:dyDescent="0.25">
      <c r="A378" s="1">
        <f t="shared" ca="1" si="24"/>
        <v>45838</v>
      </c>
      <c r="B378" s="1" vm="1125">
        <f ca="1"/>
        <v>45841</v>
      </c>
      <c r="C378" vm="1126">
        <f ca="1"/>
        <v>291.97000000000003</v>
      </c>
      <c r="D378" vm="1127">
        <f ca="1"/>
        <v>1853289</v>
      </c>
      <c r="E378">
        <f t="shared" ca="1" si="25"/>
        <v>290.22300000000007</v>
      </c>
      <c r="F378">
        <f t="shared" ca="1" si="26"/>
        <v>283.70699999999999</v>
      </c>
      <c r="G378">
        <f t="shared" ca="1" si="28"/>
        <v>265.83119999999997</v>
      </c>
      <c r="H378">
        <f t="shared" ca="1" si="27"/>
        <v>257.00820000000004</v>
      </c>
      <c r="J378" s="1">
        <v>45838</v>
      </c>
      <c r="K378" vm="1126">
        <v>291.97000000000003</v>
      </c>
    </row>
    <row r="379" spans="1:11" x14ac:dyDescent="0.25">
      <c r="A379" s="1">
        <f t="shared" ca="1" si="24"/>
        <v>45845</v>
      </c>
      <c r="B379" s="1" vm="1128">
        <f ca="1"/>
        <v>45845</v>
      </c>
      <c r="C379" vm="1129">
        <f ca="1"/>
        <v>292.47000000000003</v>
      </c>
      <c r="D379" vm="1130">
        <f ca="1"/>
        <v>4488064</v>
      </c>
      <c r="E379">
        <f t="shared" ca="1" si="25"/>
        <v>291.37300000000005</v>
      </c>
      <c r="F379">
        <f t="shared" ca="1" si="26"/>
        <v>284.98750000000001</v>
      </c>
      <c r="G379">
        <f t="shared" ca="1" si="28"/>
        <v>266.77099999999996</v>
      </c>
      <c r="H379">
        <f t="shared" ca="1" si="27"/>
        <v>257.44020000000012</v>
      </c>
      <c r="J379" s="1">
        <v>45845</v>
      </c>
      <c r="K379" vm="1129">
        <v>292.47000000000003</v>
      </c>
    </row>
    <row r="380" spans="1:11" x14ac:dyDescent="0.25">
      <c r="A380" s="1">
        <f t="shared" ca="1" si="24"/>
        <v>45845</v>
      </c>
      <c r="B380" s="1" vm="1131">
        <f ca="1"/>
        <v>45846</v>
      </c>
      <c r="C380" vm="1132">
        <f ca="1"/>
        <v>290.42</v>
      </c>
      <c r="D380" vm="1133">
        <f ca="1"/>
        <v>2925329</v>
      </c>
      <c r="E380">
        <f t="shared" ca="1" si="25"/>
        <v>291.49700000000001</v>
      </c>
      <c r="F380">
        <f t="shared" ca="1" si="26"/>
        <v>286.06499999999994</v>
      </c>
      <c r="G380">
        <f t="shared" ca="1" si="28"/>
        <v>267.99279999999993</v>
      </c>
      <c r="H380">
        <f t="shared" ca="1" si="27"/>
        <v>257.79740000000015</v>
      </c>
      <c r="J380" s="1">
        <v>45845</v>
      </c>
      <c r="K380" vm="1132">
        <v>290.42</v>
      </c>
    </row>
    <row r="381" spans="1:11" x14ac:dyDescent="0.25">
      <c r="A381" s="1">
        <f t="shared" ca="1" si="24"/>
        <v>45845</v>
      </c>
      <c r="B381" s="1" vm="1134">
        <f ca="1"/>
        <v>45847</v>
      </c>
      <c r="C381" vm="1135">
        <f ca="1"/>
        <v>290.14</v>
      </c>
      <c r="D381" vm="1136">
        <f ca="1"/>
        <v>2971309</v>
      </c>
      <c r="E381">
        <f t="shared" ca="1" si="25"/>
        <v>291.13200000000001</v>
      </c>
      <c r="F381">
        <f t="shared" ca="1" si="26"/>
        <v>286.96799999999996</v>
      </c>
      <c r="G381">
        <f t="shared" ca="1" si="28"/>
        <v>269.14739999999995</v>
      </c>
      <c r="H381">
        <f t="shared" ca="1" si="27"/>
        <v>258.14070000000009</v>
      </c>
      <c r="J381" s="1">
        <v>45845</v>
      </c>
      <c r="K381" vm="1135">
        <v>290.14</v>
      </c>
    </row>
    <row r="382" spans="1:11" x14ac:dyDescent="0.25">
      <c r="A382" s="1">
        <f t="shared" ca="1" si="24"/>
        <v>45845</v>
      </c>
      <c r="B382" s="1" vm="1137">
        <f ca="1"/>
        <v>45848</v>
      </c>
      <c r="C382" vm="1138">
        <f ca="1"/>
        <v>287.43</v>
      </c>
      <c r="D382" vm="1139">
        <f ca="1"/>
        <v>3489068</v>
      </c>
      <c r="E382">
        <f t="shared" ca="1" si="25"/>
        <v>290.76899999999995</v>
      </c>
      <c r="F382">
        <f t="shared" ca="1" si="26"/>
        <v>287.52750000000003</v>
      </c>
      <c r="G382">
        <f t="shared" ca="1" si="28"/>
        <v>270.17279999999994</v>
      </c>
      <c r="H382">
        <f t="shared" ca="1" si="27"/>
        <v>258.42310000000009</v>
      </c>
      <c r="J382" s="1">
        <v>45845</v>
      </c>
      <c r="K382" vm="1138">
        <v>287.43</v>
      </c>
    </row>
    <row r="383" spans="1:11" x14ac:dyDescent="0.25">
      <c r="A383" s="1">
        <f t="shared" ca="1" si="24"/>
        <v>45845</v>
      </c>
      <c r="B383" s="1" vm="1140">
        <f ca="1"/>
        <v>45849</v>
      </c>
      <c r="C383" vm="1141">
        <f ca="1"/>
        <v>283.58999999999997</v>
      </c>
      <c r="D383" vm="1142">
        <f ca="1"/>
        <v>3790679</v>
      </c>
      <c r="E383">
        <f t="shared" ca="1" si="25"/>
        <v>289.935</v>
      </c>
      <c r="F383">
        <f t="shared" ca="1" si="26"/>
        <v>287.63100000000003</v>
      </c>
      <c r="G383">
        <f t="shared" ca="1" si="28"/>
        <v>271.05679999999995</v>
      </c>
      <c r="H383">
        <f t="shared" ca="1" si="27"/>
        <v>258.64620000000008</v>
      </c>
      <c r="J383" s="1">
        <v>45845</v>
      </c>
      <c r="K383" vm="1141">
        <v>283.58999999999997</v>
      </c>
    </row>
    <row r="384" spans="1:11" x14ac:dyDescent="0.25">
      <c r="A384" s="1">
        <f t="shared" ca="1" si="24"/>
        <v>45852</v>
      </c>
      <c r="B384" s="1" vm="1143">
        <f ca="1"/>
        <v>45852</v>
      </c>
      <c r="C384" vm="1144">
        <f ca="1"/>
        <v>283.79000000000002</v>
      </c>
      <c r="D384" vm="1145">
        <f ca="1"/>
        <v>2857401</v>
      </c>
      <c r="E384">
        <f t="shared" ca="1" si="25"/>
        <v>289.34399999999999</v>
      </c>
      <c r="F384">
        <f t="shared" ca="1" si="26"/>
        <v>287.76900000000001</v>
      </c>
      <c r="G384">
        <f t="shared" ca="1" si="28"/>
        <v>271.89619999999996</v>
      </c>
      <c r="H384">
        <f t="shared" ca="1" si="27"/>
        <v>258.85340000000014</v>
      </c>
      <c r="J384" s="1">
        <v>45852</v>
      </c>
      <c r="K384" vm="1144">
        <v>283.79000000000002</v>
      </c>
    </row>
    <row r="385" spans="1:11" x14ac:dyDescent="0.25">
      <c r="A385" s="1">
        <f t="shared" ca="1" si="24"/>
        <v>45852</v>
      </c>
      <c r="B385" s="1" vm="1146">
        <f ca="1"/>
        <v>45853</v>
      </c>
      <c r="C385" vm="1147">
        <f ca="1"/>
        <v>282.7</v>
      </c>
      <c r="D385" vm="1148">
        <f ca="1"/>
        <v>2864106</v>
      </c>
      <c r="E385">
        <f t="shared" ca="1" si="25"/>
        <v>288.13599999999997</v>
      </c>
      <c r="F385">
        <f t="shared" ca="1" si="26"/>
        <v>288.04300000000001</v>
      </c>
      <c r="G385">
        <f t="shared" ca="1" si="28"/>
        <v>272.75699999999995</v>
      </c>
      <c r="H385">
        <f t="shared" ca="1" si="27"/>
        <v>259.0372000000001</v>
      </c>
      <c r="J385" s="1">
        <v>45852</v>
      </c>
      <c r="K385" vm="1147">
        <v>282.7</v>
      </c>
    </row>
    <row r="386" spans="1:11" x14ac:dyDescent="0.25">
      <c r="A386" s="1">
        <f t="shared" ca="1" si="24"/>
        <v>45852</v>
      </c>
      <c r="B386" s="1" vm="1149">
        <f ca="1"/>
        <v>45854</v>
      </c>
      <c r="C386" vm="1150">
        <f ca="1"/>
        <v>281.92</v>
      </c>
      <c r="D386" vm="1151">
        <f ca="1"/>
        <v>2804831</v>
      </c>
      <c r="E386">
        <f t="shared" ca="1" si="25"/>
        <v>287.20799999999997</v>
      </c>
      <c r="F386">
        <f t="shared" ca="1" si="26"/>
        <v>288.04750000000001</v>
      </c>
      <c r="G386">
        <f t="shared" ca="1" si="28"/>
        <v>273.48439999999999</v>
      </c>
      <c r="H386">
        <f t="shared" ca="1" si="27"/>
        <v>259.20900000000006</v>
      </c>
      <c r="J386" s="1">
        <v>45852</v>
      </c>
      <c r="K386" vm="1150">
        <v>281.92</v>
      </c>
    </row>
    <row r="387" spans="1:11" x14ac:dyDescent="0.25">
      <c r="A387" s="1">
        <f t="shared" ref="A387:A450" ca="1" si="29">B387 - WEEKDAY(B387, 2) + 1</f>
        <v>45852</v>
      </c>
      <c r="B387" s="1" vm="1152">
        <f ca="1"/>
        <v>45855</v>
      </c>
      <c r="C387" vm="1153">
        <f ca="1"/>
        <v>282</v>
      </c>
      <c r="D387" vm="1154">
        <f ca="1"/>
        <v>3337168</v>
      </c>
      <c r="E387">
        <f t="shared" ca="1" si="25"/>
        <v>286.64299999999997</v>
      </c>
      <c r="F387">
        <f t="shared" ca="1" si="26"/>
        <v>287.995</v>
      </c>
      <c r="G387">
        <f t="shared" ca="1" si="28"/>
        <v>274.14080000000001</v>
      </c>
      <c r="H387">
        <f t="shared" ca="1" si="27"/>
        <v>259.41420000000011</v>
      </c>
      <c r="J387" s="1">
        <v>45852</v>
      </c>
      <c r="K387" vm="1153">
        <v>282</v>
      </c>
    </row>
    <row r="388" spans="1:11" x14ac:dyDescent="0.25">
      <c r="A388" s="1">
        <f t="shared" ca="1" si="29"/>
        <v>45852</v>
      </c>
      <c r="B388" s="1" vm="1155">
        <f ca="1"/>
        <v>45856</v>
      </c>
      <c r="C388" vm="1156">
        <f ca="1"/>
        <v>285.87</v>
      </c>
      <c r="D388" vm="1157">
        <f ca="1"/>
        <v>4478165</v>
      </c>
      <c r="E388">
        <f t="shared" ca="1" si="25"/>
        <v>286.03300000000002</v>
      </c>
      <c r="F388">
        <f t="shared" ca="1" si="26"/>
        <v>288.12800000000004</v>
      </c>
      <c r="G388">
        <f t="shared" ca="1" si="28"/>
        <v>274.87580000000003</v>
      </c>
      <c r="H388">
        <f t="shared" ca="1" si="27"/>
        <v>259.65420000000012</v>
      </c>
      <c r="J388" s="1">
        <v>45852</v>
      </c>
      <c r="K388" vm="1156">
        <v>285.87</v>
      </c>
    </row>
    <row r="389" spans="1:11" x14ac:dyDescent="0.25">
      <c r="A389" s="1">
        <f t="shared" ca="1" si="29"/>
        <v>45859</v>
      </c>
      <c r="B389" s="1" vm="1158">
        <f ca="1"/>
        <v>45859</v>
      </c>
      <c r="C389" vm="1159">
        <f ca="1"/>
        <v>284.70999999999998</v>
      </c>
      <c r="D389" vm="1160">
        <f ca="1"/>
        <v>3051791</v>
      </c>
      <c r="E389">
        <f t="shared" ca="1" si="25"/>
        <v>285.25699999999995</v>
      </c>
      <c r="F389">
        <f t="shared" ca="1" si="26"/>
        <v>288.315</v>
      </c>
      <c r="G389">
        <f t="shared" ca="1" si="28"/>
        <v>275.50260000000003</v>
      </c>
      <c r="H389">
        <f t="shared" ca="1" si="27"/>
        <v>259.92380000000009</v>
      </c>
      <c r="J389" s="1">
        <v>45859</v>
      </c>
      <c r="K389" vm="1159">
        <v>284.70999999999998</v>
      </c>
    </row>
    <row r="390" spans="1:11" x14ac:dyDescent="0.25">
      <c r="A390" s="1">
        <f t="shared" ca="1" si="29"/>
        <v>45859</v>
      </c>
      <c r="B390" s="1" vm="1161">
        <f ca="1"/>
        <v>45860</v>
      </c>
      <c r="C390" vm="1162">
        <f ca="1"/>
        <v>281.95999999999998</v>
      </c>
      <c r="D390" vm="1163">
        <f ca="1"/>
        <v>4824219</v>
      </c>
      <c r="E390">
        <f t="shared" ca="1" si="25"/>
        <v>284.411</v>
      </c>
      <c r="F390">
        <f t="shared" ca="1" si="26"/>
        <v>287.95400000000001</v>
      </c>
      <c r="G390">
        <f t="shared" ca="1" si="28"/>
        <v>276.05900000000003</v>
      </c>
      <c r="H390">
        <f t="shared" ca="1" si="27"/>
        <v>260.18500000000006</v>
      </c>
      <c r="J390" s="1">
        <v>45859</v>
      </c>
      <c r="K390" vm="1162">
        <v>281.95999999999998</v>
      </c>
    </row>
    <row r="391" spans="1:11" x14ac:dyDescent="0.25">
      <c r="A391" s="1">
        <f t="shared" ca="1" si="29"/>
        <v>45859</v>
      </c>
      <c r="B391" s="1" vm="1164">
        <f ca="1"/>
        <v>45861</v>
      </c>
      <c r="C391" vm="1165">
        <f ca="1"/>
        <v>282.01</v>
      </c>
      <c r="D391" vm="1166">
        <f ca="1"/>
        <v>8105906</v>
      </c>
      <c r="E391">
        <f t="shared" ca="1" si="25"/>
        <v>283.59800000000007</v>
      </c>
      <c r="F391">
        <f t="shared" ca="1" si="26"/>
        <v>287.36500000000001</v>
      </c>
      <c r="G391">
        <f t="shared" ca="1" si="28"/>
        <v>276.71520000000004</v>
      </c>
      <c r="H391">
        <f t="shared" ca="1" si="27"/>
        <v>260.47280000000001</v>
      </c>
      <c r="J391" s="1">
        <v>45859</v>
      </c>
      <c r="K391" vm="1165">
        <v>282.01</v>
      </c>
    </row>
    <row r="392" spans="1:11" x14ac:dyDescent="0.25">
      <c r="A392" s="1">
        <f t="shared" ca="1" si="29"/>
        <v>45859</v>
      </c>
      <c r="B392" s="1" vm="1167">
        <f ca="1"/>
        <v>45862</v>
      </c>
      <c r="C392" vm="1168">
        <f ca="1"/>
        <v>260.51</v>
      </c>
      <c r="D392" vm="1169">
        <f ca="1"/>
        <v>22647720</v>
      </c>
      <c r="E392">
        <f t="shared" ca="1" si="25"/>
        <v>280.90600000000006</v>
      </c>
      <c r="F392">
        <f t="shared" ca="1" si="26"/>
        <v>285.83749999999998</v>
      </c>
      <c r="G392">
        <f t="shared" ca="1" si="28"/>
        <v>276.85160000000002</v>
      </c>
      <c r="H392">
        <f t="shared" ca="1" si="27"/>
        <v>260.55350000000004</v>
      </c>
      <c r="J392" s="1">
        <v>45859</v>
      </c>
      <c r="K392" vm="1168">
        <v>260.51</v>
      </c>
    </row>
    <row r="393" spans="1:11" x14ac:dyDescent="0.25">
      <c r="A393" s="1">
        <f t="shared" ca="1" si="29"/>
        <v>45859</v>
      </c>
      <c r="B393" s="1" vm="1170">
        <f ca="1"/>
        <v>45863</v>
      </c>
      <c r="C393" vm="1171">
        <f ca="1"/>
        <v>259.72000000000003</v>
      </c>
      <c r="D393" vm="1172">
        <f ca="1"/>
        <v>7758653</v>
      </c>
      <c r="E393">
        <f t="shared" ca="1" si="25"/>
        <v>278.51900000000006</v>
      </c>
      <c r="F393">
        <f t="shared" ca="1" si="26"/>
        <v>284.22700000000003</v>
      </c>
      <c r="G393">
        <f t="shared" ca="1" si="28"/>
        <v>276.87420000000003</v>
      </c>
      <c r="H393">
        <f t="shared" ca="1" si="27"/>
        <v>260.64880000000005</v>
      </c>
      <c r="J393" s="1">
        <v>45859</v>
      </c>
      <c r="K393" vm="1171">
        <v>259.72000000000003</v>
      </c>
    </row>
    <row r="394" spans="1:11" x14ac:dyDescent="0.25">
      <c r="A394" s="1">
        <f t="shared" ca="1" si="29"/>
        <v>45866</v>
      </c>
      <c r="B394" s="1" vm="1173">
        <f ca="1"/>
        <v>45866</v>
      </c>
      <c r="C394" vm="1174">
        <f ca="1"/>
        <v>263.20999999999998</v>
      </c>
      <c r="D394" vm="1175">
        <f ca="1"/>
        <v>5192516</v>
      </c>
      <c r="E394">
        <f t="shared" ca="1" si="25"/>
        <v>276.46100000000007</v>
      </c>
      <c r="F394">
        <f t="shared" ca="1" si="26"/>
        <v>282.90250000000003</v>
      </c>
      <c r="G394">
        <f t="shared" ca="1" si="28"/>
        <v>276.98200000000003</v>
      </c>
      <c r="H394">
        <f t="shared" ca="1" si="27"/>
        <v>260.74880000000007</v>
      </c>
      <c r="J394" s="1">
        <v>45866</v>
      </c>
      <c r="K394" vm="1174">
        <v>263.20999999999998</v>
      </c>
    </row>
    <row r="395" spans="1:11" x14ac:dyDescent="0.25">
      <c r="A395" s="1">
        <f t="shared" ca="1" si="29"/>
        <v>45866</v>
      </c>
      <c r="B395" s="1" vm="1176">
        <f ca="1"/>
        <v>45867</v>
      </c>
      <c r="C395" vm="1177">
        <f ca="1"/>
        <v>262.41000000000003</v>
      </c>
      <c r="D395" vm="1178">
        <f ca="1"/>
        <v>4627265</v>
      </c>
      <c r="E395">
        <f t="shared" ca="1" si="25"/>
        <v>274.43199999999996</v>
      </c>
      <c r="F395">
        <f t="shared" ca="1" si="26"/>
        <v>281.28399999999999</v>
      </c>
      <c r="G395">
        <f t="shared" ca="1" si="28"/>
        <v>276.89659999999998</v>
      </c>
      <c r="H395">
        <f t="shared" ca="1" si="27"/>
        <v>260.85940000000005</v>
      </c>
      <c r="J395" s="1">
        <v>45866</v>
      </c>
      <c r="K395" vm="1177">
        <v>262.41000000000003</v>
      </c>
    </row>
    <row r="396" spans="1:11" x14ac:dyDescent="0.25">
      <c r="A396" s="1">
        <f t="shared" ca="1" si="29"/>
        <v>45866</v>
      </c>
      <c r="B396" s="1" vm="1179">
        <f ca="1"/>
        <v>45868</v>
      </c>
      <c r="C396" vm="1180">
        <f ca="1"/>
        <v>260.26</v>
      </c>
      <c r="D396" vm="1181">
        <f ca="1"/>
        <v>3718290</v>
      </c>
      <c r="E396">
        <f t="shared" ref="E396:E459" ca="1" si="30">AVERAGE(C387:C396)</f>
        <v>272.26599999999996</v>
      </c>
      <c r="F396">
        <f t="shared" ca="1" si="26"/>
        <v>279.73700000000002</v>
      </c>
      <c r="G396">
        <f t="shared" ca="1" si="28"/>
        <v>276.76659999999998</v>
      </c>
      <c r="H396">
        <f t="shared" ca="1" si="27"/>
        <v>260.9751</v>
      </c>
      <c r="J396" s="1">
        <v>45866</v>
      </c>
      <c r="K396" vm="1180">
        <v>260.26</v>
      </c>
    </row>
    <row r="397" spans="1:11" x14ac:dyDescent="0.25">
      <c r="A397" s="1">
        <f t="shared" ca="1" si="29"/>
        <v>45866</v>
      </c>
      <c r="B397" s="1" vm="1182">
        <f ca="1"/>
        <v>45869</v>
      </c>
      <c r="C397" vm="1183">
        <f ca="1"/>
        <v>253.15</v>
      </c>
      <c r="D397" vm="1184">
        <f ca="1"/>
        <v>6739092</v>
      </c>
      <c r="E397">
        <f t="shared" ca="1" si="30"/>
        <v>269.38099999999997</v>
      </c>
      <c r="F397">
        <f t="shared" ca="1" si="26"/>
        <v>278.012</v>
      </c>
      <c r="G397">
        <f t="shared" ca="1" si="28"/>
        <v>276.46139999999997</v>
      </c>
      <c r="H397">
        <f t="shared" ca="1" si="27"/>
        <v>260.89120000000003</v>
      </c>
      <c r="J397" s="1">
        <v>45866</v>
      </c>
      <c r="K397" vm="1183">
        <v>253.15</v>
      </c>
    </row>
    <row r="398" spans="1:11" x14ac:dyDescent="0.25">
      <c r="A398" s="1">
        <f t="shared" ca="1" si="29"/>
        <v>45866</v>
      </c>
      <c r="B398" s="1" vm="1185">
        <f ca="1"/>
        <v>45870</v>
      </c>
      <c r="C398" vm="1186">
        <f ca="1"/>
        <v>250.05</v>
      </c>
      <c r="D398" vm="1187">
        <f ca="1"/>
        <v>9683404</v>
      </c>
      <c r="E398">
        <f t="shared" ca="1" si="30"/>
        <v>265.79900000000004</v>
      </c>
      <c r="F398">
        <f t="shared" ca="1" si="26"/>
        <v>275.91600000000005</v>
      </c>
      <c r="G398">
        <f t="shared" ca="1" si="28"/>
        <v>276.12339999999995</v>
      </c>
      <c r="H398">
        <f t="shared" ca="1" si="27"/>
        <v>260.82270000000005</v>
      </c>
      <c r="J398" s="1">
        <v>45866</v>
      </c>
      <c r="K398" vm="1186">
        <v>250.05</v>
      </c>
    </row>
    <row r="399" spans="1:11" x14ac:dyDescent="0.25">
      <c r="A399" s="1">
        <f t="shared" ca="1" si="29"/>
        <v>45873</v>
      </c>
      <c r="B399" s="1" vm="1188">
        <f ca="1"/>
        <v>45873</v>
      </c>
      <c r="C399" vm="1189">
        <f ca="1"/>
        <v>251.98</v>
      </c>
      <c r="D399" vm="1190">
        <f ca="1"/>
        <v>5280588</v>
      </c>
      <c r="E399">
        <f t="shared" ca="1" si="30"/>
        <v>262.52600000000001</v>
      </c>
      <c r="F399">
        <f t="shared" ca="1" si="26"/>
        <v>273.89150000000001</v>
      </c>
      <c r="G399">
        <f t="shared" ca="1" si="28"/>
        <v>275.94559999999996</v>
      </c>
      <c r="H399">
        <f t="shared" ca="1" si="27"/>
        <v>260.85300000000001</v>
      </c>
      <c r="J399" s="1">
        <v>45873</v>
      </c>
      <c r="K399" vm="1189">
        <v>251.98</v>
      </c>
    </row>
    <row r="400" spans="1:11" x14ac:dyDescent="0.25">
      <c r="A400" s="1">
        <f t="shared" ca="1" si="29"/>
        <v>45873</v>
      </c>
      <c r="B400" s="1" vm="1191">
        <f ca="1"/>
        <v>45874</v>
      </c>
      <c r="C400" vm="1192">
        <f ca="1"/>
        <v>250.67</v>
      </c>
      <c r="D400" vm="1193">
        <f ca="1"/>
        <v>5823016</v>
      </c>
      <c r="E400">
        <f t="shared" ca="1" si="30"/>
        <v>259.39700000000005</v>
      </c>
      <c r="F400">
        <f t="shared" ca="1" si="26"/>
        <v>271.904</v>
      </c>
      <c r="G400">
        <f t="shared" ca="1" si="28"/>
        <v>275.79160000000002</v>
      </c>
      <c r="H400">
        <f t="shared" ca="1" si="27"/>
        <v>260.86340000000001</v>
      </c>
      <c r="J400" s="1">
        <v>45873</v>
      </c>
      <c r="K400" vm="1192">
        <v>250.67</v>
      </c>
    </row>
    <row r="401" spans="1:11" x14ac:dyDescent="0.25">
      <c r="A401" s="1">
        <f t="shared" ca="1" si="29"/>
        <v>45873</v>
      </c>
      <c r="B401" s="1" vm="1194">
        <f ca="1"/>
        <v>45875</v>
      </c>
      <c r="C401" vm="1195">
        <f ca="1"/>
        <v>252.28</v>
      </c>
      <c r="D401" vm="1196">
        <f ca="1"/>
        <v>3692105</v>
      </c>
      <c r="E401">
        <f t="shared" ca="1" si="30"/>
        <v>256.42400000000004</v>
      </c>
      <c r="F401">
        <f t="shared" ca="1" si="26"/>
        <v>270.01100000000002</v>
      </c>
      <c r="G401">
        <f t="shared" ca="1" si="28"/>
        <v>275.66460000000001</v>
      </c>
      <c r="H401">
        <f t="shared" ca="1" si="27"/>
        <v>260.9282</v>
      </c>
      <c r="J401" s="1">
        <v>45873</v>
      </c>
      <c r="K401" vm="1195">
        <v>252.28</v>
      </c>
    </row>
    <row r="402" spans="1:11" x14ac:dyDescent="0.25">
      <c r="A402" s="1">
        <f t="shared" ca="1" si="29"/>
        <v>45873</v>
      </c>
      <c r="B402" s="1" vm="1197">
        <f ca="1"/>
        <v>45876</v>
      </c>
      <c r="C402" vm="1198">
        <f ca="1"/>
        <v>250.16</v>
      </c>
      <c r="D402" vm="1199">
        <f ca="1"/>
        <v>6251285</v>
      </c>
      <c r="E402">
        <f t="shared" ca="1" si="30"/>
        <v>255.38900000000004</v>
      </c>
      <c r="F402">
        <f t="shared" ca="1" si="26"/>
        <v>268.14749999999998</v>
      </c>
      <c r="G402">
        <f t="shared" ca="1" si="28"/>
        <v>275.40319999999997</v>
      </c>
      <c r="H402">
        <f t="shared" ca="1" si="27"/>
        <v>260.94630000000001</v>
      </c>
      <c r="J402" s="1">
        <v>45873</v>
      </c>
      <c r="K402" vm="1198">
        <v>250.16</v>
      </c>
    </row>
    <row r="403" spans="1:11" x14ac:dyDescent="0.25">
      <c r="A403" s="1">
        <f t="shared" ca="1" si="29"/>
        <v>45873</v>
      </c>
      <c r="B403" s="1" vm="1200">
        <f ca="1"/>
        <v>45877</v>
      </c>
      <c r="C403" vm="1201">
        <f ca="1"/>
        <v>242.27</v>
      </c>
      <c r="D403" vm="1202">
        <f ca="1"/>
        <v>6828390</v>
      </c>
      <c r="E403">
        <f t="shared" ca="1" si="30"/>
        <v>253.64400000000001</v>
      </c>
      <c r="F403">
        <f t="shared" ca="1" si="26"/>
        <v>266.08150000000006</v>
      </c>
      <c r="G403">
        <f t="shared" ca="1" si="28"/>
        <v>275.04380000000003</v>
      </c>
      <c r="H403">
        <f t="shared" ca="1" si="27"/>
        <v>260.83929999999998</v>
      </c>
      <c r="J403" s="1">
        <v>45873</v>
      </c>
      <c r="K403" vm="1201">
        <v>242.27</v>
      </c>
    </row>
    <row r="404" spans="1:11" x14ac:dyDescent="0.25">
      <c r="A404" s="1">
        <f t="shared" ca="1" si="29"/>
        <v>45880</v>
      </c>
      <c r="B404" s="1" vm="1203">
        <f ca="1"/>
        <v>45880</v>
      </c>
      <c r="C404" vm="1204">
        <f ca="1"/>
        <v>236.3</v>
      </c>
      <c r="D404" vm="1205">
        <f ca="1"/>
        <v>9381960</v>
      </c>
      <c r="E404">
        <f t="shared" ca="1" si="30"/>
        <v>250.95300000000006</v>
      </c>
      <c r="F404">
        <f t="shared" ca="1" si="26"/>
        <v>263.70700000000005</v>
      </c>
      <c r="G404">
        <f t="shared" ca="1" si="28"/>
        <v>274.596</v>
      </c>
      <c r="H404">
        <f t="shared" ca="1" si="27"/>
        <v>260.7328</v>
      </c>
      <c r="J404" s="1">
        <v>45880</v>
      </c>
      <c r="K404" vm="1204">
        <v>236.3</v>
      </c>
    </row>
    <row r="405" spans="1:11" x14ac:dyDescent="0.25">
      <c r="A405" s="1">
        <f t="shared" ca="1" si="29"/>
        <v>45880</v>
      </c>
      <c r="B405" s="1" vm="1206">
        <f ca="1"/>
        <v>45881</v>
      </c>
      <c r="C405" vm="1207">
        <f ca="1"/>
        <v>234.77</v>
      </c>
      <c r="D405" vm="1208">
        <f ca="1"/>
        <v>8800597</v>
      </c>
      <c r="E405">
        <f t="shared" ca="1" si="30"/>
        <v>248.18900000000002</v>
      </c>
      <c r="F405">
        <f t="shared" ca="1" si="26"/>
        <v>261.31050000000005</v>
      </c>
      <c r="G405">
        <f t="shared" ca="1" si="28"/>
        <v>274.11020000000002</v>
      </c>
      <c r="H405">
        <f t="shared" ca="1" si="27"/>
        <v>260.55759999999992</v>
      </c>
      <c r="J405" s="1">
        <v>45880</v>
      </c>
      <c r="K405" vm="1207">
        <v>234.77</v>
      </c>
    </row>
    <row r="406" spans="1:11" x14ac:dyDescent="0.25">
      <c r="A406" s="1">
        <f t="shared" ca="1" si="29"/>
        <v>45880</v>
      </c>
      <c r="B406" s="1" vm="1209">
        <f ca="1"/>
        <v>45882</v>
      </c>
      <c r="C406" vm="1210">
        <f ca="1"/>
        <v>240.07</v>
      </c>
      <c r="D406" vm="1211">
        <f ca="1"/>
        <v>5663562</v>
      </c>
      <c r="E406">
        <f t="shared" ca="1" si="30"/>
        <v>246.17000000000002</v>
      </c>
      <c r="F406">
        <f t="shared" ref="F406:F469" ca="1" si="31">AVERAGE(C387:C406)</f>
        <v>259.21800000000007</v>
      </c>
      <c r="G406">
        <f t="shared" ca="1" si="28"/>
        <v>273.63359999999994</v>
      </c>
      <c r="H406">
        <f t="shared" ca="1" si="27"/>
        <v>260.52509999999995</v>
      </c>
      <c r="J406" s="1">
        <v>45880</v>
      </c>
      <c r="K406" vm="1210">
        <v>240.07</v>
      </c>
    </row>
    <row r="407" spans="1:11" x14ac:dyDescent="0.25">
      <c r="A407" s="1">
        <f t="shared" ca="1" si="29"/>
        <v>45880</v>
      </c>
      <c r="B407" s="1" vm="1212">
        <f ca="1"/>
        <v>45883</v>
      </c>
      <c r="C407" vm="1213">
        <f ca="1"/>
        <v>237.11</v>
      </c>
      <c r="D407" vm="1214">
        <f ca="1"/>
        <v>4556725</v>
      </c>
      <c r="E407">
        <f t="shared" ca="1" si="30"/>
        <v>244.56599999999997</v>
      </c>
      <c r="F407">
        <f t="shared" ca="1" si="31"/>
        <v>256.9735</v>
      </c>
      <c r="G407">
        <f t="shared" ca="1" si="28"/>
        <v>273.07179999999994</v>
      </c>
      <c r="H407">
        <f t="shared" ca="1" si="27"/>
        <v>260.45749999999998</v>
      </c>
      <c r="J407" s="1">
        <v>45880</v>
      </c>
      <c r="K407" vm="1213">
        <v>237.11</v>
      </c>
    </row>
    <row r="408" spans="1:11" x14ac:dyDescent="0.25">
      <c r="A408" s="1">
        <f t="shared" ca="1" si="29"/>
        <v>45880</v>
      </c>
      <c r="B408" s="1" vm="1215">
        <f ca="1"/>
        <v>45884</v>
      </c>
      <c r="C408" vm="1216">
        <f ca="1"/>
        <v>239.72</v>
      </c>
      <c r="D408" vm="1217">
        <f ca="1"/>
        <v>4344322</v>
      </c>
      <c r="E408">
        <f t="shared" ca="1" si="30"/>
        <v>243.53299999999996</v>
      </c>
      <c r="F408">
        <f t="shared" ca="1" si="31"/>
        <v>254.66600000000003</v>
      </c>
      <c r="G408">
        <f t="shared" ca="1" si="28"/>
        <v>272.55579999999992</v>
      </c>
      <c r="H408">
        <f t="shared" ca="1" si="27"/>
        <v>260.37019999999995</v>
      </c>
      <c r="J408" s="1">
        <v>45880</v>
      </c>
      <c r="K408" vm="1216">
        <v>239.72</v>
      </c>
    </row>
    <row r="409" spans="1:11" x14ac:dyDescent="0.25">
      <c r="A409" s="1">
        <f t="shared" ca="1" si="29"/>
        <v>45887</v>
      </c>
      <c r="B409" s="1" vm="1218">
        <f ca="1"/>
        <v>45887</v>
      </c>
      <c r="C409" vm="1219">
        <f ca="1"/>
        <v>239.45</v>
      </c>
      <c r="D409" vm="1220">
        <f ca="1"/>
        <v>3569594</v>
      </c>
      <c r="E409">
        <f t="shared" ca="1" si="30"/>
        <v>242.27999999999997</v>
      </c>
      <c r="F409">
        <f t="shared" ca="1" si="31"/>
        <v>252.40300000000002</v>
      </c>
      <c r="G409">
        <f t="shared" ca="1" si="28"/>
        <v>272.00759999999997</v>
      </c>
      <c r="H409">
        <f t="shared" ca="1" si="27"/>
        <v>260.26569999999992</v>
      </c>
      <c r="J409" s="1">
        <v>45887</v>
      </c>
      <c r="K409" vm="1219">
        <v>239.45</v>
      </c>
    </row>
    <row r="410" spans="1:11" x14ac:dyDescent="0.25">
      <c r="A410" s="1">
        <f t="shared" ca="1" si="29"/>
        <v>45887</v>
      </c>
      <c r="B410" s="1" vm="1221">
        <f ca="1"/>
        <v>45888</v>
      </c>
      <c r="C410" vm="1222">
        <f ca="1"/>
        <v>241.28</v>
      </c>
      <c r="D410" vm="1223">
        <f ca="1"/>
        <v>3328305</v>
      </c>
      <c r="E410">
        <f t="shared" ca="1" si="30"/>
        <v>241.34100000000004</v>
      </c>
      <c r="F410">
        <f t="shared" ca="1" si="31"/>
        <v>250.369</v>
      </c>
      <c r="G410">
        <f t="shared" ca="1" si="28"/>
        <v>271.45579999999995</v>
      </c>
      <c r="H410">
        <f t="shared" ca="1" si="27"/>
        <v>260.17509999999993</v>
      </c>
      <c r="J410" s="1">
        <v>45887</v>
      </c>
      <c r="K410" vm="1222">
        <v>241.28</v>
      </c>
    </row>
    <row r="411" spans="1:11" x14ac:dyDescent="0.25">
      <c r="A411" s="1">
        <f t="shared" ca="1" si="29"/>
        <v>45887</v>
      </c>
      <c r="B411" s="1" vm="1224">
        <f ca="1"/>
        <v>45889</v>
      </c>
      <c r="C411" vm="1225">
        <f ca="1"/>
        <v>242.55</v>
      </c>
      <c r="D411" vm="1226">
        <f ca="1"/>
        <v>3240064</v>
      </c>
      <c r="E411">
        <f t="shared" ca="1" si="30"/>
        <v>240.36800000000002</v>
      </c>
      <c r="F411">
        <f t="shared" ca="1" si="31"/>
        <v>248.39600000000002</v>
      </c>
      <c r="G411">
        <f t="shared" ca="1" si="28"/>
        <v>270.86519999999996</v>
      </c>
      <c r="H411">
        <f t="shared" ca="1" si="27"/>
        <v>260.13849999999996</v>
      </c>
      <c r="J411" s="1">
        <v>45887</v>
      </c>
      <c r="K411" vm="1225">
        <v>242.55</v>
      </c>
    </row>
    <row r="412" spans="1:11" x14ac:dyDescent="0.25">
      <c r="A412" s="1">
        <f t="shared" ca="1" si="29"/>
        <v>45887</v>
      </c>
      <c r="B412" s="1" vm="1227">
        <f ca="1"/>
        <v>45890</v>
      </c>
      <c r="C412" vm="1228">
        <f ca="1"/>
        <v>239.4</v>
      </c>
      <c r="D412" vm="1229">
        <f ca="1"/>
        <v>2991902</v>
      </c>
      <c r="E412">
        <f t="shared" ca="1" si="30"/>
        <v>239.292</v>
      </c>
      <c r="F412">
        <f t="shared" ca="1" si="31"/>
        <v>247.34050000000002</v>
      </c>
      <c r="G412">
        <f t="shared" ca="1" si="28"/>
        <v>270.12839999999994</v>
      </c>
      <c r="H412">
        <f t="shared" ca="1" si="27"/>
        <v>260.09249999999997</v>
      </c>
      <c r="J412" s="1">
        <v>45887</v>
      </c>
      <c r="K412" vm="1228">
        <v>239.4</v>
      </c>
    </row>
    <row r="413" spans="1:11" x14ac:dyDescent="0.25">
      <c r="A413" s="1">
        <f t="shared" ca="1" si="29"/>
        <v>45887</v>
      </c>
      <c r="B413" s="1" vm="1230">
        <f ca="1"/>
        <v>45891</v>
      </c>
      <c r="C413" vm="1231">
        <f ca="1"/>
        <v>242.09</v>
      </c>
      <c r="D413" vm="1232">
        <f ca="1"/>
        <v>3134882</v>
      </c>
      <c r="E413">
        <f t="shared" ca="1" si="30"/>
        <v>239.27400000000003</v>
      </c>
      <c r="F413">
        <f t="shared" ca="1" si="31"/>
        <v>246.459</v>
      </c>
      <c r="G413">
        <f t="shared" ca="1" si="28"/>
        <v>269.33979999999997</v>
      </c>
      <c r="H413">
        <f t="shared" ca="1" si="27"/>
        <v>260.02679999999998</v>
      </c>
      <c r="J413" s="1">
        <v>45887</v>
      </c>
      <c r="K413" vm="1231">
        <v>242.09</v>
      </c>
    </row>
    <row r="414" spans="1:11" x14ac:dyDescent="0.25">
      <c r="A414" s="1">
        <f t="shared" ca="1" si="29"/>
        <v>45894</v>
      </c>
      <c r="B414" s="1" vm="1233">
        <f ca="1"/>
        <v>45894</v>
      </c>
      <c r="C414" vm="1234">
        <f ca="1"/>
        <v>239.43</v>
      </c>
      <c r="D414" vm="1235">
        <f ca="1"/>
        <v>3513327</v>
      </c>
      <c r="E414">
        <f t="shared" ca="1" si="30"/>
        <v>239.58699999999999</v>
      </c>
      <c r="F414">
        <f t="shared" ca="1" si="31"/>
        <v>245.27000000000004</v>
      </c>
      <c r="G414">
        <f t="shared" ca="1" si="28"/>
        <v>268.50779999999997</v>
      </c>
      <c r="H414">
        <f t="shared" ca="1" si="27"/>
        <v>259.91769999999991</v>
      </c>
      <c r="J414" s="1">
        <v>45894</v>
      </c>
      <c r="K414" vm="1234">
        <v>239.43</v>
      </c>
    </row>
    <row r="415" spans="1:11" x14ac:dyDescent="0.25">
      <c r="A415" s="1">
        <f t="shared" ca="1" si="29"/>
        <v>45894</v>
      </c>
      <c r="B415" s="1" vm="1236">
        <f ca="1"/>
        <v>45895</v>
      </c>
      <c r="C415" vm="1237">
        <f ca="1"/>
        <v>242.63</v>
      </c>
      <c r="D415" vm="1238">
        <f ca="1"/>
        <v>5386582</v>
      </c>
      <c r="E415">
        <f t="shared" ca="1" si="30"/>
        <v>240.37299999999999</v>
      </c>
      <c r="F415">
        <f t="shared" ca="1" si="31"/>
        <v>244.28100000000003</v>
      </c>
      <c r="G415">
        <f t="shared" ca="1" si="28"/>
        <v>267.81599999999997</v>
      </c>
      <c r="H415">
        <f t="shared" ca="1" si="27"/>
        <v>259.84419999999989</v>
      </c>
      <c r="J415" s="1">
        <v>45894</v>
      </c>
      <c r="K415" vm="1237">
        <v>242.63</v>
      </c>
    </row>
    <row r="416" spans="1:11" x14ac:dyDescent="0.25">
      <c r="A416" s="1">
        <f t="shared" ca="1" si="29"/>
        <v>45894</v>
      </c>
      <c r="B416" s="1" vm="1239">
        <f ca="1"/>
        <v>45896</v>
      </c>
      <c r="C416" vm="1240">
        <f ca="1"/>
        <v>244.84</v>
      </c>
      <c r="D416" vm="1241">
        <f ca="1"/>
        <v>3698372</v>
      </c>
      <c r="E416">
        <f t="shared" ca="1" si="30"/>
        <v>240.85</v>
      </c>
      <c r="F416">
        <f t="shared" ca="1" si="31"/>
        <v>243.51000000000005</v>
      </c>
      <c r="G416">
        <f t="shared" ca="1" si="28"/>
        <v>267.07620000000003</v>
      </c>
      <c r="H416">
        <f t="shared" ca="1" si="27"/>
        <v>259.85769999999991</v>
      </c>
      <c r="J416" s="1">
        <v>45894</v>
      </c>
      <c r="K416" vm="1240">
        <v>244.84</v>
      </c>
    </row>
    <row r="417" spans="1:11" x14ac:dyDescent="0.25">
      <c r="A417" s="1">
        <f t="shared" ca="1" si="29"/>
        <v>45894</v>
      </c>
      <c r="B417" s="1" vm="1242">
        <f ca="1"/>
        <v>45897</v>
      </c>
      <c r="C417" vm="1243">
        <f ca="1"/>
        <v>245.73</v>
      </c>
      <c r="D417" vm="1244">
        <f ca="1"/>
        <v>2820817</v>
      </c>
      <c r="E417">
        <f t="shared" ca="1" si="30"/>
        <v>241.71200000000005</v>
      </c>
      <c r="F417">
        <f t="shared" ca="1" si="31"/>
        <v>243.13899999999998</v>
      </c>
      <c r="G417">
        <f t="shared" ca="1" si="28"/>
        <v>266.32979999999998</v>
      </c>
      <c r="H417">
        <f t="shared" ca="1" si="27"/>
        <v>260.04019999999991</v>
      </c>
      <c r="J417" s="1">
        <v>45894</v>
      </c>
      <c r="K417" vm="1243">
        <v>245.73</v>
      </c>
    </row>
    <row r="418" spans="1:11" x14ac:dyDescent="0.25">
      <c r="A418" s="1">
        <f t="shared" ca="1" si="29"/>
        <v>45894</v>
      </c>
      <c r="B418" s="1" vm="1245">
        <f ca="1"/>
        <v>45898</v>
      </c>
      <c r="C418" vm="941">
        <f ca="1"/>
        <v>243.49</v>
      </c>
      <c r="D418" vm="1246">
        <f ca="1"/>
        <v>2967558</v>
      </c>
      <c r="E418">
        <f t="shared" ca="1" si="30"/>
        <v>242.08899999999994</v>
      </c>
      <c r="F418">
        <f t="shared" ca="1" si="31"/>
        <v>242.81099999999998</v>
      </c>
      <c r="G418">
        <f t="shared" ca="1" si="28"/>
        <v>265.53539999999998</v>
      </c>
      <c r="H418">
        <f t="shared" ca="1" si="27"/>
        <v>260.21729999999997</v>
      </c>
      <c r="J418" s="1">
        <v>45894</v>
      </c>
      <c r="K418" vm="941">
        <v>243.49</v>
      </c>
    </row>
    <row r="419" spans="1:11" x14ac:dyDescent="0.25">
      <c r="A419" s="1">
        <f t="shared" ca="1" si="29"/>
        <v>45901</v>
      </c>
      <c r="B419" s="1" vm="1247">
        <f ca="1"/>
        <v>45902</v>
      </c>
      <c r="C419" vm="1248">
        <f ca="1"/>
        <v>241.5</v>
      </c>
      <c r="D419" vm="1249">
        <f ca="1"/>
        <v>3469501</v>
      </c>
      <c r="E419">
        <f t="shared" ca="1" si="30"/>
        <v>242.29400000000001</v>
      </c>
      <c r="F419">
        <f t="shared" ca="1" si="31"/>
        <v>242.28699999999998</v>
      </c>
      <c r="G419">
        <f t="shared" ca="1" si="28"/>
        <v>264.74600000000004</v>
      </c>
      <c r="H419">
        <f t="shared" ca="1" si="27"/>
        <v>260.42199999999991</v>
      </c>
      <c r="J419" s="1">
        <v>45901</v>
      </c>
      <c r="K419" vm="1248">
        <v>241.5</v>
      </c>
    </row>
    <row r="420" spans="1:11" x14ac:dyDescent="0.25">
      <c r="A420" s="1">
        <f t="shared" ca="1" si="29"/>
        <v>45901</v>
      </c>
      <c r="B420" s="1" vm="1250">
        <f ca="1"/>
        <v>45903</v>
      </c>
      <c r="C420" vm="1251">
        <f ca="1"/>
        <v>244.1</v>
      </c>
      <c r="D420" vm="1252">
        <f ca="1"/>
        <v>3163225</v>
      </c>
      <c r="E420">
        <f t="shared" ca="1" si="30"/>
        <v>242.57599999999996</v>
      </c>
      <c r="F420">
        <f t="shared" ca="1" si="31"/>
        <v>241.95850000000004</v>
      </c>
      <c r="G420">
        <f t="shared" ca="1" si="28"/>
        <v>263.84440000000001</v>
      </c>
      <c r="H420">
        <f t="shared" ca="1" si="27"/>
        <v>260.5098999999999</v>
      </c>
      <c r="J420" s="1">
        <v>45901</v>
      </c>
      <c r="K420" vm="1251">
        <v>244.1</v>
      </c>
    </row>
    <row r="421" spans="1:11" x14ac:dyDescent="0.25">
      <c r="A421" s="1">
        <f t="shared" ca="1" si="29"/>
        <v>45901</v>
      </c>
      <c r="B421" s="1" vm="1253">
        <f ca="1"/>
        <v>45904</v>
      </c>
      <c r="C421" vm="1254">
        <f ca="1"/>
        <v>247.18</v>
      </c>
      <c r="D421" vm="1255">
        <f ca="1"/>
        <v>4765087</v>
      </c>
      <c r="E421">
        <f t="shared" ca="1" si="30"/>
        <v>243.03899999999999</v>
      </c>
      <c r="F421">
        <f t="shared" ca="1" si="31"/>
        <v>241.70350000000008</v>
      </c>
      <c r="G421">
        <f t="shared" ca="1" si="28"/>
        <v>262.91219999999998</v>
      </c>
      <c r="H421">
        <f t="shared" ca="1" si="27"/>
        <v>260.68619999999993</v>
      </c>
      <c r="J421" s="1">
        <v>45901</v>
      </c>
      <c r="K421" vm="1254">
        <v>247.18</v>
      </c>
    </row>
    <row r="422" spans="1:11" x14ac:dyDescent="0.25">
      <c r="A422" s="1">
        <f t="shared" ca="1" si="29"/>
        <v>45901</v>
      </c>
      <c r="B422" s="1" vm="1256">
        <f ca="1"/>
        <v>45905</v>
      </c>
      <c r="C422" vm="1257">
        <f ca="1"/>
        <v>248.53</v>
      </c>
      <c r="D422" vm="1258">
        <f ca="1"/>
        <v>3147478</v>
      </c>
      <c r="E422">
        <f t="shared" ca="1" si="30"/>
        <v>243.952</v>
      </c>
      <c r="F422">
        <f t="shared" ca="1" si="31"/>
        <v>241.62200000000001</v>
      </c>
      <c r="G422">
        <f t="shared" ca="1" si="28"/>
        <v>262.0616</v>
      </c>
      <c r="H422">
        <f t="shared" ref="H422:H485" ca="1" si="32">AVERAGE(C323:C422)</f>
        <v>260.81669999999991</v>
      </c>
      <c r="J422" s="1">
        <v>45901</v>
      </c>
      <c r="K422" vm="1257">
        <v>248.53</v>
      </c>
    </row>
    <row r="423" spans="1:11" x14ac:dyDescent="0.25">
      <c r="A423" s="1">
        <f t="shared" ca="1" si="29"/>
        <v>45908</v>
      </c>
      <c r="B423" s="1" vm="1259">
        <f ca="1"/>
        <v>45908</v>
      </c>
      <c r="C423" vm="1260">
        <f ca="1"/>
        <v>256.08999999999997</v>
      </c>
      <c r="D423" vm="1261">
        <f ca="1"/>
        <v>6940270</v>
      </c>
      <c r="E423">
        <f t="shared" ca="1" si="30"/>
        <v>245.352</v>
      </c>
      <c r="F423">
        <f t="shared" ca="1" si="31"/>
        <v>242.31300000000002</v>
      </c>
      <c r="G423">
        <f t="shared" ca="1" si="28"/>
        <v>261.34480000000002</v>
      </c>
      <c r="H423">
        <f t="shared" ca="1" si="32"/>
        <v>260.98699999999991</v>
      </c>
      <c r="J423" s="1">
        <v>45908</v>
      </c>
      <c r="K423" vm="1260">
        <v>256.08999999999997</v>
      </c>
    </row>
    <row r="424" spans="1:11" x14ac:dyDescent="0.25">
      <c r="A424" s="1">
        <f t="shared" ca="1" si="29"/>
        <v>45908</v>
      </c>
      <c r="B424" s="1" vm="1262">
        <f ca="1"/>
        <v>45909</v>
      </c>
      <c r="C424" vm="1263">
        <f ca="1"/>
        <v>259.11</v>
      </c>
      <c r="D424" vm="1264">
        <f ca="1"/>
        <v>4931105</v>
      </c>
      <c r="E424">
        <f t="shared" ca="1" si="30"/>
        <v>247.32000000000002</v>
      </c>
      <c r="F424">
        <f t="shared" ca="1" si="31"/>
        <v>243.45349999999999</v>
      </c>
      <c r="G424">
        <f t="shared" ca="1" si="28"/>
        <v>260.733</v>
      </c>
      <c r="H424">
        <f t="shared" ca="1" si="32"/>
        <v>261.17109999999991</v>
      </c>
      <c r="J424" s="1">
        <v>45908</v>
      </c>
      <c r="K424" vm="1263">
        <v>259.11</v>
      </c>
    </row>
    <row r="425" spans="1:11" x14ac:dyDescent="0.25">
      <c r="A425" s="1">
        <f t="shared" ca="1" si="29"/>
        <v>45908</v>
      </c>
      <c r="B425" s="1" vm="1265">
        <f ca="1"/>
        <v>45910</v>
      </c>
      <c r="C425" vm="1266">
        <f ca="1"/>
        <v>256.88</v>
      </c>
      <c r="D425" vm="1267">
        <f ca="1"/>
        <v>5185420</v>
      </c>
      <c r="E425">
        <f t="shared" ca="1" si="30"/>
        <v>248.74499999999998</v>
      </c>
      <c r="F425">
        <f t="shared" ca="1" si="31"/>
        <v>244.55899999999997</v>
      </c>
      <c r="G425">
        <f t="shared" ca="1" si="28"/>
        <v>259.97500000000002</v>
      </c>
      <c r="H425">
        <f t="shared" ca="1" si="32"/>
        <v>261.35419999999993</v>
      </c>
      <c r="J425" s="1">
        <v>45908</v>
      </c>
      <c r="K425" vm="1266">
        <v>256.88</v>
      </c>
    </row>
    <row r="426" spans="1:11" x14ac:dyDescent="0.25">
      <c r="A426" s="1">
        <f t="shared" ca="1" si="29"/>
        <v>45908</v>
      </c>
      <c r="B426" s="1" vm="1268">
        <f ca="1"/>
        <v>45911</v>
      </c>
      <c r="C426" vm="1269">
        <f ca="1"/>
        <v>257.01</v>
      </c>
      <c r="D426" vm="1270">
        <f ca="1"/>
        <v>3576048</v>
      </c>
      <c r="E426">
        <f t="shared" ca="1" si="30"/>
        <v>249.96199999999999</v>
      </c>
      <c r="F426">
        <f t="shared" ca="1" si="31"/>
        <v>245.40600000000001</v>
      </c>
      <c r="G426">
        <f t="shared" ca="1" si="28"/>
        <v>259.2912</v>
      </c>
      <c r="H426">
        <f t="shared" ca="1" si="32"/>
        <v>261.53619999999995</v>
      </c>
      <c r="J426" s="1">
        <v>45908</v>
      </c>
      <c r="K426" vm="1269">
        <v>257.01</v>
      </c>
    </row>
    <row r="427" spans="1:11" x14ac:dyDescent="0.25">
      <c r="A427" s="1">
        <f t="shared" ca="1" si="29"/>
        <v>45908</v>
      </c>
      <c r="B427" s="1" vm="1271">
        <f ca="1"/>
        <v>45912</v>
      </c>
      <c r="C427" vm="825">
        <f ca="1"/>
        <v>253.44</v>
      </c>
      <c r="D427" vm="1272">
        <f ca="1"/>
        <v>3433300</v>
      </c>
      <c r="E427">
        <f t="shared" ca="1" si="30"/>
        <v>250.73300000000003</v>
      </c>
      <c r="F427">
        <f t="shared" ca="1" si="31"/>
        <v>246.22250000000003</v>
      </c>
      <c r="G427">
        <f t="shared" ca="1" si="28"/>
        <v>258.60700000000003</v>
      </c>
      <c r="H427">
        <f t="shared" ca="1" si="32"/>
        <v>261.70839999999987</v>
      </c>
      <c r="J427" s="1">
        <v>45908</v>
      </c>
      <c r="K427" vm="825">
        <v>253.44</v>
      </c>
    </row>
    <row r="428" spans="1:11" x14ac:dyDescent="0.25">
      <c r="A428" s="1">
        <f t="shared" ca="1" si="29"/>
        <v>45915</v>
      </c>
      <c r="B428" s="1" vm="1273">
        <f ca="1"/>
        <v>45915</v>
      </c>
      <c r="C428" vm="1274">
        <f ca="1"/>
        <v>256.24</v>
      </c>
      <c r="D428" vm="1275">
        <f ca="1"/>
        <v>4028365</v>
      </c>
      <c r="E428">
        <f t="shared" ca="1" si="30"/>
        <v>252.00799999999998</v>
      </c>
      <c r="F428">
        <f t="shared" ca="1" si="31"/>
        <v>247.04849999999996</v>
      </c>
      <c r="G428">
        <f t="shared" ca="1" si="28"/>
        <v>257.89240000000001</v>
      </c>
      <c r="H428">
        <f t="shared" ca="1" si="32"/>
        <v>261.8617999999999</v>
      </c>
      <c r="J428" s="1">
        <v>45915</v>
      </c>
      <c r="K428" vm="1274">
        <v>256.24</v>
      </c>
    </row>
    <row r="429" spans="1:11" x14ac:dyDescent="0.25">
      <c r="A429" s="1">
        <f t="shared" ca="1" si="29"/>
        <v>45915</v>
      </c>
      <c r="B429" s="1" vm="1276">
        <f ca="1"/>
        <v>45916</v>
      </c>
      <c r="C429" vm="1277">
        <f ca="1"/>
        <v>257.52</v>
      </c>
      <c r="D429" vm="1278">
        <f ca="1"/>
        <v>2719918</v>
      </c>
      <c r="E429">
        <f t="shared" ca="1" si="30"/>
        <v>253.60999999999999</v>
      </c>
      <c r="F429">
        <f t="shared" ca="1" si="31"/>
        <v>247.95199999999994</v>
      </c>
      <c r="G429">
        <f t="shared" ca="1" si="28"/>
        <v>257.1934</v>
      </c>
      <c r="H429">
        <f t="shared" ca="1" si="32"/>
        <v>261.98219999999992</v>
      </c>
      <c r="J429" s="1">
        <v>45915</v>
      </c>
      <c r="K429" vm="1277">
        <v>257.52</v>
      </c>
    </row>
    <row r="430" spans="1:11" x14ac:dyDescent="0.25">
      <c r="A430" s="1">
        <f t="shared" ca="1" si="29"/>
        <v>45915</v>
      </c>
      <c r="B430" s="1" vm="1279">
        <f ca="1"/>
        <v>45917</v>
      </c>
      <c r="C430" vm="1280">
        <f ca="1"/>
        <v>259.08</v>
      </c>
      <c r="D430" vm="1281">
        <f ca="1"/>
        <v>3974785</v>
      </c>
      <c r="E430">
        <f t="shared" ca="1" si="30"/>
        <v>255.108</v>
      </c>
      <c r="F430">
        <f t="shared" ca="1" si="31"/>
        <v>248.84200000000001</v>
      </c>
      <c r="G430">
        <f t="shared" ca="1" si="28"/>
        <v>256.56660000000005</v>
      </c>
      <c r="H430">
        <f t="shared" ca="1" si="32"/>
        <v>262.27969999999999</v>
      </c>
      <c r="J430" s="1">
        <v>45915</v>
      </c>
      <c r="K430" vm="1280">
        <v>259.08</v>
      </c>
    </row>
    <row r="431" spans="1:11" x14ac:dyDescent="0.25">
      <c r="A431" s="1">
        <f t="shared" ca="1" si="29"/>
        <v>45915</v>
      </c>
      <c r="B431" s="1" vm="1282">
        <f ca="1"/>
        <v>45918</v>
      </c>
      <c r="C431" vm="1283">
        <f ca="1"/>
        <v>265</v>
      </c>
      <c r="D431" vm="1284">
        <f ca="1"/>
        <v>4988421</v>
      </c>
      <c r="E431">
        <f t="shared" ca="1" si="30"/>
        <v>256.89</v>
      </c>
      <c r="F431">
        <f t="shared" ca="1" si="31"/>
        <v>249.96450000000004</v>
      </c>
      <c r="G431">
        <f t="shared" ca="1" si="28"/>
        <v>256.06380000000001</v>
      </c>
      <c r="H431">
        <f t="shared" ca="1" si="32"/>
        <v>262.60559999999998</v>
      </c>
      <c r="J431" s="1">
        <v>45915</v>
      </c>
      <c r="K431" vm="1283">
        <v>265</v>
      </c>
    </row>
    <row r="432" spans="1:11" x14ac:dyDescent="0.25">
      <c r="A432" s="1">
        <f t="shared" ca="1" si="29"/>
        <v>45915</v>
      </c>
      <c r="B432" s="1" vm="1285">
        <f ca="1"/>
        <v>45919</v>
      </c>
      <c r="C432" vm="1286">
        <f ca="1"/>
        <v>266.39999999999998</v>
      </c>
      <c r="D432" vm="1287">
        <f ca="1"/>
        <v>9858112</v>
      </c>
      <c r="E432">
        <f t="shared" ca="1" si="30"/>
        <v>258.67700000000002</v>
      </c>
      <c r="F432">
        <f t="shared" ca="1" si="31"/>
        <v>251.31450000000004</v>
      </c>
      <c r="G432">
        <f t="shared" ca="1" si="28"/>
        <v>255.64320000000001</v>
      </c>
      <c r="H432">
        <f t="shared" ca="1" si="32"/>
        <v>262.90800000000002</v>
      </c>
      <c r="J432" s="1">
        <v>45915</v>
      </c>
      <c r="K432" vm="1286">
        <v>266.39999999999998</v>
      </c>
    </row>
    <row r="433" spans="1:11" x14ac:dyDescent="0.25">
      <c r="A433" s="1">
        <f t="shared" ca="1" si="29"/>
        <v>45922</v>
      </c>
      <c r="B433" s="1" vm="1288">
        <f ca="1"/>
        <v>45922</v>
      </c>
      <c r="C433" vm="1289">
        <f ca="1"/>
        <v>271.37</v>
      </c>
      <c r="D433" vm="1290">
        <f ca="1"/>
        <v>5030540</v>
      </c>
      <c r="E433">
        <f t="shared" ca="1" si="30"/>
        <v>260.20499999999998</v>
      </c>
      <c r="F433">
        <f t="shared" ca="1" si="31"/>
        <v>252.77850000000004</v>
      </c>
      <c r="G433">
        <f t="shared" ca="1" si="28"/>
        <v>255.39880000000005</v>
      </c>
      <c r="H433">
        <f t="shared" ca="1" si="32"/>
        <v>263.2278</v>
      </c>
      <c r="J433" s="1">
        <v>45922</v>
      </c>
      <c r="K433" vm="1289">
        <v>271.37</v>
      </c>
    </row>
    <row r="434" spans="1:11" x14ac:dyDescent="0.25">
      <c r="A434" s="1">
        <f t="shared" ca="1" si="29"/>
        <v>45922</v>
      </c>
      <c r="B434" s="1" vm="1291">
        <f ca="1"/>
        <v>45923</v>
      </c>
      <c r="C434" vm="1292">
        <f ca="1"/>
        <v>272.24</v>
      </c>
      <c r="D434" vm="1293">
        <f ca="1"/>
        <v>5394121</v>
      </c>
      <c r="E434">
        <f t="shared" ca="1" si="30"/>
        <v>261.51799999999992</v>
      </c>
      <c r="F434">
        <f t="shared" ca="1" si="31"/>
        <v>254.41900000000001</v>
      </c>
      <c r="G434">
        <f t="shared" ca="1" si="28"/>
        <v>255.16780000000006</v>
      </c>
      <c r="H434">
        <f t="shared" ca="1" si="32"/>
        <v>263.53199999999998</v>
      </c>
      <c r="J434" s="1">
        <v>45922</v>
      </c>
      <c r="K434" vm="1292">
        <v>272.24</v>
      </c>
    </row>
    <row r="435" spans="1:11" x14ac:dyDescent="0.25">
      <c r="A435" s="1">
        <f t="shared" ca="1" si="29"/>
        <v>45922</v>
      </c>
      <c r="B435" s="1" vm="1294">
        <f ca="1"/>
        <v>45924</v>
      </c>
      <c r="C435" vm="1295">
        <f ca="1"/>
        <v>267.52999999999997</v>
      </c>
      <c r="D435" vm="1296">
        <f ca="1"/>
        <v>3159924</v>
      </c>
      <c r="E435">
        <f t="shared" ca="1" si="30"/>
        <v>262.58299999999997</v>
      </c>
      <c r="F435">
        <f t="shared" ca="1" si="31"/>
        <v>255.66399999999999</v>
      </c>
      <c r="G435">
        <f t="shared" ca="1" si="28"/>
        <v>254.86440000000005</v>
      </c>
      <c r="H435">
        <f t="shared" ca="1" si="32"/>
        <v>263.8107</v>
      </c>
      <c r="J435" s="1">
        <v>45922</v>
      </c>
      <c r="K435" vm="1295">
        <v>267.52999999999997</v>
      </c>
    </row>
    <row r="436" spans="1:11" x14ac:dyDescent="0.25">
      <c r="A436" s="1">
        <f t="shared" ca="1" si="29"/>
        <v>45922</v>
      </c>
      <c r="B436" s="1" vm="1297">
        <f ca="1"/>
        <v>45925</v>
      </c>
      <c r="C436" vm="1298">
        <f ca="1"/>
        <v>281.44</v>
      </c>
      <c r="D436" vm="1299">
        <f ca="1"/>
        <v>11506192</v>
      </c>
      <c r="E436">
        <f t="shared" ca="1" si="30"/>
        <v>265.02599999999995</v>
      </c>
      <c r="F436">
        <f t="shared" ca="1" si="31"/>
        <v>257.49399999999997</v>
      </c>
      <c r="G436">
        <f t="shared" ref="G436:G499" ca="1" si="33">AVERAGE(C387:C436)</f>
        <v>254.8548000000001</v>
      </c>
      <c r="H436">
        <f t="shared" ca="1" si="32"/>
        <v>264.1696</v>
      </c>
      <c r="J436" s="1">
        <v>45922</v>
      </c>
      <c r="K436" vm="1298">
        <v>281.44</v>
      </c>
    </row>
    <row r="437" spans="1:11" x14ac:dyDescent="0.25">
      <c r="A437" s="1">
        <f t="shared" ca="1" si="29"/>
        <v>45922</v>
      </c>
      <c r="B437" s="1" vm="1300">
        <f ca="1"/>
        <v>45926</v>
      </c>
      <c r="C437" vm="1301">
        <f ca="1"/>
        <v>284.31</v>
      </c>
      <c r="D437" vm="1302">
        <f ca="1"/>
        <v>9063938</v>
      </c>
      <c r="E437">
        <f t="shared" ca="1" si="30"/>
        <v>268.11299999999994</v>
      </c>
      <c r="F437">
        <f t="shared" ca="1" si="31"/>
        <v>259.423</v>
      </c>
      <c r="G437">
        <f t="shared" ca="1" si="33"/>
        <v>254.90100000000007</v>
      </c>
      <c r="H437">
        <f t="shared" ca="1" si="32"/>
        <v>264.52089999999998</v>
      </c>
      <c r="J437" s="1">
        <v>45922</v>
      </c>
      <c r="K437" vm="1301">
        <v>284.31</v>
      </c>
    </row>
    <row r="438" spans="1:11" x14ac:dyDescent="0.25">
      <c r="A438" s="1">
        <f t="shared" ca="1" si="29"/>
        <v>45929</v>
      </c>
      <c r="B438" s="1" vm="1303">
        <f ca="1"/>
        <v>45929</v>
      </c>
      <c r="C438" vm="1304">
        <f ca="1"/>
        <v>279.8</v>
      </c>
      <c r="D438" vm="1305">
        <f ca="1"/>
        <v>6022125</v>
      </c>
      <c r="E438">
        <f t="shared" ca="1" si="30"/>
        <v>270.46899999999999</v>
      </c>
      <c r="F438">
        <f t="shared" ca="1" si="31"/>
        <v>261.23849999999999</v>
      </c>
      <c r="G438">
        <f t="shared" ca="1" si="33"/>
        <v>254.77960000000002</v>
      </c>
      <c r="H438">
        <f t="shared" ca="1" si="32"/>
        <v>264.82769999999999</v>
      </c>
      <c r="J438" s="1">
        <v>45929</v>
      </c>
      <c r="K438" vm="1304">
        <v>279.8</v>
      </c>
    </row>
    <row r="439" spans="1:11" x14ac:dyDescent="0.25">
      <c r="A439" s="1">
        <f t="shared" ca="1" si="29"/>
        <v>45929</v>
      </c>
      <c r="B439" s="1" vm="1306">
        <f ca="1"/>
        <v>45930</v>
      </c>
      <c r="C439" vm="1307">
        <f ca="1"/>
        <v>282.16000000000003</v>
      </c>
      <c r="D439" vm="1308">
        <f ca="1"/>
        <v>5926924</v>
      </c>
      <c r="E439">
        <f t="shared" ca="1" si="30"/>
        <v>272.93299999999999</v>
      </c>
      <c r="F439">
        <f t="shared" ca="1" si="31"/>
        <v>263.27149999999995</v>
      </c>
      <c r="G439">
        <f t="shared" ca="1" si="33"/>
        <v>254.72860000000003</v>
      </c>
      <c r="H439">
        <f t="shared" ca="1" si="32"/>
        <v>265.11560000000003</v>
      </c>
      <c r="J439" s="1">
        <v>45929</v>
      </c>
      <c r="K439" vm="1307">
        <v>282.16000000000003</v>
      </c>
    </row>
    <row r="440" spans="1:11" x14ac:dyDescent="0.25">
      <c r="A440" s="1">
        <f t="shared" ca="1" si="29"/>
        <v>45929</v>
      </c>
      <c r="B440" s="1" vm="1309">
        <f ca="1"/>
        <v>45931</v>
      </c>
      <c r="C440" vm="1310">
        <f ca="1"/>
        <v>286.49</v>
      </c>
      <c r="D440" vm="1311">
        <f ca="1"/>
        <v>4381338</v>
      </c>
      <c r="E440">
        <f t="shared" ca="1" si="30"/>
        <v>275.67399999999998</v>
      </c>
      <c r="F440">
        <f t="shared" ca="1" si="31"/>
        <v>265.39099999999996</v>
      </c>
      <c r="G440">
        <f t="shared" ca="1" si="33"/>
        <v>254.81920000000002</v>
      </c>
      <c r="H440">
        <f t="shared" ca="1" si="32"/>
        <v>265.43910000000005</v>
      </c>
      <c r="J440" s="1">
        <v>45929</v>
      </c>
      <c r="K440" vm="1310">
        <v>286.49</v>
      </c>
    </row>
    <row r="441" spans="1:11" x14ac:dyDescent="0.25">
      <c r="A441" s="1">
        <f t="shared" ca="1" si="29"/>
        <v>45929</v>
      </c>
      <c r="B441" s="1" vm="1312">
        <f ca="1"/>
        <v>45932</v>
      </c>
      <c r="C441" vm="1313">
        <f ca="1"/>
        <v>286.72000000000003</v>
      </c>
      <c r="D441" vm="1314">
        <f ca="1"/>
        <v>3814232</v>
      </c>
      <c r="E441">
        <f t="shared" ca="1" si="30"/>
        <v>277.846</v>
      </c>
      <c r="F441">
        <f t="shared" ca="1" si="31"/>
        <v>267.36799999999999</v>
      </c>
      <c r="G441">
        <f t="shared" ca="1" si="33"/>
        <v>254.9134</v>
      </c>
      <c r="H441">
        <f t="shared" ca="1" si="32"/>
        <v>265.81430000000006</v>
      </c>
      <c r="J441" s="1">
        <v>45929</v>
      </c>
      <c r="K441" vm="1313">
        <v>286.72000000000003</v>
      </c>
    </row>
    <row r="442" spans="1:11" x14ac:dyDescent="0.25">
      <c r="A442" s="1">
        <f t="shared" ca="1" si="29"/>
        <v>45929</v>
      </c>
      <c r="B442" s="1" vm="1315">
        <f ca="1"/>
        <v>45933</v>
      </c>
      <c r="C442" vm="1316">
        <f ca="1"/>
        <v>288.37</v>
      </c>
      <c r="D442" vm="1317">
        <f ca="1"/>
        <v>4375082</v>
      </c>
      <c r="E442">
        <f t="shared" ca="1" si="30"/>
        <v>280.04300000000001</v>
      </c>
      <c r="F442">
        <f t="shared" ca="1" si="31"/>
        <v>269.36</v>
      </c>
      <c r="G442">
        <f t="shared" ca="1" si="33"/>
        <v>255.47060000000002</v>
      </c>
      <c r="H442">
        <f t="shared" ca="1" si="32"/>
        <v>266.16110000000009</v>
      </c>
      <c r="J442" s="1">
        <v>45929</v>
      </c>
      <c r="K442" vm="1316">
        <v>288.37</v>
      </c>
    </row>
    <row r="443" spans="1:11" x14ac:dyDescent="0.25">
      <c r="A443" s="1">
        <f t="shared" ca="1" si="29"/>
        <v>45936</v>
      </c>
      <c r="B443" s="1" vm="1318">
        <f ca="1"/>
        <v>45936</v>
      </c>
      <c r="C443" vm="1319">
        <f ca="1"/>
        <v>289.42</v>
      </c>
      <c r="D443" vm="1320">
        <f ca="1"/>
        <v>2881947</v>
      </c>
      <c r="E443">
        <f t="shared" ca="1" si="30"/>
        <v>281.84800000000001</v>
      </c>
      <c r="F443">
        <f t="shared" ca="1" si="31"/>
        <v>271.0265</v>
      </c>
      <c r="G443">
        <f t="shared" ca="1" si="33"/>
        <v>256.06460000000004</v>
      </c>
      <c r="H443">
        <f t="shared" ca="1" si="32"/>
        <v>266.46940000000006</v>
      </c>
      <c r="J443" s="1">
        <v>45936</v>
      </c>
      <c r="K443" vm="1319">
        <v>289.42</v>
      </c>
    </row>
    <row r="444" spans="1:11" x14ac:dyDescent="0.25">
      <c r="A444" s="1">
        <f t="shared" ca="1" si="29"/>
        <v>45936</v>
      </c>
      <c r="B444" s="1" vm="1321">
        <f ca="1"/>
        <v>45937</v>
      </c>
      <c r="C444" vm="1322">
        <f ca="1"/>
        <v>293.87</v>
      </c>
      <c r="D444" vm="1323">
        <f ca="1"/>
        <v>7190126</v>
      </c>
      <c r="E444">
        <f t="shared" ca="1" si="30"/>
        <v>284.01100000000002</v>
      </c>
      <c r="F444">
        <f t="shared" ca="1" si="31"/>
        <v>272.76449999999994</v>
      </c>
      <c r="G444">
        <f t="shared" ca="1" si="33"/>
        <v>256.67780000000005</v>
      </c>
      <c r="H444">
        <f t="shared" ca="1" si="32"/>
        <v>266.82990000000001</v>
      </c>
      <c r="J444" s="1">
        <v>45936</v>
      </c>
      <c r="K444" vm="1322">
        <v>293.87</v>
      </c>
    </row>
    <row r="445" spans="1:11" x14ac:dyDescent="0.25">
      <c r="A445" s="1">
        <f t="shared" ca="1" si="29"/>
        <v>45936</v>
      </c>
      <c r="B445" s="1" vm="1324">
        <f ca="1"/>
        <v>45938</v>
      </c>
      <c r="C445" vm="1325">
        <f ca="1"/>
        <v>289.45999999999998</v>
      </c>
      <c r="D445" vm="1326">
        <f ca="1"/>
        <v>5297030</v>
      </c>
      <c r="E445">
        <f t="shared" ca="1" si="30"/>
        <v>286.20400000000001</v>
      </c>
      <c r="F445">
        <f t="shared" ca="1" si="31"/>
        <v>274.39350000000002</v>
      </c>
      <c r="G445">
        <f t="shared" ca="1" si="33"/>
        <v>257.21879999999999</v>
      </c>
      <c r="H445">
        <f t="shared" ca="1" si="32"/>
        <v>267.05770000000007</v>
      </c>
      <c r="J445" s="1">
        <v>45936</v>
      </c>
      <c r="K445" vm="1325">
        <v>289.45999999999998</v>
      </c>
    </row>
    <row r="446" spans="1:11" x14ac:dyDescent="0.25">
      <c r="A446" s="1">
        <f t="shared" ca="1" si="29"/>
        <v>45936</v>
      </c>
      <c r="B446" s="1" vm="1327">
        <f ca="1"/>
        <v>45939</v>
      </c>
      <c r="C446" vm="1328">
        <f ca="1"/>
        <v>288.23</v>
      </c>
      <c r="D446" vm="1329">
        <f ca="1"/>
        <v>4912375</v>
      </c>
      <c r="E446">
        <f t="shared" ca="1" si="30"/>
        <v>286.88299999999998</v>
      </c>
      <c r="F446">
        <f t="shared" ca="1" si="31"/>
        <v>275.9545</v>
      </c>
      <c r="G446">
        <f t="shared" ca="1" si="33"/>
        <v>257.77819999999997</v>
      </c>
      <c r="H446">
        <f t="shared" ca="1" si="32"/>
        <v>267.2724</v>
      </c>
      <c r="J446" s="1">
        <v>45936</v>
      </c>
      <c r="K446" vm="1328">
        <v>288.23</v>
      </c>
    </row>
    <row r="447" spans="1:11" x14ac:dyDescent="0.25">
      <c r="A447" s="1">
        <f t="shared" ca="1" si="29"/>
        <v>45936</v>
      </c>
      <c r="B447" s="1" vm="1330">
        <f ca="1"/>
        <v>45940</v>
      </c>
      <c r="C447" vm="1331">
        <f ca="1"/>
        <v>277.82</v>
      </c>
      <c r="D447" vm="1332">
        <f ca="1"/>
        <v>4508506</v>
      </c>
      <c r="E447">
        <f t="shared" ca="1" si="30"/>
        <v>286.23400000000004</v>
      </c>
      <c r="F447">
        <f t="shared" ca="1" si="31"/>
        <v>277.17349999999999</v>
      </c>
      <c r="G447">
        <f t="shared" ca="1" si="33"/>
        <v>258.27159999999998</v>
      </c>
      <c r="H447">
        <f t="shared" ca="1" si="32"/>
        <v>267.36649999999997</v>
      </c>
      <c r="J447" s="1">
        <v>45936</v>
      </c>
      <c r="K447" vm="1331">
        <v>277.82</v>
      </c>
    </row>
    <row r="448" spans="1:11" x14ac:dyDescent="0.25">
      <c r="A448" s="1">
        <f t="shared" ca="1" si="29"/>
        <v>45943</v>
      </c>
      <c r="B448" s="1" vm="1333">
        <f ca="1"/>
        <v>45943</v>
      </c>
      <c r="C448" vm="1087">
        <f ca="1"/>
        <v>277.22000000000003</v>
      </c>
      <c r="D448" vm="1334">
        <f ca="1"/>
        <v>4333836</v>
      </c>
      <c r="E448">
        <f t="shared" ca="1" si="30"/>
        <v>285.976</v>
      </c>
      <c r="F448">
        <f t="shared" ca="1" si="31"/>
        <v>278.22249999999997</v>
      </c>
      <c r="G448">
        <f t="shared" ca="1" si="33"/>
        <v>258.81499999999994</v>
      </c>
      <c r="H448">
        <f t="shared" ca="1" si="32"/>
        <v>267.4692</v>
      </c>
      <c r="J448" s="1">
        <v>45943</v>
      </c>
      <c r="K448" vm="1087">
        <v>277.22000000000003</v>
      </c>
    </row>
    <row r="449" spans="1:11" x14ac:dyDescent="0.25">
      <c r="A449" s="1">
        <f t="shared" ca="1" si="29"/>
        <v>45943</v>
      </c>
      <c r="B449" s="1" vm="1335">
        <f ca="1"/>
        <v>45944</v>
      </c>
      <c r="C449" vm="1336">
        <f ca="1"/>
        <v>276.14999999999998</v>
      </c>
      <c r="D449" vm="1337">
        <f ca="1"/>
        <v>3058149</v>
      </c>
      <c r="E449">
        <f t="shared" ca="1" si="30"/>
        <v>285.37500000000006</v>
      </c>
      <c r="F449">
        <f t="shared" ca="1" si="31"/>
        <v>279.15399999999994</v>
      </c>
      <c r="G449">
        <f t="shared" ca="1" si="33"/>
        <v>259.29839999999996</v>
      </c>
      <c r="H449">
        <f t="shared" ca="1" si="32"/>
        <v>267.62200000000007</v>
      </c>
      <c r="J449" s="1">
        <v>45943</v>
      </c>
      <c r="K449" vm="1336">
        <v>276.14999999999998</v>
      </c>
    </row>
    <row r="450" spans="1:11" x14ac:dyDescent="0.25">
      <c r="A450" s="1">
        <f t="shared" ca="1" si="29"/>
        <v>45943</v>
      </c>
      <c r="B450" s="1" vm="1338">
        <f ca="1"/>
        <v>45945</v>
      </c>
      <c r="C450" vm="1339">
        <f ca="1"/>
        <v>280.75</v>
      </c>
      <c r="D450" vm="1340">
        <f ca="1"/>
        <v>3346753</v>
      </c>
      <c r="E450">
        <f t="shared" ca="1" si="30"/>
        <v>284.80100000000004</v>
      </c>
      <c r="F450">
        <f t="shared" ca="1" si="31"/>
        <v>280.23749999999995</v>
      </c>
      <c r="G450">
        <f t="shared" ca="1" si="33"/>
        <v>259.89999999999998</v>
      </c>
      <c r="H450">
        <f t="shared" ca="1" si="32"/>
        <v>267.84580000000005</v>
      </c>
      <c r="J450" s="1">
        <v>45943</v>
      </c>
      <c r="K450" vm="1339">
        <v>280.75</v>
      </c>
    </row>
    <row r="451" spans="1:11" x14ac:dyDescent="0.25">
      <c r="A451" s="1">
        <f t="shared" ref="A451:A514" ca="1" si="34">B451 - WEEKDAY(B451, 2) + 1</f>
        <v>45943</v>
      </c>
      <c r="B451" s="1" vm="1341">
        <f ca="1"/>
        <v>45946</v>
      </c>
      <c r="C451" vm="1342">
        <f ca="1"/>
        <v>275.97000000000003</v>
      </c>
      <c r="D451" vm="1343">
        <f ca="1"/>
        <v>2956923</v>
      </c>
      <c r="E451">
        <f t="shared" ca="1" si="30"/>
        <v>283.726</v>
      </c>
      <c r="F451">
        <f t="shared" ca="1" si="31"/>
        <v>280.78599999999994</v>
      </c>
      <c r="G451">
        <f t="shared" ca="1" si="33"/>
        <v>260.37379999999996</v>
      </c>
      <c r="H451">
        <f t="shared" ca="1" si="32"/>
        <v>268.01920000000007</v>
      </c>
      <c r="J451" s="1">
        <v>45943</v>
      </c>
      <c r="K451" vm="1342">
        <v>275.97000000000003</v>
      </c>
    </row>
    <row r="452" spans="1:11" x14ac:dyDescent="0.25">
      <c r="A452" s="1">
        <f t="shared" ca="1" si="34"/>
        <v>45943</v>
      </c>
      <c r="B452" s="1" vm="1344">
        <f ca="1"/>
        <v>45947</v>
      </c>
      <c r="C452" vm="1345">
        <f ca="1"/>
        <v>281.27999999999997</v>
      </c>
      <c r="D452" vm="1346">
        <f ca="1"/>
        <v>5309565</v>
      </c>
      <c r="E452">
        <f t="shared" ca="1" si="30"/>
        <v>283.017</v>
      </c>
      <c r="F452">
        <f t="shared" ca="1" si="31"/>
        <v>281.53000000000003</v>
      </c>
      <c r="G452">
        <f t="shared" ca="1" si="33"/>
        <v>260.99619999999993</v>
      </c>
      <c r="H452">
        <f t="shared" ca="1" si="32"/>
        <v>268.19970000000001</v>
      </c>
      <c r="J452" s="1">
        <v>45943</v>
      </c>
      <c r="K452" vm="1345">
        <v>281.27999999999997</v>
      </c>
    </row>
    <row r="453" spans="1:11" x14ac:dyDescent="0.25">
      <c r="A453" s="1">
        <f t="shared" ca="1" si="34"/>
        <v>45950</v>
      </c>
      <c r="B453" s="1" vm="1347">
        <f ca="1"/>
        <v>45950</v>
      </c>
      <c r="C453" vm="1348">
        <f ca="1"/>
        <v>283.64999999999998</v>
      </c>
      <c r="D453" vm="1349">
        <f ca="1"/>
        <v>3494336</v>
      </c>
      <c r="E453">
        <f t="shared" ca="1" si="30"/>
        <v>282.44</v>
      </c>
      <c r="F453">
        <f t="shared" ca="1" si="31"/>
        <v>282.14399999999995</v>
      </c>
      <c r="G453">
        <f t="shared" ca="1" si="33"/>
        <v>261.82379999999989</v>
      </c>
      <c r="H453">
        <f t="shared" ca="1" si="32"/>
        <v>268.43380000000002</v>
      </c>
      <c r="J453" s="1">
        <v>45950</v>
      </c>
      <c r="K453" vm="1348">
        <v>283.64999999999998</v>
      </c>
    </row>
    <row r="454" spans="1:11" x14ac:dyDescent="0.25">
      <c r="A454" s="1">
        <f t="shared" ca="1" si="34"/>
        <v>45950</v>
      </c>
      <c r="B454" s="1" vm="1350">
        <f ca="1"/>
        <v>45951</v>
      </c>
      <c r="C454" vm="1351">
        <f ca="1"/>
        <v>282.05</v>
      </c>
      <c r="D454" vm="1352">
        <f ca="1"/>
        <v>4080981</v>
      </c>
      <c r="E454">
        <f t="shared" ca="1" si="30"/>
        <v>281.25800000000004</v>
      </c>
      <c r="F454">
        <f t="shared" ca="1" si="31"/>
        <v>282.6345</v>
      </c>
      <c r="G454">
        <f t="shared" ca="1" si="33"/>
        <v>262.73879999999991</v>
      </c>
      <c r="H454">
        <f t="shared" ca="1" si="32"/>
        <v>268.66740000000004</v>
      </c>
      <c r="J454" s="1">
        <v>45950</v>
      </c>
      <c r="K454" vm="1351">
        <v>282.05</v>
      </c>
    </row>
    <row r="455" spans="1:11" x14ac:dyDescent="0.25">
      <c r="A455" s="1">
        <f t="shared" ca="1" si="34"/>
        <v>45950</v>
      </c>
      <c r="B455" s="1" vm="1353">
        <f ca="1"/>
        <v>45952</v>
      </c>
      <c r="C455" vm="1354">
        <f ca="1"/>
        <v>287.51</v>
      </c>
      <c r="D455" vm="1355">
        <f ca="1"/>
        <v>10538480</v>
      </c>
      <c r="E455">
        <f t="shared" ca="1" si="30"/>
        <v>281.06299999999999</v>
      </c>
      <c r="F455">
        <f t="shared" ca="1" si="31"/>
        <v>283.63350000000003</v>
      </c>
      <c r="G455">
        <f t="shared" ca="1" si="33"/>
        <v>263.79359999999991</v>
      </c>
      <c r="H455">
        <f t="shared" ca="1" si="32"/>
        <v>268.95190000000002</v>
      </c>
      <c r="J455" s="1">
        <v>45950</v>
      </c>
      <c r="K455" vm="1354">
        <v>287.51</v>
      </c>
    </row>
    <row r="456" spans="1:11" x14ac:dyDescent="0.25">
      <c r="A456" s="1">
        <f t="shared" ca="1" si="34"/>
        <v>45950</v>
      </c>
      <c r="B456" s="1" vm="1356">
        <f ca="1"/>
        <v>45953</v>
      </c>
      <c r="C456" vm="1357">
        <f ca="1"/>
        <v>285</v>
      </c>
      <c r="D456" vm="1358">
        <f ca="1"/>
        <v>16676394</v>
      </c>
      <c r="E456">
        <f t="shared" ca="1" si="30"/>
        <v>280.74000000000007</v>
      </c>
      <c r="F456">
        <f t="shared" ca="1" si="31"/>
        <v>283.81149999999997</v>
      </c>
      <c r="G456">
        <f t="shared" ca="1" si="33"/>
        <v>264.69219999999996</v>
      </c>
      <c r="H456">
        <f t="shared" ca="1" si="32"/>
        <v>269.16289999999998</v>
      </c>
      <c r="J456" s="1">
        <v>45950</v>
      </c>
      <c r="K456" vm="1357">
        <v>285</v>
      </c>
    </row>
    <row r="457" spans="1:11" x14ac:dyDescent="0.25">
      <c r="A457" s="1">
        <f t="shared" ca="1" si="34"/>
        <v>45950</v>
      </c>
      <c r="B457" s="1" vm="1359">
        <f ca="1"/>
        <v>45954</v>
      </c>
      <c r="C457" vm="1360">
        <f ca="1"/>
        <v>307.45999999999998</v>
      </c>
      <c r="D457" vm="1361">
        <f ca="1"/>
        <v>16914243</v>
      </c>
      <c r="E457">
        <f t="shared" ca="1" si="30"/>
        <v>283.70400000000001</v>
      </c>
      <c r="F457">
        <f t="shared" ca="1" si="31"/>
        <v>284.96899999999999</v>
      </c>
      <c r="G457">
        <f t="shared" ca="1" si="33"/>
        <v>266.09919999999994</v>
      </c>
      <c r="H457">
        <f t="shared" ca="1" si="32"/>
        <v>269.58549999999997</v>
      </c>
      <c r="J457" s="1">
        <v>45950</v>
      </c>
      <c r="K457" vm="1360">
        <v>307.45999999999998</v>
      </c>
    </row>
    <row r="458" spans="1:11" x14ac:dyDescent="0.25">
      <c r="A458" s="1">
        <f t="shared" ca="1" si="34"/>
        <v>45957</v>
      </c>
      <c r="B458" s="1" vm="1362">
        <f ca="1"/>
        <v>45957</v>
      </c>
      <c r="C458" vm="1363">
        <f ca="1"/>
        <v>313.08999999999997</v>
      </c>
      <c r="D458" vm="1364">
        <f ca="1"/>
        <v>9868151</v>
      </c>
      <c r="E458">
        <f t="shared" ca="1" si="30"/>
        <v>287.29100000000005</v>
      </c>
      <c r="F458">
        <f t="shared" ca="1" si="31"/>
        <v>286.63350000000003</v>
      </c>
      <c r="G458">
        <f t="shared" ca="1" si="33"/>
        <v>267.56659999999994</v>
      </c>
      <c r="H458">
        <f t="shared" ca="1" si="32"/>
        <v>270.06119999999993</v>
      </c>
      <c r="J458" s="1">
        <v>45957</v>
      </c>
      <c r="K458" vm="1363">
        <v>313.08999999999997</v>
      </c>
    </row>
    <row r="459" spans="1:11" x14ac:dyDescent="0.25">
      <c r="A459" s="1">
        <f t="shared" ca="1" si="34"/>
        <v>45957</v>
      </c>
      <c r="B459" s="1" vm="1365">
        <f ca="1"/>
        <v>45958</v>
      </c>
      <c r="C459" vm="1366">
        <f ca="1"/>
        <v>312.57</v>
      </c>
      <c r="D459" vm="1367">
        <f ca="1"/>
        <v>6044770</v>
      </c>
      <c r="E459">
        <f t="shared" ca="1" si="30"/>
        <v>290.93300000000005</v>
      </c>
      <c r="F459">
        <f t="shared" ca="1" si="31"/>
        <v>288.154</v>
      </c>
      <c r="G459">
        <f t="shared" ca="1" si="33"/>
        <v>269.02899999999988</v>
      </c>
      <c r="H459">
        <f t="shared" ca="1" si="32"/>
        <v>270.51829999999995</v>
      </c>
      <c r="J459" s="1">
        <v>45957</v>
      </c>
      <c r="K459" vm="1366">
        <v>312.57</v>
      </c>
    </row>
    <row r="460" spans="1:11" x14ac:dyDescent="0.25">
      <c r="A460" s="1">
        <f t="shared" ca="1" si="34"/>
        <v>45957</v>
      </c>
      <c r="B460" s="1" vm="1368">
        <f ca="1"/>
        <v>45959</v>
      </c>
      <c r="C460" vm="1369">
        <f ca="1"/>
        <v>308.20999999999998</v>
      </c>
      <c r="D460" vm="1370">
        <f ca="1"/>
        <v>4135948</v>
      </c>
      <c r="E460">
        <f t="shared" ref="E460:E520" ca="1" si="35">AVERAGE(C451:C460)</f>
        <v>293.67900000000003</v>
      </c>
      <c r="F460">
        <f t="shared" ca="1" si="31"/>
        <v>289.24</v>
      </c>
      <c r="G460">
        <f t="shared" ca="1" si="33"/>
        <v>270.36759999999992</v>
      </c>
      <c r="H460">
        <f t="shared" ca="1" si="32"/>
        <v>270.91169999999994</v>
      </c>
      <c r="J460" s="1">
        <v>45957</v>
      </c>
      <c r="K460" vm="1369">
        <v>308.20999999999998</v>
      </c>
    </row>
    <row r="461" spans="1:11" x14ac:dyDescent="0.25">
      <c r="A461" s="1">
        <f t="shared" ca="1" si="34"/>
        <v>45957</v>
      </c>
      <c r="B461" s="1" vm="1371">
        <f ca="1"/>
        <v>45960</v>
      </c>
      <c r="C461" vm="1372">
        <f ca="1"/>
        <v>310.06</v>
      </c>
      <c r="D461" vm="1373">
        <f ca="1"/>
        <v>4694275</v>
      </c>
      <c r="E461">
        <f t="shared" ca="1" si="35"/>
        <v>297.08800000000002</v>
      </c>
      <c r="F461">
        <f t="shared" ca="1" si="31"/>
        <v>290.40700000000004</v>
      </c>
      <c r="G461">
        <f t="shared" ca="1" si="33"/>
        <v>271.7177999999999</v>
      </c>
      <c r="H461">
        <f t="shared" ca="1" si="32"/>
        <v>271.29149999999998</v>
      </c>
      <c r="J461" s="1">
        <v>45957</v>
      </c>
      <c r="K461" vm="1372">
        <v>310.06</v>
      </c>
    </row>
    <row r="462" spans="1:11" x14ac:dyDescent="0.25">
      <c r="A462" s="1">
        <f t="shared" ca="1" si="34"/>
        <v>45957</v>
      </c>
      <c r="B462" s="1" vm="1374">
        <f ca="1"/>
        <v>45961</v>
      </c>
      <c r="C462" vm="1375">
        <f ca="1"/>
        <v>307.41000000000003</v>
      </c>
      <c r="D462" vm="1376">
        <f ca="1"/>
        <v>7697499</v>
      </c>
      <c r="E462">
        <f t="shared" ca="1" si="35"/>
        <v>299.70099999999996</v>
      </c>
      <c r="F462">
        <f t="shared" ca="1" si="31"/>
        <v>291.35900000000004</v>
      </c>
      <c r="G462">
        <f t="shared" ca="1" si="33"/>
        <v>273.07799999999986</v>
      </c>
      <c r="H462">
        <f t="shared" ca="1" si="32"/>
        <v>271.60320000000002</v>
      </c>
      <c r="J462" s="1">
        <v>45957</v>
      </c>
      <c r="K462" vm="1375">
        <v>307.41000000000003</v>
      </c>
    </row>
    <row r="463" spans="1:11" x14ac:dyDescent="0.25">
      <c r="A463" s="1">
        <f t="shared" ca="1" si="34"/>
        <v>45964</v>
      </c>
      <c r="B463" s="1" vm="1377">
        <f ca="1"/>
        <v>45964</v>
      </c>
      <c r="C463" vm="1378">
        <f ca="1"/>
        <v>304.73</v>
      </c>
      <c r="D463" vm="1379">
        <f ca="1"/>
        <v>4957958</v>
      </c>
      <c r="E463">
        <f t="shared" ca="1" si="35"/>
        <v>301.80899999999997</v>
      </c>
      <c r="F463">
        <f t="shared" ca="1" si="31"/>
        <v>292.12450000000001</v>
      </c>
      <c r="G463">
        <f t="shared" ca="1" si="33"/>
        <v>274.3307999999999</v>
      </c>
      <c r="H463">
        <f t="shared" ca="1" si="32"/>
        <v>271.83529999999996</v>
      </c>
      <c r="J463" s="1">
        <v>45964</v>
      </c>
      <c r="K463" vm="1378">
        <v>304.73</v>
      </c>
    </row>
    <row r="464" spans="1:11" x14ac:dyDescent="0.25">
      <c r="A464" s="1">
        <f t="shared" ca="1" si="34"/>
        <v>45964</v>
      </c>
      <c r="B464" s="1" vm="1380">
        <f ca="1"/>
        <v>45965</v>
      </c>
      <c r="C464" vm="1381">
        <f ca="1"/>
        <v>300.85000000000002</v>
      </c>
      <c r="D464" vm="1382">
        <f ca="1"/>
        <v>5677330</v>
      </c>
      <c r="E464">
        <f t="shared" ca="1" si="35"/>
        <v>303.68899999999996</v>
      </c>
      <c r="F464">
        <f t="shared" ca="1" si="31"/>
        <v>292.47350000000006</v>
      </c>
      <c r="G464">
        <f t="shared" ca="1" si="33"/>
        <v>275.55919999999986</v>
      </c>
      <c r="H464">
        <f t="shared" ca="1" si="32"/>
        <v>272.0335</v>
      </c>
      <c r="J464" s="1">
        <v>45964</v>
      </c>
      <c r="K464" vm="1381">
        <v>300.85000000000002</v>
      </c>
    </row>
    <row r="465" spans="1:11" x14ac:dyDescent="0.25">
      <c r="A465" s="1">
        <f t="shared" ca="1" si="34"/>
        <v>45964</v>
      </c>
      <c r="B465" s="1" vm="1383">
        <f ca="1"/>
        <v>45966</v>
      </c>
      <c r="C465" vm="1384">
        <f ca="1"/>
        <v>306.77</v>
      </c>
      <c r="D465" vm="1385">
        <f ca="1"/>
        <v>4650368</v>
      </c>
      <c r="E465">
        <f t="shared" ca="1" si="35"/>
        <v>305.61499999999995</v>
      </c>
      <c r="F465">
        <f t="shared" ca="1" si="31"/>
        <v>293.33900000000006</v>
      </c>
      <c r="G465">
        <f t="shared" ca="1" si="33"/>
        <v>276.84199999999987</v>
      </c>
      <c r="H465">
        <f t="shared" ca="1" si="32"/>
        <v>272.32900000000001</v>
      </c>
      <c r="J465" s="1">
        <v>45964</v>
      </c>
      <c r="K465" vm="1384">
        <v>306.77</v>
      </c>
    </row>
    <row r="466" spans="1:11" x14ac:dyDescent="0.25">
      <c r="A466" s="1">
        <f t="shared" ca="1" si="34"/>
        <v>45964</v>
      </c>
      <c r="B466" s="1" vm="1386">
        <f ca="1"/>
        <v>45967</v>
      </c>
      <c r="C466" vm="1387">
        <f ca="1"/>
        <v>312.42</v>
      </c>
      <c r="D466" vm="1388">
        <f ca="1"/>
        <v>6818521</v>
      </c>
      <c r="E466">
        <f t="shared" ca="1" si="35"/>
        <v>308.35699999999997</v>
      </c>
      <c r="F466">
        <f t="shared" ca="1" si="31"/>
        <v>294.54850000000005</v>
      </c>
      <c r="G466">
        <f t="shared" ca="1" si="33"/>
        <v>278.19359999999989</v>
      </c>
      <c r="H466">
        <f t="shared" ca="1" si="32"/>
        <v>272.63489999999996</v>
      </c>
      <c r="J466" s="1">
        <v>45964</v>
      </c>
      <c r="K466" vm="1387">
        <v>312.42</v>
      </c>
    </row>
    <row r="467" spans="1:11" x14ac:dyDescent="0.25">
      <c r="A467" s="1">
        <f t="shared" ca="1" si="34"/>
        <v>45964</v>
      </c>
      <c r="B467" s="1" vm="1389">
        <f ca="1"/>
        <v>45968</v>
      </c>
      <c r="C467" vm="1390">
        <f ca="1"/>
        <v>306.38</v>
      </c>
      <c r="D467" vm="1391">
        <f ca="1"/>
        <v>5070773</v>
      </c>
      <c r="E467">
        <f t="shared" ca="1" si="35"/>
        <v>308.24900000000002</v>
      </c>
      <c r="F467">
        <f t="shared" ca="1" si="31"/>
        <v>295.9765000000001</v>
      </c>
      <c r="G467">
        <f t="shared" ca="1" si="33"/>
        <v>279.40659999999991</v>
      </c>
      <c r="H467">
        <f t="shared" ca="1" si="32"/>
        <v>272.86819999999994</v>
      </c>
      <c r="J467" s="1">
        <v>45964</v>
      </c>
      <c r="K467" vm="1390">
        <v>306.38</v>
      </c>
    </row>
    <row r="468" spans="1:11" x14ac:dyDescent="0.25">
      <c r="A468" s="1">
        <f t="shared" ca="1" si="34"/>
        <v>45971</v>
      </c>
      <c r="B468" s="1" vm="1392">
        <f ca="1"/>
        <v>45971</v>
      </c>
      <c r="C468" vm="1393">
        <f ca="1"/>
        <v>309.13</v>
      </c>
      <c r="D468" vm="1394">
        <f ca="1"/>
        <v>2975188</v>
      </c>
      <c r="E468">
        <f t="shared" ca="1" si="35"/>
        <v>307.85300000000001</v>
      </c>
      <c r="F468">
        <f t="shared" ca="1" si="31"/>
        <v>297.57200000000012</v>
      </c>
      <c r="G468">
        <f t="shared" ca="1" si="33"/>
        <v>280.71939999999989</v>
      </c>
      <c r="H468">
        <f t="shared" ca="1" si="32"/>
        <v>273.12740000000002</v>
      </c>
      <c r="J468" s="1">
        <v>45971</v>
      </c>
      <c r="K468" vm="1393">
        <v>309.13</v>
      </c>
    </row>
    <row r="469" spans="1:11" x14ac:dyDescent="0.25">
      <c r="A469" s="1">
        <f t="shared" ca="1" si="34"/>
        <v>45971</v>
      </c>
      <c r="B469" s="1" vm="1395">
        <f ca="1"/>
        <v>45972</v>
      </c>
      <c r="C469" vm="1396">
        <f ca="1"/>
        <v>313.72000000000003</v>
      </c>
      <c r="D469" vm="1397">
        <f ca="1"/>
        <v>4381913</v>
      </c>
      <c r="E469">
        <f t="shared" ca="1" si="35"/>
        <v>307.96800000000002</v>
      </c>
      <c r="F469">
        <f t="shared" ca="1" si="31"/>
        <v>299.45050000000003</v>
      </c>
      <c r="G469">
        <f t="shared" ca="1" si="33"/>
        <v>282.16379999999992</v>
      </c>
      <c r="H469">
        <f t="shared" ca="1" si="32"/>
        <v>273.45490000000001</v>
      </c>
      <c r="J469" s="1">
        <v>45971</v>
      </c>
      <c r="K469" vm="1396">
        <v>313.72000000000003</v>
      </c>
    </row>
    <row r="470" spans="1:11" x14ac:dyDescent="0.25">
      <c r="A470" s="1">
        <f t="shared" ca="1" si="34"/>
        <v>45971</v>
      </c>
      <c r="B470" s="1" vm="1398">
        <f ca="1"/>
        <v>45973</v>
      </c>
      <c r="C470" vm="1399">
        <f ca="1"/>
        <v>314.98</v>
      </c>
      <c r="D470" vm="1400">
        <f ca="1"/>
        <v>6042686</v>
      </c>
      <c r="E470">
        <f t="shared" ca="1" si="35"/>
        <v>308.64500000000004</v>
      </c>
      <c r="F470">
        <f t="shared" ref="F470:F520" ca="1" si="36">AVERAGE(C451:C470)</f>
        <v>301.16200000000009</v>
      </c>
      <c r="G470">
        <f t="shared" ca="1" si="33"/>
        <v>283.58139999999986</v>
      </c>
      <c r="H470">
        <f t="shared" ca="1" si="32"/>
        <v>273.71289999999999</v>
      </c>
      <c r="J470" s="1">
        <v>45971</v>
      </c>
      <c r="K470" vm="1399">
        <v>314.98</v>
      </c>
    </row>
    <row r="471" spans="1:11" x14ac:dyDescent="0.25">
      <c r="A471" s="1">
        <f t="shared" ca="1" si="34"/>
        <v>45971</v>
      </c>
      <c r="B471" s="1" vm="1401">
        <f ca="1"/>
        <v>45974</v>
      </c>
      <c r="C471" vm="1402">
        <f ca="1"/>
        <v>304.86</v>
      </c>
      <c r="D471" vm="1403">
        <f ca="1"/>
        <v>5310150</v>
      </c>
      <c r="E471">
        <f t="shared" ca="1" si="35"/>
        <v>308.12500000000011</v>
      </c>
      <c r="F471">
        <f t="shared" ca="1" si="36"/>
        <v>302.60649999999998</v>
      </c>
      <c r="G471">
        <f t="shared" ca="1" si="33"/>
        <v>284.7349999999999</v>
      </c>
      <c r="H471">
        <f t="shared" ca="1" si="32"/>
        <v>273.8236</v>
      </c>
      <c r="J471" s="1">
        <v>45971</v>
      </c>
      <c r="K471" vm="1402">
        <v>304.86</v>
      </c>
    </row>
    <row r="472" spans="1:11" x14ac:dyDescent="0.25">
      <c r="A472" s="1">
        <f t="shared" ca="1" si="34"/>
        <v>45971</v>
      </c>
      <c r="B472" s="1" vm="1404">
        <f ca="1"/>
        <v>45975</v>
      </c>
      <c r="C472" vm="1405">
        <f ca="1"/>
        <v>305.69</v>
      </c>
      <c r="D472" vm="1406">
        <f ca="1"/>
        <v>3592455</v>
      </c>
      <c r="E472">
        <f t="shared" ca="1" si="35"/>
        <v>307.95300000000003</v>
      </c>
      <c r="F472">
        <f t="shared" ca="1" si="36"/>
        <v>303.82699999999994</v>
      </c>
      <c r="G472">
        <f t="shared" ca="1" si="33"/>
        <v>285.87819999999994</v>
      </c>
      <c r="H472">
        <f t="shared" ca="1" si="32"/>
        <v>273.9699</v>
      </c>
      <c r="J472" s="1">
        <v>45971</v>
      </c>
      <c r="K472" vm="1405">
        <v>305.69</v>
      </c>
    </row>
    <row r="473" spans="1:11" x14ac:dyDescent="0.25">
      <c r="A473" s="1">
        <f t="shared" ca="1" si="34"/>
        <v>45978</v>
      </c>
      <c r="B473" s="1" vm="1407">
        <f ca="1"/>
        <v>45978</v>
      </c>
      <c r="C473" vm="1408">
        <f ca="1"/>
        <v>297.17</v>
      </c>
      <c r="D473" vm="1409">
        <f ca="1"/>
        <v>3909741</v>
      </c>
      <c r="E473">
        <f t="shared" ca="1" si="35"/>
        <v>307.197</v>
      </c>
      <c r="F473">
        <f t="shared" ca="1" si="36"/>
        <v>304.50299999999999</v>
      </c>
      <c r="G473">
        <f t="shared" ca="1" si="33"/>
        <v>286.69979999999993</v>
      </c>
      <c r="H473">
        <f t="shared" ca="1" si="32"/>
        <v>274.02229999999997</v>
      </c>
      <c r="J473" s="1">
        <v>45978</v>
      </c>
      <c r="K473" vm="1408">
        <v>297.17</v>
      </c>
    </row>
    <row r="474" spans="1:11" x14ac:dyDescent="0.25">
      <c r="A474" s="1">
        <f t="shared" ca="1" si="34"/>
        <v>45978</v>
      </c>
      <c r="B474" s="1" vm="1410">
        <f ca="1"/>
        <v>45979</v>
      </c>
      <c r="C474" vm="1411">
        <f ca="1"/>
        <v>289.95</v>
      </c>
      <c r="D474" vm="1412">
        <f ca="1"/>
        <v>4861928</v>
      </c>
      <c r="E474">
        <f t="shared" ca="1" si="35"/>
        <v>306.10700000000003</v>
      </c>
      <c r="F474">
        <f t="shared" ca="1" si="36"/>
        <v>304.89800000000002</v>
      </c>
      <c r="G474">
        <f t="shared" ca="1" si="33"/>
        <v>287.31659999999994</v>
      </c>
      <c r="H474">
        <f t="shared" ca="1" si="32"/>
        <v>274.02479999999997</v>
      </c>
      <c r="J474" s="1">
        <v>45978</v>
      </c>
      <c r="K474" vm="1411">
        <v>289.95</v>
      </c>
    </row>
    <row r="475" spans="1:11" x14ac:dyDescent="0.25">
      <c r="A475" s="1">
        <f t="shared" ca="1" si="34"/>
        <v>45978</v>
      </c>
      <c r="B475" s="1" vm="1413">
        <f ca="1"/>
        <v>45980</v>
      </c>
      <c r="C475" vm="1414">
        <f ca="1"/>
        <v>288.52999999999997</v>
      </c>
      <c r="D475" vm="1415">
        <f ca="1"/>
        <v>3595912</v>
      </c>
      <c r="E475">
        <f t="shared" ca="1" si="35"/>
        <v>304.28300000000002</v>
      </c>
      <c r="F475">
        <f t="shared" ca="1" si="36"/>
        <v>304.94899999999996</v>
      </c>
      <c r="G475">
        <f t="shared" ca="1" si="33"/>
        <v>287.94959999999998</v>
      </c>
      <c r="H475">
        <f t="shared" ca="1" si="32"/>
        <v>273.96229999999997</v>
      </c>
      <c r="J475" s="1">
        <v>45978</v>
      </c>
      <c r="K475" vm="1414">
        <v>288.52999999999997</v>
      </c>
    </row>
    <row r="476" spans="1:11" x14ac:dyDescent="0.25">
      <c r="A476" s="1">
        <f t="shared" ca="1" si="34"/>
        <v>45978</v>
      </c>
      <c r="B476" s="1" vm="1416">
        <f ca="1"/>
        <v>45981</v>
      </c>
      <c r="C476" vm="1417">
        <f ca="1"/>
        <v>290.39999999999998</v>
      </c>
      <c r="D476" vm="1418">
        <f ca="1"/>
        <v>5597028</v>
      </c>
      <c r="E476">
        <f t="shared" ca="1" si="35"/>
        <v>302.08100000000002</v>
      </c>
      <c r="F476">
        <f t="shared" ca="1" si="36"/>
        <v>305.21899999999994</v>
      </c>
      <c r="G476">
        <f t="shared" ca="1" si="33"/>
        <v>288.61739999999992</v>
      </c>
      <c r="H476">
        <f t="shared" ca="1" si="32"/>
        <v>273.95429999999999</v>
      </c>
      <c r="J476" s="1">
        <v>45978</v>
      </c>
      <c r="K476" vm="1417">
        <v>290.39999999999998</v>
      </c>
    </row>
    <row r="477" spans="1:11" x14ac:dyDescent="0.25">
      <c r="A477" s="1">
        <f t="shared" ca="1" si="34"/>
        <v>45978</v>
      </c>
      <c r="B477" s="1" vm="1419">
        <f ca="1"/>
        <v>45982</v>
      </c>
      <c r="C477" vm="1420">
        <f ca="1"/>
        <v>297.44</v>
      </c>
      <c r="D477" vm="1421">
        <f ca="1"/>
        <v>5710903</v>
      </c>
      <c r="E477">
        <f t="shared" ca="1" si="35"/>
        <v>301.18700000000001</v>
      </c>
      <c r="F477">
        <f t="shared" ca="1" si="36"/>
        <v>304.71799999999996</v>
      </c>
      <c r="G477">
        <f t="shared" ca="1" si="33"/>
        <v>289.49739999999997</v>
      </c>
      <c r="H477">
        <f t="shared" ca="1" si="32"/>
        <v>274.05219999999991</v>
      </c>
      <c r="J477" s="1">
        <v>45978</v>
      </c>
      <c r="K477" vm="1420">
        <v>297.44</v>
      </c>
    </row>
    <row r="478" spans="1:11" x14ac:dyDescent="0.25">
      <c r="A478" s="1">
        <f t="shared" ca="1" si="34"/>
        <v>45985</v>
      </c>
      <c r="B478" s="1" vm="1422">
        <f ca="1"/>
        <v>45985</v>
      </c>
      <c r="C478" vm="1423">
        <f ca="1"/>
        <v>304.12</v>
      </c>
      <c r="D478" vm="1424">
        <f ca="1"/>
        <v>6050640</v>
      </c>
      <c r="E478">
        <f t="shared" ca="1" si="35"/>
        <v>300.68600000000004</v>
      </c>
      <c r="F478">
        <f t="shared" ca="1" si="36"/>
        <v>304.26949999999994</v>
      </c>
      <c r="G478">
        <f t="shared" ca="1" si="33"/>
        <v>290.45499999999998</v>
      </c>
      <c r="H478">
        <f t="shared" ca="1" si="32"/>
        <v>274.17369999999994</v>
      </c>
      <c r="J478" s="1">
        <v>45985</v>
      </c>
      <c r="K478" vm="1423">
        <v>304.12</v>
      </c>
    </row>
    <row r="479" spans="1:11" x14ac:dyDescent="0.25">
      <c r="A479" s="1">
        <f t="shared" ca="1" si="34"/>
        <v>45985</v>
      </c>
      <c r="B479" s="1" vm="1425">
        <f ca="1"/>
        <v>45986</v>
      </c>
      <c r="C479" vm="1426">
        <f ca="1"/>
        <v>304.48</v>
      </c>
      <c r="D479" vm="1427">
        <f ca="1"/>
        <v>2825322</v>
      </c>
      <c r="E479">
        <f t="shared" ca="1" si="35"/>
        <v>299.762</v>
      </c>
      <c r="F479">
        <f t="shared" ca="1" si="36"/>
        <v>303.86499999999995</v>
      </c>
      <c r="G479">
        <f t="shared" ca="1" si="33"/>
        <v>291.39419999999996</v>
      </c>
      <c r="H479">
        <f t="shared" ca="1" si="32"/>
        <v>274.29379999999992</v>
      </c>
      <c r="J479" s="1">
        <v>45985</v>
      </c>
      <c r="K479" vm="1426">
        <v>304.48</v>
      </c>
    </row>
    <row r="480" spans="1:11" x14ac:dyDescent="0.25">
      <c r="A480" s="1">
        <f t="shared" ca="1" si="34"/>
        <v>45985</v>
      </c>
      <c r="B480" s="1" vm="1428">
        <f ca="1"/>
        <v>45987</v>
      </c>
      <c r="C480" vm="1429">
        <f ca="1"/>
        <v>303.20999999999998</v>
      </c>
      <c r="D480" vm="1430">
        <f ca="1"/>
        <v>2196446</v>
      </c>
      <c r="E480">
        <f t="shared" ca="1" si="35"/>
        <v>298.58499999999998</v>
      </c>
      <c r="F480">
        <f t="shared" ca="1" si="36"/>
        <v>303.61500000000001</v>
      </c>
      <c r="G480">
        <f t="shared" ca="1" si="33"/>
        <v>292.27679999999998</v>
      </c>
      <c r="H480">
        <f t="shared" ca="1" si="32"/>
        <v>274.42169999999993</v>
      </c>
      <c r="J480" s="1">
        <v>45985</v>
      </c>
      <c r="K480" vm="1429">
        <v>303.20999999999998</v>
      </c>
    </row>
    <row r="481" spans="1:11" x14ac:dyDescent="0.25">
      <c r="A481" s="1">
        <f t="shared" ca="1" si="34"/>
        <v>45985</v>
      </c>
      <c r="B481" s="1" vm="1431">
        <f ca="1"/>
        <v>45989</v>
      </c>
      <c r="C481" vm="1432">
        <f ca="1"/>
        <v>308.58</v>
      </c>
      <c r="D481" vm="1433">
        <f ca="1"/>
        <v>1689031</v>
      </c>
      <c r="E481">
        <f t="shared" ca="1" si="35"/>
        <v>298.95699999999999</v>
      </c>
      <c r="F481">
        <f t="shared" ca="1" si="36"/>
        <v>303.54100000000005</v>
      </c>
      <c r="G481">
        <f t="shared" ca="1" si="33"/>
        <v>293.14839999999998</v>
      </c>
      <c r="H481">
        <f t="shared" ca="1" si="32"/>
        <v>274.60609999999997</v>
      </c>
      <c r="J481" s="1">
        <v>45985</v>
      </c>
      <c r="K481" vm="1432">
        <v>308.58</v>
      </c>
    </row>
    <row r="482" spans="1:11" x14ac:dyDescent="0.25">
      <c r="A482" s="1">
        <f t="shared" ca="1" si="34"/>
        <v>45992</v>
      </c>
      <c r="B482" s="1" vm="1434">
        <f ca="1"/>
        <v>45992</v>
      </c>
      <c r="C482" vm="1435">
        <f ca="1"/>
        <v>305.67</v>
      </c>
      <c r="D482" vm="1436">
        <f ca="1"/>
        <v>3166555</v>
      </c>
      <c r="E482">
        <f t="shared" ca="1" si="35"/>
        <v>298.95500000000004</v>
      </c>
      <c r="F482">
        <f t="shared" ca="1" si="36"/>
        <v>303.45399999999995</v>
      </c>
      <c r="G482">
        <f t="shared" ca="1" si="33"/>
        <v>293.93380000000002</v>
      </c>
      <c r="H482">
        <f t="shared" ca="1" si="32"/>
        <v>274.78849999999994</v>
      </c>
      <c r="J482" s="1">
        <v>45992</v>
      </c>
      <c r="K482" vm="1435">
        <v>305.67</v>
      </c>
    </row>
    <row r="483" spans="1:11" x14ac:dyDescent="0.25">
      <c r="A483" s="1">
        <f t="shared" ca="1" si="34"/>
        <v>45992</v>
      </c>
      <c r="B483" s="1" vm="1437">
        <f ca="1"/>
        <v>45993</v>
      </c>
      <c r="C483" vm="1438">
        <f ca="1"/>
        <v>301.77999999999997</v>
      </c>
      <c r="D483" vm="1439">
        <f ca="1"/>
        <v>4261100</v>
      </c>
      <c r="E483">
        <f t="shared" ca="1" si="35"/>
        <v>299.416</v>
      </c>
      <c r="F483">
        <f t="shared" ca="1" si="36"/>
        <v>303.30649999999997</v>
      </c>
      <c r="G483">
        <f t="shared" ca="1" si="33"/>
        <v>294.54200000000003</v>
      </c>
      <c r="H483">
        <f t="shared" ca="1" si="32"/>
        <v>274.97039999999998</v>
      </c>
      <c r="J483" s="1">
        <v>45992</v>
      </c>
      <c r="K483" vm="1438">
        <v>301.77999999999997</v>
      </c>
    </row>
    <row r="484" spans="1:11" x14ac:dyDescent="0.25">
      <c r="A484" s="1">
        <f t="shared" ca="1" si="34"/>
        <v>45992</v>
      </c>
      <c r="B484" s="1" vm="1440">
        <f ca="1"/>
        <v>45994</v>
      </c>
      <c r="C484" vm="1441">
        <f ca="1"/>
        <v>302.62</v>
      </c>
      <c r="D484" vm="1442">
        <f ca="1"/>
        <v>3953390</v>
      </c>
      <c r="E484">
        <f t="shared" ca="1" si="35"/>
        <v>300.68299999999999</v>
      </c>
      <c r="F484">
        <f t="shared" ca="1" si="36"/>
        <v>303.39500000000004</v>
      </c>
      <c r="G484">
        <f t="shared" ca="1" si="33"/>
        <v>295.14960000000002</v>
      </c>
      <c r="H484">
        <f t="shared" ca="1" si="32"/>
        <v>275.15869999999995</v>
      </c>
      <c r="J484" s="1">
        <v>45992</v>
      </c>
      <c r="K484" vm="1441">
        <v>302.62</v>
      </c>
    </row>
    <row r="485" spans="1:11" x14ac:dyDescent="0.25">
      <c r="A485" s="1">
        <f t="shared" ca="1" si="34"/>
        <v>45992</v>
      </c>
      <c r="B485" s="1" vm="1443">
        <f ca="1"/>
        <v>45995</v>
      </c>
      <c r="C485" vm="1444">
        <f ca="1"/>
        <v>307.99</v>
      </c>
      <c r="D485" vm="1445">
        <f ca="1"/>
        <v>2962463</v>
      </c>
      <c r="E485">
        <f t="shared" ca="1" si="35"/>
        <v>302.62900000000002</v>
      </c>
      <c r="F485">
        <f t="shared" ca="1" si="36"/>
        <v>303.45600000000002</v>
      </c>
      <c r="G485">
        <f t="shared" ca="1" si="33"/>
        <v>295.95880000000005</v>
      </c>
      <c r="H485">
        <f t="shared" ca="1" si="32"/>
        <v>275.41159999999996</v>
      </c>
      <c r="J485" s="1">
        <v>45992</v>
      </c>
      <c r="K485" vm="1444">
        <v>307.99</v>
      </c>
    </row>
    <row r="486" spans="1:11" x14ac:dyDescent="0.25">
      <c r="A486" s="1">
        <f t="shared" ca="1" si="34"/>
        <v>45992</v>
      </c>
      <c r="B486" s="1" vm="1446">
        <f ca="1"/>
        <v>45996</v>
      </c>
      <c r="C486" vm="1447">
        <f ca="1"/>
        <v>307.94</v>
      </c>
      <c r="D486" vm="1448">
        <f ca="1"/>
        <v>2344667</v>
      </c>
      <c r="E486">
        <f t="shared" ca="1" si="35"/>
        <v>304.38299999999992</v>
      </c>
      <c r="F486">
        <f t="shared" ca="1" si="36"/>
        <v>303.23199999999991</v>
      </c>
      <c r="G486">
        <f t="shared" ca="1" si="33"/>
        <v>296.48880000000003</v>
      </c>
      <c r="H486">
        <f t="shared" ref="H486:H520" ca="1" si="37">AVERAGE(C387:C486)</f>
        <v>275.67179999999991</v>
      </c>
      <c r="J486" s="1">
        <v>45992</v>
      </c>
      <c r="K486" vm="1447">
        <v>307.94</v>
      </c>
    </row>
    <row r="487" spans="1:11" x14ac:dyDescent="0.25">
      <c r="A487" s="1">
        <f t="shared" ca="1" si="34"/>
        <v>45999</v>
      </c>
      <c r="B487" s="1" vm="1449">
        <f ca="1"/>
        <v>45999</v>
      </c>
      <c r="C487" vm="1450">
        <f ca="1"/>
        <v>309.18</v>
      </c>
      <c r="D487" vm="1451">
        <f ca="1"/>
        <v>3630157</v>
      </c>
      <c r="E487">
        <f t="shared" ca="1" si="35"/>
        <v>305.55699999999996</v>
      </c>
      <c r="F487">
        <f t="shared" ca="1" si="36"/>
        <v>303.37199999999996</v>
      </c>
      <c r="G487">
        <f t="shared" ca="1" si="33"/>
        <v>296.98620000000005</v>
      </c>
      <c r="H487">
        <f t="shared" ca="1" si="37"/>
        <v>275.94359999999995</v>
      </c>
      <c r="J487" s="1">
        <v>45999</v>
      </c>
      <c r="K487" vm="1450">
        <v>309.18</v>
      </c>
    </row>
    <row r="488" spans="1:11" x14ac:dyDescent="0.25">
      <c r="A488" s="1">
        <f t="shared" ca="1" si="34"/>
        <v>45999</v>
      </c>
      <c r="B488" s="1" vm="1452">
        <f ca="1"/>
        <v>46000</v>
      </c>
      <c r="C488" vm="1453">
        <f ca="1"/>
        <v>310.48</v>
      </c>
      <c r="D488" vm="1454">
        <f ca="1"/>
        <v>2935669</v>
      </c>
      <c r="E488">
        <f t="shared" ca="1" si="35"/>
        <v>306.19299999999998</v>
      </c>
      <c r="F488">
        <f t="shared" ca="1" si="36"/>
        <v>303.43949999999995</v>
      </c>
      <c r="G488">
        <f t="shared" ca="1" si="33"/>
        <v>297.59980000000002</v>
      </c>
      <c r="H488">
        <f t="shared" ca="1" si="37"/>
        <v>276.1896999999999</v>
      </c>
      <c r="J488" s="1">
        <v>45999</v>
      </c>
      <c r="K488" vm="1453">
        <v>310.48</v>
      </c>
    </row>
    <row r="489" spans="1:11" x14ac:dyDescent="0.25">
      <c r="A489" s="1">
        <f t="shared" ca="1" si="34"/>
        <v>45999</v>
      </c>
      <c r="B489" s="1" vm="1455">
        <f ca="1"/>
        <v>46001</v>
      </c>
      <c r="C489" vm="1456">
        <f ca="1"/>
        <v>312.67</v>
      </c>
      <c r="D489" vm="1457">
        <f ca="1"/>
        <v>3411524</v>
      </c>
      <c r="E489">
        <f t="shared" ca="1" si="35"/>
        <v>307.012</v>
      </c>
      <c r="F489">
        <f t="shared" ca="1" si="36"/>
        <v>303.387</v>
      </c>
      <c r="G489">
        <f t="shared" ca="1" si="33"/>
        <v>298.21000000000004</v>
      </c>
      <c r="H489">
        <f t="shared" ca="1" si="37"/>
        <v>276.46929999999992</v>
      </c>
      <c r="J489" s="1">
        <v>45999</v>
      </c>
      <c r="K489" vm="1456">
        <v>312.67</v>
      </c>
    </row>
    <row r="490" spans="1:11" x14ac:dyDescent="0.25">
      <c r="A490" s="1">
        <f t="shared" ca="1" si="34"/>
        <v>45999</v>
      </c>
      <c r="B490" s="1" vm="1458">
        <f ca="1"/>
        <v>46002</v>
      </c>
      <c r="C490" vm="1459">
        <f ca="1"/>
        <v>310.74</v>
      </c>
      <c r="D490" vm="1460">
        <f ca="1"/>
        <v>2755749</v>
      </c>
      <c r="E490">
        <f t="shared" ca="1" si="35"/>
        <v>307.76500000000004</v>
      </c>
      <c r="F490">
        <f t="shared" ca="1" si="36"/>
        <v>303.17500000000001</v>
      </c>
      <c r="G490">
        <f t="shared" ca="1" si="33"/>
        <v>298.69500000000005</v>
      </c>
      <c r="H490">
        <f t="shared" ca="1" si="37"/>
        <v>276.75709999999987</v>
      </c>
      <c r="J490" s="1">
        <v>45999</v>
      </c>
      <c r="K490" vm="1459">
        <v>310.74</v>
      </c>
    </row>
    <row r="491" spans="1:11" x14ac:dyDescent="0.25">
      <c r="A491" s="1">
        <f t="shared" ca="1" si="34"/>
        <v>45999</v>
      </c>
      <c r="B491" s="1" vm="1461">
        <f ca="1"/>
        <v>46003</v>
      </c>
      <c r="C491" vm="1462">
        <f ca="1"/>
        <v>309.24</v>
      </c>
      <c r="D491" vm="1463">
        <f ca="1"/>
        <v>2953374</v>
      </c>
      <c r="E491">
        <f t="shared" ca="1" si="35"/>
        <v>307.83099999999996</v>
      </c>
      <c r="F491">
        <f t="shared" ca="1" si="36"/>
        <v>303.39399999999995</v>
      </c>
      <c r="G491">
        <f t="shared" ca="1" si="33"/>
        <v>299.14540000000011</v>
      </c>
      <c r="H491">
        <f t="shared" ca="1" si="37"/>
        <v>277.0293999999999</v>
      </c>
      <c r="J491" s="1">
        <v>45999</v>
      </c>
      <c r="K491" vm="1462">
        <v>309.24</v>
      </c>
    </row>
    <row r="492" spans="1:11" x14ac:dyDescent="0.25">
      <c r="A492" s="1">
        <f t="shared" ca="1" si="34"/>
        <v>46006</v>
      </c>
      <c r="B492" s="1" vm="1464">
        <f ca="1"/>
        <v>46006</v>
      </c>
      <c r="C492" vm="1465">
        <f ca="1"/>
        <v>308.66000000000003</v>
      </c>
      <c r="D492" vm="1466">
        <f ca="1"/>
        <v>3566732</v>
      </c>
      <c r="E492">
        <f t="shared" ca="1" si="35"/>
        <v>308.12999999999994</v>
      </c>
      <c r="F492">
        <f t="shared" ca="1" si="36"/>
        <v>303.5424999999999</v>
      </c>
      <c r="G492">
        <f t="shared" ca="1" si="33"/>
        <v>299.55120000000011</v>
      </c>
      <c r="H492">
        <f t="shared" ca="1" si="37"/>
        <v>277.51089999999988</v>
      </c>
      <c r="J492" s="1">
        <v>46006</v>
      </c>
      <c r="K492" vm="1465">
        <v>308.66000000000003</v>
      </c>
    </row>
    <row r="493" spans="1:11" x14ac:dyDescent="0.25">
      <c r="A493" s="1">
        <f t="shared" ca="1" si="34"/>
        <v>46006</v>
      </c>
      <c r="B493" s="1" vm="1467">
        <f ca="1"/>
        <v>46007</v>
      </c>
      <c r="C493" vm="1468">
        <f ca="1"/>
        <v>303.18</v>
      </c>
      <c r="D493" vm="1469">
        <f ca="1"/>
        <v>3366878</v>
      </c>
      <c r="E493">
        <f t="shared" ca="1" si="35"/>
        <v>308.26999999999992</v>
      </c>
      <c r="F493">
        <f t="shared" ca="1" si="36"/>
        <v>303.84299999999996</v>
      </c>
      <c r="G493">
        <f t="shared" ca="1" si="33"/>
        <v>299.82640000000009</v>
      </c>
      <c r="H493">
        <f t="shared" ca="1" si="37"/>
        <v>277.94549999999992</v>
      </c>
      <c r="J493" s="1">
        <v>46006</v>
      </c>
      <c r="K493" vm="1468">
        <v>303.18</v>
      </c>
    </row>
    <row r="494" spans="1:11" x14ac:dyDescent="0.25">
      <c r="A494" s="1">
        <f t="shared" ca="1" si="34"/>
        <v>46006</v>
      </c>
      <c r="B494" s="1" vm="1470">
        <f ca="1"/>
        <v>46008</v>
      </c>
      <c r="C494" vm="1471">
        <f ca="1"/>
        <v>303.32</v>
      </c>
      <c r="D494" vm="1472">
        <f ca="1"/>
        <v>3130954</v>
      </c>
      <c r="E494">
        <f t="shared" ca="1" si="35"/>
        <v>308.34000000000003</v>
      </c>
      <c r="F494">
        <f t="shared" ca="1" si="36"/>
        <v>304.51149999999996</v>
      </c>
      <c r="G494">
        <f t="shared" ca="1" si="33"/>
        <v>300.01540000000006</v>
      </c>
      <c r="H494">
        <f t="shared" ca="1" si="37"/>
        <v>278.34659999999991</v>
      </c>
      <c r="J494" s="1">
        <v>46006</v>
      </c>
      <c r="K494" vm="1471">
        <v>303.32</v>
      </c>
    </row>
    <row r="495" spans="1:11" x14ac:dyDescent="0.25">
      <c r="A495" s="1">
        <f t="shared" ca="1" si="34"/>
        <v>46006</v>
      </c>
      <c r="B495" s="1" vm="1473">
        <f ca="1"/>
        <v>46009</v>
      </c>
      <c r="C495" vm="1474">
        <f ca="1"/>
        <v>300.45</v>
      </c>
      <c r="D495" vm="1475">
        <f ca="1"/>
        <v>5411669</v>
      </c>
      <c r="E495">
        <f t="shared" ca="1" si="35"/>
        <v>307.58599999999996</v>
      </c>
      <c r="F495">
        <f t="shared" ca="1" si="36"/>
        <v>305.10749999999996</v>
      </c>
      <c r="G495">
        <f t="shared" ca="1" si="33"/>
        <v>300.23520000000008</v>
      </c>
      <c r="H495">
        <f t="shared" ca="1" si="37"/>
        <v>278.72699999999992</v>
      </c>
      <c r="J495" s="1">
        <v>46006</v>
      </c>
      <c r="K495" vm="1474">
        <v>300.45</v>
      </c>
    </row>
    <row r="496" spans="1:11" x14ac:dyDescent="0.25">
      <c r="A496" s="1">
        <f t="shared" ca="1" si="34"/>
        <v>46006</v>
      </c>
      <c r="B496" s="1" vm="1476">
        <f ca="1"/>
        <v>46010</v>
      </c>
      <c r="C496" vm="1477">
        <f ca="1"/>
        <v>300.98</v>
      </c>
      <c r="D496" vm="1478">
        <f ca="1"/>
        <v>11031341</v>
      </c>
      <c r="E496">
        <f t="shared" ca="1" si="35"/>
        <v>306.89</v>
      </c>
      <c r="F496">
        <f t="shared" ca="1" si="36"/>
        <v>305.63649999999996</v>
      </c>
      <c r="G496">
        <f t="shared" ca="1" si="33"/>
        <v>300.49020000000007</v>
      </c>
      <c r="H496">
        <f t="shared" ca="1" si="37"/>
        <v>279.13419999999991</v>
      </c>
      <c r="J496" s="1">
        <v>46006</v>
      </c>
      <c r="K496" vm="1477">
        <v>300.98</v>
      </c>
    </row>
    <row r="497" spans="1:11" x14ac:dyDescent="0.25">
      <c r="A497" s="1">
        <f t="shared" ca="1" si="34"/>
        <v>46013</v>
      </c>
      <c r="B497" s="1" vm="1479">
        <f ca="1"/>
        <v>46013</v>
      </c>
      <c r="C497" vm="1480">
        <f ca="1"/>
        <v>302.79000000000002</v>
      </c>
      <c r="D497" vm="1481">
        <f ca="1"/>
        <v>2612100</v>
      </c>
      <c r="E497">
        <f t="shared" ca="1" si="35"/>
        <v>306.25100000000003</v>
      </c>
      <c r="F497">
        <f t="shared" ca="1" si="36"/>
        <v>305.90399999999994</v>
      </c>
      <c r="G497">
        <f t="shared" ca="1" si="33"/>
        <v>300.98960000000005</v>
      </c>
      <c r="H497">
        <f t="shared" ca="1" si="37"/>
        <v>279.6305999999999</v>
      </c>
      <c r="J497" s="1">
        <v>46013</v>
      </c>
      <c r="K497" vm="1480">
        <v>302.79000000000002</v>
      </c>
    </row>
    <row r="498" spans="1:11" x14ac:dyDescent="0.25">
      <c r="A498" s="1">
        <f t="shared" ca="1" si="34"/>
        <v>46013</v>
      </c>
      <c r="B498" s="1" vm="1482">
        <f ca="1"/>
        <v>46014</v>
      </c>
      <c r="C498" vm="1483">
        <f ca="1"/>
        <v>303.77999999999997</v>
      </c>
      <c r="D498" vm="1484">
        <f ca="1"/>
        <v>2923037</v>
      </c>
      <c r="E498">
        <f t="shared" ca="1" si="35"/>
        <v>305.58100000000002</v>
      </c>
      <c r="F498">
        <f t="shared" ca="1" si="36"/>
        <v>305.887</v>
      </c>
      <c r="G498">
        <f t="shared" ca="1" si="33"/>
        <v>301.52080000000007</v>
      </c>
      <c r="H498">
        <f t="shared" ca="1" si="37"/>
        <v>280.16789999999992</v>
      </c>
      <c r="J498" s="1">
        <v>46013</v>
      </c>
      <c r="K498" vm="1483">
        <v>303.77999999999997</v>
      </c>
    </row>
    <row r="499" spans="1:11" x14ac:dyDescent="0.25">
      <c r="A499" s="1">
        <f t="shared" ca="1" si="34"/>
        <v>46013</v>
      </c>
      <c r="B499" s="1" vm="1485">
        <f ca="1"/>
        <v>46015</v>
      </c>
      <c r="C499" vm="1486">
        <f ca="1"/>
        <v>304.56</v>
      </c>
      <c r="D499" vm="1487">
        <f ca="1"/>
        <v>1210642</v>
      </c>
      <c r="E499">
        <f t="shared" ca="1" si="35"/>
        <v>304.77000000000004</v>
      </c>
      <c r="F499">
        <f t="shared" ca="1" si="36"/>
        <v>305.89099999999996</v>
      </c>
      <c r="G499">
        <f t="shared" ca="1" si="33"/>
        <v>302.08900000000006</v>
      </c>
      <c r="H499">
        <f t="shared" ca="1" si="37"/>
        <v>280.69369999999992</v>
      </c>
      <c r="J499" s="1">
        <v>46013</v>
      </c>
      <c r="K499" vm="1486">
        <v>304.56</v>
      </c>
    </row>
    <row r="500" spans="1:11" x14ac:dyDescent="0.25">
      <c r="A500" s="1">
        <f t="shared" ca="1" si="34"/>
        <v>46013</v>
      </c>
      <c r="B500" s="1" vm="1488">
        <f ca="1"/>
        <v>46017</v>
      </c>
      <c r="C500" vm="1489">
        <f ca="1"/>
        <v>305.08999999999997</v>
      </c>
      <c r="D500" vm="1490">
        <f ca="1"/>
        <v>2814732</v>
      </c>
      <c r="E500">
        <f t="shared" ca="1" si="35"/>
        <v>304.20500000000004</v>
      </c>
      <c r="F500">
        <f t="shared" ca="1" si="36"/>
        <v>305.98500000000001</v>
      </c>
      <c r="G500">
        <f t="shared" ref="G500:G520" ca="1" si="38">AVERAGE(C451:C500)</f>
        <v>302.57580000000002</v>
      </c>
      <c r="H500">
        <f t="shared" ca="1" si="37"/>
        <v>281.23789999999991</v>
      </c>
      <c r="J500" s="1">
        <v>46013</v>
      </c>
      <c r="K500" vm="1489">
        <v>305.08999999999997</v>
      </c>
    </row>
    <row r="501" spans="1:11" x14ac:dyDescent="0.25">
      <c r="A501" s="1">
        <f t="shared" ca="1" si="34"/>
        <v>46020</v>
      </c>
      <c r="B501" s="1" vm="1491">
        <f ca="1"/>
        <v>46020</v>
      </c>
      <c r="C501" vm="1492">
        <f ca="1"/>
        <v>305.74</v>
      </c>
      <c r="D501" vm="1493">
        <f ca="1"/>
        <v>4664711</v>
      </c>
      <c r="E501">
        <f t="shared" ca="1" si="35"/>
        <v>303.85500000000002</v>
      </c>
      <c r="F501">
        <f t="shared" ca="1" si="36"/>
        <v>305.84299999999996</v>
      </c>
      <c r="G501">
        <f t="shared" ca="1" si="38"/>
        <v>303.1712</v>
      </c>
      <c r="H501">
        <f t="shared" ca="1" si="37"/>
        <v>281.77249999999992</v>
      </c>
      <c r="J501" s="1">
        <v>46020</v>
      </c>
      <c r="K501" vm="1492">
        <v>305.74</v>
      </c>
    </row>
    <row r="502" spans="1:11" x14ac:dyDescent="0.25">
      <c r="A502" s="1">
        <f t="shared" ca="1" si="34"/>
        <v>46020</v>
      </c>
      <c r="B502" s="1" vm="1494">
        <f ca="1"/>
        <v>46021</v>
      </c>
      <c r="C502" vm="1495">
        <f ca="1"/>
        <v>302.05</v>
      </c>
      <c r="D502" vm="1496">
        <f ca="1"/>
        <v>1883651</v>
      </c>
      <c r="E502">
        <f t="shared" ca="1" si="35"/>
        <v>303.19400000000007</v>
      </c>
      <c r="F502">
        <f t="shared" ca="1" si="36"/>
        <v>305.66199999999998</v>
      </c>
      <c r="G502">
        <f t="shared" ca="1" si="38"/>
        <v>303.58659999999998</v>
      </c>
      <c r="H502">
        <f t="shared" ca="1" si="37"/>
        <v>282.2913999999999</v>
      </c>
      <c r="J502" s="1">
        <v>46020</v>
      </c>
      <c r="K502" vm="1495">
        <v>302.05</v>
      </c>
    </row>
    <row r="503" spans="1:11" x14ac:dyDescent="0.25">
      <c r="A503" s="1">
        <f t="shared" ca="1" si="34"/>
        <v>46020</v>
      </c>
      <c r="B503" s="1" vm="1497">
        <f ca="1"/>
        <v>46022</v>
      </c>
      <c r="C503" vm="1498">
        <f ca="1"/>
        <v>296.20999999999998</v>
      </c>
      <c r="D503" vm="1499">
        <f ca="1"/>
        <v>3430133</v>
      </c>
      <c r="E503">
        <f t="shared" ca="1" si="35"/>
        <v>302.49700000000001</v>
      </c>
      <c r="F503">
        <f t="shared" ca="1" si="36"/>
        <v>305.38350000000003</v>
      </c>
      <c r="G503">
        <f t="shared" ca="1" si="38"/>
        <v>303.83780000000002</v>
      </c>
      <c r="H503">
        <f t="shared" ca="1" si="37"/>
        <v>282.8307999999999</v>
      </c>
      <c r="J503" s="1">
        <v>46020</v>
      </c>
      <c r="K503" vm="1498">
        <v>296.20999999999998</v>
      </c>
    </row>
    <row r="504" spans="1:11" x14ac:dyDescent="0.25">
      <c r="A504" s="1">
        <f t="shared" ca="1" si="34"/>
        <v>46020</v>
      </c>
      <c r="B504" s="1" vm="1500">
        <f ca="1"/>
        <v>46024</v>
      </c>
      <c r="C504" vm="1501">
        <f ca="1"/>
        <v>291.5</v>
      </c>
      <c r="D504" vm="1502">
        <f ca="1"/>
        <v>4662804</v>
      </c>
      <c r="E504">
        <f t="shared" ca="1" si="35"/>
        <v>301.315</v>
      </c>
      <c r="F504">
        <f t="shared" ca="1" si="36"/>
        <v>304.82749999999999</v>
      </c>
      <c r="G504">
        <f t="shared" ca="1" si="38"/>
        <v>304.02679999999998</v>
      </c>
      <c r="H504">
        <f t="shared" ca="1" si="37"/>
        <v>283.38279999999986</v>
      </c>
      <c r="J504" s="1">
        <v>46020</v>
      </c>
      <c r="K504" vm="1501">
        <v>291.5</v>
      </c>
    </row>
    <row r="505" spans="1:11" x14ac:dyDescent="0.25">
      <c r="A505" s="1">
        <f t="shared" ca="1" si="34"/>
        <v>46027</v>
      </c>
      <c r="B505" s="1" vm="1503">
        <f ca="1"/>
        <v>46027</v>
      </c>
      <c r="C505" vm="1504">
        <f ca="1"/>
        <v>294.97000000000003</v>
      </c>
      <c r="D505" vm="1505">
        <f ca="1"/>
        <v>4189960</v>
      </c>
      <c r="E505">
        <f t="shared" ca="1" si="35"/>
        <v>300.767</v>
      </c>
      <c r="F505">
        <f t="shared" ca="1" si="36"/>
        <v>304.17650000000003</v>
      </c>
      <c r="G505">
        <f t="shared" ca="1" si="38"/>
        <v>304.17599999999993</v>
      </c>
      <c r="H505">
        <f t="shared" ca="1" si="37"/>
        <v>283.98479999999995</v>
      </c>
      <c r="J505" s="1">
        <v>46027</v>
      </c>
      <c r="K505" vm="1504">
        <v>294.97000000000003</v>
      </c>
    </row>
    <row r="506" spans="1:11" x14ac:dyDescent="0.25">
      <c r="A506" s="1">
        <f t="shared" ca="1" si="34"/>
        <v>46027</v>
      </c>
      <c r="B506" s="1" vm="1506">
        <f ca="1"/>
        <v>46028</v>
      </c>
      <c r="C506" vm="1507">
        <f ca="1"/>
        <v>302.47000000000003</v>
      </c>
      <c r="D506" vm="1508">
        <f ca="1"/>
        <v>4147315</v>
      </c>
      <c r="E506">
        <f t="shared" ca="1" si="35"/>
        <v>300.916</v>
      </c>
      <c r="F506">
        <f t="shared" ca="1" si="36"/>
        <v>303.90300000000002</v>
      </c>
      <c r="G506">
        <f t="shared" ca="1" si="38"/>
        <v>304.52539999999993</v>
      </c>
      <c r="H506">
        <f t="shared" ca="1" si="37"/>
        <v>284.60879999999992</v>
      </c>
      <c r="J506" s="1">
        <v>46027</v>
      </c>
      <c r="K506" vm="1507">
        <v>302.47000000000003</v>
      </c>
    </row>
    <row r="507" spans="1:11" x14ac:dyDescent="0.25">
      <c r="A507" s="1">
        <f t="shared" ca="1" si="34"/>
        <v>46027</v>
      </c>
      <c r="B507" s="1" vm="1509">
        <f ca="1"/>
        <v>46029</v>
      </c>
      <c r="C507" vm="1510">
        <f ca="1"/>
        <v>296.73</v>
      </c>
      <c r="D507" vm="1511">
        <f ca="1"/>
        <v>2833274</v>
      </c>
      <c r="E507">
        <f t="shared" ca="1" si="35"/>
        <v>300.31</v>
      </c>
      <c r="F507">
        <f t="shared" ca="1" si="36"/>
        <v>303.28050000000002</v>
      </c>
      <c r="G507">
        <f t="shared" ca="1" si="38"/>
        <v>304.31079999999997</v>
      </c>
      <c r="H507">
        <f t="shared" ca="1" si="37"/>
        <v>285.20499999999998</v>
      </c>
      <c r="J507" s="1">
        <v>46027</v>
      </c>
      <c r="K507" vm="1510">
        <v>296.73</v>
      </c>
    </row>
    <row r="508" spans="1:11" x14ac:dyDescent="0.25">
      <c r="A508" s="1">
        <f t="shared" ca="1" si="34"/>
        <v>46027</v>
      </c>
      <c r="B508" s="1" vm="1512">
        <f ca="1"/>
        <v>46030</v>
      </c>
      <c r="C508" vm="1513">
        <f ca="1"/>
        <v>302.72000000000003</v>
      </c>
      <c r="D508" vm="1514">
        <f ca="1"/>
        <v>3343273</v>
      </c>
      <c r="E508">
        <f t="shared" ca="1" si="35"/>
        <v>300.20400000000001</v>
      </c>
      <c r="F508">
        <f t="shared" ca="1" si="36"/>
        <v>302.89250000000004</v>
      </c>
      <c r="G508">
        <f t="shared" ca="1" si="38"/>
        <v>304.10339999999991</v>
      </c>
      <c r="H508">
        <f t="shared" ca="1" si="37"/>
        <v>285.83499999999992</v>
      </c>
      <c r="J508" s="1">
        <v>46027</v>
      </c>
      <c r="K508" vm="1513">
        <v>302.72000000000003</v>
      </c>
    </row>
    <row r="509" spans="1:11" x14ac:dyDescent="0.25">
      <c r="A509" s="1">
        <f t="shared" ca="1" si="34"/>
        <v>46027</v>
      </c>
      <c r="B509" s="1" vm="1515">
        <f ca="1"/>
        <v>46031</v>
      </c>
      <c r="C509" vm="1516">
        <f ca="1"/>
        <v>304.22000000000003</v>
      </c>
      <c r="D509" vm="1517">
        <f ca="1"/>
        <v>2718828</v>
      </c>
      <c r="E509">
        <f t="shared" ca="1" si="35"/>
        <v>300.16999999999996</v>
      </c>
      <c r="F509">
        <f t="shared" ca="1" si="36"/>
        <v>302.47000000000008</v>
      </c>
      <c r="G509">
        <f t="shared" ca="1" si="38"/>
        <v>303.93639999999988</v>
      </c>
      <c r="H509">
        <f t="shared" ca="1" si="37"/>
        <v>286.48269999999991</v>
      </c>
      <c r="J509" s="1">
        <v>46027</v>
      </c>
      <c r="K509" vm="1516">
        <v>304.22000000000003</v>
      </c>
    </row>
    <row r="510" spans="1:11" x14ac:dyDescent="0.25">
      <c r="A510" s="1">
        <f t="shared" ca="1" si="34"/>
        <v>46034</v>
      </c>
      <c r="B510" s="1" vm="1518">
        <f ca="1"/>
        <v>46034</v>
      </c>
      <c r="C510" vm="1519">
        <f ca="1"/>
        <v>312.18</v>
      </c>
      <c r="D510" vm="1520">
        <f ca="1"/>
        <v>3895197</v>
      </c>
      <c r="E510">
        <f t="shared" ca="1" si="35"/>
        <v>300.87900000000002</v>
      </c>
      <c r="F510">
        <f t="shared" ca="1" si="36"/>
        <v>302.54200000000009</v>
      </c>
      <c r="G510">
        <f t="shared" ca="1" si="38"/>
        <v>304.0157999999999</v>
      </c>
      <c r="H510">
        <f t="shared" ca="1" si="37"/>
        <v>287.19169999999997</v>
      </c>
      <c r="J510" s="1">
        <v>46034</v>
      </c>
      <c r="K510" vm="1519">
        <v>312.18</v>
      </c>
    </row>
    <row r="511" spans="1:11" x14ac:dyDescent="0.25">
      <c r="A511" s="1">
        <f t="shared" ca="1" si="34"/>
        <v>46034</v>
      </c>
      <c r="B511" s="1" vm="1521">
        <f ca="1"/>
        <v>46035</v>
      </c>
      <c r="C511" vm="1522">
        <f ca="1"/>
        <v>303.16000000000003</v>
      </c>
      <c r="D511" vm="1523">
        <f ca="1"/>
        <v>4507760</v>
      </c>
      <c r="E511">
        <f t="shared" ca="1" si="35"/>
        <v>300.62099999999998</v>
      </c>
      <c r="F511">
        <f t="shared" ca="1" si="36"/>
        <v>302.23800000000011</v>
      </c>
      <c r="G511">
        <f t="shared" ca="1" si="38"/>
        <v>303.87779999999992</v>
      </c>
      <c r="H511">
        <f t="shared" ca="1" si="37"/>
        <v>287.79779999999994</v>
      </c>
      <c r="J511" s="1">
        <v>46034</v>
      </c>
      <c r="K511" vm="1522">
        <v>303.16000000000003</v>
      </c>
    </row>
    <row r="512" spans="1:11" x14ac:dyDescent="0.25">
      <c r="A512" s="1">
        <f t="shared" ca="1" si="34"/>
        <v>46034</v>
      </c>
      <c r="B512" s="1" vm="1524">
        <f ca="1"/>
        <v>46036</v>
      </c>
      <c r="C512" vm="1525">
        <f ca="1"/>
        <v>309.02999999999997</v>
      </c>
      <c r="D512" vm="1526">
        <f ca="1"/>
        <v>3779045</v>
      </c>
      <c r="E512">
        <f t="shared" ca="1" si="35"/>
        <v>301.31899999999996</v>
      </c>
      <c r="F512">
        <f t="shared" ca="1" si="36"/>
        <v>302.25650000000007</v>
      </c>
      <c r="G512">
        <f t="shared" ca="1" si="38"/>
        <v>303.91019999999992</v>
      </c>
      <c r="H512">
        <f t="shared" ca="1" si="37"/>
        <v>288.49409999999989</v>
      </c>
      <c r="J512" s="1">
        <v>46034</v>
      </c>
      <c r="K512" vm="1525">
        <v>309.02999999999997</v>
      </c>
    </row>
    <row r="513" spans="1:11" x14ac:dyDescent="0.25">
      <c r="A513" s="1">
        <f t="shared" ca="1" si="34"/>
        <v>46034</v>
      </c>
      <c r="B513" s="1" vm="1527">
        <f ca="1"/>
        <v>46037</v>
      </c>
      <c r="C513" vm="1528">
        <f ca="1"/>
        <v>297.95</v>
      </c>
      <c r="D513" vm="1529">
        <f ca="1"/>
        <v>4932480</v>
      </c>
      <c r="E513">
        <f t="shared" ca="1" si="35"/>
        <v>301.49299999999994</v>
      </c>
      <c r="F513">
        <f t="shared" ca="1" si="36"/>
        <v>301.99500000000006</v>
      </c>
      <c r="G513">
        <f t="shared" ca="1" si="38"/>
        <v>303.77459999999991</v>
      </c>
      <c r="H513">
        <f t="shared" ca="1" si="37"/>
        <v>289.05269999999996</v>
      </c>
      <c r="J513" s="1">
        <v>46034</v>
      </c>
      <c r="K513" vm="1528">
        <v>297.95</v>
      </c>
    </row>
    <row r="514" spans="1:11" x14ac:dyDescent="0.25">
      <c r="A514" s="1">
        <f t="shared" ca="1" si="34"/>
        <v>46034</v>
      </c>
      <c r="B514" s="1" vm="1530">
        <f ca="1"/>
        <v>46038</v>
      </c>
      <c r="C514" vm="1435">
        <f ca="1"/>
        <v>305.67</v>
      </c>
      <c r="D514" vm="1531">
        <f ca="1"/>
        <v>6199635</v>
      </c>
      <c r="E514">
        <f t="shared" ca="1" si="35"/>
        <v>302.91000000000003</v>
      </c>
      <c r="F514">
        <f t="shared" ca="1" si="36"/>
        <v>302.11250000000001</v>
      </c>
      <c r="G514">
        <f t="shared" ca="1" si="38"/>
        <v>303.87099999999992</v>
      </c>
      <c r="H514">
        <f t="shared" ca="1" si="37"/>
        <v>289.71509999999989</v>
      </c>
      <c r="J514" s="1">
        <v>46034</v>
      </c>
      <c r="K514" vm="1435">
        <v>305.67</v>
      </c>
    </row>
    <row r="515" spans="1:11" x14ac:dyDescent="0.25">
      <c r="A515" s="1">
        <f t="shared" ref="A515:A520" ca="1" si="39">B515 - WEEKDAY(B515, 2) + 1</f>
        <v>46041</v>
      </c>
      <c r="B515" s="1" vm="1532">
        <f ca="1"/>
        <v>46042</v>
      </c>
      <c r="C515" vm="1533">
        <f ca="1"/>
        <v>291.35000000000002</v>
      </c>
      <c r="D515" vm="1534">
        <f ca="1"/>
        <v>7275490</v>
      </c>
      <c r="E515">
        <f t="shared" ca="1" si="35"/>
        <v>302.548</v>
      </c>
      <c r="F515">
        <f t="shared" ca="1" si="36"/>
        <v>301.65750000000003</v>
      </c>
      <c r="G515">
        <f t="shared" ca="1" si="38"/>
        <v>303.56259999999997</v>
      </c>
      <c r="H515">
        <f t="shared" ca="1" si="37"/>
        <v>290.20229999999992</v>
      </c>
      <c r="J515" s="1">
        <v>46041</v>
      </c>
      <c r="K515" vm="1533">
        <v>291.35000000000002</v>
      </c>
    </row>
    <row r="516" spans="1:11" x14ac:dyDescent="0.25">
      <c r="A516" s="1">
        <f t="shared" ca="1" si="39"/>
        <v>46041</v>
      </c>
      <c r="B516" s="1" vm="1535">
        <f ca="1"/>
        <v>46043</v>
      </c>
      <c r="C516" vm="1536">
        <f ca="1"/>
        <v>297.54000000000002</v>
      </c>
      <c r="D516" vm="1537">
        <f ca="1"/>
        <v>5185023</v>
      </c>
      <c r="E516">
        <f t="shared" ca="1" si="35"/>
        <v>302.05500000000001</v>
      </c>
      <c r="F516">
        <f t="shared" ca="1" si="36"/>
        <v>301.4855</v>
      </c>
      <c r="G516">
        <f t="shared" ca="1" si="38"/>
        <v>303.26499999999999</v>
      </c>
      <c r="H516">
        <f t="shared" ca="1" si="37"/>
        <v>290.72929999999991</v>
      </c>
      <c r="J516" s="1">
        <v>46041</v>
      </c>
      <c r="K516" vm="1536">
        <v>297.54000000000002</v>
      </c>
    </row>
    <row r="517" spans="1:11" x14ac:dyDescent="0.25">
      <c r="A517" s="1">
        <f t="shared" ca="1" si="39"/>
        <v>46041</v>
      </c>
      <c r="B517" s="1" vm="1538">
        <f ca="1"/>
        <v>46044</v>
      </c>
      <c r="C517" vm="1539">
        <f ca="1"/>
        <v>294.67</v>
      </c>
      <c r="D517" vm="1540">
        <f ca="1"/>
        <v>3670152</v>
      </c>
      <c r="E517">
        <f t="shared" ca="1" si="35"/>
        <v>301.84900000000005</v>
      </c>
      <c r="F517">
        <f t="shared" ca="1" si="36"/>
        <v>301.0795</v>
      </c>
      <c r="G517">
        <f t="shared" ca="1" si="38"/>
        <v>303.0308</v>
      </c>
      <c r="H517">
        <f t="shared" ca="1" si="37"/>
        <v>291.2186999999999</v>
      </c>
      <c r="J517" s="1">
        <v>46041</v>
      </c>
      <c r="K517" vm="1539">
        <v>294.67</v>
      </c>
    </row>
    <row r="518" spans="1:11" x14ac:dyDescent="0.25">
      <c r="A518" s="1">
        <f t="shared" ca="1" si="39"/>
        <v>46041</v>
      </c>
      <c r="B518" s="1" vm="1541">
        <f ca="1"/>
        <v>46045</v>
      </c>
      <c r="C518" vm="1542">
        <f ca="1"/>
        <v>292.44</v>
      </c>
      <c r="D518" vm="1543">
        <f ca="1"/>
        <v>3298424</v>
      </c>
      <c r="E518">
        <f t="shared" ca="1" si="35"/>
        <v>300.82100000000003</v>
      </c>
      <c r="F518">
        <f t="shared" ca="1" si="36"/>
        <v>300.51249999999999</v>
      </c>
      <c r="G518">
        <f t="shared" ca="1" si="38"/>
        <v>302.69699999999995</v>
      </c>
      <c r="H518">
        <f t="shared" ca="1" si="37"/>
        <v>291.70819999999992</v>
      </c>
      <c r="J518" s="1">
        <v>46041</v>
      </c>
      <c r="K518" vm="1542">
        <v>292.44</v>
      </c>
    </row>
    <row r="519" spans="1:11" x14ac:dyDescent="0.25">
      <c r="A519" s="1">
        <f t="shared" ca="1" si="39"/>
        <v>46048</v>
      </c>
      <c r="B519" s="1" vm="1544">
        <f ca="1"/>
        <v>46048</v>
      </c>
      <c r="C519" vm="1545">
        <f ca="1"/>
        <v>296.33</v>
      </c>
      <c r="D519" vm="1546">
        <f ca="1"/>
        <v>3726890</v>
      </c>
      <c r="E519">
        <f t="shared" ca="1" si="35"/>
        <v>300.03200000000004</v>
      </c>
      <c r="F519">
        <f t="shared" ca="1" si="36"/>
        <v>300.101</v>
      </c>
      <c r="G519">
        <f t="shared" ca="1" si="38"/>
        <v>302.3492</v>
      </c>
      <c r="H519">
        <f t="shared" ca="1" si="37"/>
        <v>292.25649999999996</v>
      </c>
      <c r="J519" s="1">
        <v>46048</v>
      </c>
      <c r="K519" vm="1545">
        <v>296.33</v>
      </c>
    </row>
    <row r="520" spans="1:11" x14ac:dyDescent="0.25">
      <c r="A520" s="1">
        <f t="shared" ca="1" si="39"/>
        <v>46048</v>
      </c>
      <c r="B520" s="1" vm="1547">
        <f ca="1"/>
        <v>46049</v>
      </c>
      <c r="C520" vm="1548">
        <f ca="1"/>
        <v>293.86</v>
      </c>
      <c r="D520" vm="1549">
        <f ca="1"/>
        <v>2954936</v>
      </c>
      <c r="E520">
        <f t="shared" ca="1" si="35"/>
        <v>298.20000000000005</v>
      </c>
      <c r="F520">
        <f t="shared" ca="1" si="36"/>
        <v>299.53949999999998</v>
      </c>
      <c r="G520">
        <f t="shared" ca="1" si="38"/>
        <v>301.92680000000001</v>
      </c>
      <c r="H520">
        <f t="shared" ca="1" si="37"/>
        <v>292.75409999999994</v>
      </c>
      <c r="J520" s="1">
        <v>46048</v>
      </c>
      <c r="K520" vm="1548">
        <v>293.86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C8F1-BF9E-427B-B65A-05BE95BED7B4}">
  <dimension ref="A1:B105"/>
  <sheetViews>
    <sheetView workbookViewId="0">
      <selection activeCell="E8" sqref="E8"/>
    </sheetView>
  </sheetViews>
  <sheetFormatPr defaultRowHeight="15" x14ac:dyDescent="0.25"/>
  <cols>
    <col min="1" max="1" width="20.7109375" style="5" customWidth="1"/>
  </cols>
  <sheetData>
    <row r="1" spans="1:2" x14ac:dyDescent="0.25">
      <c r="A1" s="4" t="s">
        <v>5</v>
      </c>
      <c r="B1" s="4" t="s">
        <v>9</v>
      </c>
    </row>
    <row r="2" spans="1:2" x14ac:dyDescent="0.25">
      <c r="A2" s="5">
        <v>36564</v>
      </c>
      <c r="B2">
        <v>0.11472300000000001</v>
      </c>
    </row>
    <row r="3" spans="1:2" x14ac:dyDescent="0.25">
      <c r="A3" s="5">
        <v>36654</v>
      </c>
      <c r="B3">
        <v>0.124283</v>
      </c>
    </row>
    <row r="4" spans="1:2" x14ac:dyDescent="0.25">
      <c r="A4" s="5">
        <v>36746</v>
      </c>
      <c r="B4">
        <v>0.124283</v>
      </c>
    </row>
    <row r="5" spans="1:2" x14ac:dyDescent="0.25">
      <c r="A5" s="5">
        <v>36838</v>
      </c>
      <c r="B5">
        <v>0.124283</v>
      </c>
    </row>
    <row r="6" spans="1:2" x14ac:dyDescent="0.25">
      <c r="A6" s="5">
        <v>36929</v>
      </c>
      <c r="B6">
        <v>0.124283</v>
      </c>
    </row>
    <row r="7" spans="1:2" x14ac:dyDescent="0.25">
      <c r="A7" s="5">
        <v>37019</v>
      </c>
      <c r="B7">
        <v>0.13384299999999999</v>
      </c>
    </row>
    <row r="8" spans="1:2" x14ac:dyDescent="0.25">
      <c r="A8" s="5">
        <v>37111</v>
      </c>
      <c r="B8">
        <v>0.13384299999999999</v>
      </c>
    </row>
    <row r="9" spans="1:2" x14ac:dyDescent="0.25">
      <c r="A9" s="5">
        <v>37202</v>
      </c>
      <c r="B9">
        <v>0.13384299999999999</v>
      </c>
    </row>
    <row r="10" spans="1:2" x14ac:dyDescent="0.25">
      <c r="A10" s="5">
        <v>37293</v>
      </c>
      <c r="B10">
        <v>0.13384299999999999</v>
      </c>
    </row>
    <row r="11" spans="1:2" x14ac:dyDescent="0.25">
      <c r="A11" s="5">
        <v>37384</v>
      </c>
      <c r="B11">
        <v>0.143403</v>
      </c>
    </row>
    <row r="12" spans="1:2" x14ac:dyDescent="0.25">
      <c r="A12" s="5">
        <v>37475</v>
      </c>
      <c r="B12">
        <v>0.143403</v>
      </c>
    </row>
    <row r="13" spans="1:2" x14ac:dyDescent="0.25">
      <c r="A13" s="5">
        <v>37566</v>
      </c>
      <c r="B13">
        <v>0.143403</v>
      </c>
    </row>
    <row r="14" spans="1:2" x14ac:dyDescent="0.25">
      <c r="A14" s="5">
        <v>37658</v>
      </c>
      <c r="B14">
        <v>0.143403</v>
      </c>
    </row>
    <row r="15" spans="1:2" x14ac:dyDescent="0.25">
      <c r="A15" s="5">
        <v>37748</v>
      </c>
      <c r="B15">
        <v>0.15296399999999999</v>
      </c>
    </row>
    <row r="16" spans="1:2" x14ac:dyDescent="0.25">
      <c r="A16" s="5">
        <v>37839</v>
      </c>
      <c r="B16">
        <v>0.15296399999999999</v>
      </c>
    </row>
    <row r="17" spans="1:2" x14ac:dyDescent="0.25">
      <c r="A17" s="5">
        <v>37931</v>
      </c>
      <c r="B17">
        <v>0.15296399999999999</v>
      </c>
    </row>
    <row r="18" spans="1:2" x14ac:dyDescent="0.25">
      <c r="A18" s="5">
        <v>38023</v>
      </c>
      <c r="B18">
        <v>0.15296399999999999</v>
      </c>
    </row>
    <row r="19" spans="1:2" x14ac:dyDescent="0.25">
      <c r="A19" s="5">
        <v>38113</v>
      </c>
      <c r="B19">
        <v>0.17208399999999999</v>
      </c>
    </row>
    <row r="20" spans="1:2" x14ac:dyDescent="0.25">
      <c r="A20" s="5">
        <v>38205</v>
      </c>
      <c r="B20">
        <v>0.17208399999999999</v>
      </c>
    </row>
    <row r="21" spans="1:2" x14ac:dyDescent="0.25">
      <c r="A21" s="5">
        <v>38299</v>
      </c>
      <c r="B21">
        <v>0.17208399999999999</v>
      </c>
    </row>
    <row r="22" spans="1:2" x14ac:dyDescent="0.25">
      <c r="A22" s="5">
        <v>38391</v>
      </c>
      <c r="B22">
        <v>0.17208399999999999</v>
      </c>
    </row>
    <row r="23" spans="1:2" x14ac:dyDescent="0.25">
      <c r="A23" s="5">
        <v>38478</v>
      </c>
      <c r="B23">
        <v>0.19120500000000001</v>
      </c>
    </row>
    <row r="24" spans="1:2" x14ac:dyDescent="0.25">
      <c r="A24" s="5">
        <v>38572</v>
      </c>
      <c r="B24">
        <v>0.19120500000000001</v>
      </c>
    </row>
    <row r="25" spans="1:2" x14ac:dyDescent="0.25">
      <c r="A25" s="5">
        <v>38664</v>
      </c>
      <c r="B25">
        <v>0.19120500000000001</v>
      </c>
    </row>
    <row r="26" spans="1:2" x14ac:dyDescent="0.25">
      <c r="A26" s="5">
        <v>38756</v>
      </c>
      <c r="B26">
        <v>0.19120500000000001</v>
      </c>
    </row>
    <row r="27" spans="1:2" x14ac:dyDescent="0.25">
      <c r="A27" s="5">
        <v>38845</v>
      </c>
      <c r="B27">
        <v>0.28680699999999998</v>
      </c>
    </row>
    <row r="28" spans="1:2" x14ac:dyDescent="0.25">
      <c r="A28" s="5">
        <v>38937</v>
      </c>
      <c r="B28">
        <v>0.28680699999999998</v>
      </c>
    </row>
    <row r="29" spans="1:2" x14ac:dyDescent="0.25">
      <c r="A29" s="5">
        <v>39029</v>
      </c>
      <c r="B29">
        <v>0.28680699999999998</v>
      </c>
    </row>
    <row r="30" spans="1:2" x14ac:dyDescent="0.25">
      <c r="A30" s="5">
        <v>39120</v>
      </c>
      <c r="B30">
        <v>0.28680699999999998</v>
      </c>
    </row>
    <row r="31" spans="1:2" x14ac:dyDescent="0.25">
      <c r="A31" s="5">
        <v>39210</v>
      </c>
      <c r="B31">
        <v>0.382409</v>
      </c>
    </row>
    <row r="32" spans="1:2" x14ac:dyDescent="0.25">
      <c r="A32" s="5">
        <v>39302</v>
      </c>
      <c r="B32">
        <v>0.382409</v>
      </c>
    </row>
    <row r="33" spans="1:2" x14ac:dyDescent="0.25">
      <c r="A33" s="5">
        <v>39393</v>
      </c>
      <c r="B33">
        <v>0.382409</v>
      </c>
    </row>
    <row r="34" spans="1:2" x14ac:dyDescent="0.25">
      <c r="A34" s="5">
        <v>39484</v>
      </c>
      <c r="B34">
        <v>0.382409</v>
      </c>
    </row>
    <row r="35" spans="1:2" x14ac:dyDescent="0.25">
      <c r="A35" s="5">
        <v>39575</v>
      </c>
      <c r="B35">
        <v>0.47801100000000002</v>
      </c>
    </row>
    <row r="36" spans="1:2" x14ac:dyDescent="0.25">
      <c r="A36" s="5">
        <v>39666</v>
      </c>
      <c r="B36">
        <v>0.47801100000000002</v>
      </c>
    </row>
    <row r="37" spans="1:2" x14ac:dyDescent="0.25">
      <c r="A37" s="5">
        <v>39758</v>
      </c>
      <c r="B37">
        <v>0.47801100000000002</v>
      </c>
    </row>
    <row r="38" spans="1:2" x14ac:dyDescent="0.25">
      <c r="A38" s="5">
        <v>39850</v>
      </c>
      <c r="B38">
        <v>0.47801100000000002</v>
      </c>
    </row>
    <row r="39" spans="1:2" x14ac:dyDescent="0.25">
      <c r="A39" s="5">
        <v>39939</v>
      </c>
      <c r="B39">
        <v>0.52581299999999997</v>
      </c>
    </row>
    <row r="40" spans="1:2" x14ac:dyDescent="0.25">
      <c r="A40" s="5">
        <v>40031</v>
      </c>
      <c r="B40">
        <v>0.52581299999999997</v>
      </c>
    </row>
    <row r="41" spans="1:2" x14ac:dyDescent="0.25">
      <c r="A41" s="5">
        <v>40123</v>
      </c>
      <c r="B41">
        <v>0.52581299999999997</v>
      </c>
    </row>
    <row r="42" spans="1:2" x14ac:dyDescent="0.25">
      <c r="A42" s="5">
        <v>40217</v>
      </c>
      <c r="B42">
        <v>0.52581299999999997</v>
      </c>
    </row>
    <row r="43" spans="1:2" x14ac:dyDescent="0.25">
      <c r="A43" s="5">
        <v>40304</v>
      </c>
      <c r="B43">
        <v>0.62141500000000005</v>
      </c>
    </row>
    <row r="44" spans="1:2" x14ac:dyDescent="0.25">
      <c r="A44" s="5">
        <v>40396</v>
      </c>
      <c r="B44">
        <v>0.62141500000000005</v>
      </c>
    </row>
    <row r="45" spans="1:2" x14ac:dyDescent="0.25">
      <c r="A45" s="5">
        <v>40490</v>
      </c>
      <c r="B45">
        <v>0.62141500000000005</v>
      </c>
    </row>
    <row r="46" spans="1:2" x14ac:dyDescent="0.25">
      <c r="A46" s="5">
        <v>40582</v>
      </c>
      <c r="B46">
        <v>0.62141500000000005</v>
      </c>
    </row>
    <row r="47" spans="1:2" x14ac:dyDescent="0.25">
      <c r="A47" s="5">
        <v>40669</v>
      </c>
      <c r="B47">
        <v>0.71701700000000002</v>
      </c>
    </row>
    <row r="48" spans="1:2" x14ac:dyDescent="0.25">
      <c r="A48" s="5">
        <v>40763</v>
      </c>
      <c r="B48">
        <v>0.71701700000000002</v>
      </c>
    </row>
    <row r="49" spans="1:2" x14ac:dyDescent="0.25">
      <c r="A49" s="5">
        <v>40855</v>
      </c>
      <c r="B49">
        <v>0.71701700000000002</v>
      </c>
    </row>
    <row r="50" spans="1:2" x14ac:dyDescent="0.25">
      <c r="A50" s="5">
        <v>40947</v>
      </c>
      <c r="B50">
        <v>0.71701700000000002</v>
      </c>
    </row>
    <row r="51" spans="1:2" x14ac:dyDescent="0.25">
      <c r="A51" s="5">
        <v>41037</v>
      </c>
      <c r="B51">
        <v>0.81262000000000001</v>
      </c>
    </row>
    <row r="52" spans="1:2" x14ac:dyDescent="0.25">
      <c r="A52" s="5">
        <v>41129</v>
      </c>
      <c r="B52">
        <v>0.81262000000000001</v>
      </c>
    </row>
    <row r="53" spans="1:2" x14ac:dyDescent="0.25">
      <c r="A53" s="5">
        <v>41220</v>
      </c>
      <c r="B53">
        <v>0.81262000000000001</v>
      </c>
    </row>
    <row r="54" spans="1:2" x14ac:dyDescent="0.25">
      <c r="A54" s="5">
        <v>41311</v>
      </c>
      <c r="B54">
        <v>0.81262000000000001</v>
      </c>
    </row>
    <row r="55" spans="1:2" x14ac:dyDescent="0.25">
      <c r="A55" s="5">
        <v>41402</v>
      </c>
      <c r="B55">
        <v>0.90822199999999997</v>
      </c>
    </row>
    <row r="56" spans="1:2" x14ac:dyDescent="0.25">
      <c r="A56" s="5">
        <v>41493</v>
      </c>
      <c r="B56">
        <v>0.90822199999999997</v>
      </c>
    </row>
    <row r="57" spans="1:2" x14ac:dyDescent="0.25">
      <c r="A57" s="5">
        <v>41584</v>
      </c>
      <c r="B57">
        <v>0.90822199999999997</v>
      </c>
    </row>
    <row r="58" spans="1:2" x14ac:dyDescent="0.25">
      <c r="A58" s="5">
        <v>41676</v>
      </c>
      <c r="B58">
        <v>0.90822199999999997</v>
      </c>
    </row>
    <row r="59" spans="1:2" x14ac:dyDescent="0.25">
      <c r="A59" s="5">
        <v>41766</v>
      </c>
      <c r="B59">
        <v>1.051625</v>
      </c>
    </row>
    <row r="60" spans="1:2" x14ac:dyDescent="0.25">
      <c r="A60" s="5">
        <v>41857</v>
      </c>
      <c r="B60">
        <v>1.051625</v>
      </c>
    </row>
    <row r="61" spans="1:2" x14ac:dyDescent="0.25">
      <c r="A61" s="5">
        <v>41949</v>
      </c>
      <c r="B61">
        <v>1.051625</v>
      </c>
    </row>
    <row r="62" spans="1:2" x14ac:dyDescent="0.25">
      <c r="A62" s="5">
        <v>42041</v>
      </c>
      <c r="B62">
        <v>1.051625</v>
      </c>
    </row>
    <row r="63" spans="1:2" x14ac:dyDescent="0.25">
      <c r="A63" s="5">
        <v>42130</v>
      </c>
      <c r="B63">
        <v>1.2428300000000001</v>
      </c>
    </row>
    <row r="64" spans="1:2" x14ac:dyDescent="0.25">
      <c r="A64" s="5">
        <v>42222</v>
      </c>
      <c r="B64">
        <v>1.2428300000000001</v>
      </c>
    </row>
    <row r="65" spans="1:2" x14ac:dyDescent="0.25">
      <c r="A65" s="5">
        <v>42314</v>
      </c>
      <c r="B65">
        <v>1.2428300000000001</v>
      </c>
    </row>
    <row r="66" spans="1:2" x14ac:dyDescent="0.25">
      <c r="A66" s="5">
        <v>42408</v>
      </c>
      <c r="B66">
        <v>1.2428300000000001</v>
      </c>
    </row>
    <row r="67" spans="1:2" x14ac:dyDescent="0.25">
      <c r="A67" s="5">
        <v>42496</v>
      </c>
      <c r="B67">
        <v>1.3384320000000001</v>
      </c>
    </row>
    <row r="68" spans="1:2" x14ac:dyDescent="0.25">
      <c r="A68" s="5">
        <v>42590</v>
      </c>
      <c r="B68">
        <v>1.3384320000000001</v>
      </c>
    </row>
    <row r="69" spans="1:2" x14ac:dyDescent="0.25">
      <c r="A69" s="5">
        <v>42682</v>
      </c>
      <c r="B69">
        <v>1.3384320000000001</v>
      </c>
    </row>
    <row r="70" spans="1:2" x14ac:dyDescent="0.25">
      <c r="A70" s="5">
        <v>42774</v>
      </c>
      <c r="B70">
        <v>1.3384320000000001</v>
      </c>
    </row>
    <row r="71" spans="1:2" x14ac:dyDescent="0.25">
      <c r="A71" s="5">
        <v>42863</v>
      </c>
      <c r="B71">
        <v>1.434034</v>
      </c>
    </row>
    <row r="72" spans="1:2" x14ac:dyDescent="0.25">
      <c r="A72" s="5">
        <v>42955</v>
      </c>
      <c r="B72">
        <v>1.434034</v>
      </c>
    </row>
    <row r="73" spans="1:2" x14ac:dyDescent="0.25">
      <c r="A73" s="5">
        <v>43048</v>
      </c>
      <c r="B73">
        <v>1.434034</v>
      </c>
    </row>
    <row r="74" spans="1:2" x14ac:dyDescent="0.25">
      <c r="A74" s="5">
        <v>43139</v>
      </c>
      <c r="B74">
        <v>1.434034</v>
      </c>
    </row>
    <row r="75" spans="1:2" x14ac:dyDescent="0.25">
      <c r="A75" s="5">
        <v>43229</v>
      </c>
      <c r="B75">
        <v>1.500956</v>
      </c>
    </row>
    <row r="76" spans="1:2" x14ac:dyDescent="0.25">
      <c r="A76" s="5">
        <v>43321</v>
      </c>
      <c r="B76">
        <v>1.500956</v>
      </c>
    </row>
    <row r="77" spans="1:2" x14ac:dyDescent="0.25">
      <c r="A77" s="5">
        <v>43412</v>
      </c>
      <c r="B77">
        <v>1.500956</v>
      </c>
    </row>
    <row r="78" spans="1:2" x14ac:dyDescent="0.25">
      <c r="A78" s="5">
        <v>43503</v>
      </c>
      <c r="B78">
        <v>1.500956</v>
      </c>
    </row>
    <row r="79" spans="1:2" x14ac:dyDescent="0.25">
      <c r="A79" s="5">
        <v>43594</v>
      </c>
      <c r="B79">
        <v>1.5487569999999999</v>
      </c>
    </row>
    <row r="80" spans="1:2" x14ac:dyDescent="0.25">
      <c r="A80" s="5">
        <v>43685</v>
      </c>
      <c r="B80">
        <v>1.5487569999999999</v>
      </c>
    </row>
    <row r="81" spans="1:2" x14ac:dyDescent="0.25">
      <c r="A81" s="5">
        <v>43776</v>
      </c>
      <c r="B81">
        <v>1.5487569999999999</v>
      </c>
    </row>
    <row r="82" spans="1:2" x14ac:dyDescent="0.25">
      <c r="A82" s="5">
        <v>43868</v>
      </c>
      <c r="B82">
        <v>1.5487569999999999</v>
      </c>
    </row>
    <row r="83" spans="1:2" x14ac:dyDescent="0.25">
      <c r="A83" s="5">
        <v>43958</v>
      </c>
      <c r="B83">
        <v>1.558317</v>
      </c>
    </row>
    <row r="84" spans="1:2" x14ac:dyDescent="0.25">
      <c r="A84" s="5">
        <v>44050</v>
      </c>
      <c r="B84">
        <v>1.558317</v>
      </c>
    </row>
    <row r="85" spans="1:2" x14ac:dyDescent="0.25">
      <c r="A85" s="5">
        <v>44144</v>
      </c>
      <c r="B85">
        <v>1.558317</v>
      </c>
    </row>
    <row r="86" spans="1:2" x14ac:dyDescent="0.25">
      <c r="A86" s="5">
        <v>44236</v>
      </c>
      <c r="B86">
        <v>1.558317</v>
      </c>
    </row>
    <row r="87" spans="1:2" x14ac:dyDescent="0.25">
      <c r="A87" s="5">
        <v>44323</v>
      </c>
      <c r="B87">
        <v>1.5678780000000001</v>
      </c>
    </row>
    <row r="88" spans="1:2" x14ac:dyDescent="0.25">
      <c r="A88" s="5">
        <v>44417</v>
      </c>
      <c r="B88">
        <v>1.5678780000000001</v>
      </c>
    </row>
    <row r="89" spans="1:2" x14ac:dyDescent="0.25">
      <c r="A89" s="5">
        <v>44509</v>
      </c>
      <c r="B89">
        <v>1.64</v>
      </c>
    </row>
    <row r="90" spans="1:2" x14ac:dyDescent="0.25">
      <c r="A90" s="5">
        <v>44602</v>
      </c>
      <c r="B90">
        <v>1.64</v>
      </c>
    </row>
    <row r="91" spans="1:2" x14ac:dyDescent="0.25">
      <c r="A91" s="5">
        <v>44690</v>
      </c>
      <c r="B91">
        <v>1.65</v>
      </c>
    </row>
    <row r="92" spans="1:2" x14ac:dyDescent="0.25">
      <c r="A92" s="5">
        <v>44782</v>
      </c>
      <c r="B92">
        <v>1.65</v>
      </c>
    </row>
    <row r="93" spans="1:2" x14ac:dyDescent="0.25">
      <c r="A93" s="5">
        <v>44874</v>
      </c>
      <c r="B93">
        <v>1.65</v>
      </c>
    </row>
    <row r="94" spans="1:2" x14ac:dyDescent="0.25">
      <c r="A94" s="5">
        <v>44966</v>
      </c>
      <c r="B94">
        <v>1.65</v>
      </c>
    </row>
    <row r="95" spans="1:2" x14ac:dyDescent="0.25">
      <c r="A95" s="5">
        <v>45055</v>
      </c>
      <c r="B95">
        <v>1.66</v>
      </c>
    </row>
    <row r="96" spans="1:2" x14ac:dyDescent="0.25">
      <c r="A96" s="5">
        <v>45147</v>
      </c>
      <c r="B96">
        <v>1.66</v>
      </c>
    </row>
    <row r="97" spans="1:2" x14ac:dyDescent="0.25">
      <c r="A97" s="5">
        <v>45239</v>
      </c>
      <c r="B97">
        <v>1.66</v>
      </c>
    </row>
    <row r="98" spans="1:2" x14ac:dyDescent="0.25">
      <c r="A98" s="5">
        <v>45330</v>
      </c>
      <c r="B98">
        <v>1.66</v>
      </c>
    </row>
    <row r="99" spans="1:2" x14ac:dyDescent="0.25">
      <c r="A99" s="5">
        <v>45421</v>
      </c>
      <c r="B99">
        <v>1.67</v>
      </c>
    </row>
    <row r="100" spans="1:2" x14ac:dyDescent="0.25">
      <c r="A100" s="5">
        <v>45513</v>
      </c>
      <c r="B100">
        <v>1.67</v>
      </c>
    </row>
    <row r="101" spans="1:2" x14ac:dyDescent="0.25">
      <c r="A101" s="5">
        <v>45608</v>
      </c>
      <c r="B101">
        <v>1.67</v>
      </c>
    </row>
    <row r="102" spans="1:2" x14ac:dyDescent="0.25">
      <c r="A102" s="5">
        <v>45698</v>
      </c>
      <c r="B102">
        <v>1.67</v>
      </c>
    </row>
    <row r="103" spans="1:2" x14ac:dyDescent="0.25">
      <c r="A103" s="5">
        <v>45786</v>
      </c>
      <c r="B103">
        <v>1.68</v>
      </c>
    </row>
    <row r="104" spans="1:2" x14ac:dyDescent="0.25">
      <c r="A104" s="5">
        <v>45877</v>
      </c>
      <c r="B104">
        <v>1.68</v>
      </c>
    </row>
    <row r="105" spans="1:2" x14ac:dyDescent="0.25">
      <c r="A105" s="5">
        <v>45971</v>
      </c>
      <c r="B105">
        <v>1.68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2C13-B0E8-4992-A737-5B1A98E01C2B}">
  <dimension ref="I50:K50"/>
  <sheetViews>
    <sheetView tabSelected="1" topLeftCell="A99" workbookViewId="0">
      <selection activeCell="N50" sqref="N50"/>
    </sheetView>
  </sheetViews>
  <sheetFormatPr defaultRowHeight="15" x14ac:dyDescent="0.25"/>
  <cols>
    <col min="1" max="16384" width="9.140625" style="2"/>
  </cols>
  <sheetData>
    <row r="50" spans="9:11" ht="93.75" x14ac:dyDescent="1.4">
      <c r="I50" s="8" t="s">
        <v>10</v>
      </c>
      <c r="J50" s="8"/>
      <c r="K50" s="8"/>
    </row>
  </sheetData>
  <mergeCells count="1">
    <mergeCell ref="I50:K5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817C6-8EC2-41CE-BB9A-EB663D187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</vt:lpstr>
      <vt:lpstr>Weekly</vt:lpstr>
      <vt:lpstr>IBM</vt:lpstr>
      <vt:lpstr>Dividends</vt:lpstr>
      <vt:lpstr>Dashoard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2026-01-28T02:19:49Z</dcterms:created>
  <dcterms:modified xsi:type="dcterms:W3CDTF">2026-01-29T01:32:31Z</dcterms:modified>
</cp:coreProperties>
</file>